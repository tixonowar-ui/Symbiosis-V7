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6.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21.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1.xml" ContentType="application/vnd.openxmlformats-officedocument.spreadsheetml.table+xml"/>
  <Override PartName="/xl/tables/table29.xml" ContentType="application/vnd.openxmlformats-officedocument.spreadsheetml.table+xml"/>
  <Override PartName="/xl/tables/table17.xml" ContentType="application/vnd.openxmlformats-officedocument.spreadsheetml.table+xml"/>
  <Override PartName="/xl/tables/table28.xml" ContentType="application/vnd.openxmlformats-officedocument.spreadsheetml.table+xml"/>
  <Override PartName="/xl/tables/table8.xml" ContentType="application/vnd.openxmlformats-officedocument.spreadsheetml.table+xml"/>
  <Override PartName="/xl/tables/table27.xml" ContentType="application/vnd.openxmlformats-officedocument.spreadsheetml.table+xml"/>
  <Override PartName="/xl/tables/table26.xml" ContentType="application/vnd.openxmlformats-officedocument.spreadsheetml.table+xml"/>
  <Override PartName="/xl/tables/table7.xml" ContentType="application/vnd.openxmlformats-officedocument.spreadsheetml.table+xml"/>
  <Override PartName="/xl/tables/table20.xml" ContentType="application/vnd.openxmlformats-officedocument.spreadsheetml.table+xml"/>
  <Override PartName="/xl/tables/table25.xml" ContentType="application/vnd.openxmlformats-officedocument.spreadsheetml.table+xml"/>
  <Override PartName="/xl/tables/table2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4.xml" ContentType="application/vnd.openxmlformats-officedocument.spreadsheetml.table+xml"/>
  <Override PartName="/xl/tables/table33.xml" ContentType="application/vnd.openxmlformats-officedocument.spreadsheetml.table+xml"/>
  <Override PartName="/xl/tables/table13.xml" ContentType="application/vnd.openxmlformats-officedocument.spreadsheetml.table+xml"/>
  <Override PartName="/xl/tables/table5.xml" ContentType="application/vnd.openxmlformats-officedocument.spreadsheetml.table+xml"/>
  <Override PartName="/xl/tables/table32.xml" ContentType="application/vnd.openxmlformats-officedocument.spreadsheetml.table+xml"/>
  <Override PartName="/xl/tables/table19.xml" ContentType="application/vnd.openxmlformats-officedocument.spreadsheetml.table+xml"/>
  <Override PartName="/xl/tables/table22.xml" ContentType="application/vnd.openxmlformats-officedocument.spreadsheetml.table+xml"/>
  <Override PartName="/xl/tables/table35.xml" ContentType="application/vnd.openxmlformats-officedocument.spreadsheetml.table+xml"/>
  <Override PartName="/xl/tables/table3.xml" ContentType="application/vnd.openxmlformats-officedocument.spreadsheetml.table+xml"/>
  <Override PartName="/xl/tables/table24.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18.xml" ContentType="application/vnd.openxmlformats-officedocument.spreadsheetml.table+xml"/>
  <Override PartName="/xl/tables/table10.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Паспорт" sheetId="1" state="visible" r:id="rId3"/>
    <sheet name="01_Характеристики" sheetId="2" state="visible" r:id="rId4"/>
    <sheet name="02_Расы" sheetId="3" state="visible" r:id="rId5"/>
    <sheet name="03_Классы" sheetId="4" state="visible" r:id="rId6"/>
    <sheet name="04_Навыки" sheetId="5" state="visible" r:id="rId7"/>
    <sheet name="05_Требования_навыков" sheetId="6" state="visible" r:id="rId8"/>
    <sheet name="06_Модификаторы_персонажа" sheetId="7" state="visible" r:id="rId9"/>
    <sheet name="07_Симбионты" sheetId="8" state="visible" r:id="rId10"/>
    <sheet name="08_Уровни_симбионтов" sheetId="9" state="visible" r:id="rId11"/>
    <sheet name="09_Узлы_развития" sheetId="10" state="visible" r:id="rId12"/>
    <sheet name="10_Способности" sheetId="11" state="visible" r:id="rId13"/>
    <sheet name="11_Контексты_способностей" sheetId="12" state="visible" r:id="rId14"/>
    <sheet name="12_Несовместимости" sheetId="13" state="visible" r:id="rId15"/>
    <sheet name="13_Генерируемые_объекты" sheetId="14" state="visible" r:id="rId16"/>
    <sheet name="14_Контракты_Runtime" sheetId="15" state="visible" r:id="rId17"/>
    <sheet name="15_Операции" sheetId="16" state="visible" r:id="rId18"/>
    <sheet name="16_Отбор_автоматизации" sheetId="17" state="visible" r:id="rId19"/>
    <sheet name="17_Трассировка_правил" sheetId="18" state="visible" r:id="rId20"/>
    <sheet name="18_Справочники" sheetId="19" state="visible" r:id="rId21"/>
    <sheet name="19_Источники" sheetId="20" state="visible" r:id="rId22"/>
    <sheet name="20_Payload_JSON" sheetId="21" state="visible" r:id="rId23"/>
    <sheet name="21_QA_совместимость" sheetId="22" state="visible" r:id="rId24"/>
    <sheet name="22_Контроль" sheetId="23" state="visible" r:id="rId25"/>
    <sheet name="23_Изменения_v1.1" sheetId="24" state="visible" r:id="rId26"/>
    <sheet name="24_XP_Runtime" sheetId="25" state="visible" r:id="rId27"/>
    <sheet name="25_Изменения_v1.2" sheetId="26" state="visible" r:id="rId2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<sst xmlns="http://schemas.openxmlformats.org/spreadsheetml/2006/main" count="29595" uniqueCount="10465">
  <si>
    <t xml:space="preserve">SYMBIOSIS V7 — Character, Skills &amp; Symbionts Registry v1.2</t>
  </si>
  <si>
    <t xml:space="preserve">Дополняющий нормативный реестр персонажей, навыков, симбионтов, обычного XP и неизменяемого мастерского GM_DIRECT. Frozen runtime pack v1.2 принимается по version+SHA через forward compatibility.</t>
  </si>
  <si>
    <t xml:space="preserve">Метрика</t>
  </si>
  <si>
    <t xml:space="preserve">Значение</t>
  </si>
  <si>
    <t xml:space="preserve">Проверка</t>
  </si>
  <si>
    <t xml:space="preserve">Примечание</t>
  </si>
  <si>
    <t xml:space="preserve">Source priority и scope</t>
  </si>
  <si>
    <t xml:space="preserve">Версия</t>
  </si>
  <si>
    <t xml:space="preserve">1.2</t>
  </si>
  <si>
    <t xml:space="preserve">PASS</t>
  </si>
  <si>
    <t xml:space="preserve">SYMBIOSIS_CHARACTER_SKILLS_SYMBIONTS_V1.2</t>
  </si>
  <si>
    <t xml:space="preserve">Приоритет: решения 2026-08-01 &gt; v1.2 extension &gt; v1.1 builtAgainst. Current tuple: Rules v1.7 | Character-Skills-Symbionts v1.2 | Items v1.6_with_icons | Bestiary v1.4 | Sentient v1.2.</t>
  </si>
  <si>
    <t xml:space="preserve">Дата выпуска</t>
  </si>
  <si>
    <t xml:space="preserve">2026-08-01</t>
  </si>
  <si>
    <t xml:space="preserve">Europe/Berlin</t>
  </si>
  <si>
    <t xml:space="preserve">Характеристики</t>
  </si>
  <si>
    <t xml:space="preserve">Ожидается 7</t>
  </si>
  <si>
    <t xml:space="preserve">Расы</t>
  </si>
  <si>
    <t xml:space="preserve">Ожидается 3</t>
  </si>
  <si>
    <t xml:space="preserve">Классы</t>
  </si>
  <si>
    <t xml:space="preserve">Навыки</t>
  </si>
  <si>
    <t xml:space="preserve">Ожидается 45</t>
  </si>
  <si>
    <t xml:space="preserve">Симбионты</t>
  </si>
  <si>
    <t xml:space="preserve">Ожидается 23</t>
  </si>
  <si>
    <t xml:space="preserve">Узлы развития</t>
  </si>
  <si>
    <t xml:space="preserve">Ожидается 182</t>
  </si>
  <si>
    <t xml:space="preserve">Manifest integration</t>
  </si>
  <si>
    <t xml:space="preserve">Автоматизируемые способности</t>
  </si>
  <si>
    <t xml:space="preserve">Ожидается 167</t>
  </si>
  <si>
    <t xml:space="preserve">Реестр является пятым нормативным артефактом Development Baseline Manifest v1.1. Все payload обязаны содержать точный dependencyTuple v1.1.</t>
  </si>
  <si>
    <t xml:space="preserve">Контексты</t>
  </si>
  <si>
    <t xml:space="preserve">Ожидается 334</t>
  </si>
  <si>
    <t xml:space="preserve">Manual-only узлы</t>
  </si>
  <si>
    <t xml:space="preserve">Ожидается 15; без поведения</t>
  </si>
  <si>
    <t xml:space="preserve">GeneratedObjectType</t>
  </si>
  <si>
    <t xml:space="preserve">Ожидается 1: WEB_ITEM</t>
  </si>
  <si>
    <t xml:space="preserve">QA сценарии</t>
  </si>
  <si>
    <t xml:space="preserve">Ожидается 51: сохранены 42 + 8 GM_DIRECT + 1 group generator</t>
  </si>
  <si>
    <t xml:space="preserve">Программные проверки</t>
  </si>
  <si>
    <t xml:space="preserve">Builder semantic and structural gate</t>
  </si>
  <si>
    <t xml:space="preserve">Payload</t>
  </si>
  <si>
    <t xml:space="preserve">1 142 builtAgainst payload + 2 forward-compatible operation payload</t>
  </si>
  <si>
    <t xml:space="preserve">Release gate</t>
  </si>
  <si>
    <t xml:space="preserve">PASS только при нуле FAIL</t>
  </si>
  <si>
    <t xml:space="preserve">Связи SpeciesKey ↔ LinkedStatCode</t>
  </si>
  <si>
    <t xml:space="preserve">23 вида, 48 отношений, дословно извлечённых из профильных карточек Rules v1.6</t>
  </si>
  <si>
    <t xml:space="preserve">XP policy rows</t>
  </si>
  <si>
    <t xml:space="preserve">3 route + 7 points + 11 roll kinds + 8 never + 3 race + 3 suppression + 1 GM_DIRECT = 36</t>
  </si>
  <si>
    <t xml:space="preserve">SymbiontXpEvent fields</t>
  </si>
  <si>
    <t xml:space="preserve">Все обязательные поля события</t>
  </si>
  <si>
    <t xml:space="preserve">GM direct award policy</t>
  </si>
  <si>
    <t xml:space="preserve">GM_DIRECT_SYMBIONT_XP</t>
  </si>
  <si>
    <t xml:space="preserve">Q-GM-XP-001</t>
  </si>
  <si>
    <t xml:space="preserve">MasterSymbiontXpAward fields</t>
  </si>
  <si>
    <t xml:space="preserve">Полный immutable receipt contract</t>
  </si>
  <si>
    <t xml:space="preserve">CORE-234</t>
  </si>
  <si>
    <t xml:space="preserve">Канонические характеристики персонажа</t>
  </si>
  <si>
    <t xml:space="preserve">Семь кодов без aliases. Для Z/W используются специфичные исполняемые карточки Rules v1.5; M канонически означает «Метаболизм».</t>
  </si>
  <si>
    <t xml:space="preserve">StatCode</t>
  </si>
  <si>
    <t xml:space="preserve">Название</t>
  </si>
  <si>
    <t xml:space="preserve">Порядок</t>
  </si>
  <si>
    <t xml:space="preserve">Domain</t>
  </si>
  <si>
    <t xml:space="preserve">BaseMin</t>
  </si>
  <si>
    <t xml:space="preserve">BaseMax игрока</t>
  </si>
  <si>
    <t xml:space="preserve">EffectiveMin</t>
  </si>
  <si>
    <t xml:space="preserve">Cap35Scope</t>
  </si>
  <si>
    <t xml:space="preserve">Описание</t>
  </si>
  <si>
    <t xml:space="preserve">Rule IDs</t>
  </si>
  <si>
    <t xml:space="preserve">Источник</t>
  </si>
  <si>
    <t xml:space="preserve">ID unique</t>
  </si>
  <si>
    <t xml:space="preserve">S</t>
  </si>
  <si>
    <t xml:space="preserve">Сила</t>
  </si>
  <si>
    <t xml:space="preserve">BASE_CHARACTERISTIC</t>
  </si>
  <si>
    <t xml:space="preserve">SENTIENT_BASE_ONLY</t>
  </si>
  <si>
    <t xml:space="preserve">Игрок: базовое значение 1..20. Мыслящий противник: базовое значение 1..35. Постоянные и временные изменения применяются послойно; итог не ниже 1.</t>
  </si>
  <si>
    <t xml:space="preserve">CORE-073; CORE-078; CORE-079; CORE-160; CORE-197</t>
  </si>
  <si>
    <t xml:space="preserve">Rules v1.5; при внутреннем конфликте — более специфичная карточка правила</t>
  </si>
  <si>
    <t xml:space="preserve">D</t>
  </si>
  <si>
    <t xml:space="preserve">Ловкость</t>
  </si>
  <si>
    <t xml:space="preserve">M</t>
  </si>
  <si>
    <t xml:space="preserve">Метаболизм</t>
  </si>
  <si>
    <t xml:space="preserve">Игрок: базовое значение 1..20. Мыслящий противник: базовое значение 1..35. Постоянные и временные изменения применяются послойно; итог не ниже 1. The higher-priority Rules!Справочники C140 explicitly says «Метаболизм». The lower-priority fallback PDF uses «Выносливость (M)», so the Rules value prevails under the user's stated source-priority rule.</t>
  </si>
  <si>
    <t xml:space="preserve">Z</t>
  </si>
  <si>
    <t xml:space="preserve">Здоровье</t>
  </si>
  <si>
    <t xml:space="preserve">Игрок: базовое значение 1..20. Мыслящий противник: базовое значение 1..35. Постоянные и временные изменения применяются послойно; итог не ниже 1. Rules!Справочники C141 says «Знания», but CORE-031, CORE-117, CORE-119 and Q-CORE-008 consistently use Z as «Здоровье»; the approved fallback PDF explicitly uses «Здоровье (Z)».</t>
  </si>
  <si>
    <t xml:space="preserve">CORE-031; CORE-073; CORE-078; CORE-079; CORE-160; CORE-197</t>
  </si>
  <si>
    <t xml:space="preserve">I</t>
  </si>
  <si>
    <t xml:space="preserve">Интеллект</t>
  </si>
  <si>
    <t xml:space="preserve">W</t>
  </si>
  <si>
    <t xml:space="preserve">Мудрость</t>
  </si>
  <si>
    <t xml:space="preserve">Игрок: базовое значение 1..20. Мыслящий противник: базовое значение 1..35. Постоянные и временные изменения применяются послойно; итог не ниже 1. Rules!Справочники C143 says «Воля», but the higher-priority CORE-081 card is titled «Слоты навыков от Мудрости» and the approved fallback PDF explicitly uses «Мудрость (W)» on physical page 105.</t>
  </si>
  <si>
    <t xml:space="preserve">CORE-073; CORE-078; CORE-079; CORE-081; CORE-160; CORE-197</t>
  </si>
  <si>
    <t xml:space="preserve">C</t>
  </si>
  <si>
    <t xml:space="preserve">Харизма</t>
  </si>
  <si>
    <t xml:space="preserve">Игровые расы</t>
  </si>
  <si>
    <t xml:space="preserve">Только PURE, FREE и UNITED. Множители XP заданы явно: баллы общего счётчика не удваиваются; у FREE прямое и распределённое начисление ×2.</t>
  </si>
  <si>
    <t xml:space="preserve">RaceCode</t>
  </si>
  <si>
    <t xml:space="preserve">ClassPolicy</t>
  </si>
  <si>
    <t xml:space="preserve">BaseSymbiontSlots</t>
  </si>
  <si>
    <t xml:space="preserve">SymbioticMonsterAllowed</t>
  </si>
  <si>
    <t xml:space="preserve">StatModifierProfileID</t>
  </si>
  <si>
    <t xml:space="preserve">GrantedSkillRefs</t>
  </si>
  <si>
    <t xml:space="preserve">SymbiontXPPolicy</t>
  </si>
  <si>
    <t xml:space="preserve">Creation Rule IDs</t>
  </si>
  <si>
    <t xml:space="preserve">Status</t>
  </si>
  <si>
    <t xml:space="preserve">DirectXPMultiplier</t>
  </si>
  <si>
    <t xml:space="preserve">CounterPointMultiplier</t>
  </si>
  <si>
    <t xml:space="preserve">AllocationXPMultiplier</t>
  </si>
  <si>
    <t xml:space="preserve">PURE</t>
  </si>
  <si>
    <t xml:space="preserve">Чистый</t>
  </si>
  <si>
    <t xml:space="preserve">REQUIRED_PURE_CLASS</t>
  </si>
  <si>
    <t xml:space="preserve">RACE-MOD-PURE</t>
  </si>
  <si>
    <t xml:space="preserve">STANDARD_XP_AWARD</t>
  </si>
  <si>
    <t xml:space="preserve">CORE-008; CORE-009; CORE-010; CORE-013</t>
  </si>
  <si>
    <t xml:space="preserve">Rules Registry v1.5</t>
  </si>
  <si>
    <t xml:space="preserve">ACTIVE</t>
  </si>
  <si>
    <t xml:space="preserve">FREE</t>
  </si>
  <si>
    <t xml:space="preserve">Вольный</t>
  </si>
  <si>
    <t xml:space="preserve">NO_CLASS</t>
  </si>
  <si>
    <t xml:space="preserve">RACE-MOD-FREE</t>
  </si>
  <si>
    <t xml:space="preserve">XP_AWARD_X2</t>
  </si>
  <si>
    <t xml:space="preserve">CORE-006; CORE-007</t>
  </si>
  <si>
    <t xml:space="preserve">UNITED</t>
  </si>
  <si>
    <t xml:space="preserve">Единый</t>
  </si>
  <si>
    <t xml:space="preserve">RACE-MOD-UNITED</t>
  </si>
  <si>
    <t xml:space="preserve">FOLLOWING_PAIN</t>
  </si>
  <si>
    <t xml:space="preserve">CORE-001; CORE-004; CORE-005</t>
  </si>
  <si>
    <t xml:space="preserve">Классы Чистых</t>
  </si>
  <si>
    <t xml:space="preserve">Класс обязателен только для PURE; обязательный классовый навык резервирует один стартовый слот.</t>
  </si>
  <si>
    <t xml:space="preserve">ClassCode</t>
  </si>
  <si>
    <t xml:space="preserve">MandatorySkillKey</t>
  </si>
  <si>
    <t xml:space="preserve">MandatorySkillSlotCost</t>
  </si>
  <si>
    <t xml:space="preserve">ContextModifierRefs</t>
  </si>
  <si>
    <t xml:space="preserve">SEEKER</t>
  </si>
  <si>
    <t xml:space="preserve">Искатель</t>
  </si>
  <si>
    <t xml:space="preserve">PURE_SEEKER</t>
  </si>
  <si>
    <t xml:space="preserve">CLASS-MOD-SEEKER</t>
  </si>
  <si>
    <t xml:space="preserve">CLASS-MOD-SEEKER-C-VS-PURE; CLASS-MOD-SEEKER-C-VS-UNITED</t>
  </si>
  <si>
    <t xml:space="preserve">CORE-009</t>
  </si>
  <si>
    <t xml:space="preserve">STALKER</t>
  </si>
  <si>
    <t xml:space="preserve">Сталкер</t>
  </si>
  <si>
    <t xml:space="preserve">PURE_STALKER</t>
  </si>
  <si>
    <t xml:space="preserve">CLASS-MOD-STALKER</t>
  </si>
  <si>
    <t xml:space="preserve">CLASS-MOD-STALKER-C-VS-PURE; CLASS-MOD-STALKER-C-VS-UNITED</t>
  </si>
  <si>
    <t xml:space="preserve">CORE-010</t>
  </si>
  <si>
    <t xml:space="preserve">SOLDIER</t>
  </si>
  <si>
    <t xml:space="preserve">Солдат</t>
  </si>
  <si>
    <t xml:space="preserve">PURE_SOLDIER</t>
  </si>
  <si>
    <t xml:space="preserve">CLASS-MOD-SOLDIER</t>
  </si>
  <si>
    <t xml:space="preserve">CLASS-MOD-SOLDIER-C-VS-PURE; CLASS-MOD-SOLDIER-C-VS-UNITED</t>
  </si>
  <si>
    <t xml:space="preserve">CORE-013</t>
  </si>
  <si>
    <t xml:space="preserve">Системный каталог навыков</t>
  </si>
  <si>
    <t xml:space="preserve">41 выбираемый навык + 4 фиксированных. Существующие 15 runtime-ключей Sentient v1.1 сохранены; остальные 30 получают новые стабильные ключи этого реестра.</t>
  </si>
  <si>
    <t xml:space="preserve">SkillID</t>
  </si>
  <si>
    <t xml:space="preserve">SkillKey</t>
  </si>
  <si>
    <t xml:space="preserve">Категория</t>
  </si>
  <si>
    <t xml:space="preserve">OwnerScopeAllowed</t>
  </si>
  <si>
    <t xml:space="preserve">SlotCostMode</t>
  </si>
  <si>
    <t xml:space="preserve">BonusDomain / Scope</t>
  </si>
  <si>
    <t xml:space="preserve">MaxBonus</t>
  </si>
  <si>
    <t xml:space="preserve">CheckTags</t>
  </si>
  <si>
    <t xml:space="preserve">MandatoryRace</t>
  </si>
  <si>
    <t xml:space="preserve">MandatoryClass</t>
  </si>
  <si>
    <t xml:space="preserve">MissingSkillPenalty</t>
  </si>
  <si>
    <t xml:space="preserve">Source Question IDs</t>
  </si>
  <si>
    <t xml:space="preserve">SKL-001</t>
  </si>
  <si>
    <t xml:space="preserve">UNARMED</t>
  </si>
  <si>
    <t xml:space="preserve">Рукопашный бой</t>
  </si>
  <si>
    <t xml:space="preserve">SELECTABLE_GENERAL</t>
  </si>
  <si>
    <t xml:space="preserve">PLAYER_HOST; SENTIENT_HOST; ADVISER_IF_GRANTED</t>
  </si>
  <si>
    <t xml:space="preserve">BONUS_LEVEL_FORMULA_CORE-165</t>
  </si>
  <si>
    <t xml:space="preserve">Удары руками/ногами, блок без щита</t>
  </si>
  <si>
    <t xml:space="preserve">NO_RULED_UPPER_LIMIT</t>
  </si>
  <si>
    <t xml:space="preserve">CORE-165; CORE-167</t>
  </si>
  <si>
    <t xml:space="preserve">Q-CORE-024; Q-CORE-051</t>
  </si>
  <si>
    <t xml:space="preserve">SKL-002</t>
  </si>
  <si>
    <t xml:space="preserve">GRAPPLING</t>
  </si>
  <si>
    <t xml:space="preserve">Борьба</t>
  </si>
  <si>
    <t xml:space="preserve">Борцовские приёмы</t>
  </si>
  <si>
    <t xml:space="preserve">SKL-003</t>
  </si>
  <si>
    <t xml:space="preserve">WEAPON_THROWING</t>
  </si>
  <si>
    <t xml:space="preserve">Метание</t>
  </si>
  <si>
    <t xml:space="preserve">Метание оружия</t>
  </si>
  <si>
    <t xml:space="preserve">SKL-004</t>
  </si>
  <si>
    <t xml:space="preserve">OBJECT_THROWING</t>
  </si>
  <si>
    <t xml:space="preserve">Бросание</t>
  </si>
  <si>
    <t xml:space="preserve">Бросание предметов</t>
  </si>
  <si>
    <t xml:space="preserve">SKL-005</t>
  </si>
  <si>
    <t xml:space="preserve">SHOOTING</t>
  </si>
  <si>
    <t xml:space="preserve">Стрельба</t>
  </si>
  <si>
    <t xml:space="preserve">Точность атак «Стрельба»</t>
  </si>
  <si>
    <t xml:space="preserve">SKL-006</t>
  </si>
  <si>
    <t xml:space="preserve">ARCHERY</t>
  </si>
  <si>
    <t xml:space="preserve">Стрельба из лука</t>
  </si>
  <si>
    <t xml:space="preserve">Точность лука</t>
  </si>
  <si>
    <t xml:space="preserve">SKL-007</t>
  </si>
  <si>
    <t xml:space="preserve">GROSS</t>
  </si>
  <si>
    <t xml:space="preserve">Владение грубым оружием</t>
  </si>
  <si>
    <t xml:space="preserve">Урон/точность грубого оружия и тяжёлых подручных средств</t>
  </si>
  <si>
    <t xml:space="preserve">SKL-008</t>
  </si>
  <si>
    <t xml:space="preserve">FENCING</t>
  </si>
  <si>
    <t xml:space="preserve">Фехтование</t>
  </si>
  <si>
    <t xml:space="preserve">Урон/точность длинного клинкового, парирование</t>
  </si>
  <si>
    <t xml:space="preserve">SKL-009</t>
  </si>
  <si>
    <t xml:space="preserve">SPEAR</t>
  </si>
  <si>
    <t xml:space="preserve">Владение копьём</t>
  </si>
  <si>
    <t xml:space="preserve">Урон/точность копья</t>
  </si>
  <si>
    <t xml:space="preserve">SKL-010</t>
  </si>
  <si>
    <t xml:space="preserve">SHORT</t>
  </si>
  <si>
    <t xml:space="preserve">Владение коротким оружием</t>
  </si>
  <si>
    <t xml:space="preserve">Урон/точность короткого клинкового, его метание, сходные предметы</t>
  </si>
  <si>
    <t xml:space="preserve">SKL-011</t>
  </si>
  <si>
    <t xml:space="preserve">AXES</t>
  </si>
  <si>
    <t xml:space="preserve">Владение топорами</t>
  </si>
  <si>
    <t xml:space="preserve">Урон/точность топоров</t>
  </si>
  <si>
    <t xml:space="preserve">SKL-012</t>
  </si>
  <si>
    <t xml:space="preserve">SHIELD</t>
  </si>
  <si>
    <t xml:space="preserve">Владение щитом</t>
  </si>
  <si>
    <t xml:space="preserve">Урон/точность щитом и блок щитом</t>
  </si>
  <si>
    <t xml:space="preserve">SKL-013</t>
  </si>
  <si>
    <t xml:space="preserve">RIDING</t>
  </si>
  <si>
    <t xml:space="preserve">Наездник</t>
  </si>
  <si>
    <t xml:space="preserve">Управление скакуном; небоевое разрешение исключено</t>
  </si>
  <si>
    <t xml:space="preserve">SKL-014</t>
  </si>
  <si>
    <t xml:space="preserve">STEALTH</t>
  </si>
  <si>
    <t xml:space="preserve">Скрытность</t>
  </si>
  <si>
    <t xml:space="preserve">Маскировка, сокрытие, схроны, скрытые перемещения; разрешение исключено</t>
  </si>
  <si>
    <t xml:space="preserve">SKL-015</t>
  </si>
  <si>
    <t xml:space="preserve">THIEVERY</t>
  </si>
  <si>
    <t xml:space="preserve">Вор</t>
  </si>
  <si>
    <t xml:space="preserve">Кражи, замки, обыск, городская маскировка; разрешение исключено</t>
  </si>
  <si>
    <t xml:space="preserve">SKL-016</t>
  </si>
  <si>
    <t xml:space="preserve">ACROBATICS</t>
  </si>
  <si>
    <t xml:space="preserve">Акробатика</t>
  </si>
  <si>
    <t xml:space="preserve">Лазание, прыжки, кувырки, сложные маршруты, паркур</t>
  </si>
  <si>
    <t xml:space="preserve">SKL-017</t>
  </si>
  <si>
    <t xml:space="preserve">ORIENTATION</t>
  </si>
  <si>
    <t xml:space="preserve">Ориентирование</t>
  </si>
  <si>
    <t xml:space="preserve">Маршрут/путь/картина вслепую; разрешение исключено</t>
  </si>
  <si>
    <t xml:space="preserve">SKL-018</t>
  </si>
  <si>
    <t xml:space="preserve">LEARNING</t>
  </si>
  <si>
    <t xml:space="preserve">Ученик</t>
  </si>
  <si>
    <t xml:space="preserve">Обучение навыку; разрешение исключено</t>
  </si>
  <si>
    <t xml:space="preserve">SKL-019</t>
  </si>
  <si>
    <t xml:space="preserve">TEACHING</t>
  </si>
  <si>
    <t xml:space="preserve">Учитель</t>
  </si>
  <si>
    <t xml:space="preserve">Обучение/объяснение; разрешение исключено</t>
  </si>
  <si>
    <t xml:space="preserve">SKL-020</t>
  </si>
  <si>
    <t xml:space="preserve">CRAFT</t>
  </si>
  <si>
    <t xml:space="preserve">Крафт</t>
  </si>
  <si>
    <t xml:space="preserve">Можно выбрать и хранить; создание предметов приложением не исполняется</t>
  </si>
  <si>
    <t xml:space="preserve">SKL-021</t>
  </si>
  <si>
    <t xml:space="preserve">REPAIR</t>
  </si>
  <si>
    <t xml:space="preserve">Ремонт</t>
  </si>
  <si>
    <t xml:space="preserve">SKL-022</t>
  </si>
  <si>
    <t xml:space="preserve">TRACKING</t>
  </si>
  <si>
    <t xml:space="preserve">Выслеживание</t>
  </si>
  <si>
    <t xml:space="preserve">Следы/направление/обнаружение; небоевое разрешение исключено</t>
  </si>
  <si>
    <t xml:space="preserve">SKL-023</t>
  </si>
  <si>
    <t xml:space="preserve">AWARENESS</t>
  </si>
  <si>
    <t xml:space="preserve">Внимательность</t>
  </si>
  <si>
    <t xml:space="preserve">Сбор информации, обнаружение, память; небоевое разрешение исключено</t>
  </si>
  <si>
    <t xml:space="preserve">SKL-024</t>
  </si>
  <si>
    <t xml:space="preserve">ANALYTICAL_THINKING</t>
  </si>
  <si>
    <t xml:space="preserve">Аналитическое мышление</t>
  </si>
  <si>
    <t xml:space="preserve">Анализ, упреждающий удар; социальное сопротивление исключено</t>
  </si>
  <si>
    <t xml:space="preserve">SKL-025</t>
  </si>
  <si>
    <t xml:space="preserve">INVENTION</t>
  </si>
  <si>
    <t xml:space="preserve">Изобретательство</t>
  </si>
  <si>
    <t xml:space="preserve">Новое/улучшение/новое применение; разрешение исключено</t>
  </si>
  <si>
    <t xml:space="preserve">SKL-026</t>
  </si>
  <si>
    <t xml:space="preserve">LITERACY</t>
  </si>
  <si>
    <t xml:space="preserve">Письмо и чтение</t>
  </si>
  <si>
    <t xml:space="preserve">Грамотность; Единый/Вольный с W&lt;8 без навыка неграмотен</t>
  </si>
  <si>
    <t xml:space="preserve">SKL-027</t>
  </si>
  <si>
    <t xml:space="preserve">SEDUCTION</t>
  </si>
  <si>
    <t xml:space="preserve">Соблазнение</t>
  </si>
  <si>
    <t xml:space="preserve">Социальное; разрешение исключено</t>
  </si>
  <si>
    <t xml:space="preserve">SKL-028</t>
  </si>
  <si>
    <t xml:space="preserve">DECEPTION</t>
  </si>
  <si>
    <t xml:space="preserve">Обман</t>
  </si>
  <si>
    <t xml:space="preserve">SKL-029</t>
  </si>
  <si>
    <t xml:space="preserve">ACTING</t>
  </si>
  <si>
    <t xml:space="preserve">Актёрское мастерство</t>
  </si>
  <si>
    <t xml:space="preserve">SKL-030</t>
  </si>
  <si>
    <t xml:space="preserve">BARGAINING</t>
  </si>
  <si>
    <t xml:space="preserve">Торг</t>
  </si>
  <si>
    <t xml:space="preserve">SKL-031</t>
  </si>
  <si>
    <t xml:space="preserve">EXECUTIONER</t>
  </si>
  <si>
    <t xml:space="preserve">Палач</t>
  </si>
  <si>
    <t xml:space="preserve">Запугивание/допрос/пытки/связывание; разрешение исключено</t>
  </si>
  <si>
    <t xml:space="preserve">SKL-032</t>
  </si>
  <si>
    <t xml:space="preserve">WILDERNESS_SURVIVAL</t>
  </si>
  <si>
    <t xml:space="preserve">Выживание в дикой природе</t>
  </si>
  <si>
    <t xml:space="preserve">Небоевые действия/маскировка; разрешение исключено</t>
  </si>
  <si>
    <t xml:space="preserve">SKL-033</t>
  </si>
  <si>
    <t xml:space="preserve">LIGHTNING_REACTION</t>
  </si>
  <si>
    <t xml:space="preserve">Молниеносная реакция</t>
  </si>
  <si>
    <t xml:space="preserve">Реакция на нападение и уклонение</t>
  </si>
  <si>
    <t xml:space="preserve">SKL-034</t>
  </si>
  <si>
    <t xml:space="preserve">VEHICLE_OPERATION</t>
  </si>
  <si>
    <t xml:space="preserve">Управление техникой</t>
  </si>
  <si>
    <t xml:space="preserve">Сложная техника; небоевое разрешение исключено</t>
  </si>
  <si>
    <t xml:space="preserve">SKL-035</t>
  </si>
  <si>
    <t xml:space="preserve">HEALTHY_LIFESTYLE</t>
  </si>
  <si>
    <t xml:space="preserve">Здоровый образ жизни</t>
  </si>
  <si>
    <t xml:space="preserve">Сопротивление болезням и ядам</t>
  </si>
  <si>
    <t xml:space="preserve">SKL-036</t>
  </si>
  <si>
    <t xml:space="preserve">INSIGHT</t>
  </si>
  <si>
    <t xml:space="preserve">Проницательность</t>
  </si>
  <si>
    <t xml:space="preserve">Вытягивание сведений/ложь; абсолютный убирает -10; социальное разрешение исключено</t>
  </si>
  <si>
    <t xml:space="preserve">SKL-037</t>
  </si>
  <si>
    <t xml:space="preserve">COOKING</t>
  </si>
  <si>
    <t xml:space="preserve">Кулинария</t>
  </si>
  <si>
    <t xml:space="preserve">Пища/ингредиенты; разрешение исключено</t>
  </si>
  <si>
    <t xml:space="preserve">SKL-038</t>
  </si>
  <si>
    <t xml:space="preserve">MEDIC</t>
  </si>
  <si>
    <t xml:space="preserve">Медик</t>
  </si>
  <si>
    <t xml:space="preserve">Медицинские манипуляции; Искатель исключён из штрафа отсутствия</t>
  </si>
  <si>
    <t xml:space="preserve">SKL-039</t>
  </si>
  <si>
    <t xml:space="preserve">ERUDITION</t>
  </si>
  <si>
    <t xml:space="preserve">Эрудиция</t>
  </si>
  <si>
    <t xml:space="preserve">Вспоминание фактов; разрешение исключено</t>
  </si>
  <si>
    <t xml:space="preserve">SKL-040</t>
  </si>
  <si>
    <t xml:space="preserve">NATURAL_SCIENCE</t>
  </si>
  <si>
    <t xml:space="preserve">Естественнонаучные знания</t>
  </si>
  <si>
    <t xml:space="preserve">Дополнительный модификатор изобретательства/крафта только при основном навыке</t>
  </si>
  <si>
    <t xml:space="preserve">SKL-041</t>
  </si>
  <si>
    <t xml:space="preserve">VETERAN_DRINKER</t>
  </si>
  <si>
    <t xml:space="preserve">Алкоголик со стажем</t>
  </si>
  <si>
    <t xml:space="preserve">Дополнительный модификатор сопротивления опьянению; разрешение исключено</t>
  </si>
  <si>
    <t xml:space="preserve">SKL-042</t>
  </si>
  <si>
    <t xml:space="preserve">Идущий вслед за болью</t>
  </si>
  <si>
    <t xml:space="preserve">FIXED_RACE_PASSIVE</t>
  </si>
  <si>
    <t xml:space="preserve">PLAYER_HOST; SENTIENT_HOST</t>
  </si>
  <si>
    <t xml:space="preserve">FIXED_0</t>
  </si>
  <si>
    <t xml:space="preserve">Resistance to torture and self-control while burning.</t>
  </si>
  <si>
    <t xml:space="preserve">CORE-004</t>
  </si>
  <si>
    <t xml:space="preserve">SKL-043</t>
  </si>
  <si>
    <t xml:space="preserve">Искатель Последнего Рассвета</t>
  </si>
  <si>
    <t xml:space="preserve">FIXED_CLASS_PASSIVE</t>
  </si>
  <si>
    <t xml:space="preserve">FIXED_1</t>
  </si>
  <si>
    <t xml:space="preserve">Study, pattern finding, craft, repair, invention, first aid, medical manipulation, wilderness survival and preemptive strike. Craft is stored but its creation action is not automated.</t>
  </si>
  <si>
    <t xml:space="preserve">SKL-044</t>
  </si>
  <si>
    <t xml:space="preserve">Сталкер Последнего Рассвета</t>
  </si>
  <si>
    <t xml:space="preserve">Route finding, tracking, detection, stealth, survival, inspection, lightning reaction, dodge and escape; no proficiency penalty for listed Pure weapons and Cesmor.</t>
  </si>
  <si>
    <t xml:space="preserve">SKL-045</t>
  </si>
  <si>
    <t xml:space="preserve">Солдат Последнего Рассвета</t>
  </si>
  <si>
    <t xml:space="preserve">Accuracy of unarmed attacks, grappling, one-/hand-and-a-half sword attacks, blocking and shield attacks; listed equipment proficiency; free melee-target switch.</t>
  </si>
  <si>
    <t xml:space="preserve">Требования навыков</t>
  </si>
  <si>
    <t xml:space="preserve">Все условия одной RequirementSet соединяются AND и проверяются на skillStageStats: base + race + class, строго до бонусов симбионтов.</t>
  </si>
  <si>
    <t xml:space="preserve">RequirementID</t>
  </si>
  <si>
    <t xml:space="preserve">RequirementSetID</t>
  </si>
  <si>
    <t xml:space="preserve">MinValue</t>
  </si>
  <si>
    <t xml:space="preserve">EvaluationStage</t>
  </si>
  <si>
    <t xml:space="preserve">BeforeSymbiontBonuses</t>
  </si>
  <si>
    <t xml:space="preserve">Rule ID</t>
  </si>
  <si>
    <t xml:space="preserve">Source Question ID</t>
  </si>
  <si>
    <t xml:space="preserve">REQ-UNARMED-S</t>
  </si>
  <si>
    <t xml:space="preserve">REQSET-UNARMED-CREATION</t>
  </si>
  <si>
    <t xml:space="preserve">SKILL_STAGE_PRE_SYMBIONT</t>
  </si>
  <si>
    <t xml:space="preserve">CORE-167</t>
  </si>
  <si>
    <t xml:space="preserve">Q-CORE-024</t>
  </si>
  <si>
    <t xml:space="preserve">REQ-UNARMED-D</t>
  </si>
  <si>
    <t xml:space="preserve">REQ-GRAPPLING-S</t>
  </si>
  <si>
    <t xml:space="preserve">REQSET-GRAPPLING-CREATION</t>
  </si>
  <si>
    <t xml:space="preserve">REQ-GRAPPLING-D</t>
  </si>
  <si>
    <t xml:space="preserve">REQ-GRAPPLING-I</t>
  </si>
  <si>
    <t xml:space="preserve">REQ-WEAPON_THROWING-S</t>
  </si>
  <si>
    <t xml:space="preserve">REQSET-WEAPON_THROWING-CREATION</t>
  </si>
  <si>
    <t xml:space="preserve">REQ-WEAPON_THROWING-D</t>
  </si>
  <si>
    <t xml:space="preserve">REQ-WEAPON_THROWING-I</t>
  </si>
  <si>
    <t xml:space="preserve">REQ-OBJECT_THROWING-S</t>
  </si>
  <si>
    <t xml:space="preserve">REQSET-OBJECT_THROWING-CREATION</t>
  </si>
  <si>
    <t xml:space="preserve">REQ-OBJECT_THROWING-D</t>
  </si>
  <si>
    <t xml:space="preserve">REQ-SHOOTING-S</t>
  </si>
  <si>
    <t xml:space="preserve">REQSET-SHOOTING-CREATION</t>
  </si>
  <si>
    <t xml:space="preserve">REQ-SHOOTING-D</t>
  </si>
  <si>
    <t xml:space="preserve">REQ-SHOOTING-I</t>
  </si>
  <si>
    <t xml:space="preserve">REQ-ARCHERY-S</t>
  </si>
  <si>
    <t xml:space="preserve">REQSET-ARCHERY-CREATION</t>
  </si>
  <si>
    <t xml:space="preserve">REQ-ARCHERY-D</t>
  </si>
  <si>
    <t xml:space="preserve">REQ-ARCHERY-I</t>
  </si>
  <si>
    <t xml:space="preserve">REQ-GROSS-S</t>
  </si>
  <si>
    <t xml:space="preserve">REQSET-GROSS-CREATION</t>
  </si>
  <si>
    <t xml:space="preserve">REQ-GROSS-D</t>
  </si>
  <si>
    <t xml:space="preserve">REQ-FENCING-S</t>
  </si>
  <si>
    <t xml:space="preserve">REQSET-FENCING-CREATION</t>
  </si>
  <si>
    <t xml:space="preserve">REQ-FENCING-D</t>
  </si>
  <si>
    <t xml:space="preserve">REQ-FENCING-I</t>
  </si>
  <si>
    <t xml:space="preserve">REQ-SPEAR-S</t>
  </si>
  <si>
    <t xml:space="preserve">REQSET-SPEAR-CREATION</t>
  </si>
  <si>
    <t xml:space="preserve">REQ-SPEAR-D</t>
  </si>
  <si>
    <t xml:space="preserve">REQ-SHORT-S</t>
  </si>
  <si>
    <t xml:space="preserve">REQSET-SHORT-CREATION</t>
  </si>
  <si>
    <t xml:space="preserve">REQ-SHORT-D</t>
  </si>
  <si>
    <t xml:space="preserve">REQ-SHORT-I</t>
  </si>
  <si>
    <t xml:space="preserve">REQ-AXES-S</t>
  </si>
  <si>
    <t xml:space="preserve">REQSET-AXES-CREATION</t>
  </si>
  <si>
    <t xml:space="preserve">REQ-AXES-D</t>
  </si>
  <si>
    <t xml:space="preserve">REQ-AXES-I</t>
  </si>
  <si>
    <t xml:space="preserve">REQ-SHIELD-S</t>
  </si>
  <si>
    <t xml:space="preserve">REQSET-SHIELD-CREATION</t>
  </si>
  <si>
    <t xml:space="preserve">REQ-SHIELD-D</t>
  </si>
  <si>
    <t xml:space="preserve">REQ-SHIELD-I</t>
  </si>
  <si>
    <t xml:space="preserve">REQ-RIDING-S</t>
  </si>
  <si>
    <t xml:space="preserve">REQSET-RIDING-CREATION</t>
  </si>
  <si>
    <t xml:space="preserve">REQ-RIDING-D</t>
  </si>
  <si>
    <t xml:space="preserve">REQ-RIDING-I</t>
  </si>
  <si>
    <t xml:space="preserve">REQ-STEALTH-D</t>
  </si>
  <si>
    <t xml:space="preserve">REQSET-STEALTH-CREATION</t>
  </si>
  <si>
    <t xml:space="preserve">REQ-STEALTH-I</t>
  </si>
  <si>
    <t xml:space="preserve">REQ-THIEVERY-D</t>
  </si>
  <si>
    <t xml:space="preserve">REQSET-THIEVERY-CREATION</t>
  </si>
  <si>
    <t xml:space="preserve">REQ-THIEVERY-I</t>
  </si>
  <si>
    <t xml:space="preserve">REQ-ACROBATICS-D</t>
  </si>
  <si>
    <t xml:space="preserve">REQSET-ACROBATICS-CREATION</t>
  </si>
  <si>
    <t xml:space="preserve">REQ-ORIENTATION-I</t>
  </si>
  <si>
    <t xml:space="preserve">REQSET-ORIENTATION-CREATION</t>
  </si>
  <si>
    <t xml:space="preserve">REQ-LEARNING-I</t>
  </si>
  <si>
    <t xml:space="preserve">REQSET-LEARNING-CREATION</t>
  </si>
  <si>
    <t xml:space="preserve">REQ-TEACHING-I</t>
  </si>
  <si>
    <t xml:space="preserve">REQSET-TEACHING-CREATION</t>
  </si>
  <si>
    <t xml:space="preserve">REQ-TEACHING-C</t>
  </si>
  <si>
    <t xml:space="preserve">REQ-CRAFT-I</t>
  </si>
  <si>
    <t xml:space="preserve">REQSET-CRAFT-CREATION</t>
  </si>
  <si>
    <t xml:space="preserve">REQ-CRAFT-W</t>
  </si>
  <si>
    <t xml:space="preserve">REQ-REPAIR-I</t>
  </si>
  <si>
    <t xml:space="preserve">REQSET-REPAIR-CREATION</t>
  </si>
  <si>
    <t xml:space="preserve">REQ-REPAIR-W</t>
  </si>
  <si>
    <t xml:space="preserve">REQ-TRACKING-I</t>
  </si>
  <si>
    <t xml:space="preserve">REQSET-TRACKING-CREATION</t>
  </si>
  <si>
    <t xml:space="preserve">REQ-TRACKING-W</t>
  </si>
  <si>
    <t xml:space="preserve">REQ-AWARENESS-W</t>
  </si>
  <si>
    <t xml:space="preserve">REQSET-AWARENESS-CREATION</t>
  </si>
  <si>
    <t xml:space="preserve">REQ-ANALYTICAL_THINKING-I</t>
  </si>
  <si>
    <t xml:space="preserve">REQSET-ANALYTICAL_THINKING-CREATION</t>
  </si>
  <si>
    <t xml:space="preserve">REQ-INVENTION-I</t>
  </si>
  <si>
    <t xml:space="preserve">REQSET-INVENTION-CREATION</t>
  </si>
  <si>
    <t xml:space="preserve">REQ-LITERACY-I</t>
  </si>
  <si>
    <t xml:space="preserve">REQSET-LITERACY-CREATION</t>
  </si>
  <si>
    <t xml:space="preserve">REQ-LITERACY-W</t>
  </si>
  <si>
    <t xml:space="preserve">REQ-SEDUCTION-C</t>
  </si>
  <si>
    <t xml:space="preserve">REQSET-SEDUCTION-CREATION</t>
  </si>
  <si>
    <t xml:space="preserve">REQ-DECEPTION-C</t>
  </si>
  <si>
    <t xml:space="preserve">REQSET-DECEPTION-CREATION</t>
  </si>
  <si>
    <t xml:space="preserve">REQ-ACTING-C</t>
  </si>
  <si>
    <t xml:space="preserve">REQSET-ACTING-CREATION</t>
  </si>
  <si>
    <t xml:space="preserve">REQ-BARGAINING-C</t>
  </si>
  <si>
    <t xml:space="preserve">REQSET-BARGAINING-CREATION</t>
  </si>
  <si>
    <t xml:space="preserve">REQ-BARGAINING-I</t>
  </si>
  <si>
    <t xml:space="preserve">REQ-EXECUTIONER-C</t>
  </si>
  <si>
    <t xml:space="preserve">REQSET-EXECUTIONER-CREATION</t>
  </si>
  <si>
    <t xml:space="preserve">REQ-EXECUTIONER-S</t>
  </si>
  <si>
    <t xml:space="preserve">REQ-WILDERNESS_SURVIVAL-I</t>
  </si>
  <si>
    <t xml:space="preserve">REQSET-WILDERNESS_SURVIVAL-CREATION</t>
  </si>
  <si>
    <t xml:space="preserve">REQ-WILDERNESS_SURVIVAL-W</t>
  </si>
  <si>
    <t xml:space="preserve">REQ-WILDERNESS_SURVIVAL-S</t>
  </si>
  <si>
    <t xml:space="preserve">REQ-WILDERNESS_SURVIVAL-D</t>
  </si>
  <si>
    <t xml:space="preserve">REQ-LIGHTNING_REACTION-D</t>
  </si>
  <si>
    <t xml:space="preserve">REQSET-LIGHTNING_REACTION-CREATION</t>
  </si>
  <si>
    <t xml:space="preserve">REQ-LIGHTNING_REACTION-I</t>
  </si>
  <si>
    <t xml:space="preserve">REQ-LIGHTNING_REACTION-W</t>
  </si>
  <si>
    <t xml:space="preserve">REQ-VEHICLE_OPERATION-I</t>
  </si>
  <si>
    <t xml:space="preserve">REQSET-VEHICLE_OPERATION-CREATION</t>
  </si>
  <si>
    <t xml:space="preserve">REQ-VEHICLE_OPERATION-W</t>
  </si>
  <si>
    <t xml:space="preserve">REQ-HEALTHY_LIFESTYLE-Z</t>
  </si>
  <si>
    <t xml:space="preserve">REQSET-HEALTHY_LIFESTYLE-CREATION</t>
  </si>
  <si>
    <t xml:space="preserve">REQ-HEALTHY_LIFESTYLE-I</t>
  </si>
  <si>
    <t xml:space="preserve">REQ-HEALTHY_LIFESTYLE-W</t>
  </si>
  <si>
    <t xml:space="preserve">REQ-INSIGHT-C</t>
  </si>
  <si>
    <t xml:space="preserve">REQSET-INSIGHT-CREATION</t>
  </si>
  <si>
    <t xml:space="preserve">REQ-INSIGHT-I</t>
  </si>
  <si>
    <t xml:space="preserve">REQ-COOKING-W</t>
  </si>
  <si>
    <t xml:space="preserve">REQSET-COOKING-CREATION</t>
  </si>
  <si>
    <t xml:space="preserve">REQ-MEDIC-I</t>
  </si>
  <si>
    <t xml:space="preserve">REQSET-MEDIC-CREATION</t>
  </si>
  <si>
    <t xml:space="preserve">REQ-MEDIC-W</t>
  </si>
  <si>
    <t xml:space="preserve">REQ-ERUDITION-I</t>
  </si>
  <si>
    <t xml:space="preserve">REQSET-ERUDITION-CREATION</t>
  </si>
  <si>
    <t xml:space="preserve">REQ-ERUDITION-W</t>
  </si>
  <si>
    <t xml:space="preserve">REQ-NATURAL_SCIENCE-I</t>
  </si>
  <si>
    <t xml:space="preserve">REQSET-NATURAL_SCIENCE-CREATION</t>
  </si>
  <si>
    <t xml:space="preserve">REQ-NATURAL_SCIENCE-W</t>
  </si>
  <si>
    <t xml:space="preserve">REQ-VETERAN_DRINKER-Z</t>
  </si>
  <si>
    <t xml:space="preserve">REQSET-VETERAN_DRINKER-CREATION</t>
  </si>
  <si>
    <t xml:space="preserve">Модификаторы персонажа</t>
  </si>
  <si>
    <t xml:space="preserve">Нормализованные расовые, классовые и профильные симбиотические дельты. Способностные и временные эффекты остаются в карточках способностей.</t>
  </si>
  <si>
    <t xml:space="preserve">ModifierID</t>
  </si>
  <si>
    <t xml:space="preserve">SourceType</t>
  </si>
  <si>
    <t xml:space="preserve">SourceID</t>
  </si>
  <si>
    <t xml:space="preserve">TargetKind</t>
  </si>
  <si>
    <t xml:space="preserve">TargetCode</t>
  </si>
  <si>
    <t xml:space="preserve">Operation</t>
  </si>
  <si>
    <t xml:space="preserve">Value</t>
  </si>
  <si>
    <t xml:space="preserve">ContextPredicate</t>
  </si>
  <si>
    <t xml:space="preserve">ApplicationStage</t>
  </si>
  <si>
    <t xml:space="preserve">StackPolicy</t>
  </si>
  <si>
    <t xml:space="preserve">MOD-RACE-FREE-MANUAL-S</t>
  </si>
  <si>
    <t xml:space="preserve">RACE</t>
  </si>
  <si>
    <t xml:space="preserve">STAT</t>
  </si>
  <si>
    <t xml:space="preserve">ADD</t>
  </si>
  <si>
    <t xml:space="preserve">creationMode=MANUAL</t>
  </si>
  <si>
    <t xml:space="preserve">SKILL_STAGE</t>
  </si>
  <si>
    <t xml:space="preserve">ADD_ONCE_PER_SOURCE</t>
  </si>
  <si>
    <t xml:space="preserve">CORE-006</t>
  </si>
  <si>
    <t xml:space="preserve">MOD-RACE-FREE-MANUAL-M</t>
  </si>
  <si>
    <t xml:space="preserve">MOD-RACE-FREE-MANUAL-Z</t>
  </si>
  <si>
    <t xml:space="preserve">MOD-RACE-UNITED-RANDOM-S</t>
  </si>
  <si>
    <t xml:space="preserve">creationMode=RANDOM</t>
  </si>
  <si>
    <t xml:space="preserve">CORE-001</t>
  </si>
  <si>
    <t xml:space="preserve">MOD-RACE-UNITED-RANDOM-M</t>
  </si>
  <si>
    <t xml:space="preserve">MOD-RACE-UNITED-RANDOM-Z</t>
  </si>
  <si>
    <t xml:space="preserve">MOD-RACE-UNITED-MANUAL-S</t>
  </si>
  <si>
    <t xml:space="preserve">MOD-RACE-UNITED-MANUAL-M</t>
  </si>
  <si>
    <t xml:space="preserve">MOD-RACE-UNITED-MANUAL-Z</t>
  </si>
  <si>
    <t xml:space="preserve">MOD-RACE-UNITED-C-VS-UNITED</t>
  </si>
  <si>
    <t xml:space="preserve">socialTargetRace=UNITED</t>
  </si>
  <si>
    <t xml:space="preserve">CHECK_CONTEXT</t>
  </si>
  <si>
    <t xml:space="preserve">MOST_SPECIFIC_CONTEXT</t>
  </si>
  <si>
    <t xml:space="preserve">MOD-RACE-UNITED-C-VS-PURE</t>
  </si>
  <si>
    <t xml:space="preserve">socialTargetRace=PURE</t>
  </si>
  <si>
    <t xml:space="preserve">MOD-CLASS-SEEKER-S</t>
  </si>
  <si>
    <t xml:space="preserve">PURE_CLASS</t>
  </si>
  <si>
    <t xml:space="preserve">ownerRace=PURE</t>
  </si>
  <si>
    <t xml:space="preserve">MOD-CLASS-SEEKER-D</t>
  </si>
  <si>
    <t xml:space="preserve">MOD-CLASS-SEEKER-Z</t>
  </si>
  <si>
    <t xml:space="preserve">MOD-CLASS-SEEKER-I</t>
  </si>
  <si>
    <t xml:space="preserve">MOD-CLASS-SEEKER-C-VS-PURE</t>
  </si>
  <si>
    <t xml:space="preserve">MOD-CLASS-SEEKER-C-VS-UNITED</t>
  </si>
  <si>
    <t xml:space="preserve">MOD-CLASS-STALKER-S</t>
  </si>
  <si>
    <t xml:space="preserve">MOD-CLASS-STALKER-D</t>
  </si>
  <si>
    <t xml:space="preserve">MOD-CLASS-STALKER-M</t>
  </si>
  <si>
    <t xml:space="preserve">MOD-CLASS-STALKER-Z</t>
  </si>
  <si>
    <t xml:space="preserve">MOD-CLASS-STALKER-C-VS-PURE</t>
  </si>
  <si>
    <t xml:space="preserve">MOD-CLASS-STALKER-C-VS-UNITED</t>
  </si>
  <si>
    <t xml:space="preserve">MOD-CLASS-SOLDIER-S</t>
  </si>
  <si>
    <t xml:space="preserve">MOD-CLASS-SOLDIER-D</t>
  </si>
  <si>
    <t xml:space="preserve">MOD-CLASS-SOLDIER-M</t>
  </si>
  <si>
    <t xml:space="preserve">MOD-CLASS-SOLDIER-Z</t>
  </si>
  <si>
    <t xml:space="preserve">MOD-CLASS-SOLDIER-C-VS-PURE</t>
  </si>
  <si>
    <t xml:space="preserve">MOD-CLASS-SOLDIER-C-VS-UNITED</t>
  </si>
  <si>
    <t xml:space="preserve">MOD-SYMBIONT-TAIPAN-Z</t>
  </si>
  <si>
    <t xml:space="preserve">SYMBIONT_PROFILE</t>
  </si>
  <si>
    <t xml:space="preserve">TAIPAN</t>
  </si>
  <si>
    <t xml:space="preserve">symbiontActive=true</t>
  </si>
  <si>
    <t xml:space="preserve">EFFECTIVE_STATS</t>
  </si>
  <si>
    <t xml:space="preserve">ADD_ONCE_PER_ACTIVE_SPECIES</t>
  </si>
  <si>
    <t xml:space="preserve">SYM-037</t>
  </si>
  <si>
    <t xml:space="preserve">MOD-SYMBIONT-OWL-W</t>
  </si>
  <si>
    <t xml:space="preserve">OWL</t>
  </si>
  <si>
    <t xml:space="preserve">SYM-046</t>
  </si>
  <si>
    <t xml:space="preserve">MOD-SYMBIONT-DRAGON-M</t>
  </si>
  <si>
    <t xml:space="preserve">DRAGON</t>
  </si>
  <si>
    <t xml:space="preserve">SYM-067</t>
  </si>
  <si>
    <t xml:space="preserve">MOD-SYMBIONT-DRAGON-Z</t>
  </si>
  <si>
    <t xml:space="preserve">MOD-SYMBIONT-TOAD-Z</t>
  </si>
  <si>
    <t xml:space="preserve">TOAD</t>
  </si>
  <si>
    <t xml:space="preserve">SYM-143</t>
  </si>
  <si>
    <t xml:space="preserve">MOD-SYMBIONT-MANTIS-D</t>
  </si>
  <si>
    <t xml:space="preserve">MANTIS</t>
  </si>
  <si>
    <t xml:space="preserve">SYM-167</t>
  </si>
  <si>
    <t xml:space="preserve">MOD-SYMBIONT-SKUNK-C</t>
  </si>
  <si>
    <t xml:space="preserve">SKUNK</t>
  </si>
  <si>
    <t xml:space="preserve">symbiontActive=true AND NOT equippedHermeticNate</t>
  </si>
  <si>
    <t xml:space="preserve">SYM-174</t>
  </si>
  <si>
    <t xml:space="preserve">MOD-SYMBIONT-CHIMERA-S</t>
  </si>
  <si>
    <t xml:space="preserve">CHIMERA</t>
  </si>
  <si>
    <t xml:space="preserve">MON-002</t>
  </si>
  <si>
    <t xml:space="preserve">MOD-SYMBIONT-CHIMERA-M</t>
  </si>
  <si>
    <t xml:space="preserve">MOD-SYMBIONT-PUPPETEER-C</t>
  </si>
  <si>
    <t xml:space="preserve">PUPPETEER</t>
  </si>
  <si>
    <t xml:space="preserve">MON-025</t>
  </si>
  <si>
    <t xml:space="preserve">MOD-SYMBIONT-PLAGUE_DOCTOR-S</t>
  </si>
  <si>
    <t xml:space="preserve">PLAGUE_DOCTOR</t>
  </si>
  <si>
    <t xml:space="preserve">MON-040</t>
  </si>
  <si>
    <t xml:space="preserve">MOD-SYMBIONT-PLAGUE_DOCTOR-D</t>
  </si>
  <si>
    <t xml:space="preserve">MOD-SYMBIONT-PLAGUE_DOCTOR-M</t>
  </si>
  <si>
    <t xml:space="preserve">MOD-SYMBIONT-PLAGUE_DOCTOR-I</t>
  </si>
  <si>
    <t xml:space="preserve">Каталог симбионтов</t>
  </si>
  <si>
    <t xml:space="preserve">20 обычных видов и 3 симбиотических чудовища. LinkedStatCodes — машинный источник прямой маршрутизации XP; нормализованные пары приведены ниже. ADVISER каноничен, ADVISOR — только alias.</t>
  </si>
  <si>
    <t xml:space="preserve">SpeciesKey</t>
  </si>
  <si>
    <t xml:space="preserve">SymbiontKind</t>
  </si>
  <si>
    <t xml:space="preserve">SlotCost</t>
  </si>
  <si>
    <t xml:space="preserve">AllowedRaceCodes</t>
  </si>
  <si>
    <t xml:space="preserve">MaxL</t>
  </si>
  <si>
    <t xml:space="preserve">XPPolicy</t>
  </si>
  <si>
    <t xml:space="preserve">OEPolicy</t>
  </si>
  <si>
    <t xml:space="preserve">BranchPolicy</t>
  </si>
  <si>
    <t xml:space="preserve">AdditionalSlotPolicy</t>
  </si>
  <si>
    <t xml:space="preserve">MonsterProfileID</t>
  </si>
  <si>
    <t xml:space="preserve">ProfileRuleID</t>
  </si>
  <si>
    <t xml:space="preserve">LinkedStatCodes</t>
  </si>
  <si>
    <t xml:space="preserve">WEAVER</t>
  </si>
  <si>
    <t xml:space="preserve">Ткач</t>
  </si>
  <si>
    <t xml:space="preserve">ORDINARY</t>
  </si>
  <si>
    <t xml:space="preserve">FREE; UNITED</t>
  </si>
  <si>
    <t xml:space="preserve">SYM-021_AWARD; SYM-022_NODE_COST_EQUALS_NODE_LEVEL</t>
  </si>
  <si>
    <t xml:space="preserve">baseMaxOE=50×L; currentOE clamped to max; new instance full except transplant=0</t>
  </si>
  <si>
    <t xml:space="preserve">XOR+OR</t>
  </si>
  <si>
    <t xml:space="preserve">NONE</t>
  </si>
  <si>
    <t xml:space="preserve">SYM-026</t>
  </si>
  <si>
    <t xml:space="preserve">SYM-026; SYM-009; SYM-020; SYM-021; SYM-022; SYM-024</t>
  </si>
  <si>
    <t xml:space="preserve">7.5.1–7.5.1.1, стр. 115 (дерево прочитано визуально).</t>
  </si>
  <si>
    <t xml:space="preserve">Тайпан</t>
  </si>
  <si>
    <t xml:space="preserve">LINEAR_OR_EXPLICIT_PARENTS</t>
  </si>
  <si>
    <t xml:space="preserve">SYM-037; SYM-009; SYM-020; SYM-021; SYM-022; SYM-024</t>
  </si>
  <si>
    <t xml:space="preserve">7.5.2–7.5.2.1, стр. 118 (дерево прочитано визуально).</t>
  </si>
  <si>
    <t xml:space="preserve">D; W</t>
  </si>
  <si>
    <t xml:space="preserve">Сова</t>
  </si>
  <si>
    <t xml:space="preserve">baseMaxOE=10×L; currentOE clamped to max; new instance full except transplant=0</t>
  </si>
  <si>
    <t xml:space="preserve">SYM-046; SYM-009; SYM-020; SYM-021; SYM-022; SYM-024</t>
  </si>
  <si>
    <t xml:space="preserve">7.5.3–7.5.3.1, стр. 121 (дерево прочитано визуально).</t>
  </si>
  <si>
    <t xml:space="preserve">TEACHER</t>
  </si>
  <si>
    <t xml:space="preserve">baseMaxOE=20×L; currentOE clamped to max; new instance full except transplant=0</t>
  </si>
  <si>
    <t xml:space="preserve">SYM-053</t>
  </si>
  <si>
    <t xml:space="preserve">SYM-053; SYM-009; SYM-020; SYM-021; SYM-022; SYM-024</t>
  </si>
  <si>
    <t xml:space="preserve">7.5.4–7.5.4.1, стр. 123 (дерево прочитано визуально).</t>
  </si>
  <si>
    <t xml:space="preserve">ARMADILLO</t>
  </si>
  <si>
    <t xml:space="preserve">Броненосец</t>
  </si>
  <si>
    <t xml:space="preserve">SYM-060</t>
  </si>
  <si>
    <t xml:space="preserve">SYM-060; SYM-009; SYM-020; SYM-021; SYM-022; SYM-024</t>
  </si>
  <si>
    <t xml:space="preserve">7.5.5–7.5.5.1, стр. 125 (дерево прочитано визуально).</t>
  </si>
  <si>
    <t xml:space="preserve">M; Z</t>
  </si>
  <si>
    <t xml:space="preserve">Дракон</t>
  </si>
  <si>
    <t xml:space="preserve">baseMaxOE=30×L; currentOE clamped to max; new instance full except transplant=0</t>
  </si>
  <si>
    <t xml:space="preserve">SYM-067; SYM-009; SYM-020; SYM-021; SYM-022; SYM-024</t>
  </si>
  <si>
    <t xml:space="preserve">7.5.6–7.5.6.1, стр. 127 (дерево прочитано визуально).</t>
  </si>
  <si>
    <t xml:space="preserve">TROGR</t>
  </si>
  <si>
    <t xml:space="preserve">Трогр</t>
  </si>
  <si>
    <t xml:space="preserve">baseMaxOE=1000×L; currentOE clamped to max; new instance full except transplant=0</t>
  </si>
  <si>
    <t xml:space="preserve">XOR</t>
  </si>
  <si>
    <t xml:space="preserve">SYM-074</t>
  </si>
  <si>
    <t xml:space="preserve">SYM-074; SYM-009; SYM-020; SYM-021; SYM-022; SYM-024</t>
  </si>
  <si>
    <t xml:space="preserve">7.5.7–7.5.7.1, стр. 129 (дерево прочитано визуально).</t>
  </si>
  <si>
    <t xml:space="preserve">S; D; M</t>
  </si>
  <si>
    <t xml:space="preserve">KEEPER</t>
  </si>
  <si>
    <t xml:space="preserve">Хранитель</t>
  </si>
  <si>
    <t xml:space="preserve">baseMaxOE=100×L; currentOE clamped to max; new instance full except transplant=0; Кромсатель заменяет формулу на 200×L</t>
  </si>
  <si>
    <t xml:space="preserve">OR</t>
  </si>
  <si>
    <t xml:space="preserve">SYM-083</t>
  </si>
  <si>
    <t xml:space="preserve">SYM-083; SYM-009; SYM-020; SYM-021; SYM-022; SYM-024</t>
  </si>
  <si>
    <t xml:space="preserve">7.5.8–7.5.8.1, стр. 131 (дерево прочитано визуально).</t>
  </si>
  <si>
    <t xml:space="preserve">W; Z</t>
  </si>
  <si>
    <t xml:space="preserve">ADVISER</t>
  </si>
  <si>
    <t xml:space="preserve">Советник</t>
  </si>
  <si>
    <t xml:space="preserve">SYM-095</t>
  </si>
  <si>
    <t xml:space="preserve">SYM-095; SYM-009; SYM-020; SYM-021; SYM-022; SYM-024</t>
  </si>
  <si>
    <t xml:space="preserve">7.5.9–7.5.9.1, стр. 134 (дерево прочитано визуально).</t>
  </si>
  <si>
    <t xml:space="preserve">I; W</t>
  </si>
  <si>
    <t xml:space="preserve">TICK</t>
  </si>
  <si>
    <t xml:space="preserve">Клещ</t>
  </si>
  <si>
    <t xml:space="preserve">SYM-102</t>
  </si>
  <si>
    <t xml:space="preserve">SYM-102; SYM-009; SYM-020; SYM-021; SYM-022; SYM-024</t>
  </si>
  <si>
    <t xml:space="preserve">7.5.10–7.5.10.1, стр. 136 (дерево прочитано визуально).</t>
  </si>
  <si>
    <t xml:space="preserve">S; D</t>
  </si>
  <si>
    <t xml:space="preserve">CRICKET</t>
  </si>
  <si>
    <t xml:space="preserve">Сверчок</t>
  </si>
  <si>
    <t xml:space="preserve">SYM-109</t>
  </si>
  <si>
    <t xml:space="preserve">SYM-109; SYM-009; SYM-020; SYM-021; SYM-022; SYM-024</t>
  </si>
  <si>
    <t xml:space="preserve">7.5.11–7.5.11.1, стр. 138 (дерево прочитано визуально).</t>
  </si>
  <si>
    <t xml:space="preserve">D; M</t>
  </si>
  <si>
    <t xml:space="preserve">SPIDER</t>
  </si>
  <si>
    <t xml:space="preserve">Паук</t>
  </si>
  <si>
    <t xml:space="preserve">SYM-116</t>
  </si>
  <si>
    <t xml:space="preserve">SYM-116; SYM-009; SYM-020; SYM-021; SYM-022; SYM-024</t>
  </si>
  <si>
    <t xml:space="preserve">7.5.12–7.5.12.1, стр. 140 (дерево прочитано визуально).</t>
  </si>
  <si>
    <t xml:space="preserve">CHAMELEON</t>
  </si>
  <si>
    <t xml:space="preserve">Хамелеон</t>
  </si>
  <si>
    <t xml:space="preserve">baseMaxOE=60×L; currentOE clamped to max; new instance full except transplant=0</t>
  </si>
  <si>
    <t xml:space="preserve">SYM-123</t>
  </si>
  <si>
    <t xml:space="preserve">SYM-123; SYM-009; SYM-020; SYM-021; SYM-022; SYM-024</t>
  </si>
  <si>
    <t xml:space="preserve">7.5.13–7.5.13.1, стр. 142 (дерево прочитано визуально).</t>
  </si>
  <si>
    <t xml:space="preserve">D; I</t>
  </si>
  <si>
    <t xml:space="preserve">PENGUIN</t>
  </si>
  <si>
    <t xml:space="preserve">Пингвин</t>
  </si>
  <si>
    <t xml:space="preserve">SYM-130</t>
  </si>
  <si>
    <t xml:space="preserve">SYM-130; SYM-009; SYM-020; SYM-021; SYM-022; SYM-024</t>
  </si>
  <si>
    <t xml:space="preserve">7.5.14–7.5.14.1, стр. 144 (дерево прочитано визуально).</t>
  </si>
  <si>
    <t xml:space="preserve">C; W</t>
  </si>
  <si>
    <t xml:space="preserve">EEL</t>
  </si>
  <si>
    <t xml:space="preserve">Угорь</t>
  </si>
  <si>
    <t xml:space="preserve">SYM-136</t>
  </si>
  <si>
    <t xml:space="preserve">SYM-136; SYM-009; SYM-020; SYM-021; SYM-022; SYM-024</t>
  </si>
  <si>
    <t xml:space="preserve">7.5.15–7.5.15.1, стр. 147 (дерево прочитано визуально).</t>
  </si>
  <si>
    <t xml:space="preserve">Жаба</t>
  </si>
  <si>
    <t xml:space="preserve">baseMaxOE=40×L; currentOE clamped to max; new instance full except transplant=0</t>
  </si>
  <si>
    <t xml:space="preserve">SYM-143; SYM-009; SYM-020; SYM-021; SYM-022; SYM-024</t>
  </si>
  <si>
    <t xml:space="preserve">7.5.16–7.5.16.1, стр. 150 (дерево прочитано визуально).</t>
  </si>
  <si>
    <t xml:space="preserve">RAT</t>
  </si>
  <si>
    <t xml:space="preserve">Крыса</t>
  </si>
  <si>
    <t xml:space="preserve">SYM-151</t>
  </si>
  <si>
    <t xml:space="preserve">SYM-151; SYM-009; SYM-020; SYM-021; SYM-022; SYM-024</t>
  </si>
  <si>
    <t xml:space="preserve">7.5.17–7.5.17.1, стр. 152 (дерево прочитано визуально).</t>
  </si>
  <si>
    <t xml:space="preserve">D; C; I</t>
  </si>
  <si>
    <t xml:space="preserve">DOLPHIN</t>
  </si>
  <si>
    <t xml:space="preserve">Дельфин</t>
  </si>
  <si>
    <t xml:space="preserve">SYM-161</t>
  </si>
  <si>
    <t xml:space="preserve">SYM-161; SYM-009; SYM-020; SYM-021; SYM-022; SYM-024</t>
  </si>
  <si>
    <t xml:space="preserve">7.5.18–7.5.18.1, стр. 155 (дерево прочитано визуально).</t>
  </si>
  <si>
    <t xml:space="preserve">Богомол</t>
  </si>
  <si>
    <t xml:space="preserve">SYM-167; SYM-009; SYM-020; SYM-021; SYM-022; SYM-024</t>
  </si>
  <si>
    <t xml:space="preserve">7.5.19–7.5.19.1, стр. 157 (дерево прочитано визуально).</t>
  </si>
  <si>
    <t xml:space="preserve">Скунс</t>
  </si>
  <si>
    <t xml:space="preserve">SYM-174; SYM-009; SYM-020; SYM-021; SYM-022; SYM-024</t>
  </si>
  <si>
    <t xml:space="preserve">7.5.20–7.5.20.1, стр. 160 (дерево прочитано визуально).</t>
  </si>
  <si>
    <t xml:space="preserve">Химера</t>
  </si>
  <si>
    <t xml:space="preserve">SYMBIOTIC_MONSTER</t>
  </si>
  <si>
    <t xml:space="preserve">baseMaxOE=400×L; currentOE clamped to max; new instance full except transplant=0</t>
  </si>
  <si>
    <t xml:space="preserve">ONLY_CONFIRMED_DEVOURING; initial extraSlots=0; explicit devouringHistory; max +3</t>
  </si>
  <si>
    <t xml:space="preserve">MON-002; SYM-009; SYM-020; SYM-021; SYM-022; SYM-024</t>
  </si>
  <si>
    <t xml:space="preserve">§7.6.1, печ. стр. 163.</t>
  </si>
  <si>
    <t xml:space="preserve">Z; S; D</t>
  </si>
  <si>
    <t xml:space="preserve">Кукловод</t>
  </si>
  <si>
    <t xml:space="preserve">ORDINARY_ADDITIONAL_SYMBIONTS_FORBIDDEN</t>
  </si>
  <si>
    <t xml:space="preserve">MON-025; SYM-009; SYM-020; SYM-021; SYM-022; SYM-024</t>
  </si>
  <si>
    <t xml:space="preserve">§7.6.2, печ. стр. 167.</t>
  </si>
  <si>
    <t xml:space="preserve">C; I; W</t>
  </si>
  <si>
    <t xml:space="preserve">Чумной доктор</t>
  </si>
  <si>
    <t xml:space="preserve">MON-040; SYM-009; SYM-020; SYM-021; SYM-022; SYM-024</t>
  </si>
  <si>
    <t xml:space="preserve">§7.6.3, печ. стр. 170.</t>
  </si>
  <si>
    <t xml:space="preserve">Z; I; W</t>
  </si>
  <si>
    <t xml:space="preserve">Нормализованные связи SpeciesKey ↔ LinkedStatCode</t>
  </si>
  <si>
    <t xml:space="preserve">48 отношений, дословно извлечённых из профильных карточек Rules v1.6. Модификатор характеристики профиля не считается связью.</t>
  </si>
  <si>
    <t xml:space="preserve">LinkID</t>
  </si>
  <si>
    <t xml:space="preserve">LinkedStatCode</t>
  </si>
  <si>
    <t xml:space="preserve">StatOrder</t>
  </si>
  <si>
    <t xml:space="preserve">SYMSTAT-WEAVER-I</t>
  </si>
  <si>
    <t xml:space="preserve">SYMSTAT-TAIPAN-D</t>
  </si>
  <si>
    <t xml:space="preserve">SYMSTAT-TAIPAN-W</t>
  </si>
  <si>
    <t xml:space="preserve">SYMSTAT-OWL-W</t>
  </si>
  <si>
    <t xml:space="preserve">SYMSTAT-TEACHER-W</t>
  </si>
  <si>
    <t xml:space="preserve">SYMSTAT-ARMADILLO-M</t>
  </si>
  <si>
    <t xml:space="preserve">SYMSTAT-ARMADILLO-Z</t>
  </si>
  <si>
    <t xml:space="preserve">SYMSTAT-DRAGON-D</t>
  </si>
  <si>
    <t xml:space="preserve">SYMSTAT-DRAGON-W</t>
  </si>
  <si>
    <t xml:space="preserve">SYMSTAT-TROGR-S</t>
  </si>
  <si>
    <t xml:space="preserve">SYMSTAT-TROGR-D</t>
  </si>
  <si>
    <t xml:space="preserve">SYMSTAT-TROGR-M</t>
  </si>
  <si>
    <t xml:space="preserve">SYMSTAT-KEEPER-W</t>
  </si>
  <si>
    <t xml:space="preserve">SYMSTAT-KEEPER-Z</t>
  </si>
  <si>
    <t xml:space="preserve">SYMSTAT-ADVISER-I</t>
  </si>
  <si>
    <t xml:space="preserve">SYMSTAT-ADVISER-W</t>
  </si>
  <si>
    <t xml:space="preserve">SYMSTAT-TICK-S</t>
  </si>
  <si>
    <t xml:space="preserve">SYMSTAT-TICK-D</t>
  </si>
  <si>
    <t xml:space="preserve">SYMSTAT-CRICKET-D</t>
  </si>
  <si>
    <t xml:space="preserve">SYMSTAT-CRICKET-M</t>
  </si>
  <si>
    <t xml:space="preserve">SYMSTAT-SPIDER-D</t>
  </si>
  <si>
    <t xml:space="preserve">SYMSTAT-SPIDER-W</t>
  </si>
  <si>
    <t xml:space="preserve">SYMSTAT-CHAMELEON-D</t>
  </si>
  <si>
    <t xml:space="preserve">SYMSTAT-CHAMELEON-I</t>
  </si>
  <si>
    <t xml:space="preserve">SYMSTAT-PENGUIN-C</t>
  </si>
  <si>
    <t xml:space="preserve">SYMSTAT-PENGUIN-W</t>
  </si>
  <si>
    <t xml:space="preserve">SYMSTAT-EEL-D</t>
  </si>
  <si>
    <t xml:space="preserve">SYMSTAT-EEL-I</t>
  </si>
  <si>
    <t xml:space="preserve">SYMSTAT-TOAD-M</t>
  </si>
  <si>
    <t xml:space="preserve">SYMSTAT-TOAD-Z</t>
  </si>
  <si>
    <t xml:space="preserve">SYMSTAT-RAT-D</t>
  </si>
  <si>
    <t xml:space="preserve">SYMSTAT-RAT-C</t>
  </si>
  <si>
    <t xml:space="preserve">SYMSTAT-RAT-I</t>
  </si>
  <si>
    <t xml:space="preserve">SYMSTAT-DOLPHIN-I</t>
  </si>
  <si>
    <t xml:space="preserve">SYMSTAT-DOLPHIN-W</t>
  </si>
  <si>
    <t xml:space="preserve">SYMSTAT-MANTIS-S</t>
  </si>
  <si>
    <t xml:space="preserve">SYMSTAT-MANTIS-D</t>
  </si>
  <si>
    <t xml:space="preserve">SYMSTAT-SKUNK-D</t>
  </si>
  <si>
    <t xml:space="preserve">SYMSTAT-SKUNK-M</t>
  </si>
  <si>
    <t xml:space="preserve">SYMSTAT-CHIMERA-Z</t>
  </si>
  <si>
    <t xml:space="preserve">SYMSTAT-CHIMERA-S</t>
  </si>
  <si>
    <t xml:space="preserve">SYMSTAT-CHIMERA-D</t>
  </si>
  <si>
    <t xml:space="preserve">SYMSTAT-PUPPETEER-C</t>
  </si>
  <si>
    <t xml:space="preserve">SYMSTAT-PUPPETEER-I</t>
  </si>
  <si>
    <t xml:space="preserve">SYMSTAT-PUPPETEER-W</t>
  </si>
  <si>
    <t xml:space="preserve">SYMSTAT-PLAGUE_DOCTOR-Z</t>
  </si>
  <si>
    <t xml:space="preserve">SYMSTAT-PLAGUE_DOCTOR-I</t>
  </si>
  <si>
    <t xml:space="preserve">SYMSTAT-PLAGUE_DOCTOR-W</t>
  </si>
  <si>
    <t xml:space="preserve">Уровни симбионтов</t>
  </si>
  <si>
    <t xml:space="preserve">Уровень 1 и все его узлы выдаются бесплатно; узел уровня N стоит N XP. MaxOE указан для базовой профильной формулы до частных замен.</t>
  </si>
  <si>
    <t xml:space="preserve">LevelProfileID</t>
  </si>
  <si>
    <t xml:space="preserve">L</t>
  </si>
  <si>
    <t xml:space="preserve">XPThreshold / NodeCost</t>
  </si>
  <si>
    <t xml:space="preserve">Base MaxOE</t>
  </si>
  <si>
    <t xml:space="preserve">NodeUnlockCount</t>
  </si>
  <si>
    <t xml:space="preserve">RequiredPriorLevel</t>
  </si>
  <si>
    <t xml:space="preserve">LVL-WEAVER-1</t>
  </si>
  <si>
    <t xml:space="preserve">SYM-026; SYM-009; SYM-020; SYM-022; SYM-024</t>
  </si>
  <si>
    <t xml:space="preserve">LVL-WEAVER-2</t>
  </si>
  <si>
    <t xml:space="preserve">LVL-WEAVER-3</t>
  </si>
  <si>
    <t xml:space="preserve">LVL-WEAVER-4</t>
  </si>
  <si>
    <t xml:space="preserve">LVL-WEAVER-5</t>
  </si>
  <si>
    <t xml:space="preserve">LVL-WEAVER-6</t>
  </si>
  <si>
    <t xml:space="preserve">LVL-TAIPAN-1</t>
  </si>
  <si>
    <t xml:space="preserve">SYM-037; SYM-009; SYM-020; SYM-022; SYM-024</t>
  </si>
  <si>
    <t xml:space="preserve">LVL-TAIPAN-2</t>
  </si>
  <si>
    <t xml:space="preserve">LVL-TAIPAN-3</t>
  </si>
  <si>
    <t xml:space="preserve">LVL-TAIPAN-4</t>
  </si>
  <si>
    <t xml:space="preserve">LVL-TAIPAN-5</t>
  </si>
  <si>
    <t xml:space="preserve">LVL-TAIPAN-6</t>
  </si>
  <si>
    <t xml:space="preserve">LVL-TAIPAN-7</t>
  </si>
  <si>
    <t xml:space="preserve">LVL-OWL-1</t>
  </si>
  <si>
    <t xml:space="preserve">SYM-046; SYM-009; SYM-020; SYM-022; SYM-024</t>
  </si>
  <si>
    <t xml:space="preserve">LVL-OWL-2</t>
  </si>
  <si>
    <t xml:space="preserve">LVL-OWL-3</t>
  </si>
  <si>
    <t xml:space="preserve">LVL-OWL-4</t>
  </si>
  <si>
    <t xml:space="preserve">LVL-OWL-5</t>
  </si>
  <si>
    <t xml:space="preserve">LVL-OWL-6</t>
  </si>
  <si>
    <t xml:space="preserve">LVL-TEACHER-1</t>
  </si>
  <si>
    <t xml:space="preserve">SYM-053; SYM-009; SYM-020; SYM-022; SYM-024</t>
  </si>
  <si>
    <t xml:space="preserve">LVL-TEACHER-2</t>
  </si>
  <si>
    <t xml:space="preserve">LVL-TEACHER-3</t>
  </si>
  <si>
    <t xml:space="preserve">LVL-TEACHER-4</t>
  </si>
  <si>
    <t xml:space="preserve">LVL-TEACHER-5</t>
  </si>
  <si>
    <t xml:space="preserve">LVL-TEACHER-6</t>
  </si>
  <si>
    <t xml:space="preserve">LVL-ARMADILLO-1</t>
  </si>
  <si>
    <t xml:space="preserve">SYM-060; SYM-009; SYM-020; SYM-022; SYM-024</t>
  </si>
  <si>
    <t xml:space="preserve">LVL-ARMADILLO-2</t>
  </si>
  <si>
    <t xml:space="preserve">LVL-ARMADILLO-3</t>
  </si>
  <si>
    <t xml:space="preserve">LVL-ARMADILLO-4</t>
  </si>
  <si>
    <t xml:space="preserve">LVL-ARMADILLO-5</t>
  </si>
  <si>
    <t xml:space="preserve">LVL-ARMADILLO-6</t>
  </si>
  <si>
    <t xml:space="preserve">LVL-DRAGON-1</t>
  </si>
  <si>
    <t xml:space="preserve">SYM-067; SYM-009; SYM-020; SYM-022; SYM-024</t>
  </si>
  <si>
    <t xml:space="preserve">LVL-DRAGON-2</t>
  </si>
  <si>
    <t xml:space="preserve">LVL-DRAGON-3</t>
  </si>
  <si>
    <t xml:space="preserve">LVL-DRAGON-4</t>
  </si>
  <si>
    <t xml:space="preserve">LVL-DRAGON-5</t>
  </si>
  <si>
    <t xml:space="preserve">LVL-DRAGON-6</t>
  </si>
  <si>
    <t xml:space="preserve">LVL-TROGR-1</t>
  </si>
  <si>
    <t xml:space="preserve">SYM-074; SYM-009; SYM-020; SYM-022; SYM-024</t>
  </si>
  <si>
    <t xml:space="preserve">LVL-TROGR-2</t>
  </si>
  <si>
    <t xml:space="preserve">LVL-TROGR-3</t>
  </si>
  <si>
    <t xml:space="preserve">LVL-TROGR-4</t>
  </si>
  <si>
    <t xml:space="preserve">LVL-TROGR-5</t>
  </si>
  <si>
    <t xml:space="preserve">LVL-TROGR-6</t>
  </si>
  <si>
    <t xml:space="preserve">LVL-KEEPER-1</t>
  </si>
  <si>
    <t xml:space="preserve">SYM-083; SYM-009; SYM-020; SYM-022; SYM-024</t>
  </si>
  <si>
    <t xml:space="preserve">LVL-KEEPER-2</t>
  </si>
  <si>
    <t xml:space="preserve">LVL-KEEPER-3</t>
  </si>
  <si>
    <t xml:space="preserve">LVL-KEEPER-4</t>
  </si>
  <si>
    <t xml:space="preserve">LVL-KEEPER-5</t>
  </si>
  <si>
    <t xml:space="preserve">LVL-KEEPER-6</t>
  </si>
  <si>
    <t xml:space="preserve">LVL-ADVISER-1</t>
  </si>
  <si>
    <t xml:space="preserve">SYM-095; SYM-009; SYM-020; SYM-022; SYM-024</t>
  </si>
  <si>
    <t xml:space="preserve">LVL-ADVISER-2</t>
  </si>
  <si>
    <t xml:space="preserve">LVL-ADVISER-3</t>
  </si>
  <si>
    <t xml:space="preserve">LVL-ADVISER-4</t>
  </si>
  <si>
    <t xml:space="preserve">LVL-ADVISER-5</t>
  </si>
  <si>
    <t xml:space="preserve">LVL-ADVISER-6</t>
  </si>
  <si>
    <t xml:space="preserve">LVL-TICK-1</t>
  </si>
  <si>
    <t xml:space="preserve">SYM-102; SYM-009; SYM-020; SYM-022; SYM-024</t>
  </si>
  <si>
    <t xml:space="preserve">LVL-TICK-2</t>
  </si>
  <si>
    <t xml:space="preserve">LVL-TICK-3</t>
  </si>
  <si>
    <t xml:space="preserve">LVL-TICK-4</t>
  </si>
  <si>
    <t xml:space="preserve">LVL-TICK-5</t>
  </si>
  <si>
    <t xml:space="preserve">LVL-TICK-6</t>
  </si>
  <si>
    <t xml:space="preserve">LVL-CRICKET-1</t>
  </si>
  <si>
    <t xml:space="preserve">SYM-109; SYM-009; SYM-020; SYM-022; SYM-024</t>
  </si>
  <si>
    <t xml:space="preserve">LVL-CRICKET-2</t>
  </si>
  <si>
    <t xml:space="preserve">LVL-CRICKET-3</t>
  </si>
  <si>
    <t xml:space="preserve">LVL-CRICKET-4</t>
  </si>
  <si>
    <t xml:space="preserve">LVL-CRICKET-5</t>
  </si>
  <si>
    <t xml:space="preserve">LVL-CRICKET-6</t>
  </si>
  <si>
    <t xml:space="preserve">LVL-SPIDER-1</t>
  </si>
  <si>
    <t xml:space="preserve">SYM-116; SYM-009; SYM-020; SYM-022; SYM-024</t>
  </si>
  <si>
    <t xml:space="preserve">LVL-SPIDER-2</t>
  </si>
  <si>
    <t xml:space="preserve">LVL-SPIDER-3</t>
  </si>
  <si>
    <t xml:space="preserve">LVL-SPIDER-4</t>
  </si>
  <si>
    <t xml:space="preserve">LVL-SPIDER-5</t>
  </si>
  <si>
    <t xml:space="preserve">LVL-SPIDER-6</t>
  </si>
  <si>
    <t xml:space="preserve">LVL-CHAMELEON-1</t>
  </si>
  <si>
    <t xml:space="preserve">SYM-123; SYM-009; SYM-020; SYM-022; SYM-024</t>
  </si>
  <si>
    <t xml:space="preserve">LVL-CHAMELEON-2</t>
  </si>
  <si>
    <t xml:space="preserve">LVL-CHAMELEON-3</t>
  </si>
  <si>
    <t xml:space="preserve">LVL-CHAMELEON-4</t>
  </si>
  <si>
    <t xml:space="preserve">LVL-CHAMELEON-5</t>
  </si>
  <si>
    <t xml:space="preserve">LVL-CHAMELEON-6</t>
  </si>
  <si>
    <t xml:space="preserve">LVL-PENGUIN-1</t>
  </si>
  <si>
    <t xml:space="preserve">SYM-130; SYM-009; SYM-020; SYM-022; SYM-024</t>
  </si>
  <si>
    <t xml:space="preserve">LVL-PENGUIN-2</t>
  </si>
  <si>
    <t xml:space="preserve">LVL-PENGUIN-3</t>
  </si>
  <si>
    <t xml:space="preserve">LVL-PENGUIN-4</t>
  </si>
  <si>
    <t xml:space="preserve">LVL-PENGUIN-5</t>
  </si>
  <si>
    <t xml:space="preserve">LVL-PENGUIN-6</t>
  </si>
  <si>
    <t xml:space="preserve">LVL-PENGUIN-7</t>
  </si>
  <si>
    <t xml:space="preserve">LVL-EEL-1</t>
  </si>
  <si>
    <t xml:space="preserve">SYM-136; SYM-009; SYM-020; SYM-022; SYM-024</t>
  </si>
  <si>
    <t xml:space="preserve">LVL-EEL-2</t>
  </si>
  <si>
    <t xml:space="preserve">LVL-EEL-3</t>
  </si>
  <si>
    <t xml:space="preserve">LVL-EEL-4</t>
  </si>
  <si>
    <t xml:space="preserve">LVL-EEL-5</t>
  </si>
  <si>
    <t xml:space="preserve">LVL-EEL-6</t>
  </si>
  <si>
    <t xml:space="preserve">LVL-TOAD-1</t>
  </si>
  <si>
    <t xml:space="preserve">SYM-143; SYM-009; SYM-020; SYM-022; SYM-024</t>
  </si>
  <si>
    <t xml:space="preserve">LVL-TOAD-2</t>
  </si>
  <si>
    <t xml:space="preserve">LVL-TOAD-3</t>
  </si>
  <si>
    <t xml:space="preserve">LVL-TOAD-4</t>
  </si>
  <si>
    <t xml:space="preserve">LVL-TOAD-5</t>
  </si>
  <si>
    <t xml:space="preserve">LVL-TOAD-6</t>
  </si>
  <si>
    <t xml:space="preserve">LVL-TOAD-7</t>
  </si>
  <si>
    <t xml:space="preserve">LVL-RAT-1</t>
  </si>
  <si>
    <t xml:space="preserve">SYM-151; SYM-009; SYM-020; SYM-022; SYM-024</t>
  </si>
  <si>
    <t xml:space="preserve">LVL-RAT-2</t>
  </si>
  <si>
    <t xml:space="preserve">LVL-RAT-3</t>
  </si>
  <si>
    <t xml:space="preserve">LVL-RAT-4</t>
  </si>
  <si>
    <t xml:space="preserve">LVL-RAT-5</t>
  </si>
  <si>
    <t xml:space="preserve">LVL-RAT-6</t>
  </si>
  <si>
    <t xml:space="preserve">LVL-RAT-7</t>
  </si>
  <si>
    <t xml:space="preserve">LVL-DOLPHIN-1</t>
  </si>
  <si>
    <t xml:space="preserve">SYM-161; SYM-009; SYM-020; SYM-022; SYM-024</t>
  </si>
  <si>
    <t xml:space="preserve">LVL-DOLPHIN-2</t>
  </si>
  <si>
    <t xml:space="preserve">LVL-DOLPHIN-3</t>
  </si>
  <si>
    <t xml:space="preserve">LVL-DOLPHIN-4</t>
  </si>
  <si>
    <t xml:space="preserve">LVL-DOLPHIN-5</t>
  </si>
  <si>
    <t xml:space="preserve">LVL-DOLPHIN-6</t>
  </si>
  <si>
    <t xml:space="preserve">LVL-MANTIS-1</t>
  </si>
  <si>
    <t xml:space="preserve">SYM-167; SYM-009; SYM-020; SYM-022; SYM-024</t>
  </si>
  <si>
    <t xml:space="preserve">LVL-MANTIS-2</t>
  </si>
  <si>
    <t xml:space="preserve">LVL-MANTIS-3</t>
  </si>
  <si>
    <t xml:space="preserve">LVL-MANTIS-4</t>
  </si>
  <si>
    <t xml:space="preserve">LVL-MANTIS-5</t>
  </si>
  <si>
    <t xml:space="preserve">LVL-MANTIS-6</t>
  </si>
  <si>
    <t xml:space="preserve">LVL-SKUNK-1</t>
  </si>
  <si>
    <t xml:space="preserve">SYM-174; SYM-009; SYM-020; SYM-022; SYM-024</t>
  </si>
  <si>
    <t xml:space="preserve">LVL-SKUNK-2</t>
  </si>
  <si>
    <t xml:space="preserve">LVL-SKUNK-3</t>
  </si>
  <si>
    <t xml:space="preserve">LVL-SKUNK-4</t>
  </si>
  <si>
    <t xml:space="preserve">LVL-SKUNK-5</t>
  </si>
  <si>
    <t xml:space="preserve">LVL-SKUNK-6</t>
  </si>
  <si>
    <t xml:space="preserve">LVL-CHIMERA-1</t>
  </si>
  <si>
    <t xml:space="preserve">MON-002; SYM-009; SYM-020; SYM-022; SYM-024</t>
  </si>
  <si>
    <t xml:space="preserve">LVL-CHIMERA-2</t>
  </si>
  <si>
    <t xml:space="preserve">LVL-CHIMERA-3</t>
  </si>
  <si>
    <t xml:space="preserve">LVL-CHIMERA-4</t>
  </si>
  <si>
    <t xml:space="preserve">LVL-CHIMERA-5</t>
  </si>
  <si>
    <t xml:space="preserve">LVL-CHIMERA-6</t>
  </si>
  <si>
    <t xml:space="preserve">LVL-PUPPETEER-1</t>
  </si>
  <si>
    <t xml:space="preserve">MON-025; SYM-009; SYM-020; SYM-022; SYM-024</t>
  </si>
  <si>
    <t xml:space="preserve">LVL-PUPPETEER-2</t>
  </si>
  <si>
    <t xml:space="preserve">LVL-PUPPETEER-3</t>
  </si>
  <si>
    <t xml:space="preserve">LVL-PUPPETEER-4</t>
  </si>
  <si>
    <t xml:space="preserve">LVL-PUPPETEER-5</t>
  </si>
  <si>
    <t xml:space="preserve">LVL-PUPPETEER-6</t>
  </si>
  <si>
    <t xml:space="preserve">LVL-PLAGUE_DOCTOR-1</t>
  </si>
  <si>
    <t xml:space="preserve">MON-040; SYM-009; SYM-020; SYM-022; SYM-024</t>
  </si>
  <si>
    <t xml:space="preserve">LVL-PLAGUE_DOCTOR-2</t>
  </si>
  <si>
    <t xml:space="preserve">LVL-PLAGUE_DOCTOR-3</t>
  </si>
  <si>
    <t xml:space="preserve">LVL-PLAGUE_DOCTOR-4</t>
  </si>
  <si>
    <t xml:space="preserve">LVL-PLAGUE_DOCTOR-5</t>
  </si>
  <si>
    <t xml:space="preserve">LVL-PLAGUE_DOCTOR-6</t>
  </si>
  <si>
    <t xml:space="preserve">LVL-PLAGUE_DOCTOR-7</t>
  </si>
  <si>
    <t xml:space="preserve">LVL-PLAGUE_DOCTOR-8</t>
  </si>
  <si>
    <t xml:space="preserve">Узлы и ветви развития</t>
  </si>
  <si>
    <t xml:space="preserve">Полная топология из 182 узлов. Для 15 неавтоматизируемых узлов сохранены только имя, уровень, родители и ограничения — без исполняемого поведения.</t>
  </si>
  <si>
    <t xml:space="preserve">NodeRef</t>
  </si>
  <si>
    <t xml:space="preserve">BranchCode</t>
  </si>
  <si>
    <t xml:space="preserve">NodeKind</t>
  </si>
  <si>
    <t xml:space="preserve">ParentNodeRef</t>
  </si>
  <si>
    <t xml:space="preserve">ParentMode</t>
  </si>
  <si>
    <t xml:space="preserve">ChoiceGroupID</t>
  </si>
  <si>
    <t xml:space="preserve">AbilityID</t>
  </si>
  <si>
    <t xml:space="preserve">AutomationStatus</t>
  </si>
  <si>
    <t xml:space="preserve">SelectionConstraint</t>
  </si>
  <si>
    <t xml:space="preserve">SYM-027</t>
  </si>
  <si>
    <t xml:space="preserve">Регенерация</t>
  </si>
  <si>
    <t xml:space="preserve">AUTOMATED_ABILITY_NODE</t>
  </si>
  <si>
    <t xml:space="preserve">ALL</t>
  </si>
  <si>
    <t xml:space="preserve">AUTOMATED_ACCEPTED</t>
  </si>
  <si>
    <t xml:space="preserve">ROOT</t>
  </si>
  <si>
    <t xml:space="preserve">SYM-028</t>
  </si>
  <si>
    <t xml:space="preserve">Замена органа</t>
  </si>
  <si>
    <t xml:space="preserve">SELF_REGENERATION</t>
  </si>
  <si>
    <t xml:space="preserve">WEAVER_L2_XOR</t>
  </si>
  <si>
    <t xml:space="preserve">ALL(SYM-027); XOR:WEAVER_L2_XOR; BRANCH:SELF_REGENERATION</t>
  </si>
  <si>
    <t xml:space="preserve">Q-SYM-005; Q-SYM-007; Q-SYM-008</t>
  </si>
  <si>
    <t xml:space="preserve">SYM-029</t>
  </si>
  <si>
    <t xml:space="preserve">Внешняя регенерация</t>
  </si>
  <si>
    <t xml:space="preserve">EXTERNAL_REGENERATION</t>
  </si>
  <si>
    <t xml:space="preserve">ALL(SYM-027); XOR:WEAVER_L2_XOR; BRANCH:EXTERNAL_REGENERATION</t>
  </si>
  <si>
    <t xml:space="preserve">SYM-030</t>
  </si>
  <si>
    <t xml:space="preserve">Дублирование органов</t>
  </si>
  <si>
    <t xml:space="preserve">ALL(SYM-028); BRANCH:SELF_REGENERATION</t>
  </si>
  <si>
    <t xml:space="preserve">Q-SYM-005; Q-SYM-009</t>
  </si>
  <si>
    <t xml:space="preserve">SYM-032</t>
  </si>
  <si>
    <t xml:space="preserve">Анаболический форсаж</t>
  </si>
  <si>
    <t xml:space="preserve">ALL(SYM-030); BRANCH:SELF_REGENERATION</t>
  </si>
  <si>
    <t xml:space="preserve">Q-SYM-005; Q-SYM-011</t>
  </si>
  <si>
    <t xml:space="preserve">SYM-034</t>
  </si>
  <si>
    <t xml:space="preserve">Абсолютная регенерация</t>
  </si>
  <si>
    <t xml:space="preserve">ALL(SYM-032); BRANCH:SELF_REGENERATION</t>
  </si>
  <si>
    <t xml:space="preserve">Q-SYM-005; Q-SYM-013; Q-SYM-014</t>
  </si>
  <si>
    <t xml:space="preserve">SYM-031</t>
  </si>
  <si>
    <t xml:space="preserve">Выстрел регенерона</t>
  </si>
  <si>
    <t xml:space="preserve">ALL(SYM-029); BRANCH:EXTERNAL_REGENERATION</t>
  </si>
  <si>
    <t xml:space="preserve">Q-SYM-010</t>
  </si>
  <si>
    <t xml:space="preserve">SYM-033</t>
  </si>
  <si>
    <t xml:space="preserve">Адреналиновая реанимация</t>
  </si>
  <si>
    <t xml:space="preserve">ALL(SYM-031); BRANCH:EXTERNAL_REGENERATION</t>
  </si>
  <si>
    <t xml:space="preserve">Q-SYM-010; Q-SYM-012</t>
  </si>
  <si>
    <t xml:space="preserve">SYM-035</t>
  </si>
  <si>
    <t xml:space="preserve">Абсолютная реанимация</t>
  </si>
  <si>
    <t xml:space="preserve">ALL(SYM-033); BRANCH:EXTERNAL_REGENERATION</t>
  </si>
  <si>
    <t xml:space="preserve">Q-SYM-015</t>
  </si>
  <si>
    <t xml:space="preserve">SYM-036</t>
  </si>
  <si>
    <t xml:space="preserve">Облако регенерона</t>
  </si>
  <si>
    <t xml:space="preserve">SYM-034; SYM-035</t>
  </si>
  <si>
    <t xml:space="preserve">ANY</t>
  </si>
  <si>
    <t xml:space="preserve">ANY(SYM-034,SYM-035)</t>
  </si>
  <si>
    <t xml:space="preserve">SYM-039</t>
  </si>
  <si>
    <t xml:space="preserve">Смертельный яд</t>
  </si>
  <si>
    <t xml:space="preserve">Q-SYM-005; Q-SYM-017; Q-SYM-076; Q-APP-002</t>
  </si>
  <si>
    <t xml:space="preserve">SYM-040</t>
  </si>
  <si>
    <t xml:space="preserve">Проницаемая кожа</t>
  </si>
  <si>
    <t xml:space="preserve">ALL(SYM-039)</t>
  </si>
  <si>
    <t xml:space="preserve">Q-SYM-018</t>
  </si>
  <si>
    <t xml:space="preserve">SYM-041</t>
  </si>
  <si>
    <t xml:space="preserve">Плевок ядом</t>
  </si>
  <si>
    <t xml:space="preserve">ALL(SYM-040)</t>
  </si>
  <si>
    <t xml:space="preserve">Q-SYM-010; Q-SYM-075</t>
  </si>
  <si>
    <t xml:space="preserve">SYM-042</t>
  </si>
  <si>
    <t xml:space="preserve">Ослабляющий яд</t>
  </si>
  <si>
    <t xml:space="preserve">ALL(SYM-041)</t>
  </si>
  <si>
    <t xml:space="preserve">Q-SYM-005; Q-SYM-017; Q-SYM-019; Q-SYM-076; Q-APP-002</t>
  </si>
  <si>
    <t xml:space="preserve">SYM-043</t>
  </si>
  <si>
    <t xml:space="preserve">Ядовитый шип</t>
  </si>
  <si>
    <t xml:space="preserve">ALL(SYM-042)</t>
  </si>
  <si>
    <t xml:space="preserve">SYM-044</t>
  </si>
  <si>
    <t xml:space="preserve">Кумулятивный шип</t>
  </si>
  <si>
    <t xml:space="preserve">ALL(SYM-043)</t>
  </si>
  <si>
    <t xml:space="preserve">SYM-045</t>
  </si>
  <si>
    <t xml:space="preserve">Парализующий яд</t>
  </si>
  <si>
    <t xml:space="preserve">ALL(SYM-044)</t>
  </si>
  <si>
    <t xml:space="preserve">Q-SYM-005; Q-SYM-017; Q-SYM-020; Q-SYM-076; Q-APP-002</t>
  </si>
  <si>
    <t xml:space="preserve">SYM-047</t>
  </si>
  <si>
    <t xml:space="preserve">Безупречное зрение</t>
  </si>
  <si>
    <t xml:space="preserve">Q-SYM-021</t>
  </si>
  <si>
    <t xml:space="preserve">SYM-048</t>
  </si>
  <si>
    <t xml:space="preserve">Абсолютное ночное зрение</t>
  </si>
  <si>
    <t xml:space="preserve">ALL(SYM-047)</t>
  </si>
  <si>
    <t xml:space="preserve">SYM-049</t>
  </si>
  <si>
    <t xml:space="preserve">Абсолютное обоняние</t>
  </si>
  <si>
    <t xml:space="preserve">ALL(SYM-048)</t>
  </si>
  <si>
    <t xml:space="preserve">SYM-050</t>
  </si>
  <si>
    <t xml:space="preserve">Абсолютный слух</t>
  </si>
  <si>
    <t xml:space="preserve">ALL(SYM-049)</t>
  </si>
  <si>
    <t xml:space="preserve">SYM-051</t>
  </si>
  <si>
    <t xml:space="preserve">Звуковая картина</t>
  </si>
  <si>
    <t xml:space="preserve">ALL(SYM-050)</t>
  </si>
  <si>
    <t xml:space="preserve">Q-SYM-022</t>
  </si>
  <si>
    <t xml:space="preserve">SYM-052</t>
  </si>
  <si>
    <t xml:space="preserve">Восприятие хищника</t>
  </si>
  <si>
    <t xml:space="preserve">ALL(SYM-051)</t>
  </si>
  <si>
    <t xml:space="preserve">SYM-054</t>
  </si>
  <si>
    <t xml:space="preserve">Развивайся, ученик</t>
  </si>
  <si>
    <t xml:space="preserve">SYM-055</t>
  </si>
  <si>
    <t xml:space="preserve">Век живи — век учись</t>
  </si>
  <si>
    <t xml:space="preserve">ALL(SYM-054)</t>
  </si>
  <si>
    <t xml:space="preserve">Q-SYM-085</t>
  </si>
  <si>
    <t xml:space="preserve">SYM-056</t>
  </si>
  <si>
    <t xml:space="preserve">Практикуйтесь, ученики</t>
  </si>
  <si>
    <t xml:space="preserve">ALL(SYM-055)</t>
  </si>
  <si>
    <t xml:space="preserve">SYM-057</t>
  </si>
  <si>
    <t xml:space="preserve">Свети, ученик</t>
  </si>
  <si>
    <t xml:space="preserve">ALL(SYM-056)</t>
  </si>
  <si>
    <t xml:space="preserve">Q-SYM-023; Q-SYM-024</t>
  </si>
  <si>
    <t xml:space="preserve">SYM-058</t>
  </si>
  <si>
    <t xml:space="preserve">Берегись невежд, ученик</t>
  </si>
  <si>
    <t xml:space="preserve">ALL(SYM-057)</t>
  </si>
  <si>
    <t xml:space="preserve">SYM-059</t>
  </si>
  <si>
    <t xml:space="preserve">Внимай, ученик</t>
  </si>
  <si>
    <t xml:space="preserve">ALL(SYM-058)</t>
  </si>
  <si>
    <t xml:space="preserve">Q-SYM-024; Q-SYM-025</t>
  </si>
  <si>
    <t xml:space="preserve">SYM-061</t>
  </si>
  <si>
    <t xml:space="preserve">Подкожный панцирь</t>
  </si>
  <si>
    <t xml:space="preserve">SYM-062</t>
  </si>
  <si>
    <t xml:space="preserve">Здоров как буйвол</t>
  </si>
  <si>
    <t xml:space="preserve">ALL(SYM-061)</t>
  </si>
  <si>
    <t xml:space="preserve">SYM-063</t>
  </si>
  <si>
    <t xml:space="preserve">Не вырубишь!</t>
  </si>
  <si>
    <t xml:space="preserve">ALL(SYM-062)</t>
  </si>
  <si>
    <t xml:space="preserve">SYM-064</t>
  </si>
  <si>
    <t xml:space="preserve">Не подчиняюсь!</t>
  </si>
  <si>
    <t xml:space="preserve">ALL(SYM-063)</t>
  </si>
  <si>
    <t xml:space="preserve">SYM-065</t>
  </si>
  <si>
    <t xml:space="preserve">Не сдвинешь!</t>
  </si>
  <si>
    <t xml:space="preserve">ALL(SYM-064)</t>
  </si>
  <si>
    <t xml:space="preserve">SYM-066</t>
  </si>
  <si>
    <t xml:space="preserve">Поднять щиты!</t>
  </si>
  <si>
    <t xml:space="preserve">ALL(SYM-065)</t>
  </si>
  <si>
    <t xml:space="preserve">Q-SYM-026</t>
  </si>
  <si>
    <t xml:space="preserve">SYM-068</t>
  </si>
  <si>
    <t xml:space="preserve">Горючая слюна</t>
  </si>
  <si>
    <t xml:space="preserve">Q-SYM-027</t>
  </si>
  <si>
    <t xml:space="preserve">SYM-069</t>
  </si>
  <si>
    <t xml:space="preserve">Огнеупорная глотка</t>
  </si>
  <si>
    <t xml:space="preserve">ALL(SYM-068)</t>
  </si>
  <si>
    <t xml:space="preserve">Q-SYM-028</t>
  </si>
  <si>
    <t xml:space="preserve">SYM-070</t>
  </si>
  <si>
    <t xml:space="preserve">Зубы-огниво</t>
  </si>
  <si>
    <t xml:space="preserve">ALL(SYM-069)</t>
  </si>
  <si>
    <t xml:space="preserve">SYM-071</t>
  </si>
  <si>
    <t xml:space="preserve">Нагнетатель давления</t>
  </si>
  <si>
    <t xml:space="preserve">ALL(SYM-070)</t>
  </si>
  <si>
    <t xml:space="preserve">Q-SYM-005; Q-SYM-029</t>
  </si>
  <si>
    <t xml:space="preserve">SYM-072</t>
  </si>
  <si>
    <t xml:space="preserve">Долгое горение</t>
  </si>
  <si>
    <t xml:space="preserve">ALL(SYM-071)</t>
  </si>
  <si>
    <t xml:space="preserve">Q-SYM-077</t>
  </si>
  <si>
    <t xml:space="preserve">SYM-073</t>
  </si>
  <si>
    <t xml:space="preserve">Огненный шар</t>
  </si>
  <si>
    <t xml:space="preserve">ALL(SYM-072)</t>
  </si>
  <si>
    <t xml:space="preserve">Q-SYM-030</t>
  </si>
  <si>
    <t xml:space="preserve">SYM-076</t>
  </si>
  <si>
    <t xml:space="preserve">Трогровость</t>
  </si>
  <si>
    <t xml:space="preserve">Q-SYM-032</t>
  </si>
  <si>
    <t xml:space="preserve">SYM-077</t>
  </si>
  <si>
    <t xml:space="preserve">Трогр крушить!</t>
  </si>
  <si>
    <t xml:space="preserve">ALL(SYM-076)</t>
  </si>
  <si>
    <t xml:space="preserve">Q-SYM-033</t>
  </si>
  <si>
    <t xml:space="preserve">SYM-078</t>
  </si>
  <si>
    <t xml:space="preserve">WAAAGH!!!</t>
  </si>
  <si>
    <t xml:space="preserve">ALL(SYM-077)</t>
  </si>
  <si>
    <t xml:space="preserve">Q-SYM-034</t>
  </si>
  <si>
    <t xml:space="preserve">SYM-079</t>
  </si>
  <si>
    <t xml:space="preserve">Мой дубина — твой башка!</t>
  </si>
  <si>
    <t xml:space="preserve">ALL(SYM-078)</t>
  </si>
  <si>
    <t xml:space="preserve">SYM-080</t>
  </si>
  <si>
    <t xml:space="preserve">ЫЫЫ…</t>
  </si>
  <si>
    <t xml:space="preserve">ALL(SYM-079)</t>
  </si>
  <si>
    <t xml:space="preserve">Q-SYM-035</t>
  </si>
  <si>
    <t xml:space="preserve">SYM-081</t>
  </si>
  <si>
    <t xml:space="preserve">Утолщённые кости</t>
  </si>
  <si>
    <t xml:space="preserve">THICKENED_BONES</t>
  </si>
  <si>
    <t xml:space="preserve">TROGR_L6_XOR</t>
  </si>
  <si>
    <t xml:space="preserve">ALL(SYM-080); XOR:TROGR_L6_XOR; BRANCH:THICKENED_BONES</t>
  </si>
  <si>
    <t xml:space="preserve">SYM-082</t>
  </si>
  <si>
    <t xml:space="preserve">Гениальная тупость</t>
  </si>
  <si>
    <t xml:space="preserve">GENIUS_STUPIDITY</t>
  </si>
  <si>
    <t xml:space="preserve">ALL(SYM-080); XOR:TROGR_L6_XOR; BRANCH:GENIUS_STUPIDITY</t>
  </si>
  <si>
    <t xml:space="preserve">Q-COMBAT-CRIT-001</t>
  </si>
  <si>
    <t xml:space="preserve">SYM-084</t>
  </si>
  <si>
    <t xml:space="preserve">Резервная копия</t>
  </si>
  <si>
    <t xml:space="preserve">SYM-084; SYM-085</t>
  </si>
  <si>
    <t xml:space="preserve">Q-SYM-036; Q-SYM-074</t>
  </si>
  <si>
    <t xml:space="preserve">SYM-086</t>
  </si>
  <si>
    <t xml:space="preserve">Парализующее жало</t>
  </si>
  <si>
    <t xml:space="preserve">COMBAT_BODY</t>
  </si>
  <si>
    <t xml:space="preserve">ALL(SYM-084); BRANCH:COMBAT_BODY</t>
  </si>
  <si>
    <t xml:space="preserve">SYM-087</t>
  </si>
  <si>
    <t xml:space="preserve">Оценка тела</t>
  </si>
  <si>
    <t xml:space="preserve">MIGRATION</t>
  </si>
  <si>
    <t xml:space="preserve">ALL(SYM-084); BRANCH:MIGRATION</t>
  </si>
  <si>
    <t xml:space="preserve">Q-SYM-009</t>
  </si>
  <si>
    <t xml:space="preserve">SYM-088</t>
  </si>
  <si>
    <t xml:space="preserve">Присоски и коготки</t>
  </si>
  <si>
    <t xml:space="preserve">ALL(SYM-086); BRANCH:COMBAT_BODY</t>
  </si>
  <si>
    <t xml:space="preserve">SYM-089</t>
  </si>
  <si>
    <t xml:space="preserve">Маскировка «Хамелеон»</t>
  </si>
  <si>
    <t xml:space="preserve">ALL(SYM-087); BRANCH:MIGRATION</t>
  </si>
  <si>
    <t xml:space="preserve">SYM-090</t>
  </si>
  <si>
    <t xml:space="preserve">Кромсатель</t>
  </si>
  <si>
    <t xml:space="preserve">ALL(SYM-088); BRANCH:COMBAT_BODY</t>
  </si>
  <si>
    <t xml:space="preserve">SYM-091</t>
  </si>
  <si>
    <t xml:space="preserve">Крылья</t>
  </si>
  <si>
    <t xml:space="preserve">ALL(SYM-089); BRANCH:MIGRATION</t>
  </si>
  <si>
    <t xml:space="preserve">Q-QA-003; Q-SYM-037</t>
  </si>
  <si>
    <t xml:space="preserve">SYM-092</t>
  </si>
  <si>
    <t xml:space="preserve">Временное убежище</t>
  </si>
  <si>
    <t xml:space="preserve">STRUCTURAL_NODE_ONLY</t>
  </si>
  <si>
    <t xml:space="preserve">NODE_ONLY_MANUAL</t>
  </si>
  <si>
    <t xml:space="preserve">ALL(SYM-090); BRANCH:COMBAT_BODY; Сохраняется только как узел дерева; Windows-команда исключена Q-SYM-038.</t>
  </si>
  <si>
    <t xml:space="preserve">Q-SYM-038</t>
  </si>
  <si>
    <t xml:space="preserve">SYM-093</t>
  </si>
  <si>
    <t xml:space="preserve">Попутчики</t>
  </si>
  <si>
    <t xml:space="preserve">ALL(SYM-091); BRANCH:MIGRATION</t>
  </si>
  <si>
    <t xml:space="preserve">Q-SYM-039</t>
  </si>
  <si>
    <t xml:space="preserve">SYM-094</t>
  </si>
  <si>
    <t xml:space="preserve">Кислотная пушка</t>
  </si>
  <si>
    <t xml:space="preserve">SYM-092; SYM-093</t>
  </si>
  <si>
    <t xml:space="preserve">ANY(SYM-092,SYM-093)</t>
  </si>
  <si>
    <t xml:space="preserve">SYM-096</t>
  </si>
  <si>
    <t xml:space="preserve">Личность</t>
  </si>
  <si>
    <t xml:space="preserve">Q-SYM-040</t>
  </si>
  <si>
    <t xml:space="preserve">SYM-097</t>
  </si>
  <si>
    <t xml:space="preserve">Я здесь самый умный</t>
  </si>
  <si>
    <t xml:space="preserve">ALL(SYM-096)</t>
  </si>
  <si>
    <t xml:space="preserve">SYM-098</t>
  </si>
  <si>
    <t xml:space="preserve">Доступ к органам чувств</t>
  </si>
  <si>
    <t xml:space="preserve">ALL(SYM-097)</t>
  </si>
  <si>
    <t xml:space="preserve">SYM-099</t>
  </si>
  <si>
    <t xml:space="preserve">Принимаю управление</t>
  </si>
  <si>
    <t xml:space="preserve">ALL(SYM-098)</t>
  </si>
  <si>
    <t xml:space="preserve">Q-SYM-041</t>
  </si>
  <si>
    <t xml:space="preserve">SYM-100</t>
  </si>
  <si>
    <t xml:space="preserve">Система устойчивости</t>
  </si>
  <si>
    <t xml:space="preserve">ALL(SYM-099)</t>
  </si>
  <si>
    <t xml:space="preserve">SYM-101</t>
  </si>
  <si>
    <t xml:space="preserve">Дар мудрости</t>
  </si>
  <si>
    <t xml:space="preserve">ALL(SYM-100)</t>
  </si>
  <si>
    <t xml:space="preserve">Q-SYM-042</t>
  </si>
  <si>
    <t xml:space="preserve">SYM-103</t>
  </si>
  <si>
    <t xml:space="preserve">Кровопийца</t>
  </si>
  <si>
    <t xml:space="preserve">Q-SYM-043</t>
  </si>
  <si>
    <t xml:space="preserve">SYM-104</t>
  </si>
  <si>
    <t xml:space="preserve">Вкус крови</t>
  </si>
  <si>
    <t xml:space="preserve">ALL(SYM-103)</t>
  </si>
  <si>
    <t xml:space="preserve">SYM-105</t>
  </si>
  <si>
    <t xml:space="preserve">Выстрел кровью</t>
  </si>
  <si>
    <t xml:space="preserve">ALL(SYM-104)</t>
  </si>
  <si>
    <t xml:space="preserve">SYM-106</t>
  </si>
  <si>
    <t xml:space="preserve">Выпустить когти</t>
  </si>
  <si>
    <t xml:space="preserve">ALL(SYM-105)</t>
  </si>
  <si>
    <t xml:space="preserve">Q-SYM-044</t>
  </si>
  <si>
    <t xml:space="preserve">SYM-107</t>
  </si>
  <si>
    <t xml:space="preserve">Гарпун</t>
  </si>
  <si>
    <t xml:space="preserve">ALL(SYM-106)</t>
  </si>
  <si>
    <t xml:space="preserve">Q-SYM-045</t>
  </si>
  <si>
    <t xml:space="preserve">SYM-108</t>
  </si>
  <si>
    <t xml:space="preserve">Я — сила</t>
  </si>
  <si>
    <t xml:space="preserve">ALL(SYM-107)</t>
  </si>
  <si>
    <t xml:space="preserve">SYM-110</t>
  </si>
  <si>
    <t xml:space="preserve">Ноги сверчка</t>
  </si>
  <si>
    <t xml:space="preserve">SYM-111</t>
  </si>
  <si>
    <t xml:space="preserve">Чувствительные усы</t>
  </si>
  <si>
    <t xml:space="preserve">ALL(SYM-110)</t>
  </si>
  <si>
    <t xml:space="preserve">SYM-112</t>
  </si>
  <si>
    <t xml:space="preserve">Заряженный прыжок</t>
  </si>
  <si>
    <t xml:space="preserve">ALL(SYM-111)</t>
  </si>
  <si>
    <t xml:space="preserve">Q-SYM-046</t>
  </si>
  <si>
    <t xml:space="preserve">SYM-113</t>
  </si>
  <si>
    <t xml:space="preserve">Маскировка под растение</t>
  </si>
  <si>
    <t xml:space="preserve">ALL(SYM-112)</t>
  </si>
  <si>
    <t xml:space="preserve">SYM-114</t>
  </si>
  <si>
    <t xml:space="preserve">ALL(SYM-113)</t>
  </si>
  <si>
    <t xml:space="preserve">Q-SYM-047</t>
  </si>
  <si>
    <t xml:space="preserve">SYM-115</t>
  </si>
  <si>
    <t xml:space="preserve">Активные пилы</t>
  </si>
  <si>
    <t xml:space="preserve">ALL(SYM-114)</t>
  </si>
  <si>
    <t xml:space="preserve">SYM-117</t>
  </si>
  <si>
    <t xml:space="preserve">Паутинные железы</t>
  </si>
  <si>
    <t xml:space="preserve">Q-SYM-048; Q-PREDEV-010; USR-2026-07-30-WEB-001</t>
  </si>
  <si>
    <t xml:space="preserve">SYM-118</t>
  </si>
  <si>
    <t xml:space="preserve">Перемещение по паутине</t>
  </si>
  <si>
    <t xml:space="preserve">ALL(SYM-117)</t>
  </si>
  <si>
    <t xml:space="preserve">SYM-119</t>
  </si>
  <si>
    <t xml:space="preserve">Точка крепления</t>
  </si>
  <si>
    <t xml:space="preserve">ALL(SYM-118); Только узел дерева; не автоматизируется Q-SYM-049.</t>
  </si>
  <si>
    <t xml:space="preserve">Q-SYM-049</t>
  </si>
  <si>
    <t xml:space="preserve">SYM-120</t>
  </si>
  <si>
    <t xml:space="preserve">Выстрел паутиной</t>
  </si>
  <si>
    <t xml:space="preserve">ALL(SYM-119)</t>
  </si>
  <si>
    <t xml:space="preserve">Q-SYM-050</t>
  </si>
  <si>
    <t xml:space="preserve">SYM-121</t>
  </si>
  <si>
    <t xml:space="preserve">Ловчая сеть</t>
  </si>
  <si>
    <t xml:space="preserve">ALL(SYM-120)</t>
  </si>
  <si>
    <t xml:space="preserve">SYM-122</t>
  </si>
  <si>
    <t xml:space="preserve">Паучья ловкость</t>
  </si>
  <si>
    <t xml:space="preserve">ALL(SYM-121)</t>
  </si>
  <si>
    <t xml:space="preserve">SYM-124</t>
  </si>
  <si>
    <t xml:space="preserve">Статическая маскировка</t>
  </si>
  <si>
    <t xml:space="preserve">Q-SYM-051</t>
  </si>
  <si>
    <t xml:space="preserve">SYM-125</t>
  </si>
  <si>
    <t xml:space="preserve">Атака из засады</t>
  </si>
  <si>
    <t xml:space="preserve">ALL(SYM-124)</t>
  </si>
  <si>
    <t xml:space="preserve">SYM-126</t>
  </si>
  <si>
    <t xml:space="preserve">Двойной фокус внимания</t>
  </si>
  <si>
    <t xml:space="preserve">ALL(SYM-125)</t>
  </si>
  <si>
    <t xml:space="preserve">SYM-127</t>
  </si>
  <si>
    <t xml:space="preserve">Динамическая маскировка</t>
  </si>
  <si>
    <t xml:space="preserve">ALL(SYM-126)</t>
  </si>
  <si>
    <t xml:space="preserve">SYM-128</t>
  </si>
  <si>
    <t xml:space="preserve">Сокрытие оружия</t>
  </si>
  <si>
    <t xml:space="preserve">ALL(SYM-127)</t>
  </si>
  <si>
    <t xml:space="preserve">SYM-129</t>
  </si>
  <si>
    <t xml:space="preserve">Внешняя фотосеть</t>
  </si>
  <si>
    <t xml:space="preserve">ALL(SYM-128)</t>
  </si>
  <si>
    <t xml:space="preserve">Q-SYM-052</t>
  </si>
  <si>
    <t xml:space="preserve">SYM-131#MI_MI_MI</t>
  </si>
  <si>
    <t xml:space="preserve">Ми-ми-ми</t>
  </si>
  <si>
    <t xml:space="preserve">SYM-131</t>
  </si>
  <si>
    <t xml:space="preserve">Q-SYM-053</t>
  </si>
  <si>
    <t xml:space="preserve">SYM-131#OH_NICE</t>
  </si>
  <si>
    <t xml:space="preserve">Oh nice!</t>
  </si>
  <si>
    <t xml:space="preserve">ALL(SYM-131#MI_MI_MI)</t>
  </si>
  <si>
    <t xml:space="preserve">SYM-131#BLACK_WHITE_FEAR</t>
  </si>
  <si>
    <t xml:space="preserve">Чёрно-белый страх</t>
  </si>
  <si>
    <t xml:space="preserve">ALL(SYM-131#OH_NICE)</t>
  </si>
  <si>
    <t xml:space="preserve">SYM-132</t>
  </si>
  <si>
    <t xml:space="preserve">Чёрно-белая ярость</t>
  </si>
  <si>
    <t xml:space="preserve">ALL(SYM-131#BLACK_WHITE_FEAR)</t>
  </si>
  <si>
    <t xml:space="preserve">Q-SYM-005; Q-SYM-011; Q-SYM-054</t>
  </si>
  <si>
    <t xml:space="preserve">SYM-133</t>
  </si>
  <si>
    <t xml:space="preserve">Чёрно-белый контроль</t>
  </si>
  <si>
    <t xml:space="preserve">ALL(SYM-132)</t>
  </si>
  <si>
    <t xml:space="preserve">SYM-134</t>
  </si>
  <si>
    <t xml:space="preserve">Чёрно-белое смещение</t>
  </si>
  <si>
    <t xml:space="preserve">ALL(SYM-133)</t>
  </si>
  <si>
    <t xml:space="preserve">Q-SYM-005</t>
  </si>
  <si>
    <t xml:space="preserve">SYM-135</t>
  </si>
  <si>
    <t xml:space="preserve">Чёрно-белое доминирование</t>
  </si>
  <si>
    <t xml:space="preserve">ALL(SYM-134)</t>
  </si>
  <si>
    <t xml:space="preserve">Q-SYM-005; Q-SYM-055</t>
  </si>
  <si>
    <t xml:space="preserve">SYM-137</t>
  </si>
  <si>
    <t xml:space="preserve">Контактный шокер</t>
  </si>
  <si>
    <t xml:space="preserve">Q-SYM-056</t>
  </si>
  <si>
    <t xml:space="preserve">SYM-138</t>
  </si>
  <si>
    <t xml:space="preserve">Проводник</t>
  </si>
  <si>
    <t xml:space="preserve">ALL(SYM-137)</t>
  </si>
  <si>
    <t xml:space="preserve">SYM-139</t>
  </si>
  <si>
    <t xml:space="preserve">Электрическая дуга</t>
  </si>
  <si>
    <t xml:space="preserve">ALL(SYM-138)</t>
  </si>
  <si>
    <t xml:space="preserve">Q-SYM-057</t>
  </si>
  <si>
    <t xml:space="preserve">SYM-140</t>
  </si>
  <si>
    <t xml:space="preserve">Шаровая молния</t>
  </si>
  <si>
    <t xml:space="preserve">ALL(SYM-139)</t>
  </si>
  <si>
    <t xml:space="preserve">SYM-141</t>
  </si>
  <si>
    <t xml:space="preserve">Молния</t>
  </si>
  <si>
    <t xml:space="preserve">ALL(SYM-140)</t>
  </si>
  <si>
    <t xml:space="preserve">SYM-142</t>
  </si>
  <si>
    <t xml:space="preserve">Цепная молния</t>
  </si>
  <si>
    <t xml:space="preserve">ALL(SYM-141)</t>
  </si>
  <si>
    <t xml:space="preserve">Q-SYM-058</t>
  </si>
  <si>
    <t xml:space="preserve">SYM-144</t>
  </si>
  <si>
    <t xml:space="preserve">Иммунитет к ядам</t>
  </si>
  <si>
    <t xml:space="preserve">SYM-145</t>
  </si>
  <si>
    <t xml:space="preserve">Оптимизация метаболизма</t>
  </si>
  <si>
    <t xml:space="preserve">ALL(SYM-144)</t>
  </si>
  <si>
    <t xml:space="preserve">SYM-146</t>
  </si>
  <si>
    <t xml:space="preserve">Я — то, что я ем</t>
  </si>
  <si>
    <t xml:space="preserve">ALL(SYM-145); Только узел дерева; не автоматизируется Q-SYM-059.</t>
  </si>
  <si>
    <t xml:space="preserve">Q-SYM-059</t>
  </si>
  <si>
    <t xml:space="preserve">SYM-147</t>
  </si>
  <si>
    <t xml:space="preserve">Язык жабы</t>
  </si>
  <si>
    <t xml:space="preserve">ALL(SYM-146)</t>
  </si>
  <si>
    <t xml:space="preserve">SYM-148</t>
  </si>
  <si>
    <t xml:space="preserve">На, держи</t>
  </si>
  <si>
    <t xml:space="preserve">ALL(SYM-147)</t>
  </si>
  <si>
    <t xml:space="preserve">SYM-149</t>
  </si>
  <si>
    <t xml:space="preserve">Живучесть жабы</t>
  </si>
  <si>
    <t xml:space="preserve">ALL(SYM-148)</t>
  </si>
  <si>
    <t xml:space="preserve">SYM-150</t>
  </si>
  <si>
    <t xml:space="preserve">Амфибиоморфная асфиксия</t>
  </si>
  <si>
    <t xml:space="preserve">ALL(SYM-149)</t>
  </si>
  <si>
    <t xml:space="preserve">SYM-152</t>
  </si>
  <si>
    <t xml:space="preserve">Самостоятельность</t>
  </si>
  <si>
    <t xml:space="preserve">SYM-152; SYM-153</t>
  </si>
  <si>
    <t xml:space="preserve">Q-SYM-060; Q-PREDEV-003</t>
  </si>
  <si>
    <t xml:space="preserve">SYM-154</t>
  </si>
  <si>
    <t xml:space="preserve">Я буду твоими глазами</t>
  </si>
  <si>
    <t xml:space="preserve">ALL(SYM-152)</t>
  </si>
  <si>
    <t xml:space="preserve">Q-SYM-061</t>
  </si>
  <si>
    <t xml:space="preserve">SYM-155</t>
  </si>
  <si>
    <t xml:space="preserve">Ловкость крысы</t>
  </si>
  <si>
    <t xml:space="preserve">ALL(SYM-154)</t>
  </si>
  <si>
    <t xml:space="preserve">Q-PREDEV-003</t>
  </si>
  <si>
    <t xml:space="preserve">SYM-156</t>
  </si>
  <si>
    <t xml:space="preserve">Переносчик заразы</t>
  </si>
  <si>
    <t xml:space="preserve">DISEASE</t>
  </si>
  <si>
    <t xml:space="preserve">ALL(SYM-155); BRANCH:DISEASE</t>
  </si>
  <si>
    <t xml:space="preserve">SYM-157</t>
  </si>
  <si>
    <t xml:space="preserve">Первый среди равных</t>
  </si>
  <si>
    <t xml:space="preserve">SWARM</t>
  </si>
  <si>
    <t xml:space="preserve">ALL(SYM-155); BRANCH:SWARM</t>
  </si>
  <si>
    <t xml:space="preserve">Q-SYM-062; Q-PREDEV-003</t>
  </si>
  <si>
    <t xml:space="preserve">SYM-158</t>
  </si>
  <si>
    <t xml:space="preserve">Подобное к подобному</t>
  </si>
  <si>
    <t xml:space="preserve">ALL(SYM-156); BRANCH:DISEASE</t>
  </si>
  <si>
    <t xml:space="preserve">SYM-159</t>
  </si>
  <si>
    <t xml:space="preserve">Крысиный король</t>
  </si>
  <si>
    <t xml:space="preserve">ALL(SYM-157); BRANCH:SWARM</t>
  </si>
  <si>
    <t xml:space="preserve">SYM-151#RAT_COMMUNICATIONS</t>
  </si>
  <si>
    <t xml:space="preserve">Крысиные коммуникации</t>
  </si>
  <si>
    <t xml:space="preserve">ALL(SYM-158); BRANCH:DISEASE; Обязательный узел развития без исполняемой социальной механики.</t>
  </si>
  <si>
    <t xml:space="preserve">SYM-160</t>
  </si>
  <si>
    <t xml:space="preserve">Ретранслятор</t>
  </si>
  <si>
    <t xml:space="preserve">ALL(SYM-159); BRANCH:SWARM</t>
  </si>
  <si>
    <t xml:space="preserve">SYM-151#TOTAL_RATHOOD</t>
  </si>
  <si>
    <t xml:space="preserve">Тотальное крысятничество</t>
  </si>
  <si>
    <t xml:space="preserve">SYM-151#RAT_COMMUNICATIONS; SYM-160</t>
  </si>
  <si>
    <t xml:space="preserve">ANY(SYM-151#RAT_COMMUNICATIONS,SYM-160); Узел развития без исполняемой социальной механики.</t>
  </si>
  <si>
    <t xml:space="preserve">SYM-162</t>
  </si>
  <si>
    <t xml:space="preserve">Трансцендентность</t>
  </si>
  <si>
    <t xml:space="preserve">SYM-163</t>
  </si>
  <si>
    <t xml:space="preserve">Эхолокация</t>
  </si>
  <si>
    <t xml:space="preserve">ALL(SYM-162)</t>
  </si>
  <si>
    <t xml:space="preserve">Q-SYM-063</t>
  </si>
  <si>
    <t xml:space="preserve">SYM-164</t>
  </si>
  <si>
    <t xml:space="preserve">Море — второй дом</t>
  </si>
  <si>
    <t xml:space="preserve">ALL(SYM-163)</t>
  </si>
  <si>
    <t xml:space="preserve">SYM-165</t>
  </si>
  <si>
    <t xml:space="preserve">Ментальный компас</t>
  </si>
  <si>
    <t xml:space="preserve">ALL(SYM-164)</t>
  </si>
  <si>
    <t xml:space="preserve">SYM-161#ABSOLUTE_MEMORY</t>
  </si>
  <si>
    <t xml:space="preserve">Абсолютная память</t>
  </si>
  <si>
    <t xml:space="preserve">ALL(SYM-165); Обязательный узел дерева; эффект вне исполняемого реестра.</t>
  </si>
  <si>
    <t xml:space="preserve">SYM-166</t>
  </si>
  <si>
    <t xml:space="preserve">Мирный воин</t>
  </si>
  <si>
    <t xml:space="preserve">ALL(SYM-161#ABSOLUTE_MEMORY)</t>
  </si>
  <si>
    <t xml:space="preserve">SYM-168</t>
  </si>
  <si>
    <t xml:space="preserve">Зазубренные клинки</t>
  </si>
  <si>
    <t xml:space="preserve">Q-SYM-064</t>
  </si>
  <si>
    <t xml:space="preserve">SYM-169</t>
  </si>
  <si>
    <t xml:space="preserve">Каменная статуя</t>
  </si>
  <si>
    <t xml:space="preserve">ALL(SYM-168)</t>
  </si>
  <si>
    <t xml:space="preserve">Q-SYM-065</t>
  </si>
  <si>
    <t xml:space="preserve">SYM-170</t>
  </si>
  <si>
    <t xml:space="preserve">ALL(SYM-169)</t>
  </si>
  <si>
    <t xml:space="preserve">SYM-171</t>
  </si>
  <si>
    <t xml:space="preserve">Каннибализм</t>
  </si>
  <si>
    <t xml:space="preserve">ALL(SYM-170)</t>
  </si>
  <si>
    <t xml:space="preserve">Q-SYM-066</t>
  </si>
  <si>
    <t xml:space="preserve">SYM-172</t>
  </si>
  <si>
    <t xml:space="preserve">Инстинкт убийцы</t>
  </si>
  <si>
    <t xml:space="preserve">ALL(SYM-171)</t>
  </si>
  <si>
    <t xml:space="preserve">SYM-173</t>
  </si>
  <si>
    <t xml:space="preserve">Веерная защита</t>
  </si>
  <si>
    <t xml:space="preserve">ALL(SYM-172)</t>
  </si>
  <si>
    <t xml:space="preserve">SYM-175</t>
  </si>
  <si>
    <t xml:space="preserve">Анальная железа</t>
  </si>
  <si>
    <t xml:space="preserve">Q-SYM-067</t>
  </si>
  <si>
    <t xml:space="preserve">SYM-176</t>
  </si>
  <si>
    <t xml:space="preserve">Подладонные железы</t>
  </si>
  <si>
    <t xml:space="preserve">ALL(SYM-175)</t>
  </si>
  <si>
    <t xml:space="preserve">Q-SYM-068</t>
  </si>
  <si>
    <t xml:space="preserve">SYM-177</t>
  </si>
  <si>
    <t xml:space="preserve">Вонючее облако</t>
  </si>
  <si>
    <t xml:space="preserve">ALL(SYM-176)</t>
  </si>
  <si>
    <t xml:space="preserve">Q-SYM-069</t>
  </si>
  <si>
    <t xml:space="preserve">SYM-178</t>
  </si>
  <si>
    <t xml:space="preserve">Навесной выстрел</t>
  </si>
  <si>
    <t xml:space="preserve">ALL(SYM-177)</t>
  </si>
  <si>
    <t xml:space="preserve">Q-SYM-070</t>
  </si>
  <si>
    <t xml:space="preserve">SYM-179</t>
  </si>
  <si>
    <t xml:space="preserve">Миномёт</t>
  </si>
  <si>
    <t xml:space="preserve">ALL(SYM-178)</t>
  </si>
  <si>
    <t xml:space="preserve">Q-SYM-070; Q-SYM-071</t>
  </si>
  <si>
    <t xml:space="preserve">SYM-180</t>
  </si>
  <si>
    <t xml:space="preserve">Шквальный огонь</t>
  </si>
  <si>
    <t xml:space="preserve">ALL(SYM-179)</t>
  </si>
  <si>
    <t xml:space="preserve">Q-SYM-070; Q-SYM-071; Q-SYM-072</t>
  </si>
  <si>
    <t xml:space="preserve">MON-004</t>
  </si>
  <si>
    <t xml:space="preserve">Пожирание</t>
  </si>
  <si>
    <t xml:space="preserve">MON-004; MON-005; MON-006; MON-007</t>
  </si>
  <si>
    <t xml:space="preserve">Q-MON-002; Q-MON-003; Q-MON-004</t>
  </si>
  <si>
    <t xml:space="preserve">MON-008</t>
  </si>
  <si>
    <t xml:space="preserve">A_BODY</t>
  </si>
  <si>
    <t xml:space="preserve">ALL(MON-004); BRANCH:A_BODY</t>
  </si>
  <si>
    <t xml:space="preserve">MON-008; MON-009</t>
  </si>
  <si>
    <t xml:space="preserve">MON-010</t>
  </si>
  <si>
    <t xml:space="preserve">Взгляд мясника</t>
  </si>
  <si>
    <t xml:space="preserve">B_HUNT</t>
  </si>
  <si>
    <t xml:space="preserve">ALL(MON-004); BRANCH:B_HUNT</t>
  </si>
  <si>
    <t xml:space="preserve">Q-MON-005</t>
  </si>
  <si>
    <t xml:space="preserve">MON-011</t>
  </si>
  <si>
    <t xml:space="preserve">Железная хватка</t>
  </si>
  <si>
    <t xml:space="preserve">C_WEAPONS</t>
  </si>
  <si>
    <t xml:space="preserve">ALL(MON-004); BRANCH:C_WEAPONS</t>
  </si>
  <si>
    <t xml:space="preserve">MON-012</t>
  </si>
  <si>
    <t xml:space="preserve">Безразличная плоть</t>
  </si>
  <si>
    <t xml:space="preserve">ALL(MON-008); BRANCH:A_BODY</t>
  </si>
  <si>
    <t xml:space="preserve">MON-013</t>
  </si>
  <si>
    <t xml:space="preserve">Гончая</t>
  </si>
  <si>
    <t xml:space="preserve">ALL(MON-010); BRANCH:B_HUNT</t>
  </si>
  <si>
    <t xml:space="preserve">MON-014</t>
  </si>
  <si>
    <t xml:space="preserve">Локтевой отбойник</t>
  </si>
  <si>
    <t xml:space="preserve">ALL(MON-011); BRANCH:C_WEAPONS</t>
  </si>
  <si>
    <t xml:space="preserve">MON-014; MON-015</t>
  </si>
  <si>
    <t xml:space="preserve">Q-MON-006</t>
  </si>
  <si>
    <t xml:space="preserve">MON-016</t>
  </si>
  <si>
    <t xml:space="preserve">Выносливость хищника</t>
  </si>
  <si>
    <t xml:space="preserve">ALL(MON-012); BRANCH:A_BODY</t>
  </si>
  <si>
    <t xml:space="preserve">MON-017</t>
  </si>
  <si>
    <t xml:space="preserve">Охотничий азарт</t>
  </si>
  <si>
    <t xml:space="preserve">ALL(MON-013); BRANCH:B_HUNT</t>
  </si>
  <si>
    <t xml:space="preserve">MON-018</t>
  </si>
  <si>
    <t xml:space="preserve">Коленный отбойник</t>
  </si>
  <si>
    <t xml:space="preserve">ALL(MON-014); BRANCH:C_WEAPONS</t>
  </si>
  <si>
    <t xml:space="preserve">MON-018; MON-019</t>
  </si>
  <si>
    <t xml:space="preserve">MON-020</t>
  </si>
  <si>
    <t xml:space="preserve">Неудержимость</t>
  </si>
  <si>
    <t xml:space="preserve">ALL(MON-016); BRANCH:A_BODY</t>
  </si>
  <si>
    <t xml:space="preserve">Q-CORE-022</t>
  </si>
  <si>
    <t xml:space="preserve">MON-021</t>
  </si>
  <si>
    <t xml:space="preserve">Змеиный бросок</t>
  </si>
  <si>
    <t xml:space="preserve">ALL(MON-017); BRANCH:B_HUNT</t>
  </si>
  <si>
    <t xml:space="preserve">MON-022</t>
  </si>
  <si>
    <t xml:space="preserve">Последний взгляд</t>
  </si>
  <si>
    <t xml:space="preserve">ALL(MON-018); BRANCH:C_WEAPONS</t>
  </si>
  <si>
    <t xml:space="preserve">Q-MON-007; Q-MON-008</t>
  </si>
  <si>
    <t xml:space="preserve">MON-023</t>
  </si>
  <si>
    <t xml:space="preserve">Ведомый голодом</t>
  </si>
  <si>
    <t xml:space="preserve">MON-020; MON-021; MON-022</t>
  </si>
  <si>
    <t xml:space="preserve">ALL(MON-020,MON-021,MON-022)</t>
  </si>
  <si>
    <t xml:space="preserve">MON-023; MON-024</t>
  </si>
  <si>
    <t xml:space="preserve">Q-MON-009</t>
  </si>
  <si>
    <t xml:space="preserve">MON-027</t>
  </si>
  <si>
    <t xml:space="preserve">Направляй ментально</t>
  </si>
  <si>
    <t xml:space="preserve">Q-MON-078</t>
  </si>
  <si>
    <t xml:space="preserve">MON-028</t>
  </si>
  <si>
    <t xml:space="preserve">Доминантный разум</t>
  </si>
  <si>
    <t xml:space="preserve">A_DOMINANCE</t>
  </si>
  <si>
    <t xml:space="preserve">ALL(MON-027); BRANCH:A_DOMINANCE</t>
  </si>
  <si>
    <t xml:space="preserve">MON-026#READ_THOUGHTS</t>
  </si>
  <si>
    <t xml:space="preserve">Чтение мыслей</t>
  </si>
  <si>
    <t xml:space="preserve">B_SENSES</t>
  </si>
  <si>
    <t xml:space="preserve">ALL(MON-027); BRANCH:B_SENSES; Небоевой узел-предусловие без runtime-команды.</t>
  </si>
  <si>
    <t xml:space="preserve">MON-026</t>
  </si>
  <si>
    <t xml:space="preserve">MON-029</t>
  </si>
  <si>
    <t xml:space="preserve">Рассеянность</t>
  </si>
  <si>
    <t xml:space="preserve">C_CONTROL</t>
  </si>
  <si>
    <t xml:space="preserve">ALL(MON-027); BRANCH:C_CONTROL</t>
  </si>
  <si>
    <t xml:space="preserve">MON-029; MON-030</t>
  </si>
  <si>
    <t xml:space="preserve">Q-MON-010; Q-MON-011</t>
  </si>
  <si>
    <t xml:space="preserve">MON-031</t>
  </si>
  <si>
    <t xml:space="preserve">Ментальный ученик</t>
  </si>
  <si>
    <t xml:space="preserve">ALL(MON-028); BRANCH:A_DOMINANCE</t>
  </si>
  <si>
    <t xml:space="preserve">Q-MON-012</t>
  </si>
  <si>
    <t xml:space="preserve">MON-032</t>
  </si>
  <si>
    <t xml:space="preserve">Превосходство</t>
  </si>
  <si>
    <t xml:space="preserve">ALL(MON-026#READ_THOUGHTS); BRANCH:B_SENSES</t>
  </si>
  <si>
    <t xml:space="preserve">MON-033</t>
  </si>
  <si>
    <t xml:space="preserve">Псионическое разложение</t>
  </si>
  <si>
    <t xml:space="preserve">ALL(MON-029); BRANCH:C_CONTROL</t>
  </si>
  <si>
    <t xml:space="preserve">MON-033; MON-034</t>
  </si>
  <si>
    <t xml:space="preserve">Q-MON-013</t>
  </si>
  <si>
    <t xml:space="preserve">MON-026#DIVERT_ATTENTION</t>
  </si>
  <si>
    <t xml:space="preserve">Отведение внимания</t>
  </si>
  <si>
    <t xml:space="preserve">ALL(MON-031); BRANCH:A_DOMINANCE; Небоевой узел-предусловие без runtime-команды.</t>
  </si>
  <si>
    <t xml:space="preserve">MON-035</t>
  </si>
  <si>
    <t xml:space="preserve">Чужие чувства</t>
  </si>
  <si>
    <t xml:space="preserve">ALL(MON-032); BRANCH:B_SENSES; Исключено из автоматизации Q-MON-014/Q-MON-076.</t>
  </si>
  <si>
    <t xml:space="preserve">Q-MON-014; Q-MON-076</t>
  </si>
  <si>
    <t xml:space="preserve">MON-036</t>
  </si>
  <si>
    <t xml:space="preserve">Отмена действия</t>
  </si>
  <si>
    <t xml:space="preserve">ALL(MON-033); BRANCH:C_CONTROL</t>
  </si>
  <si>
    <t xml:space="preserve">Q-MON-015</t>
  </si>
  <si>
    <t xml:space="preserve">MON-026#PERMANENT_ILLUSION</t>
  </si>
  <si>
    <t xml:space="preserve">Постоянная иллюзия</t>
  </si>
  <si>
    <t xml:space="preserve">ALL(MON-026#DIVERT_ATTENTION); BRANCH:A_DOMINANCE; Небоевой узел-предусловие без runtime-команды.</t>
  </si>
  <si>
    <t xml:space="preserve">MON-037</t>
  </si>
  <si>
    <t xml:space="preserve">Наваждение</t>
  </si>
  <si>
    <t xml:space="preserve">ALL(MON-035); BRANCH:B_SENSES; Узел сохраняется в дереве как manual-only; runtime-команды нет.</t>
  </si>
  <si>
    <t xml:space="preserve">Q-MON-016</t>
  </si>
  <si>
    <t xml:space="preserve">MON-038</t>
  </si>
  <si>
    <t xml:space="preserve">Марионетка</t>
  </si>
  <si>
    <t xml:space="preserve">ALL(MON-036); BRANCH:C_CONTROL</t>
  </si>
  <si>
    <t xml:space="preserve">Q-MON-017; Q-PREDEV-006</t>
  </si>
  <si>
    <t xml:space="preserve">MON-039</t>
  </si>
  <si>
    <t xml:space="preserve">Ментальная паутина</t>
  </si>
  <si>
    <t xml:space="preserve">MON-026#PERMANENT_ILLUSION; MON-037; MON-038</t>
  </si>
  <si>
    <t xml:space="preserve">ALL(MON-026#PERMANENT_ILLUSION,MON-037,MON-038)</t>
  </si>
  <si>
    <t xml:space="preserve">Q-MON-018</t>
  </si>
  <si>
    <t xml:space="preserve">MON-042</t>
  </si>
  <si>
    <t xml:space="preserve">Чумная кровь, чумная плоть</t>
  </si>
  <si>
    <t xml:space="preserve">MON-042; MON-043; MON-044; MON-045; MON-046; MON-047</t>
  </si>
  <si>
    <t xml:space="preserve">Q-MON-019; Q-MON-020; Q-MON-021; Q-MON-022</t>
  </si>
  <si>
    <t xml:space="preserve">MON-048</t>
  </si>
  <si>
    <t xml:space="preserve">Кхе-кхе… Простыл я что-то</t>
  </si>
  <si>
    <t xml:space="preserve">A_EPIDEMIC</t>
  </si>
  <si>
    <t xml:space="preserve">ALL(MON-042); BRANCH:A_EPIDEMIC</t>
  </si>
  <si>
    <t xml:space="preserve">Q-MON-019</t>
  </si>
  <si>
    <t xml:space="preserve">MON-049</t>
  </si>
  <si>
    <t xml:space="preserve">Вы больны, вам нужно отдохнуть</t>
  </si>
  <si>
    <t xml:space="preserve">B_TREATMENT</t>
  </si>
  <si>
    <t xml:space="preserve">ALL(MON-042); BRANCH:B_TREATMENT</t>
  </si>
  <si>
    <t xml:space="preserve">MON-050</t>
  </si>
  <si>
    <t xml:space="preserve">Они вам помогут…</t>
  </si>
  <si>
    <t xml:space="preserve">C_ASSISTANTS</t>
  </si>
  <si>
    <t xml:space="preserve">ALL(MON-042); BRANCH:C_ASSISTANTS</t>
  </si>
  <si>
    <t xml:space="preserve">Q-MON-023</t>
  </si>
  <si>
    <t xml:space="preserve">MON-051</t>
  </si>
  <si>
    <t xml:space="preserve">Не обращайте внимания — я потягиваюсь</t>
  </si>
  <si>
    <t xml:space="preserve">ALL(MON-048); BRANCH:A_EPIDEMIC</t>
  </si>
  <si>
    <t xml:space="preserve">Q-MON-024</t>
  </si>
  <si>
    <t xml:space="preserve">MON-052</t>
  </si>
  <si>
    <t xml:space="preserve">Какое здоровье, какая воля к жизни!</t>
  </si>
  <si>
    <t xml:space="preserve">ALL(MON-049); BRANCH:B_TREATMENT</t>
  </si>
  <si>
    <t xml:space="preserve">MON-053</t>
  </si>
  <si>
    <t xml:space="preserve">Сражайся, больной!</t>
  </si>
  <si>
    <t xml:space="preserve">ALL(MON-050); BRANCH:C_ASSISTANTS</t>
  </si>
  <si>
    <t xml:space="preserve">MON-054</t>
  </si>
  <si>
    <t xml:space="preserve">Масштабная эпидемия</t>
  </si>
  <si>
    <t xml:space="preserve">ALL(MON-051); BRANCH:A_EPIDEMIC</t>
  </si>
  <si>
    <t xml:space="preserve">MON-055</t>
  </si>
  <si>
    <t xml:space="preserve">Вакцинация</t>
  </si>
  <si>
    <t xml:space="preserve">ALL(MON-052); BRANCH:B_TREATMENT</t>
  </si>
  <si>
    <t xml:space="preserve">Q-MON-025</t>
  </si>
  <si>
    <t xml:space="preserve">MON-041#ONE_FAMILY</t>
  </si>
  <si>
    <t xml:space="preserve">Мы — одна семья</t>
  </si>
  <si>
    <t xml:space="preserve">ALL(MON-053); BRANCH:C_ASSISTANTS; Социальная механика исключена, но узел обязателен для слияния.</t>
  </si>
  <si>
    <t xml:space="preserve">MON-041</t>
  </si>
  <si>
    <t xml:space="preserve">MON-056</t>
  </si>
  <si>
    <t xml:space="preserve">Самое надёжное лекарство</t>
  </si>
  <si>
    <t xml:space="preserve">MON-054; MON-055; MON-041#ONE_FAMILY</t>
  </si>
  <si>
    <t xml:space="preserve">ALL(MON-054,MON-055,MON-041#ONE_FAMILY)</t>
  </si>
  <si>
    <t xml:space="preserve">MON-056; MON-057</t>
  </si>
  <si>
    <t xml:space="preserve">MON-058</t>
  </si>
  <si>
    <t xml:space="preserve">Поветрие</t>
  </si>
  <si>
    <t xml:space="preserve">P_PLAGUE</t>
  </si>
  <si>
    <t xml:space="preserve">PLAGUE_DOCTOR_L6_XOR</t>
  </si>
  <si>
    <t xml:space="preserve">ALL(MON-056); XOR:PLAGUE_DOCTOR_L6_XOR; BRANCH:P_PLAGUE; Ветка хранится в дереве, но Windows-автоматизация исключена.</t>
  </si>
  <si>
    <t xml:space="preserve">MON-058; MON-059; MON-060</t>
  </si>
  <si>
    <t xml:space="preserve">Q-MON-026; Q-MON-027; Q-MON-028; Q-MON-029</t>
  </si>
  <si>
    <t xml:space="preserve">MON-061</t>
  </si>
  <si>
    <t xml:space="preserve">Мёртвый вестник</t>
  </si>
  <si>
    <t xml:space="preserve">M_DEAD_HERALD</t>
  </si>
  <si>
    <t xml:space="preserve">ALL(MON-056); XOR:PLAGUE_DOCTOR_L6_XOR; BRANCH:M_DEAD_HERALD</t>
  </si>
  <si>
    <t xml:space="preserve">MON-061; MON-062; MON-063</t>
  </si>
  <si>
    <t xml:space="preserve">MON-064</t>
  </si>
  <si>
    <t xml:space="preserve">Чумные пророки</t>
  </si>
  <si>
    <t xml:space="preserve">ALL(MON-058); BRANCH:P_PLAGUE; Ветка хранится в дереве, но Windows-автоматизация исключена.</t>
  </si>
  <si>
    <t xml:space="preserve">MON-064; MON-065</t>
  </si>
  <si>
    <t xml:space="preserve">Q-MON-031</t>
  </si>
  <si>
    <t xml:space="preserve">MON-066</t>
  </si>
  <si>
    <t xml:space="preserve">Распределение сил</t>
  </si>
  <si>
    <t xml:space="preserve">ALL(MON-061); BRANCH:M_DEAD_HERALD</t>
  </si>
  <si>
    <t xml:space="preserve">MON-066; MON-067</t>
  </si>
  <si>
    <t xml:space="preserve">Q-MON-032</t>
  </si>
  <si>
    <t xml:space="preserve">MON-068</t>
  </si>
  <si>
    <t xml:space="preserve">Чумные зомби</t>
  </si>
  <si>
    <t xml:space="preserve">ALL(MON-064); BRANCH:P_PLAGUE; Ветка хранится в дереве, но Windows-автоматизация исключена.</t>
  </si>
  <si>
    <t xml:space="preserve">MON-068; MON-069; MON-070</t>
  </si>
  <si>
    <t xml:space="preserve">Q-MON-033; Q-MON-034</t>
  </si>
  <si>
    <t xml:space="preserve">MON-073</t>
  </si>
  <si>
    <t xml:space="preserve">Одержимый познанием</t>
  </si>
  <si>
    <t xml:space="preserve">M_L8_OR</t>
  </si>
  <si>
    <t xml:space="preserve">ALL(MON-066); BRANCH:M_L8_OR</t>
  </si>
  <si>
    <t xml:space="preserve">MON-071</t>
  </si>
  <si>
    <t xml:space="preserve">Выжгу до тла</t>
  </si>
  <si>
    <t xml:space="preserve">MON-071; MON-072</t>
  </si>
  <si>
    <t xml:space="preserve">Q-MON-035; Q-MON-036</t>
  </si>
  <si>
    <t xml:space="preserve">Автоматизируемые способности симбионтов</t>
  </si>
  <si>
    <t xml:space="preserve">Только 167 способностей, принятых для исполнения приложением. Флаги Combat/Peace отделены от доступности команды игроку, чтобы пассивы и автотриггеры не становились ручными кнопками.</t>
  </si>
  <si>
    <t xml:space="preserve">AbilityKind</t>
  </si>
  <si>
    <t xml:space="preserve">CombatAllowed</t>
  </si>
  <si>
    <t xml:space="preserve">PlayerCommandCombat</t>
  </si>
  <si>
    <t xml:space="preserve">PeaceAllowed</t>
  </si>
  <si>
    <t xml:space="preserve">PlayerCommandPeace</t>
  </si>
  <si>
    <t xml:space="preserve">CombatBehavior</t>
  </si>
  <si>
    <t xml:space="preserve">PeaceBehavior</t>
  </si>
  <si>
    <t xml:space="preserve">Source Rule IDs</t>
  </si>
  <si>
    <t xml:space="preserve">Priority</t>
  </si>
  <si>
    <t xml:space="preserve">PLAYER_COMMAND</t>
  </si>
  <si>
    <t xml:space="preserve">Разрешается по агрегированным карточкам canonicalBehaviorCards; в бою учитываются указанная цена действий, боевые защиты, координаты и ходы.
[SYM-027] Регенерация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</si>
  <si>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[SYM-027] Регенерация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</si>
  <si>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HYBRID_COMMAND_AND_TRIGGER</t>
  </si>
  <si>
    <t xml:space="preserve">Разрешается по агрегированным карточкам canonicalBehaviorCards; в бою учитываются указанная цена действий, боевые защиты, координаты и ходы.
[SYM-028] Замена органа
Нормативная база (действует во всей непротиворечащей части):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
[Q-SYM-008]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</si>
  <si>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[SYM-028] Замена органа
Нормативная база (действует во всей непротиворечащей части):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
[Q-SYM-008]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</si>
  <si>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Разрешается по агрегированным карточкам canonicalBehaviorCards; в бою учитываются указанная цена действий, боевые защиты, координаты и ходы.
[SYM-029] Внешняя регенерация
R=1: цель теряет 10 HP. R=2–4: нет эффекта. R=5–19: цель восстанавливает 2R HP. R=20: цель восстанавливает 50 HP, все травмы и косметические дефекты, снижающие C.</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</si>
  <si>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[SYM-029] Внешняя регенерация
R=1: цель теряет 10 HP. R=2–4: нет эффекта. R=5–19: цель восстанавливает 2R HP. R=20: цель восстанавливает 50 HP, все травмы и косметические дефекты, снижающие C.</t>
  </si>
  <si>
    <t xml:space="preserve">Разрешается по агрегированным карточкам canonicalBehaviorCards; в бою учитываются указанная цена действий, боевые защиты, координаты и ходы.
[SYM-030] Дублирование органов
Нормативная база (действует во всей непротиворечащей части):
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</si>
  <si>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Игрок не может воспользоваться способностью в мирной ситуации; активная команда доступна только в бою либо эффект не определён вне боя.</t>
  </si>
  <si>
    <t xml:space="preserve">Разрешается по агрегированным карточкам canonicalBehaviorCards; в бою учитываются указанная цена действий, боевые защиты, координаты и ходы.
[SYM-032] Анаболический форсаж
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
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t>
  </si>
  <si>
    <t xml:space="preserve">Мирная атомарная операция по Q-APP-001/002; цена, бросок и положительный эффект — по SYM-032. Натуральная 1 вне боя не исполняется (Q-APP-004).
[SYM-032] Анаболический форсаж
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
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t>
  </si>
  <si>
    <t xml:space="preserve">Разрешается по агрегированным карточкам canonicalBehaviorCards; в бою учитываются указанная цена действий, боевые защиты, координаты и ходы.
[SYM-034] Абсолютная регенерация
Нормативная база (действует во всей непротиворечащей части):
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
[Q-SYM-014]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</si>
  <si>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Разрешается по агрегированным карточкам canonicalBehaviorCards; в бою учитываются указанная цена действий, боевые защиты, координаты и ходы.
[SYM-031] Выстрел регенерона
Нормативная база (действует во всей непротиворечащей части):
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</si>
  <si>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Разрешается по агрегированным карточкам canonicalBehaviorCards; в бою учитываются указанная цена действий, боевые защиты, координаты и ходы.
[SYM-033] Адреналиновая реанимация
Нормативная база (действует во всей непротиворечащей части):
R=2–4: активация неуспешна. R≥5: выполнить попадание и пробитие; если шип достиг плоти, вывести цель из тяжёлого ранения, установить HP=1. R=1: «добить цель».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</si>
  <si>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[SYM-033] Адреналиновая реанимация
Нормативная база (действует во всей непротиворечащей части):
R=2–4: активация неуспешна. R≥5: выполнить попадание и пробитие; если шип достиг плоти, вывести цель из тяжёлого ранения, установить HP=1. R=1: «добить цель».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</si>
  <si>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Разрешается по агрегированным карточкам canonicalBehaviorCards; в бою учитываются указанная цена действий, боевые защиты, координаты и ходы.
[SYM-035] Абсолютная реанимация
Нормативная база (действует во всей непротиворечащей части):
если R=1, цель любой степени повреждения воскресает с I=1 независимо от формулы. Иначе воскрешение успешно только если R − 4T &gt; 0.
Приоритетные авторские дельты (заменяют только прямо пересекающиеся ветви):
[Q-SYM-015]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</si>
  <si>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[SYM-035] Абсолютная реанимация
Нормативная база (действует во всей непротиворечащей части):
если R=1, цель любой степени повреждения воскресает с I=1 независимо от формулы. Иначе воскрешение успешно только если R − 4T &gt; 0.
Приоритетные авторские дельты (заменяют только прямо пересекающиеся ветви):
[Q-SYM-015]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</si>
  <si>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Разрешается по агрегированным карточкам canonicalBehaviorCards; в бою учитываются указанная цена действий, боевые защиты, координаты и ходы.
[SYM-036] Облако регенерона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</si>
  <si>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Разрешается по агрегированным карточкам canonicalBehaviorCards; в бою учитываются указанная цена действий, боевые защиты, координаты и ходы.
[SYM-039] Смертельный яд
Нормативная база (действует во всей непротиворечащей части):
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[SYM-181] Переключение типа яда Тайпана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Нанесение активного яда на предмет или пищу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</si>
  <si>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
[SYM-039] Смертельный яд
Нормативная база (действует во всей непротиворечащей части):
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[SYM-181] Переключение типа яда Тайпана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Нанесение активного яда на предмет или пищу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</si>
  <si>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Разрешается по агрегированным карточкам canonicalBehaviorCards; в бою учитываются указанная цена действий, боевые защиты, координаты и ходы.
[SYM-040] Проницаемая кожа
Нормативная база (действует во всей непротиворечащей части):
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
Приоритетные авторские дельты (заменяют только прямо пересекающиеся ветви):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</si>
  <si>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[SYM-040] Проницаемая кожа
Нормативная база (действует во всей непротиворечащей части):
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
Приоритетные авторские дельты (заменяют только прямо пересекающиеся ветви):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</si>
  <si>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Разрешается по агрегированным карточкам canonicalBehaviorCards; в бою учитываются указанная цена действий, боевые защиты, координаты и ходы.
[SYM-041] Плевок ядом
Нормативная база (действует во всей непротиворечащей части):
R20≥4: выполнить дальнюю атаку; пробитие=R12; если сгусток достиг кожи, наложить текущий яд. R20=2–3: нет эффекта. R20=1: носитель теряет 10 HP.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</si>
  <si>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Разрешается по агрегированным карточкам canonicalBehaviorCards; в бою учитываются указанная цена действий, боевые защиты, координаты и ходы.
[SYM-042] Ослабляющий яд
Нормативная база (действует во всей непротиворечащей части):
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[Q-SYM-019] Сила снижения K рассчитывается как max(0, R20 + L − Z). При K=0 яд считается попавшим, но характеристики цели не изменяются.
[SYM-181] Переключение типа яда Тайпана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Нанесение активного яда на предмет или пищу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</si>
  <si>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
[SYM-042] Ослабляющий яд
Нормативная база (действует во всей непротиворечащей части):
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[Q-SYM-019] Сила снижения K рассчитывается как max(0, R20 + L − Z). При K=0 яд считается попавшим, но характеристики цели не изменяются.
[SYM-181] Переключение типа яда Тайпана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Нанесение активного яда на предмет или пищу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</si>
  <si>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Разрешается по агрегированным карточкам canonicalBehaviorCards; в бою учитываются указанная цена действий, боевые защиты, координаты и ходы.
[SYM-043] Ядовитый шип
Нормативная база (действует во всей непротиворечащей части):
R≥4: дальняя атака, пробитие=R+L, урон=R+L одной проверкой; если нанесён урон, наложить текущий яд. R=2–3: нет эффекта. R=1: Тайпан отключён на 1 час/6 ходов.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</si>
  <si>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Разрешается по агрегированным карточкам canonicalBehaviorCards; в бою учитываются указанная цена действий, боевые защиты, координаты и ходы.
[SYM-044] Кумулятивный шип
Нормативная база (действует во всей непротиворечащей части):
A≥4: пробитие=(A+L)×2, урон=D+L; при нанесении урона наложить текущий яд. A=2–3: нет эффекта. A=1: носитель получает 20 урона и оглушение на 40 минут/3 хода.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</si>
  <si>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Разрешается по агрегированным карточкам canonicalBehaviorCards; в бою учитываются указанная цена действий, боевые защиты, координаты и ходы.
[SYM-045] Парализующий яд
Нормативная база (действует во всей непротиворечащей части):
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
[SYM-181] Переключение типа яда Тайпана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Нанесение активного яда на предмет или пищу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</si>
  <si>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
[SYM-045] Парализующий яд
Нормативная база (действует во всей непротиворечащей части):
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
[SYM-181] Переключение типа яда Тайпана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Нанесение активного яда на предмет или пищу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</si>
  <si>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PASSIVE_OR_AUTOMATIC</t>
  </si>
  <si>
    <t xml:space="preserve">Разрешается по агрегированным карточкам canonicalBehaviorCards; в бою учитываются указанная цена действий, боевые защиты, координаты и ходы.
[SYM-047] Безупречное зрение и подавление Двойного фокуса
Нормативная база (действует во всей непротиворечащей части):
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</si>
  <si>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[SYM-047] Безупречное зрение и подавление Двойного фокуса
Нормативная база (действует во всей непротиворечащей части):
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</si>
  <si>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Разрешается по агрегированным карточкам canonicalBehaviorCards; в бою учитываются указанная цена действий, боевые защиты, координаты и ходы.
[SYM-048] Абсолютное ночное зрение
удалить штраф к осмотру, вызванный временем суток или тёмным помещением.</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</si>
  <si>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[SYM-048] Абсолютное ночное зрение
удалить штраф к осмотру, вызванный временем суток или тёмным помещением.</t>
  </si>
  <si>
    <t xml:space="preserve">Разрешается по агрегированным карточкам canonicalBehaviorCards; в бою учитываются указанная цена действий, боевые защиты, координаты и ходы.
[SYM-049] Абсолютное обоняние
добавить +15.</t>
  </si>
  <si>
    <t xml:space="preserve">Разрешается по агрегированным карточкам canonicalBehaviorCards; в бою учитываются указанная цена действий, боевые защиты, координаты и ходы.
[SYM-050] Абсолютный слух
добавить +15 к слуху.</t>
  </si>
  <si>
    <t xml:space="preserve">Разрешается по агрегированным карточкам canonicalBehaviorCards; в бою учитываются указанная цена действий, боевые защиты, координаты и ходы.
[SYM-051] Звуковая картина
Нормативная база (действует во всей непротиворечащей части):
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</si>
  <si>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[SYM-051] Звуковая картина
Нормативная база (действует во всей непротиворечащей части):
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</si>
  <si>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Разрешается по агрегированным карточкам canonicalBehaviorCards; в бою учитываются указанная цена действий, боевые защиты, координаты и ходы.
[SYM-052] Восприятие хищника
исключить из расчёта все модификаторы маскировки обнаруживаемой цели; саму проверку обнаружения сохранить.</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</si>
  <si>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[SYM-052] Восприятие хищника
исключить из расчёта все модификаторы маскировки обнаруживаемой цели; саму проверку обнаружения сохранить.</t>
  </si>
  <si>
    <t xml:space="preserve">Разрешается по агрегированным карточкам canonicalBehaviorCards; в бою учитываются указанная цена действий, боевые защиты, координаты и ходы.
[SYM-054] Развивайся, ученик
W_bonus=max(0,min(4L,20−W_base)); W=W_base+W_bonus. Если Учитель — единственный симбионт, I_bonus=max(0,min(4L,20−I_base)), I=I_base+I_bonus.</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</si>
  <si>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[SYM-054] Развивайся, ученик
W_bonus=max(0,min(4L,20−W_base)); W=W_base+W_bonus. Если Учитель — единственный симбионт, I_bonus=max(0,min(4L,20−I_base)), I=I_base+I_bonus.</t>
  </si>
  <si>
    <t xml:space="preserve">Игрок не может воспользоваться способностью в боевой ситуации; контекст запрещён.</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</si>
  <si>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[SYM-055] Век живи — век учись
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t>
  </si>
  <si>
    <t xml:space="preserve">Разрешается по агрегированным карточкам canonicalBehaviorCards; в бою учитываются указанная цена действий, боевые защиты, координаты и ходы.
[SYM-056] Практикуйтесь, ученики
каждому прочему симбионту установить currentOE=maxOE.</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</si>
  <si>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[SYM-056] Практикуйтесь, ученики
каждому прочему симбионту установить currentOE=maxOE.</t>
  </si>
  <si>
    <t xml:space="preserve">Разрешается по агрегированным карточкам canonicalBehaviorCards; в бою учитываются указанная цена действий, боевые защиты, координаты и ходы.
[SYM-057] Свети, ученик
Нормативная база (действует во всей непротиворечащей части):
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
Приоритетные авторские дельты (заменяют только прямо пересекающиеся ветви):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</si>
  <si>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Разрешается по агрегированным карточкам canonicalBehaviorCards; в бою учитываются указанная цена действий, боевые защиты, координаты и ходы.
[SYM-058] Берегись невежд, ученик
гарантированно обнаружить всех носителей Трогра в радиусе 5R метров, игнорируя любые препятствия.</t>
  </si>
  <si>
    <t xml:space="preserve">Разрешается по агрегированным карточкам canonicalBehaviorCards; в бою учитываются указанная цена действий, боевые защиты, координаты и ходы.
[SYM-059] Внимай, ученик
Нормативная база (действует во всей непротиворечащей части):
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
Приоритетные авторские дельты (заменяют только прямо пересекающиеся ветви):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</si>
  <si>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[SYM-059] Внимай, ученик
Нормативная база (действует во всей непротиворечащей части):
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
Приоритетные авторские дельты (заменяют только прямо пересекающиеся ветви):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</si>
  <si>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Разрешается по агрегированным карточкам canonicalBehaviorCards; в бою учитываются указанная цена действий, боевые защиты, координаты и ходы.
[SYM-061] Подкожный панцирь
добавить L к броне поражённой зоны, складывая с носимой бронёй.</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</si>
  <si>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[SYM-061] Подкожный панцирь
добавить L к броне поражённой зоны, складывая с носимой бронёй.</t>
  </si>
  <si>
    <t xml:space="preserve">Разрешается по агрегированным карточкам canonicalBehaviorCards; в бою учитываются указанная цена действий, боевые защиты, координаты и ходы.
[SYM-062] Здоров как буйвол
Z = Z_base + L; при гибели/удалении вернуть базовое.</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</si>
  <si>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[SYM-062] Здоров как буйвол
Z = Z_base + L; при гибели/удалении вернуть базовое.</t>
  </si>
  <si>
    <t xml:space="preserve">Разрешается по агрегированным карточкам canonicalBehaviorCards; в бою учитываются указанная цена действий, боевые защиты, координаты и ходы.
[SYM-063] Не вырубишь!
отменить наложение оглушения.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</si>
  <si>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[SYM-063] Не вырубишь!
отменить наложение оглушения.</t>
  </si>
  <si>
    <t xml:space="preserve">Разрешается по агрегированным карточкам canonicalBehaviorCards; в бою учитываются указанная цена действий, боевые защиты, координаты и ходы.
[SYM-064] Не подчиняюсь!
добавить +5.</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</si>
  <si>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[SYM-064] Не подчиняюсь!
добавить +5.</t>
  </si>
  <si>
    <t xml:space="preserve">Разрешается по агрегированным карточкам canonicalBehaviorCards; в бою учитываются указанная цена действий, боевые защиты, координаты и ходы.
[SYM-065] Не сдвинешь!
добавить +10.</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</si>
  <si>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[SYM-065] Не сдвинешь!
добавить +10.</t>
  </si>
  <si>
    <t xml:space="preserve">Разрешается по агрегированным карточкам canonicalBehaviorCards; в бою учитываются указанная цена действий, боевые защиты, координаты и ходы.
[SYM-066] Поднять щиты!
Нормативная база (действует во всей непротиворечащей части):
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
Приоритетные авторские дельты (заменяют только прямо пересекающиеся ветви):
[Q-SYM-026]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</si>
  <si>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Разрешается по агрегированным карточкам canonicalBehaviorCards; в бою учитываются указанная цена действий, боевые защиты, координаты и ходы.
[SYM-068] Горючая слюна
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</si>
  <si>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[SYM-068] Горючая слюна
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</si>
  <si>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Разрешается по агрегированным карточкам canonicalBehaviorCards; в бою учитываются указанная цена действий, боевые защиты, координаты и ходы.
[SYM-069] Огнеупорная глотка
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Приоритетные авторские дельты (заменяют только прямо пересекающиеся ветви):
[Q-SYM-028]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</si>
  <si>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[SYM-069] Огнеупорная глотка
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Приоритетные авторские дельты (заменяют только прямо пересекающиеся ветви):
[Q-SYM-028]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</si>
  <si>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Разрешается по агрегированным карточкам canonicalBehaviorCards; в бою учитываются указанная цена действий, боевые защиты, координаты и ходы.
[SYM-070] Зубы-огниво
гарантированно зажечь слюну без проверки.</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</si>
  <si>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[SYM-070] Зубы-огниво
гарантированно зажечь слюну без проверки.</t>
  </si>
  <si>
    <t xml:space="preserve">Разрешается по агрегированным карточкам canonicalBehaviorCards; в бою учитываются указанная цена действий, боевые защиты, координаты и ходы.
[SYM-071] Нагнетатель давления
Нормативная база (действует во всей непротиворечащей части):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</si>
  <si>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Разрешается по агрегированным карточкам canonicalBehaviorCards; в бою учитываются указанная цена действий, боевые защиты, координаты и ходы.
[SYM-072] Долгое горение
Нормативная база (действует во всей непротиворечащей части):
заменить стартовую длительность на 6 ходов.
Приоритетные авторские дельты (заменяют только прямо пересекающиеся ветви):
[Q-SYM-077]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</si>
  <si>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[SYM-072] Долгое горение
Нормативная база (действует во всей непротиворечащей части):
заменить стартовую длительность на 6 ходов.
Приоритетные авторские дельты (заменяют только прямо пересекающиеся ветви):
[Q-SYM-077]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</si>
  <si>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Разрешается по агрегированным карточкам canonicalBehaviorCards; в бою учитываются указанная цена действий, боевые защиты, координаты и ходы.
[SYM-073] Огненный шар
Нормативная база (действует во всей непротиворечащей части):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
Приоритетные авторские дельты (заменяют только прямо пересекающиеся ветви):
[Q-SYM-030]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</si>
  <si>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Разрешается по агрегированным карточкам canonicalBehaviorCards; в бою учитываются указанная цена действий, боевые защиты, координаты и ходы.
[SYM-076] Трогровость
Нормативная база (действует во всей непротиворечащей части):
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Приоритетные авторские дельты (заменяют только прямо пересекающиеся ветви):
[Q-SYM-032]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</si>
  <si>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[SYM-076] Трогровость
Нормативная база (действует во всей непротиворечащей части):
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Приоритетные авторские дельты (заменяют только прямо пересекающиеся ветви):
[Q-SYM-032]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</si>
  <si>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Разрешается по агрегированным карточкам canonicalBehaviorCards; в бою учитываются указанная цена действий, боевые защиты, координаты и ходы.
[SYM-077] Трогр крушить!
Нормативная база (действует во всей непротиворечащей части):
бонус к S = floor(totalLostHP/10); сбросить в конце схватки.
Приоритетные авторские дельты (заменяют только прямо пересекающиеся ветви):
[Q-SYM-033]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</si>
  <si>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Разрешается по агрегированным карточкам canonicalBehaviorCards; в бою учитываются указанная цена действий, боевые защиты, координаты и ходы.
[SYM-078] WAAAGH!!!
Нормативная база (действует во всей непротиворечащей части):
если A≤B, нет эффекта. Разница 1–8: глухота 30 минут/6 ходов. 9–18: глухота + «страх» (−1 действие в серии) на тот же срок. &gt;18: бессознательность 5 минут/1 ход.
Приоритетные авторские дельты (заменяют только прямо пересекающиеся ветви):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</si>
  <si>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Разрешается по агрегированным карточкам canonicalBehaviorCards; в бою учитываются указанная цена действий, боевые защиты, координаты и ходы.
[SYM-079] Мой дубина — твой башка!
если навыка нет — выдать высокий уровень без занятия слота; если есть — повысить на 3, не выше абсолютного.</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</si>
  <si>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[SYM-079] Мой дубина — твой башка!
если навыка нет — выдать высокий уровень без занятия слота; если есть — повысить на 3, не выше абсолютного.</t>
  </si>
  <si>
    <t xml:space="preserve">Разрешается по агрегированным карточкам canonicalBehaviorCards; в бою учитываются указанная цена действий, боевые защиты, координаты и ходы.
[SYM-080] ЫЫЫ…
Нормативная база (действует во всей непротиворечащей части):
если итог &lt;10, носитель не чувствует боль любой силы и отключает эффект «Трогр крушить!».
Приоритетные авторские дельты (заменяют только прямо пересекающиеся ветви):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</si>
  <si>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Разрешается по агрегированным карточкам canonicalBehaviorCards; в бою учитываются указанная цена действий, боевые защиты, координаты и ходы.
[SYM-081] Утолщённые кости
добавить +4 к спасброску брони; сложить с носимыми доспехами.</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</si>
  <si>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[SYM-081] Утолщённые кости
добавить +4 к спасброску брони; сложить с носимыми доспехами.</t>
  </si>
  <si>
    <t xml:space="preserve">Разрешается по агрегированным карточкам canonicalBehaviorCards; в бою учитываются указанная цена действий, боевые защиты, координаты и ходы.
[SYM-082] Гениальная тупость
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</si>
  <si>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[SYM-082] Гениальная тупость
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t>
  </si>
  <si>
    <t xml:space="preserve">Разрешается по агрегированным карточкам canonicalBehaviorCards; в бою учитываются указанная цена действий, боевые защиты, координаты и ходы.
[SYM-084] Резервная копия: выход и параметры вне тела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
[SYM-085] Резервная копия: захват нового тела
Нормативная база (действует во всей непротиворечащей части):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Приоритетные авторские дельты (заменяют только прямо пересекающиеся ветви):
[Q-SYM-036]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</si>
  <si>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[SYM-084] Резервная копия: выход и параметры вне тела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
[SYM-085] Резервная копия: захват нового тела
Нормативная база (действует во всей непротиворечащей части):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Приоритетные авторские дельты (заменяют только прямо пересекающиеся ветви):
[Q-SYM-036]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</si>
  <si>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Разрешается по агрегированным карточкам canonicalBehaviorCards; в бою учитываются указанная цена действий, боевые защиты, координаты и ходы.
[SYM-086] Парализующее жало
выполнить атаку; пробитие=R12; если броня пробита и R20+10&gt;Z_target, полностью обездвижить цель на 2 хода/2 минуты.</t>
  </si>
  <si>
    <t xml:space="preserve">Разрешается по агрегированным карточкам canonicalBehaviorCards; в бою учитываются указанная цена действий, боевые защиты, координаты и ходы.
[SYM-087] Оценка тела
Нормативная база (действует во всей непротиворечащей части):
R≥5: раскрыть S,D,M,Z цели; R=2–4: данных нет; R=1: дополнительно потерять 100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</si>
  <si>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[SYM-087] Оценка тела
Нормативная база (действует во всей непротиворечащей части):
R≥5: раскрыть S,D,M,Z цели; R=2–4: данных нет; R=1: дополнительно потерять 100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</si>
  <si>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Разрешается по агрегированным карточкам canonicalBehaviorCards; в бою учитываются указанная цена действий, боевые защиты, координаты и ходы.
[SYM-088] Присоски и коготки
разрешить безопасное перемещение по любой поверхности в любой плоскости, включая стены и потолок.</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</si>
  <si>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[SYM-088] Присоски и коготки
разрешить безопасное перемещение по любой поверхности в любой плоскости, включая стены и потолок.</t>
  </si>
  <si>
    <t xml:space="preserve">Разрешается по агрегированным карточкам canonicalBehaviorCards; в бою учитываются указанная цена действий, боевые защиты, координаты и ходы.
[SYM-089] Маскировка «Хамелеон» Хранителя
Нормативная база (действует во всей непротиворечащей части):
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</si>
  <si>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[SYM-089] Маскировка «Хамелеон» Хранителя
Нормативная база (действует во всей непротиворечащей части):
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</si>
  <si>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Разрешается по агрегированным карточкам canonicalBehaviorCards; в бою учитываются указанная цена действий, боевые защиты, координаты и ходы.
[SYM-090] Кромсатель
заменить формулу максимума на maxOE=200×L; текущий ОЭ не восстанавливать.</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</si>
  <si>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[SYM-090] Кромсатель
заменить формулу максимума на maxOE=200×L; текущий ОЭ не восстанавливать.</t>
  </si>
  <si>
    <t xml:space="preserve">Разрешается по агрегированным карточкам canonicalBehaviorCards; в бою учитываются указанная цена действий, боевые защиты, координаты и ходы.
[SYM-091] Крылья Хранителя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Приоритетные авторские дельты (заменяют только прямо пересекающиеся ветви):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Финальная приоритетная нормализация:
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</si>
  <si>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[SYM-091] Крылья Хранителя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Приоритетные авторские дельты (заменяют только прямо пересекающиеся ветви):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Финальная приоритетная нормализация:
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</si>
  <si>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Разрешается по агрегированным карточкам canonicalBehaviorCards; в бою учитываются указанная цена действий, боевые защиты, координаты и ходы.
[SYM-093] Попутчики
Нормативная база (действует во всей непротиворечащей части):
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
Приоритетные авторские дельты (заменяют только прямо пересекающиеся ветви):
[Q-SYM-039]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t>
  </si>
  <si>
    <t xml:space="preserve">Разрешается по агрегированным карточкам canonicalBehaviorCards; в бою учитываются указанная цена действий, боевые защиты, координаты и ходы.
[SYM-094] Кислотная пушка
Нормативная база (действует во всей непротиворечащей части):
A≥3: стандартная дальняя атака, пробитие=A, урон=D+L; A=2: нет эффекта; A=1: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</si>
  <si>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Разрешается по агрегированным карточкам canonicalBehaviorCards; в бою учитываются указанная цена действий, боевые защиты, координаты и ходы.
[SYM-096] Личность Советника
Нормативная база (действует во всей непротиворечащей части):
определить собственные I=R20+8, затем W=отдельный R20+8; игрок выбирает отдельный набор навыков; число слотов рассчитывается по W Советника как у носителя.
Приоритетные авторские дельты (заменяют только прямо пересекающиеся ветви):
[Q-SYM-040] 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</si>
  <si>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[SYM-096] Личность Советника
Нормативная база (действует во всей непротиворечащей части):
определить собственные I=R20+8, затем W=отдельный R20+8; игрок выбирает отдельный набор навыков; число слотов рассчитывается по W Советника как у носителя.
Приоритетные авторские дельты (заменяют только прямо пересекающиеся ветви):
[Q-SYM-040] 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</si>
  <si>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Разрешается по агрегированным карточкам canonicalBehaviorCards; в бою учитываются указанная цена действий, боевые защиты, координаты и ходы.
[SYM-097] Я здесь самый умный
I_adviser=I_base+L.</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</si>
  <si>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[SYM-097] Я здесь самый умный
I_adviser=I_base+L.</t>
  </si>
  <si>
    <t xml:space="preserve">Разрешается по агрегированным карточкам canonicalBehaviorCards; в бою учитываются указанная цена действий, боевые защиты, координаты и ходы.
[SYM-098] Доступ к органам чувств
разрешить Советнику отдельную от носителя проверку восприятия.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</si>
  <si>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[SYM-098] Доступ к органам чувств
разрешить Советнику отдельную от носителя проверку восприятия.</t>
  </si>
  <si>
    <t xml:space="preserve">Разрешается по агрегированным карточкам canonicalBehaviorCards; в бою учитываются указанная цена действий, боевые защиты, координаты и ходы.
[SYM-099] Принимаю управление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Приоритетные авторские дельты (заменяют только прямо пересекающиеся ветви):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</si>
  <si>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[SYM-099] Принимаю управление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Приоритетные авторские дельты (заменяют только прямо пересекающиеся ветви):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</si>
  <si>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Разрешается по агрегированным карточкам canonicalBehaviorCards; в бою учитываются указанная цена действий, боевые защиты, координаты и ходы.
[SYM-100] Система устойчивости
автоматически передать управление Советнику без расхода ОЭ до возвращения ясного сознания носителя.</t>
  </si>
  <si>
    <t xml:space="preserve">Разрешается по агрегированным карточкам canonicalBehaviorCards; в бою учитываются указанная цена действий, боевые защиты, координаты и ходы.
[SYM-101] Дар мудрости
Нормативная база (действует во всей непротиворечащей части):
передать интеллект Советника на одну проверку, затем отключить Советника на 12 часов.
Приоритетные авторские дельты (заменяют только прямо пересекающиеся ветви):
[Q-SYM-042]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</si>
  <si>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[SYM-101] Дар мудрости
Нормативная база (действует во всей непротиворечащей части):
передать интеллект Советника на одну проверку, затем отключить Советника на 12 часов.
Приоритетные авторские дельты (заменяют только прямо пересекающиеся ветви):
[Q-SYM-042]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</si>
  <si>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Разрешается по агрегированным карточкам canonicalBehaviorCards; в бою учитываются указанная цена действий, боевые защиты, координаты и ходы.
[SYM-103] Кровопийца
Нормативная база (действует во всей непротиворечащей части):
добавить L к урону.
Приоритетные авторские дельты (заменяют только прямо пересекающиеся ветви):
[Q-SYM-043]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t>
  </si>
  <si>
    <t xml:space="preserve">Разрешается по агрегированным карточкам canonicalBehaviorCards; в бою учитываются указанная цена действий, боевые защиты, координаты и ходы.
[SYM-104] Вкус крови
Нормативная база (действует во всей непротиворечащей части):
без проверки раскрыть расу, значения всех характеристик, навыки, виды и уровни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</si>
  <si>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[SYM-104] Вкус крови
Нормативная база (действует во всей непротиворечащей части):
без проверки раскрыть расу, значения всех характеристик, навыки, виды и уровни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</si>
  <si>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Разрешается по агрегированным карточкам canonicalBehaviorCards; в бою учитываются указанная цена действий, боевые защиты, координаты и ходы.
[SYM-105] Выстрел кровью
R≥3: стандартная дальняя атака, пробитие=R+L, урон=R+L одной проверкой. R=2: нет эффекта. R=1: Клещ отключён на 1 час/6 ходов.</t>
  </si>
  <si>
    <t xml:space="preserve">Разрешается по агрегированным карточкам canonicalBehaviorCards; в бою учитываются указанная цена действий, боевые защиты, координаты и ходы.
[SYM-106] Выпустить когти
Нормативная база (действует во всей непротиворечащей части):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
Приоритетные авторские дельты (заменяют только прямо пересекающиеся ветви):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</si>
  <si>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[SYM-106] Выпустить когти
Нормативная база (действует во всей непротиворечащей части):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
Приоритетные авторские дельты (заменяют только прямо пересекающиеся ветви):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</si>
  <si>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Разрешается по агрегированным карточкам canonicalBehaviorCards; в бою учитываются указанная цена действий, боевые защиты, координаты и ходы.
[SYM-107] Гарпун
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
Приоритетные авторские дельты (заменяют только прямо пересекающиеся ветви):
[Q-SYM-045]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</si>
  <si>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Разрешается по агрегированным карточкам canonicalBehaviorCards; в бою учитываются указанная цена действий, боевые защиты, координаты и ходы.
[SYM-108] Я — сила
S=S_base+L; при гибели/удалении вернуть базовую.</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</si>
  <si>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[SYM-108] Я — сила
S=S_base+L; при гибели/удалении вернуть базовую.</t>
  </si>
  <si>
    <t xml:space="preserve">Разрешается по агрегированным карточкам canonicalBehaviorCards; в бою учитываются указанная цена действий, боевые защиты, координаты и ходы.
[SYM-110] Ноги сверчка
для защиты ноги добавить спасбросок R20, складывающийся с носимой бронёй; к прыжкам добавить +L.</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</si>
  <si>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[SYM-110] Ноги сверчка
для защиты ноги добавить спасбросок R20, складывающийся с носимой бронёй; к прыжкам добавить +L.</t>
  </si>
  <si>
    <t xml:space="preserve">Разрешается по агрегированным карточкам canonicalBehaviorCards; в бою учитываются указанная цена действий, боевые защиты, координаты и ходы.
[SYM-111] Чувствительные усы
добавить +5; электрические и поверхностные колебания доступны как сенсорные каналы.</t>
  </si>
  <si>
    <t xml:space="preserve">Разрешается по агрегированным карточкам canonicalBehaviorCards; в бою учитываются указанная цена действий, боевые защиты, координаты и ходы.
[SYM-112] Заряженный прыжок
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Приоритетные авторские дельты (заменяют только прямо пересекающиеся ветви):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t>
  </si>
  <si>
    <t xml:space="preserve">Разрешается по агрегированным карточкам canonicalBehaviorCards; в бою учитываются указанная цена действий, боевые защиты, координаты и ходы.
[SYM-113] Маскировка под растение
добавить +5 к скрытности; снять эффект при движении или применении любой другой способности симбионта.</t>
  </si>
  <si>
    <t xml:space="preserve">Разрешается по агрегированным карточкам canonicalBehaviorCards; в бою учитываются указанная цена действий, боевые защиты, координаты и ходы.
[SYM-114] Крылья Сверчка
Нормативная база (действует во всей непротиворечащей части):
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
Приоритетные авторские дельты (заменяют только прямо пересекающиеся ветви):
[Q-SYM-047]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</si>
  <si>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Разрешается по агрегированным карточкам canonicalBehaviorCards; в бою учитываются указанная цена действий, боевые защиты, координаты и ходы.
[SYM-115] Активные пилы
считать ноги оружием; пробитие=R20+L; урон=отдельный R20+2L; S модифицирует урон, D — точность, рукопашный бой — общий; без навыка штраф не применять.</t>
  </si>
  <si>
    <t xml:space="preserve">Только вне боя. Игрок запускает команду и мгновенно получает ровно один служебный предмет WEB_ITEM. Игровое и реальное время не продвигается; длина, объём и масса не моделируются. Предмет хранится в обычном инвентаре, не участвует в расчёте нагрузки/вместимости; отдельные экземпляры не сливаются автоматически. Снимок уровня сохраняет расчётную прочность 20×L кг и липкость 5×L кг/см². После удаления Паука готовый предмет сохраняется.
Обычный инвентарь; передача/выбрасывание/мародёрство разрешены общими операциями. Готовый предмет сохраняется после удаления Паука.</t>
  </si>
  <si>
    <t xml:space="preserve">Разрешается по агрегированным карточкам canonicalBehaviorCards; в бою учитываются указанная цена действий, боевые защиты, координаты и ходы.
[SYM-118] Перемещение по паутине
разрешить безопасное движение по паутине в любых направлениях, независимо от создателя нити.</t>
  </si>
  <si>
    <t xml:space="preserve">Разрешается по агрегированным карточкам canonicalBehaviorCards; в бою учитываются указанная цена действий, боевые защиты, координаты и ходы.
[SYM-120] Выстрел паутиной
Нормативная база (действует во всей непротиворечащей части):
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</si>
  <si>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Разрешается по агрегированным карточкам canonicalBehaviorCards; в бою учитываются указанная цена действий, боевые защиты, координаты и ходы.
[SYM-121] Ловчая сеть
Нормативная база (действует во всей непротиворечащей части):
R≥3: выстрелить сетью 2×2 м; при попадании цель получает −5 ко всем проверкам до освобождения. R=2: нет эффекта. R=1: руки носителя скованы на 20 минут/4 хода.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</si>
  <si>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Разрешается по агрегированным карточкам canonicalBehaviorCards; в бою учитываются указанная цена действий, боевые защиты, координаты и ходы.
[SYM-122] Паучья ловкость
D=D_base+L; при гибели/удалении вернуть базовую.</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</si>
  <si>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[SYM-122] Паучья ловкость
D=D_base+L; при гибели/удалении вернуть базовую.</t>
  </si>
  <si>
    <t xml:space="preserve">Разрешается по агрегированным карточкам canonicalBehaviorCards; в бою учитываются указанная цена действий, боевые защиты, координаты и ходы.
[SYM-124] Статическая маскировка
Нормативная база (действует во всей непротиворечащей части):
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</si>
  <si>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Разрешается по агрегированным карточкам canonicalBehaviorCards; в бою учитываются указанная цена действий, боевые защиты, координаты и ходы.
[SYM-125] Атака из засады
Нормативная база (действует во всей непротиворечащей части):
добавить +L к меткости.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</si>
  <si>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Разрешается по агрегированным карточкам canonicalBehaviorCards; в бою учитываются указанная цена действий, боевые защиты, координаты и ходы.
[SYM-126] Двойной фокус внимания
Нормативная база (действует во всей непротиворечащей части):
добавить +L.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</si>
  <si>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[SYM-126] Двойной фокус внимания
Нормативная база (действует во всей непротиворечащей части):
добавить +L.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</si>
  <si>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Разрешается по агрегированным карточкам canonicalBehaviorCards; в бою учитываются указанная цена действий, боевые защиты, координаты и ходы.
[SYM-127] Динамическая маскировка
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t>
  </si>
  <si>
    <t xml:space="preserve">Разрешается по агрегированным карточкам canonicalBehaviorCards; в бою учитываются указанная цена действий, боевые защиты, координаты и ходы.
[SYM-128] Сокрытие оружия
не применять штраф/деление эффекта за крупные предметы; распространять маскировку на любые удерживаемые объекты.</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</si>
  <si>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[SYM-128] Сокрытие оружия
не применять штраф/деление эффекта за крупные предметы; распространять маскировку на любые удерживаемые объекты.</t>
  </si>
  <si>
    <t xml:space="preserve">Разрешается по агрегированным карточкам canonicalBehaviorCards; в бою учитываются указанная цена действий, боевые защиты, координаты и ходы.
[SYM-129] Внешняя фотосеть
Нормативная база (действует во всей непротиворечащей части):
дать всем живым объектам в радиусе 4 м +L к скрытности.
Приоритетные авторские дельты (заменяют только прямо пересекающиеся ветви):
[Q-SYM-052]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</si>
  <si>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Разрешается по агрегированным карточкам canonicalBehaviorCards; в бою учитываются указанная цена действий, боевые защиты, координаты и ходы.
[SYM-131] Базовый режим феромонов
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</si>
  <si>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[SYM-131] Базовый режим феромонов
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</si>
  <si>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Разрешается по агрегированным карточкам canonicalBehaviorCards; в бою учитываются указанная цена действий, боевые защиты, координаты и ходы.
[SYM-132] Чёрно-белая ярость
Нормативная база (действует во всей непротиворечащей части):
R≥4: цель получает +L S и +L D на R/5 минут/ходов. R=2–3: нет эффекта. R=1: цель в течение 1 хода пытается убить носителя Пингвина.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</si>
  <si>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Разрешается по агрегированным карточкам canonicalBehaviorCards; в бою учитываются указанная цена действий, боевые защиты, координаты и ходы.
[SYM-133] Чёрно-белый контроль
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</si>
  <si>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[SYM-133] Чёрно-белый контроль
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</si>
  <si>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Разрешается по агрегированным карточкам canonicalBehaviorCards; в бою учитываются указанная цена действий, боевые защиты, координаты и ходы.
[SYM-134] Чёрно-белое смещение
Нормативная база (действует во всей непротиворечащей части):
A≥3: на A/4 минут/ходов увеличить радиус феромонов и дальность способностей на B метров. A=2: нет эффекта. A=1: запретить выработку феромонов на 3 часа.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</si>
  <si>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Разрешается по агрегированным карточкам canonicalBehaviorCards; в бою учитываются указанная цена действий, боевые защиты, координаты и ходы.
[SYM-135] Чёрно-белое доминирование
Нормативная база (действует во всей непротиворечащей части):
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</si>
  <si>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[SYM-135] Чёрно-белое доминирование
Нормативная база (действует во всей непротиворечащей части):
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</si>
  <si>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Разрешается по агрегированным карточкам canonicalBehaviorCards; в бою учитываются указанная цена действий, боевые защиты, координаты и ходы.
[SYM-137] Контактный шокер
Нормативная база (действует во всей непротиворечащей части):
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
Приоритетные авторские дельты (заменяют только прямо пересекающиеся ветви):
[Q-SYM-056] 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</si>
  <si>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Разрешается по агрегированным карточкам canonicalBehaviorCards; в бою учитываются указанная цена действий, боевые защиты, координаты и ходы.
[SYM-138] Проводник
добавить +L к урону.</t>
  </si>
  <si>
    <t xml:space="preserve">Разрешается по агрегированным карточкам canonicalBehaviorCards; в бою учитываются указанная цена действий, боевые защиты, координаты и ходы.
[SYM-139] Электрическая дуга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
Приоритетные авторские дельты (заменяют только прямо пересекающиеся ветви):
[Q-SYM-057]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</si>
  <si>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Разрешается по агрегированным карточкам canonicalBehaviorCards; в бою учитываются указанная цена действий, боевые защиты, координаты и ходы.
[SYM-140] Шаровая молния
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t>
  </si>
  <si>
    <t xml:space="preserve">Разрешается по агрегированным карточкам canonicalBehaviorCards; в бою учитываются указанная цена действий, боевые защиты, координаты и ходы.
[SYM-141] Молния
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t>
  </si>
  <si>
    <t xml:space="preserve">Разрешается по агрегированным карточкам canonicalBehaviorCards; в бою учитываются указанная цена действий, боевые защиты, координаты и ходы.
[SYM-142] Цепная молния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
Приоритетные авторские дельты (заменяют только прямо пересекающиеся ветви):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</si>
  <si>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Разрешается по агрегированным карточкам canonicalBehaviorCards; в бою учитываются указанная цена действий, боевые защиты, координаты и ходы.
[SYM-144] Иммунитет к ядам
отменить урон от яда; отменить эффекты контроля, вызванные ядами или отварами, включая обезболивание.</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</si>
  <si>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[SYM-144] Иммунитет к ядам
отменить урон от яда; отменить эффекты контроля, вызванные ядами или отварами, включая обезболивание.</t>
  </si>
  <si>
    <t xml:space="preserve">Разрешается по агрегированным карточкам canonicalBehaviorCards; в бою учитываются указанная цена действий, боевые защиты, координаты и ходы.
[SYM-145] Оптимизация метаболизма
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t>
  </si>
  <si>
    <t xml:space="preserve">Разрешается по агрегированным карточкам canonicalBehaviorCards; в бою учитываются указанная цена действий, боевые защиты, координаты и ходы.
[SYM-147] Язык жабы
Нормативная база (действует во всей непротиворечащей части):
при успешном касании доставить текущий яд; язык нельзя захватить.
Приоритетные авторские дельты (заменяют только прямо пересекающиеся ветви):
[Q-SYM-059] В Windows-приложении мы не обрабатываем этот эффект</t>
  </si>
  <si>
    <t xml:space="preserve">Разрешается по агрегированным карточкам canonicalBehaviorCards; в бою учитываются указанная цена действий, боевые защиты, координаты и ходы.
[SYM-148] На, держи
отключить всех симбионтов цели на 5 минут/1 ход.</t>
  </si>
  <si>
    <t xml:space="preserve">Разрешается по агрегированным карточкам canonicalBehaviorCards; в бою учитываются указанная цена действий, боевые защиты, координаты и ходы.
[SYM-149] Живучесть жабы
maxHP +=10L; при гибели/удалении убрать бонус и ограничить текущий HP новым максимумом по общему правилу.</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</si>
  <si>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[SYM-149] Живучесть жабы
maxHP +=10L; при гибели/удалении убрать бонус и ограничить текущий HP новым максимумом по общему правилу.</t>
  </si>
  <si>
    <t xml:space="preserve">Разрешается по агрегированным карточкам canonicalBehaviorCards; в бою учитываются указанная цена действий, боевые защиты, координаты и ходы.
[SYM-150] Амфибиоморфная асфиксия
при успешном попадании и пробитии поставить таймер; по истечении сравнить результаты. Если R20+5 &gt; checkM_target, цель теряет сознание на 5 минут/1 ход.</t>
  </si>
  <si>
    <t xml:space="preserve">Разрешается по агрегированным карточкам canonicalBehaviorCards; в бою учитываются указанная цена действий, боевые защиты, координаты и ходы.
[SYM-152] Самостоятельность: выход и боевой субъект
Нормативная база (действует во всей непротиворечащей части):
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
Приоритетные авторские дельты (заменяют только прямо пересекающиеся ветви):
[Q-SYM-060]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
[SYM-153] Самостоятельность: гибель и перерождение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</si>
  <si>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[SYM-152] Самостоятельность: выход и боевой субъект
Нормативная база (действует во всей непротиворечащей части):
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
Приоритетные авторские дельты (заменяют только прямо пересекающиеся ветви):
[Q-SYM-060]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
[SYM-153] Самостоятельность: гибель и перерождение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</si>
  <si>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Разрешается по агрегированным карточкам canonicalBehaviorCards; в бою учитываются указанная цена действий, боевые защиты, координаты и ходы.
[SYM-154] Я буду твоими глазами
Нормативная база (действует во всей непротиворечащей части):
немедленно сделать информацию доступной носителю.
Приоритетные авторские дельты (заменяют только прямо пересекающиеся ветви):
[Q-SYM-061] Не ограничена</t>
  </si>
  <si>
    <t xml:space="preserve">Разрешается по агрегированным карточкам canonicalBehaviorCards; в бою учитываются указанная цена действий, боевые защиты, координаты и ходы.
[SYM-155] Ловкость крысы
добавить бонус 2L; итоговая D Крысы при отсутствии иных модификаторов =4L.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</si>
  <si>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[SYM-155] Ловкость крысы
добавить бонус 2L; итоговая D Крысы при отсутствии иных модификаторов =4L.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</si>
  <si>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Разрешается по агрегированным карточкам canonicalBehaviorCards; в бою учитываются указанная цена действий, боевые защиты, координаты и ходы.
[SYM-156] Переносчик заразы
добавить +L к урону укуса.</t>
  </si>
  <si>
    <t xml:space="preserve">Разрешается по агрегированным карточкам canonicalBehaviorCards; в бою учитываются указанная цена действий, боевые защиты, координаты и ходы.
[SYM-157] Первый среди равных: стая
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</si>
  <si>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Разрешается по агрегированным карточкам canonicalBehaviorCards; в бою учитываются указанная цена действий, боевые защиты, координаты и ходы.
[SYM-158] Подобное к подобному
прямой урон R20+L, пробитие L; считать рукопашной атакой; разрешить как опцию после захвата в борьбе.</t>
  </si>
  <si>
    <t xml:space="preserve">Разрешается по агрегированным карточкам canonicalBehaviorCards; в бою учитываются указанная цена действий, боевые защиты, координаты и ходы.
[SYM-159] Крысиный король
Нормативная база (действует во всей непротиворечащей части):
заменить порог отступления 30% на 60% исходного состава.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</si>
  <si>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Разрешается по агрегированным карточкам canonicalBehaviorCards; в бою учитываются указанная цена действий, боевые защиты, координаты и ходы.
[SYM-160] Ретранслятор
сохранить контроль за носителем на сутки; стая выполняет приказ невзирая на любые потери; по окончании стая неизбежно разбегается.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</si>
  <si>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[SYM-160] Ретранслятор
сохранить контроль за носителем на сутки; стая выполняет приказ невзирая на любые потери; по окончании стая неизбежно разбегается.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</si>
  <si>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Разрешается по агрегированным карточкам canonicalBehaviorCards; в бою учитываются указанная цена действий, боевые защиты, координаты и ходы.
[SYM-162] Трансцендентность
повысить I на 5L, но не выше 30; при удалении/гибели вернуть исходное.</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</si>
  <si>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[SYM-162] Трансцендентность
повысить I на 5L, но не выше 30; при удалении/гибели вернуть исходное.</t>
  </si>
  <si>
    <t xml:space="preserve">Разрешается по агрегированным карточкам canonicalBehaviorCards; в бою учитываются указанная цена действий, боевые защиты, координаты и ходы.
[SYM-163] Эхолокация
Нормативная база (действует во всей непротиворечащей части):
если объект под водой — гарантированно получить план местности/объектов; иначе успех, если R20 &gt; 12−L.
Приоритетные авторские дельты (заменяют только прямо пересекающиеся ветви):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</si>
  <si>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Разрешается по агрегированным карточкам canonicalBehaviorCards; в бою учитываются указанная цена действий, боевые защиты, координаты и ходы.
[SYM-164] Море — второй дом
добавить 30 минут к максимальной задержке дыхания; +10 к плаванию.</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</si>
  <si>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[SYM-164] Море — второй дом
добавить 30 минут к максимальной задержке дыхания; +10 к плаванию.</t>
  </si>
  <si>
    <t xml:space="preserve">Разрешается по агрегированным карточкам canonicalBehaviorCards; в бою учитываются указанная цена действий, боевые защиты, координаты и ходы.
[SYM-165] Ментальный компас: боевая часть
добавить +10; при успешной защите гарантированно раскрыть источник и его местоположение.</t>
  </si>
  <si>
    <t xml:space="preserve">Разрешается по агрегированным карточкам canonicalBehaviorCards; в бою учитываются указанная цена действий, боевые защиты, координаты и ходы.
[SYM-166] Мирный воин: исполняемая часть
добавить +5 к любой проверке сопротивления харизме; добавить 5 слотов навыков.</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</si>
  <si>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[SYM-166] Мирный воин: исполняемая часть
добавить +5 к любой проверке сопротивления харизме; добавить 5 слотов навыков.</t>
  </si>
  <si>
    <t xml:space="preserve">Разрешается по агрегированным карточкам canonicalBehaviorCards; в бою учитываются указанная цена действий, боевые защиты, координаты и ходы.
[SYM-168] Зазубренные клинки
Нормативная база (действует во всей непротиворечащей части):
при каждой новой атаке бросить один R; защита цели получает штраф L; урон=R+L+S_mod, пробитие=R+L; точность модифицирует D; общий модификатор — фехтование.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t>
  </si>
  <si>
    <t xml:space="preserve">Вне боя складывание обоих клинков занимает 20 секунд. Отдельной бесплатной командой без продвижения времени можно разложить один выбранный или оба взведённых клинка; снимается только подготовленный бонус (Q-APP-003).
[SYM-168] Зазубренные клинки
Нормативная база (действует во всей непротиворечащей части):
при каждой новой атаке бросить один R; защита цели получает штраф L; урон=R+L+S_mod, пробитие=R+L; точность модифицирует D; общий модификатор — фехтование.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t>
  </si>
  <si>
    <t xml:space="preserve">Разрешается по агрегированным карточкам canonicalBehaviorCards; в бою учитываются указанная цена действий, боевые защиты, координаты и ходы.
[SYM-169] Каменная статуя
Нормативная база (действует во всей непротиворечащей части):
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
Приоритетные авторские дельты (заменяют только прямо пересекающиеся ветви):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</si>
  <si>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[SYM-169] Каменная статуя
Нормативная база (действует во всей непротиворечащей части):
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
Приоритетные авторские дельты (заменяют только прямо пересекающиеся ветви):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</si>
  <si>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Разрешается по агрегированным карточкам canonicalBehaviorCards; в бою учитываются указанная цена действий, боевые защиты, координаты и ходы.
[SYM-170] Молниеносная реакция
добавить +L к реакции при неожиданном нападении на носителя/группу и +L к уклонению.</t>
  </si>
  <si>
    <t xml:space="preserve">Разрешается по агрегированным карточкам canonicalBehaviorCards; в бою учитываются указанная цена действий, боевые защиты, координаты и ходы.
[SYM-171] Каннибализм
Нормативная база (действует во всей непротиворечащей части):
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
Приоритетные авторские дельты (заменяют только прямо пересекающиеся ветви):
[Q-SYM-066]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</si>
  <si>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Разрешается по агрегированным карточкам canonicalBehaviorCards; в бою учитываются указанная цена действий, боевые защиты, координаты и ходы.
[SYM-172] Инстинкт убийцы
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</si>
  <si>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Разрешается по агрегированным карточкам canonicalBehaviorCards; в бою учитываются указанная цена действий, боевые защиты, координаты и ходы.
[SYM-173] Веерная защита
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</si>
  <si>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Разрешается по агрегированным карточкам canonicalBehaviorCards; в бою учитываются указанная цена действий, боевые защиты, координаты и ходы.
[SYM-175] Анальная железа
Нормативная база (действует во всей непротиворечащей части):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
Приоритетные авторские дельты (заменяют только прямо пересекающиеся ветви):
[Q-SYM-067]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</si>
  <si>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Разрешается по агрегированным карточкам canonicalBehaviorCards; в бою учитываются указанная цена действий, боевые защиты, координаты и ходы.
[SYM-176] Подладонные железы
Нормативная база (действует во всей непротиворечащей части):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Приоритетные авторские дельты (заменяют только прямо пересекающиеся ветви):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</si>
  <si>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Разрешается по агрегированным карточкам canonicalBehaviorCards; в бою учитываются указанная цена действий, боевые защиты, координаты и ходы.
[SYM-177] Вонючее облако
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
Приоритетные авторские дельты (заменяют только прямо пересекающиеся ветви):
[Q-SYM-069]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</si>
  <si>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Разрешается по агрегированным карточкам canonicalBehaviorCards; в бою учитываются указанная цена действий, боевые защиты, координаты и ходы.
[SYM-178] Навесной выстрел
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t>
  </si>
  <si>
    <t xml:space="preserve">Разрешается по агрегированным карточкам canonicalBehaviorCards; в бою учитываются указанная цена действий, боевые защиты, координаты и ходы.
[SYM-179] Миномёт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</si>
  <si>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Разрешается по агрегированным карточкам canonicalBehaviorCards; в бою учитываются указанная цена действий, боевые защиты, координаты и ходы.
[SYM-180] Шквальный огонь
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
[Q-SYM-072]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</si>
  <si>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Разрешается по агрегированным карточкам canonicalBehaviorCards; в бою учитываются указанная цена действий, боевые защиты, координаты и ходы.
[MON-004] Начало и поддержание «Пожирания»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[MON-005] Уязвимость Химеры во время «Пожирания»
итоговый урон умножить на 5.
[MON-006] Награды за завершённое «Пожирание»
Нормативная база (действует во всей непротиворечащей части):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Приоритетные авторские дельты (заменяют только прямо пересекающиеся ветви):
[Q-MON-002]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
[MON-007] Счётчик съеденных целей и дополнительные слоты Химеры
Нормативная база (действует во всей непротиворечащей части):
при достижении соответствующего порога открыть один дополнительный слот; максимум три дополнительных слота; в них возможен однослотовый симбионт.
Приоритетные авторские дельты (заменяют только прямо пересекающиеся ветви):
[Q-MON-004]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</si>
  <si>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Вне боя «Пожирание» — атомарно запускаемая мирная операция с 50 ОЭ и прямо указанной длительностью 10 минут; цель должна быть согласна либо недееспособна. Остальные проверки и награды — по MON-004–007.
[MON-004] Начало и поддержание «Пожирания»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[MON-005] Уязвимость Химеры во время «Пожирания»
итоговый урон умножить на 5.
[MON-006] Награды за завершённое «Пожирание»
Нормативная база (действует во всей непротиворечащей части):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Приоритетные авторские дельты (заменяют только прямо пересекающиеся ветви):
[Q-MON-002]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
[MON-007] Счётчик съеденных целей и дополнительные слоты Химеры
Нормативная база (действует во всей непротиворечащей части):
при достижении соответствующего порога открыть один дополнительный слот; максимум три дополнительных слота; в них возможен однослотовый симбионт.
Приоритетные авторские дельты (заменяют только прямо пересекающиеся ветви):
[Q-MON-004]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</si>
  <si>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Разрешается по агрегированным карточкам canonicalBehaviorCards; в бою учитываются указанная цена действий, боевые защиты, координаты и ходы.
[MON-008] «Дублирование органов»: предотвращение тяжёлого ранения
отменить переход в тяжёлое ранение и установить текущее HP равным 1.
[MON-009] «Дублирование органов»: состояние после тяжёлого ранения
сохранить дееспособность; увеличить время до смерти в 4 раза.</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</si>
  <si>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[MON-008] «Дублирование органов»: предотвращение тяжёлого ранения
отменить переход в тяжёлое ранение и установить текущее HP равным 1.
[MON-009] «Дублирование органов»: состояние после тяжёлого ранения
сохранить дееспособность; увеличить время до смерти в 4 раза.</t>
  </si>
  <si>
    <t xml:space="preserve">Разрешается по агрегированным карточкам canonicalBehaviorCards; в бою учитываются указанная цена действий, боевые защиты, координаты и ходы.
[MON-010] «Взгляд мясника»
Нормативная база (действует во всей непротиворечащей части):
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
Приоритетные авторские дельты (заменяют только прямо пересекающиеся ветви):
[Q-MON-005]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</si>
  <si>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[MON-010] «Взгляд мясника»
Нормативная база (действует во всей непротиворечащей части):
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
Приоритетные авторские дельты (заменяют только прямо пересекающиеся ветви):
[Q-MON-005]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</si>
  <si>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Разрешается по агрегированным карточкам canonicalBehaviorCards; в бою учитываются указанная цена действий, боевые защиты, координаты и ходы.
[MON-011] «Железная хватка»
добавить +10.</t>
  </si>
  <si>
    <t xml:space="preserve">Разрешается по агрегированным карточкам canonicalBehaviorCards; в бою учитываются указанная цена действий, боевые защиты, координаты и ходы.
[MON-012] «Безразличная плоть»
maxHP += 100.</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</si>
  <si>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[MON-012] «Безразличная плоть»
maxHP += 100.</t>
  </si>
  <si>
    <t xml:space="preserve">Разрешается по агрегированным карточкам canonicalBehaviorCards; в бою учитываются указанная цена действий, боевые защиты, координаты и ходы.
[MON-013] «Гончая»
длительность метки R20×2 минут; для Химеры мир отображается чёрно-белым, цель и все её следы — ярко-красными.</t>
  </si>
  <si>
    <t xml:space="preserve">Разрешается по агрегированным карточкам canonicalBehaviorCards; в бою учитываются указанная цена действий, боевые защиты, координаты и ходы.
[MON-014] «Локтевой отбойник»: атака локтем
Нормативная база (действует во всей непротиворечащей части):
бронепробитие атаки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
[MON-015] «Локтевой отбойник»: дополнительная броня
если первый R20 ≥16, считать попадание пришедшимся по локтевому сгибу; добавить спасбросок брони R20×2 к спасброску надетой брони.</t>
  </si>
  <si>
    <t xml:space="preserve">Разрешается по агрегированным карточкам canonicalBehaviorCards; в бою учитываются указанная цена действий, боевые защиты, координаты и ходы.
[MON-016] «Выносливость хищника»
M += 15.</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</si>
  <si>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[MON-016] «Выносливость хищника»
M += 15.</t>
  </si>
  <si>
    <t xml:space="preserve">Разрешается по агрегированным карточкам canonicalBehaviorCards; в бою учитываются указанная цена действий, боевые защиты, координаты и ходы.
[MON-017] «Охотничий азарт»
удвоить значение проверки Химеры.</t>
  </si>
  <si>
    <t xml:space="preserve">Разрешается по агрегированным карточкам canonicalBehaviorCards; в бою учитываются указанная цена действий, боевые защиты, координаты и ходы.
[MON-018] «Коленный отбойник»: атака коленом
Нормативная база (действует во всей непротиворечащей части):
бронепробитие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
[MON-019] «Коленный отбойник»: дополнительная броня
при R20 ≥16 считать попадание пришедшимся по коленному наросту; добавить спасбросок R20×2 к броне.</t>
  </si>
  <si>
    <t xml:space="preserve">Разрешается по агрегированным карточкам canonicalBehaviorCards; в бою учитываются указанная цена действий, боевые защиты, координаты и ходы.
[MON-020] «Неудержимость»
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</si>
  <si>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Разрешается по агрегированным карточкам canonicalBehaviorCards; в бою учитываются указанная цена действий, боевые защиты, координаты и ходы.
[MON-021] «Змеиный бросок»
стоимость сокращения дистанции в боевых действиях = 0.</t>
  </si>
  <si>
    <t xml:space="preserve">Разрешается по агрегированным карточкам canonicalBehaviorCards; в бою учитываются указанная цена действий, боевые защиты, координаты и ходы.
[MON-022] «Последний взгляд»
Нормативная база (действует во всей непротиворечащей части):
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
Приоритетные авторские дельты (заменяют только прямо пересекающиеся ветви):
[Q-MON-007]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
[Q-MON-008]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</si>
  <si>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Разрешается по агрегированным карточкам canonicalBehaviorCards; в бою учитываются указанная цена действий, боевые защиты, координаты и ходы.
[MON-023] «Ведомый голодом»: активация и состав эффекта
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Приоритетные авторские дельты (заменяют только прямо пересекающиеся ветви):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
[MON-024] «Ведомый голодом»: завершение
вернуть максимальный HP и удвоенные характеристики к прежним значениям; текущее HP разделить на 2 с округлением вверх.</t>
  </si>
  <si>
    <t xml:space="preserve">Разрешается по агрегированным карточкам canonicalBehaviorCards; в бою учитываются указанная цена действий, боевые защиты, координаты и ходы.
[MON-027] Направляй ментально
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</si>
  <si>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[MON-027] Направляй ментально
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t>
  </si>
  <si>
    <t xml:space="preserve">Разрешается по агрегированным карточкам canonicalBehaviorCards; в бою учитываются указанная цена действий, боевые защиты, координаты и ходы.
[MON-028] «Доминантный разум»
I += L.</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</si>
  <si>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[MON-028] «Доминантный разум»
I += L.</t>
  </si>
  <si>
    <t xml:space="preserve">Разрешается по агрегированным карточкам canonicalBehaviorCards; в бою учитываются указанная цена действий, боевые защиты, координаты и ходы.
[MON-029] «Рассеянность»: наложение и длительность
длительность R20/5 минут или боевых ходов; каждый ход цели запускать MON-030.
[MON-030] «Рассеянность»: эффект очередного хода
Нормативная база (действует во всей непротиворечащей части):
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
Приоритетные авторские дельты (заменяют только прямо пересекающиеся ветви):
[Q-MON-010]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</si>
  <si>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Разрешается по агрегированным карточкам canonicalBehaviorCards; в бою учитываются указанная цена действий, боевые защиты, координаты и ходы.
[MON-031] «Ментальный ученик»
Нормативная база (действует во всей непротиворечащей части):
выбрать лучший навык цели; если Кукловод им не владеет — изучить, иначе повысить его уровень. Величина повышения требует Q-MON-012.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</si>
  <si>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Разрешается по агрегированным карточкам canonicalBehaviorCards; в бою учитываются указанная цена действий, боевые защиты, координаты и ходы.
[MON-032] «Превосходство»
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</si>
  <si>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[MON-032] «Превосходство»
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</si>
  <si>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Разрешается по агрегированным карточкам canonicalBehaviorCards; в бою учитываются указанная цена действий, боевые защиты, координаты и ходы.
[MON-033] «Псионическое разложение»: цикл поддержания
Нормативная база (действует во всей непротиворечащей части):
списать 50 ОЭ; не бросать серию и потратить весь боевой ход; в конце хода нанести L×2^(n−1) урона (L, 2L, 4L, 8L).
Приоритетные авторские дельты (заменяют только прямо пересекающиеся ветви):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
[MON-034] «Псионическое разложение»: проверка концентрации
если итог проверки &lt;20, прекратить поддержание; иначе сохранить.</t>
  </si>
  <si>
    <t xml:space="preserve">Разрешается по агрегированным карточкам canonicalBehaviorCards; в бою учитываются указанная цена действий, боевые защиты, координаты и ходы.
[MON-036] «Отмена действия»
Нормативная база (действует во всей непротиворечащей части):
если I Кукловода &gt; I цели, цель останавливается и не доводит физическое действие до конца.
Приоритетные авторские дельты (заменяют только прямо пересекающиеся ветви):
[Q-MON-015]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</si>
  <si>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Разрешается по агрегированным карточкам canonicalBehaviorCards; в бою учитываются указанная цена действий, боевые защиты, координаты и ходы.
[MON-038] «Марионетка»
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t>
  </si>
  <si>
    <t xml:space="preserve">Разрешается по агрегированным карточкам canonicalBehaviorCards; в бою учитываются указанная цена действий, боевые защиты, координаты и ходы.
[MON-039] «Ментальная паутина»
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Приоритетные авторские дельты (заменяют только прямо пересекающиеся ветви):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</si>
  <si>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Разрешается по агрегированным карточкам canonicalBehaviorCards; в бою учитываются указанная цена действий, боевые защиты, координаты и ходы.
[MON-042] Контактное заражение ассистентами
если итог Доктора строго выше итога проверки Z цели, создать заражение ассистентами.
[MON-043] Цена повторных попыток заражения в бою
Нормативная база (действует во всей непротиворечащей части):
первая попытка не тратит боевое действие; каждая следующая стоит 1 боевое действие.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
[MON-044] Заражение через инфицированного переносчика
Нормативная база (действует во всей непротиворечащей части):
Доктор выполняет проверку; при строгом превышении новая цель заражается.
Приоритетные авторские дельты (заменяют только прямо пересекающиеся ветви):
[Q-MON-020]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
[MON-045] Лимит заражённых ассистентами
Нормативная база (действует во всей непротиворечащей части):
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исключение про отдельный лимит Чумного пророка
[AQ2-001]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
[MON-046] Добровольное уничтожение ассистентов
Нормативная база (действует во всей непротиворечащей части):
уничтожить всех ассистентов в цели.
Приоритетные авторские дельты (заменяют только прямо пересекающиеся ветви):
[Q-MON-021]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
[MON-047] Реакция заражённого дикого животного
Нормативная база (действует во всей непротиворечащей части):
если R20 &lt; L, животное бросается в бегство.
Приоритетные авторские дельты (заменяют только прямо пересекающиеся ветви):
[Q-MON-022]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</si>
  <si>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Разрешается по агрегированным карточкам canonicalBehaviorCards; в бою учитываются указанная цена действий, боевые защиты, координаты и ходы.
[MON-048] Воздушно-капельное заражение «Кхе-кхе…»
Нормативная база (действует во всей непротиворечащей части):
если итог Доктора строго выше проверки Z, заразить ассистентами.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</si>
  <si>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[MON-048] Воздушно-капельное заражение «Кхе-кхе…»
Нормативная база (действует во всей непротиворечащей части):
если итог Доктора строго выше проверки Z, заразить ассистентами.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</si>
  <si>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Разрешается по агрегированным карточкам canonicalBehaviorCards; в бою учитываются указанная цена действий, боевые защиты, координаты и ходы.
[MON-049] «Вы больны, вам нужно отдохнуть»
при R20≥3 установить M цели равной 1 на R20/3 минут/ходов; при R20=1 уничтожить всех ассистентов в цели; при 2 эффект отсутствует.</t>
  </si>
  <si>
    <t xml:space="preserve">Разрешается по агрегированным карточкам canonicalBehaviorCards; в бою учитываются указанная цена действий, боевые защиты, координаты и ходы.
[MON-050] «Они вам помогут…»: лечение ценой ассистентов
Нормативная база (действует во всей непротиворечащей части):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
Приоритетные авторские дельты (заменяют только прямо пересекающиеся ветви):
[Q-MON-023]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</si>
  <si>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[MON-050] «Они вам помогут…»: лечение ценой ассистентов
Нормативная база (действует во всей непротиворечащей части):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
Приоритетные авторские дельты (заменяют только прямо пересекающиеся ветви):
[Q-MON-023]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</si>
  <si>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Разрешается по агрегированным карточкам canonicalBehaviorCards; в бою учитываются указанная цена действий, боевые защиты, координаты и ходы.
[MON-051] «Не обращайте внимания — я потягиваюсь»
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Приоритетные авторские дельты (заменяют только прямо пересекающиеся ветви):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</si>
  <si>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[MON-051] «Не обращайте внимания — я потягиваюсь»
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Приоритетные авторские дельты (заменяют только прямо пересекающиеся ветви):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</si>
  <si>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Разрешается по агрегированным карточкам canonicalBehaviorCards; в бою учитываются указанная цена действий, боевые защиты, координаты и ходы.
[MON-052] «Какое здоровье, какая воля к жизни!»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</si>
  <si>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Разрешается по агрегированным карточкам canonicalBehaviorCards; в бою учитываются указанная цена действий, боевые защиты, координаты и ходы.
[MON-053] «Сражайся, больной!»
увеличить S и D на R20/2; длительность R20/4 минут/ходов; при завершении однократно нанести отдельный R20 урона от яда.</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</si>
  <si>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[MON-053] «Сражайся, больной!»
увеличить S и D на R20/2; длительность R20/4 минут/ходов; при завершении однократно нанести отдельный R20 урона от яда.</t>
  </si>
  <si>
    <t xml:space="preserve">Разрешается по агрегированным карточкам canonicalBehaviorCards; в бою учитываются указанная цена действий, боевые защиты, координаты и ходы.
[MON-054] «Масштабная эпидемия»
Нормативная база (действует во всей непротиворечащей части):
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
Приоритетные авторские дельты (заменяют только прямо пересекающиеся ветви):
[AQ2-001]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t>
  </si>
  <si>
    <t xml:space="preserve">Разрешается по агрегированным карточкам canonicalBehaviorCards; в бою учитываются указанная цена действий, боевые защиты, координаты и ходы.
[MON-055] «Вакцинация»
Нормативная база (действует во всей непротиворечащей части):
гарантированно дать неуязвимость к ассистентам всех других Чумных докторов.
Приоритетные авторские дельты (заменяют только прямо пересекающиеся ветви):
[Q-MON-025]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</si>
  <si>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[MON-055] «Вакцинация»
Нормативная база (действует во всей непротиворечащей части):
гарантированно дать неуязвимость к ассистентам всех других Чумных докторов.
Приоритетные авторские дельты (заменяют только прямо пересекающиеся ветви):
[Q-MON-025]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</si>
  <si>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Разрешается по агрегированным карточкам canonicalBehaviorCards; в бою учитываются указанная цена действий, боевые защиты, координаты и ходы.
[MON-056] «Самое надёжное лекарство»: активный эффект
Нормативная база (действует во всей непротиворечащей части):
гарантированно уничтожить ассистентов и воспламенить случайную часть тела цели.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заменить случайную часть тела одним binary burning по Q-CORE-030
[MON-057] «Самое надёжное лекарство»: огнестойкость Доктора
не выполнять проверки самообладания из-за боли от горения; огонь наносит 5 HP за минуту/ход вместо 10.</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</si>
  <si>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[MON-056] «Самое надёжное лекарство»: активный эффект
Нормативная база (действует во всей непротиворечащей части):
гарантированно уничтожить ассистентов и воспламенить случайную часть тела цели.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заменить случайную часть тела одним binary burning по Q-CORE-030
[MON-057] «Самое надёжное лекарство»: огнестойкость Доктора
не выполнять проверки самообладания из-за боли от горения; огонь наносит 5 HP за минуту/ход вместо 10.</t>
  </si>
  <si>
    <t xml:space="preserve">Разрешается по агрегированным карточкам canonicalBehaviorCards; в бою учитываются указанная цена действий, боевые защиты, координаты и ходы.
[MON-061] «Мёртвый вестник»: базовые пассивы
убрать штрафы S−5,D−5,M−5; Доктор не чувствует боли и не может потерять сознание; к числу действий серии прибавить 1; минимум действий в ход =2.
[MON-062] «Мёртвый вестник»: костяной клинок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
[MON-063] Костяной клинок: гарантированное заражение
без проверки Z гарантированно заразить цель ассистентами.</t>
  </si>
  <si>
    <t xml:space="preserve">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
[MON-061] «Мёртвый вестник»: базовые пассивы
убрать штрафы S−5,D−5,M−5; Доктор не чувствует боли и не может потерять сознание; к числу действий серии прибавить 1; минимум действий в ход =2.
[MON-062] «Мёртвый вестник»: костяной клинок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
[MON-063] Костяной клинок: гарантированное заражение
без проверки Z гарантированно заразить цель ассистентами.</t>
  </si>
  <si>
    <t xml:space="preserve">Разрешается по агрегированным карточкам canonicalBehaviorCards; в бою учитываются указанная цена действий, боевые защиты, координаты и ходы.
[MON-066] «Распределение сил»: первые шесть ходов
Нормативная база (действует во всей непротиворечащей части):
на ходах 1–6 увеличить S и D до 35; с 7-го вернуть обычные итоговые значения.
Приоритетные авторские дельты (заменяют только прямо пересекающиеся ветви):
[Q-MON-032]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
[MON-067] «Распределение сил»: неожиданное нападение
автоматически считать упреждение Доктора успешным.</t>
  </si>
  <si>
    <t xml:space="preserve">Разрешается по агрегированным карточкам canonicalBehaviorCards; в бою учитываются указанная цена действий, боевые защиты, координаты и ходы.
[MON-073] «Одержимый познанием»
природный спасбросок брони R20×2; +10 к защите от ментальных воздействий; +10 к обнаружению.</t>
  </si>
  <si>
    <t xml:space="preserve">Разрешается по агрегированным карточкам canonicalBehaviorCards; в бою учитываются указанная цена действий, боевые защиты, координаты и ходы.
[MON-071] «Выжгу до тла»: защитное применение
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[MON-072] «Выжгу до тла»: струя и экипировка
Нормативная база (действует во всей непротиворечащей части):
на каждую попавшую под струю цель наложить горение на случайные R6 элементов экипировки; если R6=6, горят все элементы, включая рюкзак при наличии.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</si>
  <si>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Контексты исполнения способностей</t>
  </si>
  <si>
    <t xml:space="preserve">На каждую AbilityID — ровно две строки: COMBAT и PEACE. Даже запрещённый контекст содержит явную причину отказа и нулевую мутацию состояния.</t>
  </si>
  <si>
    <t xml:space="preserve">AbilityContextID</t>
  </si>
  <si>
    <t xml:space="preserve">Context</t>
  </si>
  <si>
    <t xml:space="preserve">Allowed</t>
  </si>
  <si>
    <t xml:space="preserve">PlayerCommandAvailable</t>
  </si>
  <si>
    <t xml:space="preserve">DenialReason</t>
  </si>
  <si>
    <t xml:space="preserve">Trigger</t>
  </si>
  <si>
    <t xml:space="preserve">Preconditions</t>
  </si>
  <si>
    <t xml:space="preserve">Inputs</t>
  </si>
  <si>
    <t xml:space="preserve">TargetSelector</t>
  </si>
  <si>
    <t xml:space="preserve">Behavior</t>
  </si>
  <si>
    <t xml:space="preserve">ActionCost</t>
  </si>
  <si>
    <t xml:space="preserve">TimeCost</t>
  </si>
  <si>
    <t xml:space="preserve">ResourceCost</t>
  </si>
  <si>
    <t xml:space="preserve">RollDefinition</t>
  </si>
  <si>
    <t xml:space="preserve">ArmorPolicy</t>
  </si>
  <si>
    <t xml:space="preserve">Effect</t>
  </si>
  <si>
    <t xml:space="preserve">StateWrites</t>
  </si>
  <si>
    <t xml:space="preserve">Duration</t>
  </si>
  <si>
    <t xml:space="preserve">Cooldown</t>
  </si>
  <si>
    <t xml:space="preserve">ManualChoice</t>
  </si>
  <si>
    <t xml:space="preserve">AtomicityAudit</t>
  </si>
  <si>
    <t xml:space="preserve">ErrorCodes</t>
  </si>
  <si>
    <t xml:space="preserve">CTX-SYM-027-COMBAT</t>
  </si>
  <si>
    <t xml:space="preserve">COMBAT</t>
  </si>
  <si>
    <t xml:space="preserve">[SYM-027] объявление; цена 30 ОЭ и 1 действие.</t>
  </si>
  <si>
    <t xml:space="preserve">[SYM-027] способность доступна; ОЭ≥30.</t>
  </si>
  <si>
    <t xml:space="preserve">[SYM-027] один чистый R20 (активация и величина).</t>
  </si>
  <si>
    <t xml:space="preserve">[SYM-027] собственный носитель.</t>
  </si>
  <si>
    <t xml:space="preserve">[SYM-027] объявление; цена 30 ОЭ и 1 действие.
R=1: носитель без сознания 30 минут/до конца боя.</t>
  </si>
  <si>
    <t xml:space="preserve">Боевые ходы/действия по частной карточке.</t>
  </si>
  <si>
    <t xml:space="preserve">[SYM-027] объявление; цена 30 ОЭ и 1 действие.
ОЭ≥30.
R=5–17: HP += 2R.
R=18–19: восстановить 50 HP и удалить все травмы.
R=20: восстановить HP полностью, удалить все травмы и косметические дефекты, снижающие C.</t>
  </si>
  <si>
    <t xml:space="preserve">[SYM-027] один чистый R20 (активация и величина).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</si>
  <si>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t>
  </si>
  <si>
    <t xml:space="preserve">[SYM-027]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</si>
  <si>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[SYM-027] HP/травмы либо бессознательность.</t>
  </si>
  <si>
    <t xml:space="preserve">[SYM-027] R=1: носитель без сознания 30 минут/до конца боя.</t>
  </si>
  <si>
    <t xml:space="preserve">Только прямо указанные частной карточкой выборы.</t>
  </si>
  <si>
    <t xml:space="preserve">Проверить контекст, цель, ресурсы и действия до списания; затем разрешить способность и записать результат атомарно.</t>
  </si>
  <si>
    <t xml:space="preserve">ERR_PRECONDITION; ERR_TARGET; ERR_RESOURCE; ERR_ACTION_COST; ERR_RULE_SPECIFIC</t>
  </si>
  <si>
    <t xml:space="preserve">SYM-027; CORE-229; SYM-010; SYM-011</t>
  </si>
  <si>
    <t xml:space="preserve">CTX-SYM-027-PEACE</t>
  </si>
  <si>
    <t xml:space="preserve">PEACE</t>
  </si>
  <si>
    <t xml:space="preserve">Боевые действия не расходуются вне боя. Частная длительность/условия сохраняются:
[SYM-027] объявление; цена 30 ОЭ и 1 действие.
R=1: носитель без сознания 30 минут/до конца боя.</t>
  </si>
  <si>
    <t xml:space="preserve">Виртуальное время только если прямо установлено частной карточкой; иначе 0.</t>
  </si>
  <si>
    <t xml:space="preserve">Мастер подтверждает немоделируемые контакт, дистанцию и согласие цели по Q-APP-001.</t>
  </si>
  <si>
    <t xml:space="preserve">SYM-027; Q-APP-001; SYM-010; SYM-011</t>
  </si>
  <si>
    <t xml:space="preserve">CTX-SYM-028-COMBAT</t>
  </si>
  <si>
    <t xml:space="preserve">[SYM-028] ручное объявление либо автоматическая потеря сознания от тяжёлого ранения; цена 50 ОЭ.</t>
  </si>
  <si>
    <t xml:space="preserve">[SYM-028] способность изучена, ОЭ≥50, есть уничтоженный внутренний орган.</t>
  </si>
  <si>
    <t xml:space="preserve">[SYM-028] один чистый R20 R.</t>
  </si>
  <si>
    <t xml:space="preserve">[SYM-028] носитель с уничтоженным внутренним органом.</t>
  </si>
  <si>
    <t xml:space="preserve">[SYM-028] Нормативная база (действует во всей непротиворечащей части):
R=1: Ткач отключён на 30 минут/4 хода.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[Q-SYM-008] Способность немедленно и без расходования действий носителя объявляется при потере сознания от тяжёлого ранения</t>
  </si>
  <si>
    <t xml:space="preserve">[SYM-028] ручное объявление либо автоматическая потеря сознания от тяжёлого ранения; цена 50 ОЭ.
способность изучена, ОЭ≥50, есть уничтоженный внутренний орган.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Любая новая потеря хотя бы 1 HP во время тяжёлого ранения вызывает окончательную смерть.</t>
  </si>
  <si>
    <t xml:space="preserve">[SYM-028] один чистый R20 R.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t>
  </si>
  <si>
    <t xml:space="preserve">[SYM-028] Нормативная база (действует во всей непротиворечащей части):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
[Q-SYM-008]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</si>
  <si>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[SYM-028] временная функция органа, продление таймера смерти; возможно постоянное восстановление.</t>
  </si>
  <si>
    <t xml:space="preserve">[SYM-028] Нормативная база (действует во всей непротиворечащей части):
R=1: Ткач отключён на 30 минут/4 хода.
R≥3: клетки заменяют функцию органа на R/3 ходов; носитель сохраняет дееспособность в тяжёлом ранении, время до смерти ×4.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t>
  </si>
  <si>
    <t xml:space="preserve">[SYM-028]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t>
  </si>
  <si>
    <t xml:space="preserve">SYM-028; CORE-229; SYM-010; SYM-011</t>
  </si>
  <si>
    <t xml:space="preserve">CTX-SYM-028-PEACE</t>
  </si>
  <si>
    <t xml:space="preserve">Боевые действия не расходуются вне боя. Частная длительность/условия сохраняются:
[SYM-028] Нормативная база (действует во всей непротиворечащей части):
R=1: Ткач отключён на 30 минут/4 хода.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[Q-SYM-008] Способность немедленно и без расходования действий носителя объявляется при потере сознания от тяжёлого ранения</t>
  </si>
  <si>
    <t xml:space="preserve">SYM-028; Q-APP-001; SYM-010; SYM-011</t>
  </si>
  <si>
    <t xml:space="preserve">CTX-SYM-029-COMBAT</t>
  </si>
  <si>
    <t xml:space="preserve">[SYM-029] касание ладонью раны; цена 20 ОЭ и 1 действие.</t>
  </si>
  <si>
    <t xml:space="preserve">[SYM-029] физический контакт, ОЭ≥20.</t>
  </si>
  <si>
    <t xml:space="preserve">[SYM-029] один чистый R20 R.</t>
  </si>
  <si>
    <t xml:space="preserve">[SYM-029] живое существо.</t>
  </si>
  <si>
    <t xml:space="preserve">[SYM-029] касание ладонью раны; цена 20 ОЭ и 1 действие.
физический контакт, ОЭ≥20.
R=1: цель теряет 10 HP.
R=5–19: цель восстанавливает 2R HP.
R=20: цель восстанавливает 50 HP, все травмы и косметические дефекты, снижающие C.</t>
  </si>
  <si>
    <t xml:space="preserve">[SYM-029] один чистый R20 R.
R=1: цель теряет 10 HP.
R=2–4: нет эффекта.
R=5–19: цель восстанавливает 2R HP.
R=20: цель восстанавливает 50 HP, все травмы и косметические дефекты, снижающие C.</t>
  </si>
  <si>
    <t xml:space="preserve">[SYM-029] R=1: цель теряет 10 HP. R=2–4: нет эффекта. R=5–19: цель восстанавливает 2R HP. R=20: цель восстанавливает 50 HP, все травмы и косметические дефекты, снижающие C.</t>
  </si>
  <si>
    <t xml:space="preserve">[SYM-029] HP/травмы цели.</t>
  </si>
  <si>
    <t xml:space="preserve">Мгновенно, если срок не указан.</t>
  </si>
  <si>
    <t xml:space="preserve">Нет, если не указан.</t>
  </si>
  <si>
    <t xml:space="preserve">SYM-029; CORE-229; SYM-010; SYM-011</t>
  </si>
  <si>
    <t xml:space="preserve">CTX-SYM-029-PEACE</t>
  </si>
  <si>
    <t xml:space="preserve">Боевые действия не расходуются вне боя. Частная длительность/условия сохраняются:
[SYM-029] касание ладонью раны; цена 20 ОЭ и 1 действие.</t>
  </si>
  <si>
    <t xml:space="preserve">SYM-029; Q-APP-001; SYM-010; SYM-011</t>
  </si>
  <si>
    <t xml:space="preserve">CTX-SYM-030-COMBAT</t>
  </si>
  <si>
    <t xml:space="preserve">[SYM-030] объявление; цена 50 ОЭ и 1 действие.</t>
  </si>
  <si>
    <t xml:space="preserve">[SYM-030] ОЭ≥50.</t>
  </si>
  <si>
    <t xml:space="preserve">[SYM-030] один чистый R20 R.</t>
  </si>
  <si>
    <t xml:space="preserve">[SYM-030] носитель.</t>
  </si>
  <si>
    <t xml:space="preserve">[SYM-030] объявление; цена 50 ОЭ и 1 действие.
Нормативная база (действует во всей непротиворечащей части):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Дополнительное отключение наступает только там, где оно прямо указано, в частности у Ткача при неудаче «Дублирования органов».</t>
  </si>
  <si>
    <t xml:space="preserve">[SYM-030] объявление; цена 50 ОЭ и 1 действие.
ОЭ≥50.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[Q-SYM-009] При обязательной потере ОЭ текущий запас уменьшается не ниже 0; энергетический долг не создаётся.</t>
  </si>
  <si>
    <t xml:space="preserve">[SYM-030] один чистый R20 R.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</si>
  <si>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[SYM-030] Нормативная база (действует во всей непротиворечащей части):
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</si>
  <si>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[SYM-030] одноразовое предотвращение тяжёлого ранения либо штраф симбионту.</t>
  </si>
  <si>
    <t xml:space="preserve">[SYM-030] Нормативная база (действует во всей непротиворечащей части):
R≥2: наложить «Задвоенные органы» на R/2 ходов.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Дополнительное отключение наступает только там, где оно прямо указано, в частности у Ткача при неудаче «Дублирования органов».</t>
  </si>
  <si>
    <t xml:space="preserve">SYM-030; CORE-229; SYM-010; SYM-011</t>
  </si>
  <si>
    <t xml:space="preserve">CTX-SYM-030-PEACE</t>
  </si>
  <si>
    <t xml:space="preserve">Активная способность отсутствует в мирном whitelist Q-APP-002 либо частная карточка запрещает мирное применение.</t>
  </si>
  <si>
    <t xml:space="preserve">Попытка объявления в запрещённом контексте</t>
  </si>
  <si>
    <t xml:space="preserve">Контекст запрещён до оплаты ресурсов</t>
  </si>
  <si>
    <t xml:space="preserve">AbilityID; context</t>
  </si>
  <si>
    <t xml:space="preserve">Не выбирается</t>
  </si>
  <si>
    <t xml:space="preserve">Отклонить объявление до списания действий, ОЭ и иных ресурсов.</t>
  </si>
  <si>
    <t xml:space="preserve">0</t>
  </si>
  <si>
    <t xml:space="preserve">Не выполняется</t>
  </si>
  <si>
    <t xml:space="preserve">NOT_APPLICABLE</t>
  </si>
  <si>
    <t xml:space="preserve">Нет эффекта</t>
  </si>
  <si>
    <t xml:space="preserve">Нет</t>
  </si>
  <si>
    <t xml:space="preserve">Записать отказ ERR_CONTEXT_FORBIDDEN; состояние не изменять.</t>
  </si>
  <si>
    <t xml:space="preserve">ERR_CONTEXT_FORBIDDEN</t>
  </si>
  <si>
    <t xml:space="preserve">SYM-030; Q-APP-002</t>
  </si>
  <si>
    <t xml:space="preserve">CTX-SYM-032-COMBAT</t>
  </si>
  <si>
    <t xml:space="preserve">[SYM-032] объявление; цена 100 ОЭ и 1 действие.</t>
  </si>
  <si>
    <t xml:space="preserve">[SYM-032] ОЭ≥100.</t>
  </si>
  <si>
    <t xml:space="preserve">[SYM-032] первый R20 A (активация/бонус), отдельный R20 T (длительность).</t>
  </si>
  <si>
    <t xml:space="preserve">[SYM-032] носитель.</t>
  </si>
  <si>
    <t xml:space="preserve">[SYM-032] объявление; цена 100 ОЭ и 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</si>
  <si>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[SYM-032] объявление; цена 100 ОЭ и 1 действие.
ОЭ≥100.
100 ОЭ остаются израсходованными, повторного броска нет.
Вне боя специальная ветвь не возникает; затраты 100 ОЭ не возвращаются.</t>
  </si>
  <si>
    <t xml:space="preserve">[SYM-032] первый R20 A (активация/бонус), отдельный R20 T (длительность).
A≥2: S += A/2, D += A/2 на T/4 ходов.
A=1: вместо этого S +=20, D +=20 на 5 ходов и каждый ход носитель атакует случайную цель в поле зрения.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</si>
  <si>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[SYM-032] 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
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t>
  </si>
  <si>
    <t xml:space="preserve">[SYM-032] временные модификаторы и при единице потеря самоконтроля.</t>
  </si>
  <si>
    <t xml:space="preserve">[SYM-032] 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t>
  </si>
  <si>
    <t xml:space="preserve">SYM-032; CORE-229; SYM-010; SYM-011</t>
  </si>
  <si>
    <t xml:space="preserve">CTX-SYM-032-PEACE</t>
  </si>
  <si>
    <t xml:space="preserve">Боевые действия не расходуются вне боя. Частная длительность/условия сохраняются:
[SYM-032] объявление; цена 100 ОЭ и 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</si>
  <si>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SYM-032; Q-APP-001; SYM-010; SYM-011</t>
  </si>
  <si>
    <t xml:space="preserve">CTX-SYM-034-COMBAT</t>
  </si>
  <si>
    <t xml:space="preserve">[SYM-034] объявление; списать весь текущий ОЭ, но команда допустима только при ОЭ≥200; 1 действие.</t>
  </si>
  <si>
    <t xml:space="preserve">[SYM-034] способность доступна.</t>
  </si>
  <si>
    <t xml:space="preserve">[SYM-034] один чистый R20 R.</t>
  </si>
  <si>
    <t xml:space="preserve">[SYM-034] носитель.</t>
  </si>
  <si>
    <t xml:space="preserve">[SYM-034] 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</si>
  <si>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[SYM-034] объявление; списать весь текущий ОЭ, но команда допустима только при ОЭ≥200
R≥4: на R/4 ходов установить количество HP носителя 1000, запретить потерю дееспособности; каждая рана регенерирует через 2 хода.
[Q-SYM-013] После окончания способности временное значение 1000 снимается, а текущие HP становятся равны min(текущие HP при эффекте, обычный максимум HP).
Ткач становится 4 уровня; изученные узлы 5–6 уровней помечаются утраченными и недоступны, ранее потраченный на них опыт не возвращается.
цена — вся энергия, не фиксированные 200.</t>
  </si>
  <si>
    <t xml:space="preserve">[SYM-034] один чистый R20 R.
R=2–3: нет основного эффекта, вся энергия потрачена.
R=1: Ткач отключён на сутки и деградирует до L=4.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t>
  </si>
  <si>
    <t xml:space="preserve">[SYM-034] Нормативная база (действует во всей непротиворечащей части):
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
[Q-SYM-014]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</si>
  <si>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[SYM-034] временный режим абсолютной регенерации либо деградация.</t>
  </si>
  <si>
    <t xml:space="preserve">[SYM-034] Нормативная база (действует во всей непротиворечащей части):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t>
  </si>
  <si>
    <t xml:space="preserve">SYM-034; CORE-229; SYM-010; SYM-011</t>
  </si>
  <si>
    <t xml:space="preserve">CTX-SYM-034-PEACE</t>
  </si>
  <si>
    <t xml:space="preserve">SYM-034; Q-APP-002</t>
  </si>
  <si>
    <t xml:space="preserve">CTX-SYM-031-COMBAT</t>
  </si>
  <si>
    <t xml:space="preserve">[SYM-031] объявление выстрела; цена 40 ОЭ и 1 действие.</t>
  </si>
  <si>
    <t xml:space="preserve">[SYM-031] валидная дальняя цель; ОЭ≥40.</t>
  </si>
  <si>
    <t xml:space="preserve">[SYM-031] активационный R20 R; категория контакта; при R=1 — два новых независимых R20: R_damage и R_penetration.</t>
  </si>
  <si>
    <t xml:space="preserve">[SYM-031] выбранная цель.</t>
  </si>
  <si>
    <t xml:space="preserve">[SYM-031] объявление выстрела; цена 40 ОЭ и 1 действие.
Нормативная база (действует во всей непротиворечащей части):</t>
  </si>
  <si>
    <t xml:space="preserve">[SYM-031] объявление выстрела; цена 40 ОЭ и 1 действие.
ОЭ≥40.
R≥5 и попадание: голая кожа → +2R HP; проницаемая одежда → +R HP; герметичная одежда → 0.</t>
  </si>
  <si>
    <t xml:space="preserve">[SYM-031] активационный R20 R; категория контакта; при R=1 — два новых независимых R20: R_damage и R_penetration.
R=2–4: нет эффекта.
R=1: вместо лечения кристаллизованная колючка наносит 2×R_damage урона, пробитие = R_penetration.
стандартные дальняя атака/защита; активационная единица только выбирает ветку осложнения и не подставляется в формулы урона/пробития.</t>
  </si>
  <si>
    <t xml:space="preserve">[SYM-031] Нормативная база (действует во всей непротиворечащей части):
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</si>
  <si>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[SYM-031] лечение либо атака колючкой.</t>
  </si>
  <si>
    <t xml:space="preserve">[SYM-031] Нормативная база (действует во всей непротиворечащей части):</t>
  </si>
  <si>
    <t xml:space="preserve">SYM-031; CORE-229; SYM-010; SYM-011</t>
  </si>
  <si>
    <t xml:space="preserve">CTX-SYM-031-PEACE</t>
  </si>
  <si>
    <t xml:space="preserve">SYM-031; Q-APP-002</t>
  </si>
  <si>
    <t xml:space="preserve">CTX-SYM-033-COMBAT</t>
  </si>
  <si>
    <t xml:space="preserve">[SYM-033] объявление; цена 100 ОЭ и 1 действие.</t>
  </si>
  <si>
    <t xml:space="preserve">[SYM-033] ОЭ≥100; цель допустима.</t>
  </si>
  <si>
    <t xml:space="preserve">[SYM-033] чистый R20 R, одновременно активация и пробитие=3R.</t>
  </si>
  <si>
    <t xml:space="preserve">[SYM-033] цель в тяжёлом ранении.</t>
  </si>
  <si>
    <t xml:space="preserve">[SYM-033] объявление; цена 100 ОЭ и 1 действие.
Нормативная база (действует во всей непротиворечащей части):</t>
  </si>
  <si>
    <t xml:space="preserve">[SYM-033] объявление; цена 100 ОЭ и 1 действие.
ОЭ≥100; цель допустима.
R≥5: выполнить попадание и пробитие; если шип достиг плоти, вывести цель из тяжёлого ранения, установить HP=1.</t>
  </si>
  <si>
    <t xml:space="preserve">[SYM-033] чистый R20 R, одновременно активация и пробитие=3R.
R=2–4: активация неуспешна.
R≥5: выполнить попадание и пробитие; если шип достиг плоти, вывести цель из тяжёлого ранения, установить HP=1.
R=1: «добить цель».</t>
  </si>
  <si>
    <t xml:space="preserve">[SYM-033] Нормативная база (действует во всей непротиворечащей части):
R=2–4: активация неуспешна. R≥5: выполнить попадание и пробитие; если шип достиг плоти, вывести цель из тяжёлого ранения, установить HP=1. R=1: «добить цель».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</si>
  <si>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[SYM-033] реанимация либо фатальный исход.</t>
  </si>
  <si>
    <t xml:space="preserve">[SYM-033] Нормативная база (действует во всей непротиворечащей части):</t>
  </si>
  <si>
    <t xml:space="preserve">SYM-033; CORE-229; SYM-010; SYM-011</t>
  </si>
  <si>
    <t xml:space="preserve">CTX-SYM-033-PEACE</t>
  </si>
  <si>
    <t xml:space="preserve">Боевые действия не расходуются вне боя. Частная длительность/условия сохраняются:
[SYM-033] объявление; цена 100 ОЭ и 1 действие.
Нормативная база (действует во всей непротиворечащей части):</t>
  </si>
  <si>
    <t xml:space="preserve">SYM-033; Q-APP-001; SYM-010; SYM-011</t>
  </si>
  <si>
    <t xml:space="preserve">CTX-SYM-035-COMBAT</t>
  </si>
  <si>
    <t xml:space="preserve">[SYM-035] контактное применение; цена 150 ОЭ и 1 действие.</t>
  </si>
  <si>
    <t xml:space="preserve">[SYM-035] ОЭ≥150; известен T — время с момента смерти.</t>
  </si>
  <si>
    <t xml:space="preserve">[SYM-035] чистый R20 R, T в ходах/минутах.</t>
  </si>
  <si>
    <t xml:space="preserve">[SYM-035] погибший персонаж.</t>
  </si>
  <si>
    <t xml:space="preserve">[SYM-035] контактное применение; цена 150 ОЭ и 1 действие.
чистый R20 R, T в ходах/минутах.
Нормативная база (действует во всей непротиворечащей части):
[Q-SYM-015] Сохранение мозга и части тела не проверяется – это игровая условность; цель воскресает с 1 HP вне тяжёлого ранения, Ткач сохраняется в носителе.
T считается в ходах в бою и полных минутах вне боя по правилу перехода режимов Q-CORE-063.</t>
  </si>
  <si>
    <t xml:space="preserve">[SYM-035] контактное применение; цена 150 ОЭ и 1 действие.
ОЭ≥150; известен T — время с момента смерти.
[Q-SYM-015] Сохранение мозга и части тела не проверяется – это игровая условность; цель воскресает с 1 HP вне тяжёлого ранения, Ткач сохраняется в носителе.</t>
  </si>
  <si>
    <t xml:space="preserve">[SYM-035] чистый R20 R, T в ходах/минутах.
если R=1, цель любой степени повреждения воскресает с I=1 независимо от формулы.</t>
  </si>
  <si>
    <t xml:space="preserve">[SYM-035] Нормативная база (действует во всей непротиворечащей части):
если R=1, цель любой степени повреждения воскресает с I=1 независимо от формулы. Иначе воскрешение успешно только если R − 4T &gt; 0.
Приоритетные авторские дельты (заменяют только прямо пересекающиеся ветви):
[Q-SYM-015]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</si>
  <si>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[SYM-035] цель возвращается к жизни либо остаётся мёртвой; Ткач вводится в тело цели по описанию.</t>
  </si>
  <si>
    <t xml:space="preserve">[SYM-035] чистый R20 R, T в ходах/минутах.
Нормативная база (действует во всей непротиворечащей части):
[Q-SYM-015] Сохранение мозга и части тела не проверяется – это игровая условность; цель воскресает с 1 HP вне тяжёлого ранения, Ткач сохраняется в носителе.
T считается в ходах в бою и полных минутах вне боя по правилу перехода режимов Q-CORE-063.</t>
  </si>
  <si>
    <t xml:space="preserve">SYM-035; CORE-229; SYM-010; SYM-011</t>
  </si>
  <si>
    <t xml:space="preserve">CTX-SYM-035-PEACE</t>
  </si>
  <si>
    <t xml:space="preserve">Боевые действия не расходуются вне боя. Частная длительность/условия сохраняются:
[SYM-035] контактное применение; цена 150 ОЭ и 1 действие.
чистый R20 R, T в ходах/минутах.
Нормативная база (действует во всей непротиворечащей части):
[Q-SYM-015] Сохранение мозга и части тела не проверяется – это игровая условность; цель воскресает с 1 HP вне тяжёлого ранения, Ткач сохраняется в носителе.
T считается в ходах в бою и полных минутах вне боя по правилу перехода режимов Q-CORE-063.</t>
  </si>
  <si>
    <t xml:space="preserve">SYM-035; Q-APP-001; SYM-010; SYM-011</t>
  </si>
  <si>
    <t xml:space="preserve">CTX-SYM-036-COMBAT</t>
  </si>
  <si>
    <t xml:space="preserve">[SYM-036] объявление; цена 150 ОЭ и 1 действие.</t>
  </si>
  <si>
    <t xml:space="preserve">[SYM-036] ОЭ≥150.</t>
  </si>
  <si>
    <t xml:space="preserve">[SYM-036] чистый R20 радиуса.</t>
  </si>
  <si>
    <t xml:space="preserve">[SYM-036] все живые существа в области.</t>
  </si>
  <si>
    <t xml:space="preserve">[SYM-036] объявление; цена 150 ОЭ и 1 действие.
ОЭ≥150.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</si>
  <si>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[SYM-036] чистый R20 радиуса.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</si>
  <si>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[SYM-036]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</si>
  <si>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[SYM-036] массовое лечение, включая союзников и противников.</t>
  </si>
  <si>
    <t xml:space="preserve">SYM-036; CORE-229; SYM-010; SYM-011</t>
  </si>
  <si>
    <t xml:space="preserve">CTX-SYM-036-PEACE</t>
  </si>
  <si>
    <t xml:space="preserve">SYM-036; Q-APP-002</t>
  </si>
  <si>
    <t xml:space="preserve">CTX-SYM-039-COMBAT</t>
  </si>
  <si>
    <t xml:space="preserve">[SYM-039] выбран режим «смертельный»; яд попал в кровоток либо проглоченную пищу цели.
[SYM-181] игрок выбирает другой изученный тип яда.
[SYM-183] игрок выбирает команду нанесения текущего активного яда вне боя.</t>
  </si>
  <si>
    <t xml:space="preserve">[SYM-039] Тайпан не подавлен Жабой.
[SYM-181] есть как минимум два изученных типа; Тайпан не подавлен Жабой.
[SYM-183] Тайпан активен; выбранный вид яда уже действует в крови; цель допустима по профильному правилу.</t>
  </si>
  <si>
    <t xml:space="preserve">[SYM-039] L; отдельный R20 урона, отдельный R20 длительности; способ доставки.
[SYM-181] текущий тип, выбранный тип, таймер.
[SYM-183] текущий вид яда, выбранный экземпляр предмета или пищи, профиль SYM-039/SYM-042/SYM-045.</t>
  </si>
  <si>
    <t xml:space="preserve">[SYM-039] носитель и отравленная цель.</t>
  </si>
  <si>
    <t xml:space="preserve">[SYM-039]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</si>
  <si>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[SYM-039]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общие вопросы дозы/тика и округления — Q-SYM-005, Q-SYM-017.
[SYM-183]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</si>
  <si>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[SYM-039] L; отдельный R20 урона, отдельный R20 длительности; способ доставки.
Цель получает за ход R20/5 + L урона в течение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</si>
  <si>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[SYM-039] Нормативная база (действует во всей непротиворечащей части):
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</si>
  <si>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[SYM-039] создаётся периодический эффект с зафиксированными величиной и сроком; повторное применение обновляет, а не складывает эффект.
[SYM-181] по завершении activePoisonType заменён новым; способности доставки используют тип, превалирующий в момент объявления.
[SYM-183] предмет или пища получает ссылку на вид яда и профиль его применения.</t>
  </si>
  <si>
    <t xml:space="preserve">[SYM-039] Нормативная база (действует во всей непротиворечащей части):
Цель получает за ход R20/5 + L урона в течение R20/2 ходов.
При нанесении на оружие урон за ход делится пополам; остальные параметры неизменны.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создаётся периодический эффект с зафиксированными величиной и сроком; повторное применение обновляет, а не складывает эффект.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</si>
  <si>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SYM-039; CORE-229; SYM-010; SYM-011</t>
  </si>
  <si>
    <t xml:space="preserve">CTX-SYM-039-PEACE</t>
  </si>
  <si>
    <t xml:space="preserve">Боевые действия не расходуются вне боя. Частная длительность/условия сохраняются:
[SYM-039]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</si>
  <si>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SYM-039; Q-APP-001; SYM-010; SYM-011</t>
  </si>
  <si>
    <t xml:space="preserve">CTX-SYM-040-COMBAT</t>
  </si>
  <si>
    <t xml:space="preserve">[SYM-040] объявление; цена 10 ОЭ и 1 действие.</t>
  </si>
  <si>
    <t xml:space="preserve">[SYM-040] в крови вырабатывается яд; ОЭ≥10.</t>
  </si>
  <si>
    <t xml:space="preserve">[SYM-040] чистый R20 активации, область тела.</t>
  </si>
  <si>
    <t xml:space="preserve">[SYM-040] выбранная область тела и цель.</t>
  </si>
  <si>
    <t xml:space="preserve">[SYM-040] объявление; цена 10 ОЭ и 1 действие.
Нормативная база (действует во всей непротиворечащей части):
R=1: носитель получает −1 к серии приёмов на 1 час/до конца боя.</t>
  </si>
  <si>
    <t xml:space="preserve">[SYM-040] объявление; цена 10 ОЭ и 1 действие.
ОЭ≥10.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t>
  </si>
  <si>
    <t xml:space="preserve">[SYM-040] чистый R20 активации, область тела.
R=2–3: нет эффекта.
R=1: носитель получает −1 к серии приёмов на 1 час/до конца боя.</t>
  </si>
  <si>
    <t xml:space="preserve">[SYM-040] Нормативная база (действует во всей непротиворечащей части):
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
Приоритетные авторские дельты (заменяют только прямо пересекающиеся ветви):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</si>
  <si>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[SYM-040] подготовлена контактная зона либо наложен штраф серии.</t>
  </si>
  <si>
    <t xml:space="preserve">[SYM-040] Нормативная база (действует во всей непротиворечащей части):
R=1: носитель получает −1 к серии приёмов на 1 час/до конца боя.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срок существования проницаемой зоны не указан.</t>
  </si>
  <si>
    <t xml:space="preserve">[SYM-040] Один раз за каждую успешную безоружную атаку или успешную проверку борьбы цели накладывается яд, активный в крови носителя в момент контакта.</t>
  </si>
  <si>
    <t xml:space="preserve">SYM-040; CORE-229; SYM-010; SYM-011</t>
  </si>
  <si>
    <t xml:space="preserve">CTX-SYM-040-PEACE</t>
  </si>
  <si>
    <t xml:space="preserve">Боевые действия не расходуются вне боя. Частная длительность/условия сохраняются:
[SYM-040] объявление; цена 10 ОЭ и 1 действие.
Нормативная база (действует во всей непротиворечащей части):
R=1: носитель получает −1 к серии приёмов на 1 час/до конца боя.</t>
  </si>
  <si>
    <t xml:space="preserve">SYM-040; Q-APP-001; SYM-010; SYM-011</t>
  </si>
  <si>
    <t xml:space="preserve">CTX-SYM-041-COMBAT</t>
  </si>
  <si>
    <t xml:space="preserve">[SYM-041] объявление; цена 10 ОЭ и 1 действие.</t>
  </si>
  <si>
    <t xml:space="preserve">[SYM-041] Тайпан не подавлен; выбран яд; ОЭ≥10.</t>
  </si>
  <si>
    <t xml:space="preserve">[SYM-041] отдельный R20 активации; R12 пробития; текущий яд.</t>
  </si>
  <si>
    <t xml:space="preserve">[SYM-041] цель.</t>
  </si>
  <si>
    <t xml:space="preserve">[SYM-041] объявление; цена 10 ОЭ и 1 действие.
Нормативная база (действует во всей непротиворечащей части):</t>
  </si>
  <si>
    <t xml:space="preserve">[SYM-041] объявление; цена 10 ОЭ и 1 действие.
ОЭ≥10.
R20=1: носитель теряет 10 HP.</t>
  </si>
  <si>
    <t xml:space="preserve">[SYM-041] отдельный R20 активации
R12 пробития; текущий яд.
R20≥4: выполнить дальнюю атаку; пробитие=R12; если сгусток достиг кожи, наложить текущий яд.
R20=2–3: нет эффекта.
R20=1: носитель теряет 10 HP.
[Q-SYM-075] При попадании Плевка ядом немедленно уничтожается внешний элемент обычной одежды или лёгкой брони со спасброском не выше R6.</t>
  </si>
  <si>
    <t xml:space="preserve">[SYM-041] Нормативная база (действует во всей непротиворечащей части):
R20≥4: выполнить дальнюю атаку; пробитие=R12; если сгусток достиг кожи, наложить текущий яд. R20=2–3: нет эффекта. R20=1: носитель теряет 10 HP.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</si>
  <si>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[SYM-041] яд на цели либо самоповреждение; при контакте слизь инициирует неопределённый коррозионный эффект на одежде/лёгкой броне.</t>
  </si>
  <si>
    <t xml:space="preserve">[SYM-041] Нормативная база (действует во всей непротиворечащей части):</t>
  </si>
  <si>
    <t xml:space="preserve">SYM-041; CORE-229; SYM-010; SYM-011</t>
  </si>
  <si>
    <t xml:space="preserve">CTX-SYM-041-PEACE</t>
  </si>
  <si>
    <t xml:space="preserve">SYM-041; Q-APP-002</t>
  </si>
  <si>
    <t xml:space="preserve">CTX-SYM-042-COMBAT</t>
  </si>
  <si>
    <t xml:space="preserve">[SYM-042] яд попал в кровоток/пищу.
[SYM-181] игрок выбирает другой изученный тип яда.
[SYM-183] игрок выбирает команду нанесения текущего активного яда вне боя.</t>
  </si>
  <si>
    <t xml:space="preserve">[SYM-042] выбран ослабляющий режим; Тайпан не подавлен.
[SYM-181] есть как минимум два изученных типа; Тайпан не подавлен Жабой.
[SYM-183] Тайпан активен; выбранный вид яда уже действует в крови; цель допустима по профильному правилу.</t>
  </si>
  <si>
    <t xml:space="preserve">[SYM-042] L, Z_target, R20 величины, отдельный R20 длительности, способ доставки.
[SYM-181] текущий тип, выбранный тип, таймер.
[SYM-183] текущий вид яда, выбранный экземпляр предмета или пищи, профиль SYM-039/SYM-042/SYM-045.</t>
  </si>
  <si>
    <t xml:space="preserve">[SYM-042] отравленная цель.</t>
  </si>
  <si>
    <t xml:space="preserve">[SYM-042]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</si>
  <si>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[SYM-042]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</si>
  <si>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[SYM-042] L, Z_target, R20 величины, отдельный R20 длительности, способ доставки.
Рассчитать K=R20+L−Z_target; снизить S,D,M цели на K, но ни одну не ниже 1; срок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[Q-SYM-019] Сила снижения K рассчитывается как max(0, R20 + L − Z).
При K=0 яд считается попавшим, но характеристики цели не изменяются.</t>
  </si>
  <si>
    <t xml:space="preserve">[SYM-042] Нормативная база (действует во всей непротиворечащей части):
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[Q-SYM-019] Сила снижения K рассчитывается как max(0, R20 + L − Z). При K=0 яд считается попавшим, но характеристики цели не изменяются.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</si>
  <si>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[SYM-042] временные модификаторы S,D,M.
[SYM-181] по завершении activePoisonType заменён новым; способности доставки используют тип, превалирующий в момент объявления.
[SYM-183] предмет или пища получает ссылку на вид яда и профиль его применения.</t>
  </si>
  <si>
    <t xml:space="preserve">[SYM-042] Нормативная база (действует во всей непротиворечащей части):
Рассчитать K=R20+L−Z_target; снизить S,D,M цели на K, но ни одну не ниже 1; срок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</si>
  <si>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SYM-042; CORE-229; SYM-010; SYM-011</t>
  </si>
  <si>
    <t xml:space="preserve">CTX-SYM-042-PEACE</t>
  </si>
  <si>
    <t xml:space="preserve">Боевые действия не расходуются вне боя. Частная длительность/условия сохраняются:
[SYM-042]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</si>
  <si>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SYM-042; Q-APP-001; SYM-010; SYM-011</t>
  </si>
  <si>
    <t xml:space="preserve">CTX-SYM-043-COMBAT</t>
  </si>
  <si>
    <t xml:space="preserve">[SYM-043] объявление; цена 30 ОЭ и 1 действие.</t>
  </si>
  <si>
    <t xml:space="preserve">[SYM-043] ОЭ≥30.</t>
  </si>
  <si>
    <t xml:space="preserve">[SYM-043] один чистый R20 R, текущий яд.</t>
  </si>
  <si>
    <t xml:space="preserve">[SYM-043] цель.</t>
  </si>
  <si>
    <t xml:space="preserve">[SYM-043] объявление; цена 30 ОЭ и 1 действие.
Нормативная база (действует во всей непротиворечащей части):
R=1: Тайпан отключён на 1 час/6 ходов.</t>
  </si>
  <si>
    <t xml:space="preserve">[SYM-043] объявление; цена 30 ОЭ и 1 действие.
ОЭ≥30.</t>
  </si>
  <si>
    <t xml:space="preserve">[SYM-043] один чистый R20 R, текущий яд.
R≥4: дальняя атака, пробитие=R+L, урон=R+L одной проверкой; если нанесён урон, наложить текущий яд.
R=2–3: нет эффекта.
R=1: Тайпан отключён на 1 час/6 ходов.</t>
  </si>
  <si>
    <t xml:space="preserve">[SYM-043] Нормативная база (действует во всей непротиворечащей части):
R≥4: дальняя атака, пробитие=R+L, урон=R+L одной проверкой; если нанесён урон, наложить текущий яд. R=2–3: нет эффекта. R=1: Тайпан отключён на 1 час/6 ходов.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</si>
  <si>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[SYM-043] урон/яд либо отключение.</t>
  </si>
  <si>
    <t xml:space="preserve">[SYM-043] Нормативная база (действует во всей непротиворечащей части):
R=1: Тайпан отключён на 1 час/6 ходов.</t>
  </si>
  <si>
    <t xml:space="preserve">SYM-043; CORE-229; SYM-010; SYM-011</t>
  </si>
  <si>
    <t xml:space="preserve">CTX-SYM-043-PEACE</t>
  </si>
  <si>
    <t xml:space="preserve">SYM-043; Q-APP-002</t>
  </si>
  <si>
    <t xml:space="preserve">CTX-SYM-044-COMBAT</t>
  </si>
  <si>
    <t xml:space="preserve">[SYM-044] объявление; цена 50 ОЭ и 1 действие.</t>
  </si>
  <si>
    <t xml:space="preserve">[SYM-044] ОЭ≥50.</t>
  </si>
  <si>
    <t xml:space="preserve">[SYM-044] первый R20 A (активация/пробитие), отдельный R20 D (урон), текущий яд.</t>
  </si>
  <si>
    <t xml:space="preserve">[SYM-044] цель.</t>
  </si>
  <si>
    <t xml:space="preserve">[SYM-044] объявление; цена 50 ОЭ и 1 действие.
Нормативная база (действует во всей непротиворечащей части):
A=1: носитель получает 20 урона и оглушение на 40 минут/3 хода.</t>
  </si>
  <si>
    <t xml:space="preserve">[SYM-044] объявление; цена 50 ОЭ и 1 действие.
ОЭ≥50.</t>
  </si>
  <si>
    <t xml:space="preserve">[SYM-044] первый R20 A (активация/пробитие), отдельный R20 D (урон), текущий яд.
A≥4: пробитие=(A+L)×2, урон=D+L; при нанесении урона наложить текущий яд.
A=2–3: нет эффекта.
A=1: носитель получает 20 урона и оглушение на 40 минут/3 хода.</t>
  </si>
  <si>
    <t xml:space="preserve">[SYM-044] Нормативная база (действует во всей непротиворечащей части):
A≥4: пробитие=(A+L)×2, урон=D+L; при нанесении урона наложить текущий яд. A=2–3: нет эффекта. A=1: носитель получает 20 урона и оглушение на 40 минут/3 хода.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</si>
  <si>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[SYM-044] атака либо самоповреждение/оглушение.</t>
  </si>
  <si>
    <t xml:space="preserve">[SYM-044] Нормативная база (действует во всей непротиворечащей части):
A=1: носитель получает 20 урона и оглушение на 40 минут/3 хода.</t>
  </si>
  <si>
    <t xml:space="preserve">SYM-044; CORE-229; SYM-010; SYM-011</t>
  </si>
  <si>
    <t xml:space="preserve">CTX-SYM-044-PEACE</t>
  </si>
  <si>
    <t xml:space="preserve">SYM-044; Q-APP-002</t>
  </si>
  <si>
    <t xml:space="preserve">CTX-SYM-045-COMBAT</t>
  </si>
  <si>
    <t xml:space="preserve">[SYM-045] яд попал в кровоток/пищу.
[SYM-181] игрок выбирает другой изученный тип яда.
[SYM-183] игрок выбирает команду нанесения текущего активного яда вне боя.</t>
  </si>
  <si>
    <t xml:space="preserve">[SYM-045] выбран парализующий режим; Тайпан не подавлен.
[SYM-181] есть как минимум два изученных типа; Тайпан не подавлен Жабой.
[SYM-183] Тайпан активен; выбранный вид яда уже действует в крови; цель допустима по профильному правилу.</t>
  </si>
  <si>
    <t xml:space="preserve">[SYM-045] R20 проверки, L, Z цели, D4 зоны, отдельный R20 длительности, способ доставки.
[SYM-181] текущий тип, выбранный тип, таймер.
[SYM-183] текущий вид яда, выбранный экземпляр предмета или пищи, профиль SYM-039/SYM-042/SYM-045.</t>
  </si>
  <si>
    <t xml:space="preserve">[SYM-045] отравленная цель.</t>
  </si>
  <si>
    <t xml:space="preserve">[SYM-045] Нормативная база (действует во всей непротиворечащей части):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Попадание в любую часть тела обсчитывается как попадание в корпус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</si>
  <si>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[SYM-045]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</si>
  <si>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[SYM-045] R20 проверки, L, Z цели, D4 зоны, отдельный R20 длительности, способ доставки.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повторные применения могут выбирать другие действующие конечности; анатомия не-D4 требует решения.</t>
  </si>
  <si>
    <t xml:space="preserve">[SYM-045] Нормативная база (действует во всей непротиворечащей части):
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
[SYM-183]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</si>
  <si>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[SYM-045] конечность получает состояние «онемела» до таймера.
[SYM-181] по завершении activePoisonType заменён новым; способности доставки используют тип, превалирующий в момент объявления.
[SYM-183] предмет или пища получает ссылку на вид яда и профиль его применения.</t>
  </si>
  <si>
    <t xml:space="preserve">[SYM-045] Нормативная база (действует во всей непротиворечащей части):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Попадание в любую часть тела обсчитывается как попадание в корпус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</si>
  <si>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SYM-045; CORE-229; SYM-010; SYM-011</t>
  </si>
  <si>
    <t xml:space="preserve">CTX-SYM-045-PEACE</t>
  </si>
  <si>
    <t xml:space="preserve">Боевые действия не расходуются вне боя. Частная длительность/условия сохраняются:
[SYM-045] Нормативная база (действует во всей непротиворечащей части):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Попадание в любую часть тела обсчитывается как попадание в корпус
[SYM-181] 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</si>
  <si>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SYM-045; Q-APP-001; SYM-010; SYM-011</t>
  </si>
  <si>
    <t xml:space="preserve">CTX-SYM-047-COMBAT</t>
  </si>
  <si>
    <t xml:space="preserve">[SYM-047] визуальная проверка днём либо наличие обеих способностей.</t>
  </si>
  <si>
    <t xml:space="preserve">[SYM-047] способность доступна.</t>
  </si>
  <si>
    <t xml:space="preserve">[SYM-047] базовая проверка обнаружения.</t>
  </si>
  <si>
    <t xml:space="preserve">[SYM-047] визуальные цели и Хамелеон.</t>
  </si>
  <si>
    <t xml:space="preserve">[SYM-047] Нормативная база (действует во всей непротиворечащей части):</t>
  </si>
  <si>
    <t xml:space="preserve">0 ОЭ, если частная карточка не устанавливает цену.</t>
  </si>
  <si>
    <t xml:space="preserve">Без броска, если частная карточка не требует его.</t>
  </si>
  <si>
    <t xml:space="preserve">[SYM-047] Нормативная база (действует во всей непротиворечащей части):
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</si>
  <si>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[SYM-047] модифицирован визуальный бросок; эффект Хамелеона подавлен.</t>
  </si>
  <si>
    <t xml:space="preserve">SYM-047; CORE-229; SYM-010; SYM-011</t>
  </si>
  <si>
    <t xml:space="preserve">CTX-SYM-047-PEACE</t>
  </si>
  <si>
    <t xml:space="preserve">Боевые действия не расходуются вне боя. Частная длительность/условия сохраняются:
[SYM-047] Нормативная база (действует во всей непротиворечащей части):</t>
  </si>
  <si>
    <t xml:space="preserve">SYM-047; Q-APP-001; SYM-010; SYM-011</t>
  </si>
  <si>
    <t xml:space="preserve">CTX-SYM-048-COMBAT</t>
  </si>
  <si>
    <t xml:space="preserve">[SYM-048] осмотр в тёмное время/помещении.</t>
  </si>
  <si>
    <t xml:space="preserve">[SYM-048] способность доступна.</t>
  </si>
  <si>
    <t xml:space="preserve">[SYM-048] штраф темноты.</t>
  </si>
  <si>
    <t xml:space="preserve">Цель выбирается по частной карточке способности; немоделируемые контакт/дистанцию вне боя подтверждает мастер.</t>
  </si>
  <si>
    <t xml:space="preserve">Если частная цена не указана: в бою 1 действие по SYM-010; вне боя отдельный пул боевых действий не создаётся.</t>
  </si>
  <si>
    <t xml:space="preserve">[SYM-048] удалить штраф к осмотру, вызванный временем суток или тёмным помещением.</t>
  </si>
  <si>
    <t xml:space="preserve">[SYM-048] проверка выполняется без указанного штрафа.</t>
  </si>
  <si>
    <t xml:space="preserve">SYM-048; CORE-229; SYM-010; SYM-011</t>
  </si>
  <si>
    <t xml:space="preserve">CTX-SYM-048-PEACE</t>
  </si>
  <si>
    <t xml:space="preserve">Боевые действия не расходуются вне боя. Частная длительность/условия сохраняются:
Если частная цена не указана: в бою 1 действие по SYM-010; вне боя отдельный пул боевых действий не создаётся.</t>
  </si>
  <si>
    <t xml:space="preserve">SYM-048; Q-APP-001; SYM-010; SYM-011</t>
  </si>
  <si>
    <t xml:space="preserve">CTX-SYM-049-COMBAT</t>
  </si>
  <si>
    <t xml:space="preserve">[SYM-049] механически значимая проверка обоняния в боевой сцене.</t>
  </si>
  <si>
    <t xml:space="preserve">[SYM-049] запах может быть воспринят.</t>
  </si>
  <si>
    <t xml:space="preserve">[SYM-049] базовая проверка.</t>
  </si>
  <si>
    <t xml:space="preserve">[SYM-049] запаховая цель.</t>
  </si>
  <si>
    <t xml:space="preserve">[SYM-049] добавить +15.</t>
  </si>
  <si>
    <t xml:space="preserve">[SYM-049] модифицированный результат.</t>
  </si>
  <si>
    <t xml:space="preserve">SYM-049; CORE-229; SYM-010; SYM-011</t>
  </si>
  <si>
    <t xml:space="preserve">CTX-SYM-049-PEACE</t>
  </si>
  <si>
    <t xml:space="preserve">SYM-049; Q-APP-002</t>
  </si>
  <si>
    <t xml:space="preserve">CTX-SYM-050-COMBAT</t>
  </si>
  <si>
    <t xml:space="preserve">[SYM-050] проверка слуха в боевой сцене.</t>
  </si>
  <si>
    <t xml:space="preserve">[SYM-050] звук достижим.</t>
  </si>
  <si>
    <t xml:space="preserve">[SYM-050] базовая проверка.</t>
  </si>
  <si>
    <t xml:space="preserve">[SYM-050] звуковая цель.</t>
  </si>
  <si>
    <t xml:space="preserve">[SYM-050] добавить +15 к слуху.</t>
  </si>
  <si>
    <t xml:space="preserve">[SYM-050] модифицированный результат.</t>
  </si>
  <si>
    <t xml:space="preserve">SYM-050; CORE-229; SYM-010; SYM-011</t>
  </si>
  <si>
    <t xml:space="preserve">CTX-SYM-050-PEACE</t>
  </si>
  <si>
    <t xml:space="preserve">SYM-050; Q-APP-002</t>
  </si>
  <si>
    <t xml:space="preserve">CTX-SYM-051-COMBAT</t>
  </si>
  <si>
    <t xml:space="preserve">[SYM-051] пассивно — невозможность зрения; активно — объявление, цена 10 ОЭ и 1 действие.</t>
  </si>
  <si>
    <t xml:space="preserve">[SYM-051] цель известна; в радиусе 100 м; препятствия звукопроницаемы.</t>
  </si>
  <si>
    <t xml:space="preserve">[SYM-051] чистый R20 R.</t>
  </si>
  <si>
    <t xml:space="preserve">[SYM-051] известная цель.</t>
  </si>
  <si>
    <t xml:space="preserve">[SYM-051] пассивно — невозможность зрения; активно — объявление, цена 10 ОЭ и 1 действие.
Нормативная база (действует во всей непротиворечащей части):</t>
  </si>
  <si>
    <t xml:space="preserve">[SYM-051] пассивно — невозможность зрения; активно — объявление, цена 10 ОЭ и 1 действие.
Базовые значения, текущие и максимальные HP/ОЭ не раскрываются, если способность не называет их отдельно.</t>
  </si>
  <si>
    <t xml:space="preserve">[SYM-051] чистый R20 R.
Активно: R=1–3 — нет данных
R=4–10 — местоположение
R=11–17 — местоположение и все характеристики
R=18–20 — также виды симбионтов.</t>
  </si>
  <si>
    <t xml:space="preserve">[SYM-051] Нормативная база (действует во всей непротиворечащей части):
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</si>
  <si>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[SYM-051] раскрывается информация заданной глубины.</t>
  </si>
  <si>
    <t xml:space="preserve">[SYM-051] Нормативная база (действует во всей непротиворечащей части):</t>
  </si>
  <si>
    <t xml:space="preserve">SYM-051; CORE-229; SYM-010; SYM-011</t>
  </si>
  <si>
    <t xml:space="preserve">CTX-SYM-051-PEACE</t>
  </si>
  <si>
    <t xml:space="preserve">Боевые действия не расходуются вне боя. Частная длительность/условия сохраняются:
[SYM-051] пассивно — невозможность зрения; активно — объявление, цена 10 ОЭ и 1 действие.
Нормативная база (действует во всей непротиворечащей части):</t>
  </si>
  <si>
    <t xml:space="preserve">SYM-051; Q-APP-001; SYM-010; SYM-011</t>
  </si>
  <si>
    <t xml:space="preserve">CTX-SYM-052-COMBAT</t>
  </si>
  <si>
    <t xml:space="preserve">[SYM-052] проверка обнаружения.</t>
  </si>
  <si>
    <t xml:space="preserve">[SYM-052] способность доступна.</t>
  </si>
  <si>
    <t xml:space="preserve">[SYM-052] модификаторы маскировки цели.</t>
  </si>
  <si>
    <t xml:space="preserve">[SYM-052] обнаруживаемые цели.</t>
  </si>
  <si>
    <t xml:space="preserve">[SYM-052] исключить из расчёта все модификаторы маскировки обнаруживаемой цели; саму проверку обнаружения сохранить.</t>
  </si>
  <si>
    <t xml:space="preserve">[SYM-052] цель обнаруживается как находящаяся в открытом поле.</t>
  </si>
  <si>
    <t xml:space="preserve">SYM-052; CORE-229; SYM-010; SYM-011</t>
  </si>
  <si>
    <t xml:space="preserve">CTX-SYM-052-PEACE</t>
  </si>
  <si>
    <t xml:space="preserve">SYM-052; Q-APP-001; SYM-010; SYM-011</t>
  </si>
  <si>
    <t xml:space="preserve">CTX-SYM-054-COMBAT</t>
  </si>
  <si>
    <t xml:space="preserve">[SYM-054] изменение L или состава симбионтов.</t>
  </si>
  <si>
    <t xml:space="preserve">[SYM-054] Учитель активен.</t>
  </si>
  <si>
    <t xml:space="preserve">[SYM-054] L, базовые W/I, число симбионтов.</t>
  </si>
  <si>
    <t xml:space="preserve">[SYM-054] носитель.</t>
  </si>
  <si>
    <t xml:space="preserve">[SYM-054] W_bonus=max(0,min(4L,20−W_base))
W=W_base+W_bonus.
Если Учитель — единственный симбионт, I_bonus=max(0,min(4L,20−I_base)), I=I_base+I_bonus.</t>
  </si>
  <si>
    <t xml:space="preserve">[SYM-054] W_bonus=max(0,min(4L,20−W_base)); W=W_base+W_bonus. Если Учитель — единственный симбионт, I_bonus=max(0,min(4L,20−I_base)), I=I_base+I_bonus.</t>
  </si>
  <si>
    <t xml:space="preserve">[SYM-054] производные W/I; при гибели/удалении вернуть исходные значения; при появлении другого симбионта убрать бонус I.</t>
  </si>
  <si>
    <t xml:space="preserve">SYM-054; CORE-229; SYM-010; SYM-011</t>
  </si>
  <si>
    <t xml:space="preserve">CTX-SYM-054-PEACE</t>
  </si>
  <si>
    <t xml:space="preserve">SYM-054; Q-APP-001; SYM-010; SYM-011</t>
  </si>
  <si>
    <t xml:space="preserve">CTX-SYM-055-COMBAT</t>
  </si>
  <si>
    <t xml:space="preserve">Контекст COMBAT прямо не разрешён принятым решением автоматизации.</t>
  </si>
  <si>
    <t xml:space="preserve">SYM-055; Q-APP-002</t>
  </si>
  <si>
    <t xml:space="preserve">CTX-SYM-055-PEACE</t>
  </si>
  <si>
    <t xml:space="preserve">[SYM-055] мастер подтверждает каждый полный час словесной ролевой игры.</t>
  </si>
  <si>
    <t xml:space="preserve">[SYM-055] Учитель присутствует; подтверждение не создаётся одной промоткой времени.</t>
  </si>
  <si>
    <t xml:space="preserve">[SYM-055] набор симбионтов носителя, кроме Учителя; их состояние активности.</t>
  </si>
  <si>
    <t xml:space="preserve">[SYM-055] остальные его симбионты.</t>
  </si>
  <si>
    <t xml:space="preserve">Боевые действия не расходуются вне боя. Частная длительность/условия сохраняются:
[SYM-055] мастер подтверждает каждый полный час словесной ролевой игры.
После ручного подтверждения часа равновероятно выбрать один присутствующий симбионт, кроме Учителя, и начислить ему 1 XP.</t>
  </si>
  <si>
    <t xml:space="preserve">[SYM-055] 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t>
  </si>
  <si>
    <t xml:space="preserve">[SYM-055] выбранный симбионт получает 1 XP; событие журналируется.</t>
  </si>
  <si>
    <t xml:space="preserve">[SYM-055] мастер подтверждает каждый полный час словесной ролевой игры.
После ручного подтверждения часа равновероятно выбрать один присутствующий симбионт, кроме Учителя, и начислить ему 1 XP.</t>
  </si>
  <si>
    <t xml:space="preserve">SYM-055; Q-APP-001; SYM-010; SYM-011</t>
  </si>
  <si>
    <t xml:space="preserve">CTX-SYM-056-COMBAT</t>
  </si>
  <si>
    <t xml:space="preserve">[SYM-056] объявление; цена 60 ОЭ и 1 действие.</t>
  </si>
  <si>
    <t xml:space="preserve">[SYM-056] ОЭ Учителя≥60.</t>
  </si>
  <si>
    <t xml:space="preserve">[SYM-056] прочие симбионты и их maxOE.</t>
  </si>
  <si>
    <t xml:space="preserve">[SYM-056] все прочие симбионты носителя.</t>
  </si>
  <si>
    <t xml:space="preserve">[SYM-056] объявление; цена 60 ОЭ и 1 действие.
ОЭ Учителя≥60.
полное восстановление чужих ОЭ
ОЭ Учителя уменьшаются на 60.</t>
  </si>
  <si>
    <t xml:space="preserve">[SYM-056] каждому прочему симбионту установить currentOE=maxOE.</t>
  </si>
  <si>
    <t xml:space="preserve">[SYM-056] полное восстановление чужих ОЭ; ОЭ Учителя уменьшаются на 60.</t>
  </si>
  <si>
    <t xml:space="preserve">SYM-056; CORE-229; SYM-010; SYM-011</t>
  </si>
  <si>
    <t xml:space="preserve">CTX-SYM-056-PEACE</t>
  </si>
  <si>
    <t xml:space="preserve">Боевые действия не расходуются вне боя. Частная длительность/условия сохраняются:
[SYM-056] объявление; цена 60 ОЭ и 1 действие.</t>
  </si>
  <si>
    <t xml:space="preserve">SYM-056; Q-APP-001; SYM-010; SYM-011</t>
  </si>
  <si>
    <t xml:space="preserve">CTX-SYM-057-COMBAT</t>
  </si>
  <si>
    <t xml:space="preserve">[SYM-057] голая ладонь удерживается на голой коже цели 10 секунд/1 полный боевой ход; базовая цена 40 ОЭ.</t>
  </si>
  <si>
    <t xml:space="preserve">[SYM-057] контакт не прерван; есть допустимые активные способности симбионтов носителя Учителя.</t>
  </si>
  <si>
    <t xml:space="preserve">[SYM-057] R20 активации; пул активных способностей; их цены/цели.</t>
  </si>
  <si>
    <t xml:space="preserve">[SYM-057] цель и её следующая способность.</t>
  </si>
  <si>
    <t xml:space="preserve">[SYM-057] голая ладонь удерживается на голой коже цели 10 секунд/1 полный боевой ход; базовая цена 40 ОЭ.
Нормативная база (действует во всей непротиворечащей части):
При триггере заявленное целью действие расходуется, но ОЭ её отменённой способности не списываются.</t>
  </si>
  <si>
    <t xml:space="preserve">[SYM-057] голая ладонь удерживается на голой коже цели 10 секунд/1 полный боевой ход; базовая цена 40 ОЭ.
R20 активации; пул активных способностей; их цены/цели.
При R=1 полностью обнулить ОЭ всех симбионтов носителя Учителя.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t>
  </si>
  <si>
    <t xml:space="preserve">[SYM-057] R20 активации; пул активных способностей; их цены/цели.
При R=1 полностью обнулить ОЭ всех симбионтов носителя Учителя.</t>
  </si>
  <si>
    <t xml:space="preserve">[SYM-057] Нормативная база (действует во всей непротиворечащей части):
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
Приоритетные авторские дельты (заменяют только прямо пересекающиеся ветви):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</si>
  <si>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[SYM-057] следующая способность цели подменена; маркер расходован.</t>
  </si>
  <si>
    <t xml:space="preserve">[SYM-057] голая ладонь удерживается на голой коже цели 10 секунд/1 полный боевой ход; базовая цена 40 ОЭ.
Нормативная база (действует во всей непротиворечащей части):
[Q-SYM-023] При наложении Учитель платит 40 ОЭ; маркер действует без срока до первого подходящего применения.</t>
  </si>
  <si>
    <t xml:space="preserve">SYM-057; CORE-229; SYM-010; SYM-011</t>
  </si>
  <si>
    <t xml:space="preserve">CTX-SYM-057-PEACE</t>
  </si>
  <si>
    <t xml:space="preserve">SYM-057; Q-APP-002</t>
  </si>
  <si>
    <t xml:space="preserve">CTX-SYM-058-COMBAT</t>
  </si>
  <si>
    <t xml:space="preserve">[SYM-058] объявление; цена 20 ОЭ и 1 действие.</t>
  </si>
  <si>
    <t xml:space="preserve">[SYM-058] ОЭ≥20.</t>
  </si>
  <si>
    <t xml:space="preserve">[SYM-058] чистый R20 R.</t>
  </si>
  <si>
    <t xml:space="preserve">[SYM-058] носители Трогра.</t>
  </si>
  <si>
    <t xml:space="preserve">[SYM-058] объявление; цена 20 ОЭ и 1 действие.
ОЭ≥20.</t>
  </si>
  <si>
    <t xml:space="preserve">[SYM-058] гарантированно обнаружить всех носителей Трогра в радиусе 5R метров, игнорируя любые препятствия.</t>
  </si>
  <si>
    <t xml:space="preserve">[SYM-058] раскрыты позиции подходящих целей.</t>
  </si>
  <si>
    <t xml:space="preserve">SYM-058; CORE-229; SYM-010; SYM-011</t>
  </si>
  <si>
    <t xml:space="preserve">CTX-SYM-058-PEACE</t>
  </si>
  <si>
    <t xml:space="preserve">SYM-058; Q-APP-002</t>
  </si>
  <si>
    <t xml:space="preserve">CTX-SYM-059-COMBAT</t>
  </si>
  <si>
    <t xml:space="preserve">[SYM-059] объявление копирования.</t>
  </si>
  <si>
    <t xml:space="preserve">[SYM-059] цель допустимой расы/дальности и ранее применяла активную способность; копия разрешима.</t>
  </si>
  <si>
    <t xml:space="preserve">[SYM-059] последняя активная способность цели, цена 60 ОЭ и цена оригинала.</t>
  </si>
  <si>
    <t xml:space="preserve">[SYM-059] Единый или Вольный в 15 м.</t>
  </si>
  <si>
    <t xml:space="preserve">[SYM-059] Нормативная база (действует во всей непротиворечащей части):</t>
  </si>
  <si>
    <t xml:space="preserve">[SYM-059] последняя активная способность цели, цена 60 ОЭ и цена оригинала.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t>
  </si>
  <si>
    <t xml:space="preserve">[SYM-059] L=уровень Учителя, проверки — характеристиками его носителя; оплатить большую из цен (не сумму); затем отключить Учителя на сутки.</t>
  </si>
  <si>
    <t xml:space="preserve">[SYM-059] Нормативная база (действует во всей непротиворечащей части):
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
Приоритетные авторские дельты (заменяют только прямо пересекающиеся ветви):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</si>
  <si>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[SYM-059] разрешена копия, Учитель отключён.</t>
  </si>
  <si>
    <t xml:space="preserve">[SYM-059] Нормативная база (действует во всей непротиворечащей части):
L=уровень Учителя, проверки — характеристиками его носителя; оплатить большую из цен (не сумму); затем отключить Учителя на сутки.</t>
  </si>
  <si>
    <t xml:space="preserve">SYM-059; CORE-229; SYM-010; SYM-011</t>
  </si>
  <si>
    <t xml:space="preserve">CTX-SYM-059-PEACE</t>
  </si>
  <si>
    <t xml:space="preserve">Боевые действия не расходуются вне боя. Частная длительность/условия сохраняются:
[SYM-059] Нормативная база (действует во всей непротиворечащей части):</t>
  </si>
  <si>
    <t xml:space="preserve">SYM-059; Q-APP-001; SYM-010; SYM-011</t>
  </si>
  <si>
    <t xml:space="preserve">CTX-SYM-061-COMBAT</t>
  </si>
  <si>
    <t xml:space="preserve">[SYM-061] получение удара.</t>
  </si>
  <si>
    <t xml:space="preserve">[SYM-061] Броненосец активен.</t>
  </si>
  <si>
    <t xml:space="preserve">[SYM-061] L, тип оружия, носимая броня.</t>
  </si>
  <si>
    <t xml:space="preserve">[SYM-061] все зоны тела.</t>
  </si>
  <si>
    <t xml:space="preserve">[SYM-061] добавить L к броне поражённой зоны, складывая с носимой бронёй.</t>
  </si>
  <si>
    <t xml:space="preserve">[SYM-061] повышенный спасбросок/показатель брони.</t>
  </si>
  <si>
    <t xml:space="preserve">SYM-061; CORE-229; SYM-010; SYM-011</t>
  </si>
  <si>
    <t xml:space="preserve">CTX-SYM-061-PEACE</t>
  </si>
  <si>
    <t xml:space="preserve">SYM-061; Q-APP-001; SYM-010; SYM-011</t>
  </si>
  <si>
    <t xml:space="preserve">CTX-SYM-062-COMBAT</t>
  </si>
  <si>
    <t xml:space="preserve">[SYM-062] изменение L/наличия симбионта.</t>
  </si>
  <si>
    <t xml:space="preserve">[SYM-062] способность доступна.</t>
  </si>
  <si>
    <t xml:space="preserve">[SYM-062] базовое Z, L.</t>
  </si>
  <si>
    <t xml:space="preserve">[SYM-062] Z = Z_base + L; при гибели/удалении вернуть базовое.</t>
  </si>
  <si>
    <t xml:space="preserve">[SYM-062] пересчитать Z и зависимые значения.</t>
  </si>
  <si>
    <t xml:space="preserve">SYM-062; CORE-229; SYM-010; SYM-011</t>
  </si>
  <si>
    <t xml:space="preserve">CTX-SYM-062-PEACE</t>
  </si>
  <si>
    <t xml:space="preserve">SYM-062; Q-APP-001; SYM-010; SYM-011</t>
  </si>
  <si>
    <t xml:space="preserve">CTX-SYM-063-COMBAT</t>
  </si>
  <si>
    <t xml:space="preserve">[SYM-063] эффект пытается оглушить.</t>
  </si>
  <si>
    <t xml:space="preserve">[SYM-063] текущий HP&gt;50.</t>
  </si>
  <si>
    <t xml:space="preserve">[SYM-063] текущий HP, состояние.</t>
  </si>
  <si>
    <t xml:space="preserve">[SYM-063] текущий HP&gt;50.
текущий HP, состояние.
при HP≤50 иммунитета нет; иные формы потери сознания не названы.</t>
  </si>
  <si>
    <t xml:space="preserve">[SYM-063] отменить наложение оглушения.</t>
  </si>
  <si>
    <t xml:space="preserve">[SYM-063] состояние не применяется.</t>
  </si>
  <si>
    <t xml:space="preserve">SYM-063; CORE-229; SYM-010; SYM-011</t>
  </si>
  <si>
    <t xml:space="preserve">CTX-SYM-063-PEACE</t>
  </si>
  <si>
    <t xml:space="preserve">SYM-063; Q-APP-001; SYM-010; SYM-011</t>
  </si>
  <si>
    <t xml:space="preserve">CTX-SYM-064-COMBAT</t>
  </si>
  <si>
    <t xml:space="preserve">[SYM-064] проверка сопротивления ментальному воздействию или способности Пингвина.</t>
  </si>
  <si>
    <t xml:space="preserve">[SYM-064] способность доступна.</t>
  </si>
  <si>
    <t xml:space="preserve">[SYM-064] базовый результат.</t>
  </si>
  <si>
    <t xml:space="preserve">[SYM-064] добавить +5.</t>
  </si>
  <si>
    <t xml:space="preserve">[SYM-064] модифицированный результат сопротивления.</t>
  </si>
  <si>
    <t xml:space="preserve">SYM-064; CORE-229; SYM-010; SYM-011</t>
  </si>
  <si>
    <t xml:space="preserve">CTX-SYM-064-PEACE</t>
  </si>
  <si>
    <t xml:space="preserve">SYM-064; Q-APP-001; SYM-010; SYM-011</t>
  </si>
  <si>
    <t xml:space="preserve">CTX-SYM-065-COMBAT</t>
  </si>
  <si>
    <t xml:space="preserve">[SYM-065] встречная проверка против попытки сдвинуть.</t>
  </si>
  <si>
    <t xml:space="preserve">[SYM-065] способность доступна.</t>
  </si>
  <si>
    <t xml:space="preserve">[SYM-065] базовый результат.</t>
  </si>
  <si>
    <t xml:space="preserve">[SYM-065] добавить +10.</t>
  </si>
  <si>
    <t xml:space="preserve">[SYM-065] модифицированная проверка.</t>
  </si>
  <si>
    <t xml:space="preserve">SYM-065; CORE-229; SYM-010; SYM-011</t>
  </si>
  <si>
    <t xml:space="preserve">CTX-SYM-065-PEACE</t>
  </si>
  <si>
    <t xml:space="preserve">SYM-065; Q-APP-001; SYM-010; SYM-011</t>
  </si>
  <si>
    <t xml:space="preserve">CTX-SYM-066-COMBAT</t>
  </si>
  <si>
    <t xml:space="preserve">[SYM-066] объявление допустимого защитного действия; цена 150 ОЭ и одно защитное действие.</t>
  </si>
  <si>
    <t xml:space="preserve">[SYM-066] против атаки вообще можно заявить защиту; обе руки доступны; ОЭ≥150.</t>
  </si>
  <si>
    <t xml:space="preserve">[SYM-066] чистый R20 активации.</t>
  </si>
  <si>
    <t xml:space="preserve">[SYM-066] входящая атака.</t>
  </si>
  <si>
    <t xml:space="preserve">[SYM-066] объявление допустимого защитного действия; цена 150 ОЭ и одно защитное действие.
Нормативная база (действует во всей непротиворечащей части):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
не работает против атак без права на защитное действие.</t>
  </si>
  <si>
    <t xml:space="preserve">[SYM-066] объявление допустимого защитного действия; цена 150 ОЭ и одно защитное действие.
ОЭ≥150.</t>
  </si>
  <si>
    <t xml:space="preserve">[SYM-066] чистый R20 активации.
R=2–3: защита не срабатывает.
R=1: сковать обе руки персонажа.</t>
  </si>
  <si>
    <t xml:space="preserve">[SYM-066] Нормативная база (действует во всей непротиворечащей части):
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
Приоритетные авторские дельты (заменяют только прямо пересекающиеся ветви):
[Q-SYM-026]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</si>
  <si>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[SYM-066] атака отражена либо руки скованы.</t>
  </si>
  <si>
    <t xml:space="preserve">[SYM-066] Нормативная база (действует во всей непротиворечащей части):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</si>
  <si>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SYM-066; CORE-229; SYM-010; SYM-011</t>
  </si>
  <si>
    <t xml:space="preserve">CTX-SYM-066-PEACE</t>
  </si>
  <si>
    <t xml:space="preserve">SYM-066; Q-APP-002</t>
  </si>
  <si>
    <t xml:space="preserve">CTX-SYM-068-COMBAT</t>
  </si>
  <si>
    <t xml:space="preserve">[SYM-068] поджигание слюны либо попадание покрытым горящей слюной оружием.</t>
  </si>
  <si>
    <t xml:space="preserve">[SYM-068] слюна нанесена и продолжает гореть.</t>
  </si>
  <si>
    <t xml:space="preserve">[SYM-068] L; чистый результат меткости; оставшееся время горения.</t>
  </si>
  <si>
    <t xml:space="preserve">[SYM-068] объект, оружие или цель.</t>
  </si>
  <si>
    <t xml:space="preserve">[SYM-068] Нормативная база (действует во всей непротиворечащей части):
слюна вырабатывается в L раз больше обычной; стартовое горение 3 минуты/3 хода.</t>
  </si>
  <si>
    <t xml:space="preserve">[SYM-068] 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</si>
  <si>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[SYM-068] создаётся/передаётся эффект горения.</t>
  </si>
  <si>
    <t xml:space="preserve">SYM-068; CORE-229; SYM-010; SYM-011</t>
  </si>
  <si>
    <t xml:space="preserve">CTX-SYM-068-PEACE</t>
  </si>
  <si>
    <t xml:space="preserve">Боевые действия не расходуются вне боя. Частная длительность/условия сохраняются:
[SYM-068] Нормативная база (действует во всей непротиворечащей части):
слюна вырабатывается в L раз больше обычной; стартовое горение 3 минуты/3 хода.</t>
  </si>
  <si>
    <t xml:space="preserve">SYM-068; Q-APP-001; SYM-010; SYM-011</t>
  </si>
  <si>
    <t xml:space="preserve">CTX-SYM-069-COMBAT</t>
  </si>
  <si>
    <t xml:space="preserve">[SYM-069] воздействие температуры пламени.</t>
  </si>
  <si>
    <t xml:space="preserve">[SYM-069] способность доступна.</t>
  </si>
  <si>
    <t xml:space="preserve">[SYM-069] длительность воздействия.</t>
  </si>
  <si>
    <t xml:space="preserve">[SYM-069] глотка, рот, зубы, губы.</t>
  </si>
  <si>
    <t xml:space="preserve">[SYM-069] 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[Q-SYM-028] Четыре минуты/четыре боевых хода считаются отдельно для каждого непрерывного эпизода воздействия огня на рот и глотку.</t>
  </si>
  <si>
    <t xml:space="preserve">[SYM-069] 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Приоритетные авторские дельты (заменяют только прямо пересекающиеся ветви):
[Q-SYM-028]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</si>
  <si>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[SYM-069] локальный урон предотвращён в пределах времени.</t>
  </si>
  <si>
    <t xml:space="preserve">SYM-069; CORE-229; SYM-010; SYM-011</t>
  </si>
  <si>
    <t xml:space="preserve">CTX-SYM-069-PEACE</t>
  </si>
  <si>
    <t xml:space="preserve">Боевые действия не расходуются вне боя. Частная длительность/условия сохраняются:
[SYM-069] 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[Q-SYM-028] Четыре минуты/четыре боевых хода считаются отдельно для каждого непрерывного эпизода воздействия огня на рот и глотку.</t>
  </si>
  <si>
    <t xml:space="preserve">SYM-069; Q-APP-001; SYM-010; SYM-011</t>
  </si>
  <si>
    <t xml:space="preserve">CTX-SYM-070-COMBAT</t>
  </si>
  <si>
    <t xml:space="preserve">[SYM-070] контакт зубов по воле носителя.</t>
  </si>
  <si>
    <t xml:space="preserve">[SYM-070] слюна находится во рту.</t>
  </si>
  <si>
    <t xml:space="preserve">[SYM-070] команда поджечь.</t>
  </si>
  <si>
    <t xml:space="preserve">[SYM-070] слюна во рту.</t>
  </si>
  <si>
    <t xml:space="preserve">[SYM-070] гарантированно зажечь слюну без проверки.</t>
  </si>
  <si>
    <t xml:space="preserve">[SYM-070] слюна получает состояние «горит».</t>
  </si>
  <si>
    <t xml:space="preserve">SYM-070; CORE-229; SYM-010; SYM-011</t>
  </si>
  <si>
    <t xml:space="preserve">CTX-SYM-070-PEACE</t>
  </si>
  <si>
    <t xml:space="preserve">SYM-070; Q-APP-001; SYM-010; SYM-011</t>
  </si>
  <si>
    <t xml:space="preserve">CTX-SYM-071-COMBAT</t>
  </si>
  <si>
    <t xml:space="preserve">[SYM-071] объявление; цена 30 ОЭ и 1 действие.</t>
  </si>
  <si>
    <t xml:space="preserve">[SYM-071] есть горящая слюна; ОЭ≥30.</t>
  </si>
  <si>
    <t xml:space="preserve">[SYM-071] первый R20 A (активация/длина), для каждой цели отдельный R6 экипировки.</t>
  </si>
  <si>
    <t xml:space="preserve">[SYM-071] все персонажи под струёй.</t>
  </si>
  <si>
    <t xml:space="preserve">[SYM-071] объявление; цена 30 ОЭ и 1 действие.
Нормативная база (действует во всей непротиворечащей части):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</si>
  <si>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[SYM-071] объявление; цена 30 ОЭ и 1 действие.
ОЭ≥30.
A=1: обнулить все ОЭ Дракона и запретить восстановление симбиотическим отваром 1 час.
множественные эффекты горения либо потеря ресурса.</t>
  </si>
  <si>
    <t xml:space="preserve">[SYM-071] первый R20 A (активация/длина), для каждой цели отдельный R6 экипировки.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t>
  </si>
  <si>
    <t xml:space="preserve">[SYM-071] Нормативная база (действует во всей непротиворечащей части):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</si>
  <si>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[SYM-071] множественные эффекты горения либо потеря ресурса.</t>
  </si>
  <si>
    <t xml:space="preserve">[SYM-071] Нормативная база (действует во всей непротиворечащей части):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t>
  </si>
  <si>
    <t xml:space="preserve">SYM-071; CORE-229; SYM-010; SYM-011</t>
  </si>
  <si>
    <t xml:space="preserve">CTX-SYM-071-PEACE</t>
  </si>
  <si>
    <t xml:space="preserve">SYM-071; Q-APP-002</t>
  </si>
  <si>
    <t xml:space="preserve">CTX-SYM-072-COMBAT</t>
  </si>
  <si>
    <t xml:space="preserve">[SYM-072] создание эффекта горения; в строке способности напечатана цена 30 ОЭ одновременно с пометкой «Пассивный эффект».</t>
  </si>
  <si>
    <t xml:space="preserve">[SYM-072] способность доступна; момент проверки достаточности ОЭ не определён.</t>
  </si>
  <si>
    <t xml:space="preserve">[SYM-072] базовая длительность 3; цена 30 ОЭ.</t>
  </si>
  <si>
    <t xml:space="preserve">[SYM-072] объекты и персонажи, подожжённые его слюной.</t>
  </si>
  <si>
    <t xml:space="preserve">[SYM-072] Нормативная база (действует во всей непротиворечащей части):</t>
  </si>
  <si>
    <t xml:space="preserve">[SYM-072] создание эффекта горения; в строке способности напечатана цена 30 ОЭ одновременно с пометкой «Пассивный эффект».
способность доступна; момент проверки достаточности ОЭ не определён.
базовая длительность 3; цена 30 ОЭ.
[Q-SYM-077] Строка «Стоимость: 30 ОЭ» считается опечаткой.</t>
  </si>
  <si>
    <t xml:space="preserve">[SYM-072] Нормативная база (действует во всей непротиворечащей части):
заменить стартовую длительность на 6 ходов.
Приоритетные авторские дельты (заменяют только прямо пересекающиеся ветви):
[Q-SYM-077]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</si>
  <si>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[SYM-072] более длительное горение.</t>
  </si>
  <si>
    <t xml:space="preserve">[SYM-072] Нормативная база (действует во всей непротиворечащей части):
заменить стартовую длительность на 6 ходов.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</si>
  <si>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SYM-072; CORE-229; SYM-010; SYM-011</t>
  </si>
  <si>
    <t xml:space="preserve">CTX-SYM-072-PEACE</t>
  </si>
  <si>
    <t xml:space="preserve">Боевые действия не расходуются вне боя. Частная длительность/условия сохраняются:
[SYM-072] Нормативная база (действует во всей непротиворечащей части):</t>
  </si>
  <si>
    <t xml:space="preserve">SYM-072; Q-APP-001; SYM-010; SYM-011</t>
  </si>
  <si>
    <t xml:space="preserve">CTX-SYM-073-COMBAT</t>
  </si>
  <si>
    <t xml:space="preserve">[SYM-073] объявление; цена 60 ОЭ и 1 действие.</t>
  </si>
  <si>
    <t xml:space="preserve">[SYM-073] ОЭ≥60; возможность поджечь слюну.</t>
  </si>
  <si>
    <t xml:space="preserve">[SYM-073] первый R20 A (активация/дальность), отдельный R12 R (радиус), отдельный R20 D (урон).</t>
  </si>
  <si>
    <t xml:space="preserve">[SYM-073] точка и все в радиусе.</t>
  </si>
  <si>
    <t xml:space="preserve">[SYM-073] объявление; цена 60 ОЭ и 1 действие.
Нормативная база (действует во всей непротиворечащей части):</t>
  </si>
  <si>
    <t xml:space="preserve">[SYM-073] объявление; цена 60 ОЭ и 1 действие.
ОЭ≥60; возможность поджечь слюну.</t>
  </si>
  <si>
    <t xml:space="preserve">[SYM-073] первый R20 A (активация/дальность), отдельный R12 R (радиус), отдельный R20 D (урон).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t>
  </si>
  <si>
    <t xml:space="preserve">[SYM-073] Нормативная база (действует во всей непротиворечащей части):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
Приоритетные авторские дельты (заменяют только прямо пересекающиеся ветви):
[Q-SYM-030]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</si>
  <si>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[SYM-073] чистый площадной урон и горение.</t>
  </si>
  <si>
    <t xml:space="preserve">[SYM-073] Нормативная база (действует во всей непротиворечащей части):</t>
  </si>
  <si>
    <t xml:space="preserve">SYM-073; CORE-229; SYM-010; SYM-011</t>
  </si>
  <si>
    <t xml:space="preserve">CTX-SYM-073-PEACE</t>
  </si>
  <si>
    <t xml:space="preserve">SYM-073; Q-APP-002</t>
  </si>
  <si>
    <t xml:space="preserve">CTX-SYM-076-COMBAT</t>
  </si>
  <si>
    <t xml:space="preserve">[SYM-076] изменение L или факт поглощения.</t>
  </si>
  <si>
    <t xml:space="preserve">[SYM-076] Трогр активен.</t>
  </si>
  <si>
    <t xml:space="preserve">[SYM-076] L, раса, базовые характеристики, поглощённые виды.</t>
  </si>
  <si>
    <t xml:space="preserve">[SYM-076] носитель.</t>
  </si>
  <si>
    <t xml:space="preserve">[SYM-076] Нормативная база (действует во всей непротиворечащей части):</t>
  </si>
  <si>
    <t xml:space="preserve">[SYM-076] Опыт за это не начисляется и компенсация уже развитому Трогру не выдаётся.</t>
  </si>
  <si>
    <t xml:space="preserve">[SYM-076]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судьба способностей при принудительном L=5 не определена.</t>
  </si>
  <si>
    <t xml:space="preserve">[SYM-076] Нормативная база (действует во всей непротиворечащей части):
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Приоритетные авторские дельты (заменяют только прямо пересекающиеся ветви):
[Q-SYM-032]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</si>
  <si>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[SYM-076] пересчитаны характеристики, maxHP, слоты и уровень.</t>
  </si>
  <si>
    <t xml:space="preserve">SYM-076; CORE-229; SYM-010; SYM-011</t>
  </si>
  <si>
    <t xml:space="preserve">CTX-SYM-076-PEACE</t>
  </si>
  <si>
    <t xml:space="preserve">Боевые действия не расходуются вне боя. Частная длительность/условия сохраняются:
[SYM-076] Нормативная база (действует во всей непротиворечащей части):</t>
  </si>
  <si>
    <t xml:space="preserve">SYM-076; Q-APP-001; SYM-010; SYM-011</t>
  </si>
  <si>
    <t xml:space="preserve">CTX-SYM-077-COMBAT</t>
  </si>
  <si>
    <t xml:space="preserve">[SYM-077] потеря HP во время текущей схватки.</t>
  </si>
  <si>
    <t xml:space="preserve">[SYM-077] способность доступна и не отключена «ЫЫЫ…».</t>
  </si>
  <si>
    <t xml:space="preserve">[SYM-077] суммарные потерянные HP в схватке.</t>
  </si>
  <si>
    <t xml:space="preserve">[SYM-077] Нормативная база (действует во всей непротиворечащей части):</t>
  </si>
  <si>
    <t xml:space="preserve">[SYM-077] потеря HP во время текущей схватки.
суммарные потерянные HP в схватке.
[Q-SYM-033] Считается суммарное количество фактически потерянных HP за текущую схватку, включая повторную потерю восстановленных HP.</t>
  </si>
  <si>
    <t xml:space="preserve">[SYM-077] бонус к S = floor(totalLostHP/10); сбросить в конце схватки.</t>
  </si>
  <si>
    <t xml:space="preserve">[SYM-077] Нормативная база (действует во всей непротиворечащей части):
бонус к S = floor(totalLostHP/10); сбросить в конце схватки.
Приоритетные авторские дельты (заменяют только прямо пересекающиеся ветви):
[Q-SYM-033]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</si>
  <si>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[SYM-077] динамический бонус силы.</t>
  </si>
  <si>
    <t xml:space="preserve">SYM-077; CORE-229; SYM-010; SYM-011</t>
  </si>
  <si>
    <t xml:space="preserve">CTX-SYM-077-PEACE</t>
  </si>
  <si>
    <t xml:space="preserve">SYM-077; Q-APP-002</t>
  </si>
  <si>
    <t xml:space="preserve">CTX-SYM-078-COMBAT</t>
  </si>
  <si>
    <t xml:space="preserve">[SYM-078] объявление; цена 50 ОЭ и 1 действие.</t>
  </si>
  <si>
    <t xml:space="preserve">[SYM-078] до оплаты currentOE≥2000.</t>
  </si>
  <si>
    <t xml:space="preserve">[SYM-078] A=R20+10 Трогра, проверка M цели B, разница A−B.</t>
  </si>
  <si>
    <t xml:space="preserve">[SYM-078] выбранная цель.</t>
  </si>
  <si>
    <t xml:space="preserve">[SYM-078] объявление; цена 50 ОЭ и 1 действие.
Нормативная база (действует во всей непротиворечащей части):
Разница 1–8: глухота 30 минут/6 ходов.
9–18: глухота + «страх» (−1 действие в серии) на тот же срок.
&gt;18: бессознательность 5 минут/1 ход.</t>
  </si>
  <si>
    <t xml:space="preserve">[SYM-078] Нормативная база (действует во всей непротиворечащей части):
если A≤B, нет эффекта. Разница 1–8: глухота 30 минут/6 ходов. 9–18: глухота + «страх» (−1 действие в серии) на тот же срок. &gt;18: бессознательность 5 минут/1 ход.
Приоритетные авторские дельты (заменяют только прямо пересекающиеся ветви):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</si>
  <si>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[SYM-078] состояние по диапазону.</t>
  </si>
  <si>
    <t xml:space="preserve">[SYM-078] Нормативная база (действует во всей непротиворечащей части):
Разница 1–8: глухота 30 минут/6 ходов.
9–18: глухота + «страх» (−1 действие в серии) на тот же срок.
&gt;18: бессознательность 5 минут/1 ход.</t>
  </si>
  <si>
    <t xml:space="preserve">SYM-078; CORE-229; SYM-010; SYM-011</t>
  </si>
  <si>
    <t xml:space="preserve">CTX-SYM-078-PEACE</t>
  </si>
  <si>
    <t xml:space="preserve">SYM-078; Q-APP-002</t>
  </si>
  <si>
    <t xml:space="preserve">CTX-SYM-079-COMBAT</t>
  </si>
  <si>
    <t xml:space="preserve">[SYM-079] изучение способности.</t>
  </si>
  <si>
    <t xml:space="preserve">[SYM-079] узел куплен.</t>
  </si>
  <si>
    <t xml:space="preserve">[SYM-079] наличие/уровень навыка.</t>
  </si>
  <si>
    <t xml:space="preserve">[SYM-079] навык грубого оружия.</t>
  </si>
  <si>
    <t xml:space="preserve">[SYM-079] если навыка нет — выдать высокий уровень без занятия слота; если есть — повысить на 3, не выше абсолютного.</t>
  </si>
  <si>
    <t xml:space="preserve">[SYM-079] навык изменён постоянно.</t>
  </si>
  <si>
    <t xml:space="preserve">SYM-079; CORE-229; SYM-010; SYM-011</t>
  </si>
  <si>
    <t xml:space="preserve">CTX-SYM-079-PEACE</t>
  </si>
  <si>
    <t xml:space="preserve">SYM-079; Q-APP-001; SYM-010; SYM-011</t>
  </si>
  <si>
    <t xml:space="preserve">CTX-SYM-080-COMBAT</t>
  </si>
  <si>
    <t xml:space="preserve">[SYM-080] объявление; цена 20 ОЭ и 1 действие.</t>
  </si>
  <si>
    <t xml:space="preserve">[SYM-080] ОЭ≥20.</t>
  </si>
  <si>
    <t xml:space="preserve">[SYM-080] проверка I со всеми модификаторами.</t>
  </si>
  <si>
    <t xml:space="preserve">[SYM-080] объявление; цена 20 ОЭ и 1 действие.
Нормативная база (действует во всей непротиворечащей части):</t>
  </si>
  <si>
    <t xml:space="preserve">[SYM-080] объявление; цена 20 ОЭ и 1 действие.
ОЭ≥20.</t>
  </si>
  <si>
    <t xml:space="preserve">[SYM-080] Нормативная база (действует во всей непротиворечащей части):
если итог &lt;10, носитель не чувствует боль любой силы и отключает эффект «Трогр крушить!».
Приоритетные авторские дельты (заменяют только прямо пересекающиеся ветви):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</si>
  <si>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[SYM-080] состояние нечувствительности к боли; бонус SYM-077 снят/заблокирован.</t>
  </si>
  <si>
    <t xml:space="preserve">[SYM-080] Нормативная база (действует во всей непротиворечащей части):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t>
  </si>
  <si>
    <t xml:space="preserve">SYM-080; CORE-229; SYM-010; SYM-011</t>
  </si>
  <si>
    <t xml:space="preserve">CTX-SYM-080-PEACE</t>
  </si>
  <si>
    <t xml:space="preserve">SYM-080; Q-APP-002</t>
  </si>
  <si>
    <t xml:space="preserve">CTX-SYM-081-COMBAT</t>
  </si>
  <si>
    <t xml:space="preserve">[SYM-081] спасбросок брони любой зоны.</t>
  </si>
  <si>
    <t xml:space="preserve">[SYM-081] выбрана эта XOR-ветвь.</t>
  </si>
  <si>
    <t xml:space="preserve">[SYM-081] носимая броня.</t>
  </si>
  <si>
    <t xml:space="preserve">[SYM-081] добавить +4 к спасброску брони; сложить с носимыми доспехами.</t>
  </si>
  <si>
    <t xml:space="preserve">[SYM-081] повышенная защита.</t>
  </si>
  <si>
    <t xml:space="preserve">SYM-081; CORE-229; SYM-010; SYM-011</t>
  </si>
  <si>
    <t xml:space="preserve">CTX-SYM-081-PEACE</t>
  </si>
  <si>
    <t xml:space="preserve">SYM-081; Q-APP-001; SYM-010; SYM-011</t>
  </si>
  <si>
    <t xml:space="preserve">CTX-SYM-082-COMBAT</t>
  </si>
  <si>
    <t xml:space="preserve">[SYM-082] чистый результат проверки I равен 1.</t>
  </si>
  <si>
    <t xml:space="preserve">[SYM-082] выбрана эта XOR-ветвь.</t>
  </si>
  <si>
    <t xml:space="preserve">[SYM-082] натуральный результат.</t>
  </si>
  <si>
    <t xml:space="preserve">[SYM-082] 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t>
  </si>
  <si>
    <t xml:space="preserve">[SYM-082] Проверка считается критически успешной первой градации; в бою итог определяется CORE-229.</t>
  </si>
  <si>
    <t xml:space="preserve">[SYM-082] Хранить source=ABILITY_OVERRIDE, confirmed=false и исходный rawFace=1.</t>
  </si>
  <si>
    <t xml:space="preserve">SYM-082; CORE-229; SYM-010; SYM-011</t>
  </si>
  <si>
    <t xml:space="preserve">CTX-SYM-082-PEACE</t>
  </si>
  <si>
    <t xml:space="preserve">SYM-082; Q-APP-001; SYM-010; SYM-011</t>
  </si>
  <si>
    <t xml:space="preserve">CTX-SYM-084-COMBAT</t>
  </si>
  <si>
    <t xml:space="preserve">[SYM-084] смерть носителя.
[SYM-085] проникновение через рот/анус.</t>
  </si>
  <si>
    <t xml:space="preserve">[SYM-084] Хранитель жив.
[SYM-085] цель допустимой расы; это не симбиотическое чудовище.</t>
  </si>
  <si>
    <t xml:space="preserve">[SYM-084] L, сохранённая личность, текущие ОЭ.
[SYM-085] текущие ОЭ Хранителя; симбионты тела и их ОЭ; прежние I,W,C; физические характеристики тела.</t>
  </si>
  <si>
    <t xml:space="preserve">[SYM-084] погибший носитель.
[SYM-085] новое тело Единого или Вольного.</t>
  </si>
  <si>
    <t xml:space="preserve">[SYM-085] Нормативная база (действует во всей непротиворечащей части):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[Q-SYM-036] Проникновение в добровольного, бессознательного или полностью обездвиженного Единого/Вольного занимает 1 действие.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</si>
  <si>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[SYM-084] L, сохранённая личность, текущие ОЭ.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
[SYM-085] текущие ОЭ Хранителя; симбионты тела и их ОЭ; прежние I,W,C; физические характеристики тела.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</si>
  <si>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[SYM-084] вывести Хранителя из тела; создать отдельного персонажа с HP=5L, каждой характеристикой =2L, сроком жизни вне тела L суток</t>
  </si>
  <si>
    <t xml:space="preserve">[SYM-084]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
[SYM-085] Нормативная база (действует во всей непротиворечащей части):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Приоритетные авторские дельты (заменяют только прямо пересекающиеся ветви):
[Q-SYM-036]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</si>
  <si>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[SYM-084] Хранитель становится самостоятельной боевой сущностью с таймером жизни.
[SYM-085] тело получает личность прежнего носителя и Хранителя в слоте.</t>
  </si>
  <si>
    <t xml:space="preserve">[SYM-084] вывести Хранителя из тела; создать отдельного персонажа с HP=5L, каждой характеристикой =2L, сроком жизни вне тела L суток
[SYM-085] Нормативная база (действует во всей непротиворечащей части):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</si>
  <si>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SYM-084; SYM-085; CORE-229; SYM-010; SYM-011</t>
  </si>
  <si>
    <t xml:space="preserve">CTX-SYM-084-PEACE</t>
  </si>
  <si>
    <t xml:space="preserve">Боевые действия не расходуются вне боя. Частная длительность/условия сохраняются:
[SYM-085] Нормативная база (действует во всей непротиворечащей части):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[Q-SYM-036] Проникновение в добровольного, бессознательного или полностью обездвиженного Единого/Вольного занимает 1 действие.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</si>
  <si>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SYM-084; SYM-085; Q-APP-001; SYM-010; SYM-011</t>
  </si>
  <si>
    <t xml:space="preserve">CTX-SYM-086-COMBAT</t>
  </si>
  <si>
    <t xml:space="preserve">[SYM-086] объявление; цена 100 ОЭ и 1 действие.</t>
  </si>
  <si>
    <t xml:space="preserve">[SYM-086] ОЭ≥100; физический контакт/попадание.</t>
  </si>
  <si>
    <t xml:space="preserve">[SYM-086] R12 пробития, отдельный R20 проверки, Z цели.</t>
  </si>
  <si>
    <t xml:space="preserve">[SYM-086] цель.</t>
  </si>
  <si>
    <t xml:space="preserve">[SYM-086] объявление; цена 100 ОЭ и 1 действие.
выполнить атаку; пробитие=R12; если броня пробита и R20+10&gt;Z_target, полностью обездвижить цель на 2 хода/2 минуты.
все мышцы расслаблены, действия движения недоступны.</t>
  </si>
  <si>
    <t xml:space="preserve">[SYM-086] объявление; цена 100 ОЭ и 1 действие.
ОЭ≥100; физический контакт/попадание.</t>
  </si>
  <si>
    <t xml:space="preserve">[SYM-086] R12 пробития, отдельный R20 проверки, Z цели.
выполнить атаку; пробитие=R12; если броня пробита и R20+10&gt;Z_target, полностью обездвижить цель на 2 хода/2 минуты.</t>
  </si>
  <si>
    <t xml:space="preserve">[SYM-086] выполнить атаку; пробитие=R12; если броня пробита и R20+10&gt;Z_target, полностью обездвижить цель на 2 хода/2 минуты.</t>
  </si>
  <si>
    <t xml:space="preserve">[SYM-086] все мышцы расслаблены, действия движения недоступны.</t>
  </si>
  <si>
    <t xml:space="preserve">SYM-086; CORE-229; SYM-010; SYM-011</t>
  </si>
  <si>
    <t xml:space="preserve">CTX-SYM-086-PEACE</t>
  </si>
  <si>
    <t xml:space="preserve">SYM-086; Q-APP-002</t>
  </si>
  <si>
    <t xml:space="preserve">CTX-SYM-087-COMBAT</t>
  </si>
  <si>
    <t xml:space="preserve">[SYM-087] объявление; цена 10 ОЭ и 1 действие.</t>
  </si>
  <si>
    <t xml:space="preserve">[SYM-087] Хранитель вне тела.</t>
  </si>
  <si>
    <t xml:space="preserve">[SYM-087] чистый R20.</t>
  </si>
  <si>
    <t xml:space="preserve">[SYM-087] цель.</t>
  </si>
  <si>
    <t xml:space="preserve">[SYM-087] 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
правило включено как часть механики выбора нового тела, а не социальная проверка.</t>
  </si>
  <si>
    <t xml:space="preserve">[SYM-087] объявление; цена 10 ОЭ и 1 действие.
R=1: дополнительно потерять 100 ОЭ.
[Q-SYM-009] При обязательной потере ОЭ текущий запас уменьшается не ниже 0; энергетический долг не создаётся.</t>
  </si>
  <si>
    <t xml:space="preserve">[SYM-087] чистый R20.
R=2–4: данных нет
R=1: дополнительно потерять 100 ОЭ.</t>
  </si>
  <si>
    <t xml:space="preserve">[SYM-087] Нормативная база (действует во всей непротиворечащей части):
R≥5: раскрыть S,D,M,Z цели; R=2–4: данных нет; R=1: дополнительно потерять 100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</si>
  <si>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[SYM-087] информация раскрыта либо энергия потеряна.</t>
  </si>
  <si>
    <t xml:space="preserve">[SYM-087]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
правило включено как часть механики выбора нового тела, а не социальная проверка.</t>
  </si>
  <si>
    <t xml:space="preserve">SYM-087; CORE-229; SYM-010; SYM-011</t>
  </si>
  <si>
    <t xml:space="preserve">CTX-SYM-087-PEACE</t>
  </si>
  <si>
    <t xml:space="preserve">Боевые действия не расходуются вне боя. Частная длительность/условия сохраняются:
[SYM-087] 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
правило включено как часть механики выбора нового тела, а не социальная проверка.</t>
  </si>
  <si>
    <t xml:space="preserve">SYM-087; Q-APP-001; SYM-010; SYM-011</t>
  </si>
  <si>
    <t xml:space="preserve">CTX-SYM-088-COMBAT</t>
  </si>
  <si>
    <t xml:space="preserve">[SYM-088] перемещение.</t>
  </si>
  <si>
    <t xml:space="preserve">[SYM-088] способность доступна.</t>
  </si>
  <si>
    <t xml:space="preserve">[SYM-088] поверхность/плоскость.</t>
  </si>
  <si>
    <t xml:space="preserve">[SYM-088] разрешить безопасное перемещение по любой поверхности в любой плоскости, включая стены и потолок.</t>
  </si>
  <si>
    <t xml:space="preserve">[SYM-088] позиция изменяется без штрафа поверхности.</t>
  </si>
  <si>
    <t xml:space="preserve">SYM-088; CORE-229; SYM-010; SYM-011</t>
  </si>
  <si>
    <t xml:space="preserve">CTX-SYM-088-PEACE</t>
  </si>
  <si>
    <t xml:space="preserve">SYM-088; Q-APP-001; SYM-010; SYM-011</t>
  </si>
  <si>
    <t xml:space="preserve">CTX-SYM-089-COMBAT</t>
  </si>
  <si>
    <t xml:space="preserve">[SYM-089] замирание и объявление; цена 10 ОЭ и 1 действие.</t>
  </si>
  <si>
    <t xml:space="preserve">[SYM-089] неподвижность.</t>
  </si>
  <si>
    <t xml:space="preserve">[SYM-089] чистый R20.</t>
  </si>
  <si>
    <t xml:space="preserve">[SYM-089] наблюдатели.</t>
  </si>
  <si>
    <t xml:space="preserve">[SYM-089] замирание и 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</si>
  <si>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[SYM-089] замирание и объявление; цена 10 ОЭ и 1 действие.
R=1: дополнительно потерять 200 ОЭ.
[Q-SYM-009] При обязательной потере ОЭ текущий запас уменьшается не ниже 0; энергетический долг не создаётся.</t>
  </si>
  <si>
    <t xml:space="preserve">[SYM-089] чистый R20.
R=2–3: эффекта нет.
R=1: дополнительно потерять 200 ОЭ.</t>
  </si>
  <si>
    <t xml:space="preserve">[SYM-089] Нормативная база (действует во всей непротиворечащей части):
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</si>
  <si>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[SYM-089] состояние маскировки либо потеря энергии.</t>
  </si>
  <si>
    <t xml:space="preserve">[SYM-089]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</si>
  <si>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SYM-089; CORE-229; SYM-010; SYM-011</t>
  </si>
  <si>
    <t xml:space="preserve">CTX-SYM-089-PEACE</t>
  </si>
  <si>
    <t xml:space="preserve">Боевые действия не расходуются вне боя. Частная длительность/условия сохраняются:
[SYM-089] замирание и 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</si>
  <si>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SYM-089; Q-APP-001; SYM-010; SYM-011</t>
  </si>
  <si>
    <t xml:space="preserve">CTX-SYM-090-COMBAT</t>
  </si>
  <si>
    <t xml:space="preserve">[SYM-090] изучение способности или изменение L.</t>
  </si>
  <si>
    <t xml:space="preserve">[SYM-090] узел изучен.</t>
  </si>
  <si>
    <t xml:space="preserve">[SYM-090] L, currentOE.</t>
  </si>
  <si>
    <t xml:space="preserve">[SYM-090] заменить формулу максимума на maxOE=200×L; текущий ОЭ не восстанавливать.</t>
  </si>
  <si>
    <t xml:space="preserve">[SYM-090] максимум увеличен.</t>
  </si>
  <si>
    <t xml:space="preserve">SYM-090; CORE-229; SYM-010; SYM-011</t>
  </si>
  <si>
    <t xml:space="preserve">CTX-SYM-090-PEACE</t>
  </si>
  <si>
    <t xml:space="preserve">SYM-090; Q-APP-001; SYM-010; SYM-011</t>
  </si>
  <si>
    <t xml:space="preserve">CTX-SYM-091-COMBAT</t>
  </si>
  <si>
    <t xml:space="preserve">[SYM-091] начало/продолжение полёта.</t>
  </si>
  <si>
    <t xml:space="preserve">[SYM-091] ОЭ хватает на очередной интервал.</t>
  </si>
  <si>
    <t xml:space="preserve">[SYM-091] время/ходы полёта.</t>
  </si>
  <si>
    <t xml:space="preserve">[SYM-091]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При любой причине состояние полёта снимается немедленно до новых действий.</t>
  </si>
  <si>
    <t xml:space="preserve">[SYM-091] ОЭ хватает на очередной интервал.
за каждую минуту/боевой ход полёта списывать 20 ОЭ; в полёте добавить +10 к уклонению от ближней атаки и +20 от дальней.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</si>
  <si>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[SYM-091]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Приоритетные авторские дельты (заменяют только прямо пересекающиеся ветви):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Финальная приоритетная нормализация:
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</si>
  <si>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[SYM-091] состояние полёта и модификаторы защиты.</t>
  </si>
  <si>
    <t xml:space="preserve">[SYM-091] время/ходы полёта.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</si>
  <si>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SYM-091; CORE-229; SYM-010; SYM-011</t>
  </si>
  <si>
    <t xml:space="preserve">CTX-SYM-091-PEACE</t>
  </si>
  <si>
    <t xml:space="preserve">Боевые действия не расходуются вне боя. Частная длительность/условия сохраняются:
[SYM-091]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При любой причине состояние полёта снимается немедленно до новых действий.</t>
  </si>
  <si>
    <t xml:space="preserve">SYM-091; Q-APP-001; SYM-010; SYM-011</t>
  </si>
  <si>
    <t xml:space="preserve">CTX-SYM-093-COMBAT</t>
  </si>
  <si>
    <t xml:space="preserve">[SYM-093] смерть исходного носителя, затем заселение.</t>
  </si>
  <si>
    <t xml:space="preserve">[SYM-093] исходный носитель — Единый.</t>
  </si>
  <si>
    <t xml:space="preserve">[SYM-093] генетический материал остальных симбионтов, их уровни; раса нового тела.</t>
  </si>
  <si>
    <t xml:space="preserve">[SYM-093] новое тело.</t>
  </si>
  <si>
    <t xml:space="preserve">[SYM-093] Нормативная база (действует во всей непротиворечащей части):</t>
  </si>
  <si>
    <t xml:space="preserve">[SYM-093] генетический материал остальных симбионтов, их уровни; раса нового тела.
сохранить материал исходного набора.
При заселении Вольного материал потерять.
Хранитель не дублируется, текущие ОЭ новых симбионтов равны 0 и тем же отдыхом не восстанавливаются.
восстановлен набор либо материал удалён.</t>
  </si>
  <si>
    <t xml:space="preserve">[SYM-093] Нормативная база (действует во всей непротиворечащей части):
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
Приоритетные авторские дельты (заменяют только прямо пересекающиеся ветви):
[Q-SYM-039]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t>
  </si>
  <si>
    <t xml:space="preserve">[SYM-093] восстановлен набор либо материал удалён.</t>
  </si>
  <si>
    <t xml:space="preserve">SYM-093; CORE-229; SYM-010; SYM-011</t>
  </si>
  <si>
    <t xml:space="preserve">CTX-SYM-093-PEACE</t>
  </si>
  <si>
    <t xml:space="preserve">SYM-093; Q-APP-002</t>
  </si>
  <si>
    <t xml:space="preserve">CTX-SYM-094-COMBAT</t>
  </si>
  <si>
    <t xml:space="preserve">[SYM-094] объявление; цена 30 ОЭ и 1 действие.</t>
  </si>
  <si>
    <t xml:space="preserve">[SYM-094] цель ≤30 м; ОЭ≥30.</t>
  </si>
  <si>
    <t xml:space="preserve">[SYM-094] первый R20 A (активация/пробитие), отдельный R20 D (урон).</t>
  </si>
  <si>
    <t xml:space="preserve">[SYM-094] цель.</t>
  </si>
  <si>
    <t xml:space="preserve">[SYM-094] объявление; цена 30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</si>
  <si>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[SYM-094] объявление; цена 30 ОЭ и 1 действие.
ОЭ≥30.
A=1: дополнительно потерять 200 ОЭ.
[Q-SYM-009] При обязательной потере ОЭ текущий запас уменьшается не ниже 0; энергетический долг не создаётся.</t>
  </si>
  <si>
    <t xml:space="preserve">[SYM-094] первый R20 A (активация/пробитие), отдельный R20 D (урон).
A≥3: стандартная дальняя атака, пробитие=A, урон=D+L
A=2: нет эффекта
A=1: дополнительно потерять 200 ОЭ.</t>
  </si>
  <si>
    <t xml:space="preserve">[SYM-094] Нормативная база (действует во всей непротиворечащей части):
A≥3: стандартная дальняя атака, пробитие=A, урон=D+L; A=2: нет эффекта; A=1: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</si>
  <si>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[SYM-094] урон либо потеря энергии.</t>
  </si>
  <si>
    <t xml:space="preserve">[SYM-094]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</si>
  <si>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SYM-094; CORE-229; SYM-010; SYM-011</t>
  </si>
  <si>
    <t xml:space="preserve">CTX-SYM-094-PEACE</t>
  </si>
  <si>
    <t xml:space="preserve">SYM-094; Q-APP-002</t>
  </si>
  <si>
    <t xml:space="preserve">CTX-SYM-096-COMBAT</t>
  </si>
  <si>
    <t xml:space="preserve">[SYM-096] создание персонажа/получение способности.</t>
  </si>
  <si>
    <t xml:space="preserve">[SYM-096] способность уровня 1 считается изученной.</t>
  </si>
  <si>
    <t xml:space="preserve">[SYM-096] два последовательных чистых R20; правила слотов навыков.</t>
  </si>
  <si>
    <t xml:space="preserve">[SYM-096] Нормативная база (действует во всей непротиворечащей части):</t>
  </si>
  <si>
    <t xml:space="preserve">[SYM-096] [Q-SYM-040] Строка «Стоимость: 30 ОЭ» считается опечаткой.
в карточке указана стоимость 30 ОЭ, хотя способность пассивная и maxOE L1=20.</t>
  </si>
  <si>
    <t xml:space="preserve">[SYM-096] два последовательных чистых R20; правила слотов навыков.
определить собственные I=R20+8, затем W=отдельный R20+8; игрок выбирает отдельный набор навыков; число слотов рассчитывается по W Советника как у носителя.
в карточке указана стоимость 30 ОЭ, хотя способность пассивная и maxOE L1=20.</t>
  </si>
  <si>
    <t xml:space="preserve">[SYM-096] Нормативная база (действует во всей непротиворечащей части):
определить собственные I=R20+8, затем W=отдельный R20+8; игрок выбирает отдельный набор навыков; число слотов рассчитывается по W Советника как у носителя.
Приоритетные авторские дельты (заменяют только прямо пересекающиеся ветви):
[Q-SYM-040] 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</si>
  <si>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[SYM-096] создана отдельная сущность характеристик/навыков.</t>
  </si>
  <si>
    <t xml:space="preserve">SYM-096; CORE-229; SYM-010; SYM-011</t>
  </si>
  <si>
    <t xml:space="preserve">CTX-SYM-096-PEACE</t>
  </si>
  <si>
    <t xml:space="preserve">Боевые действия не расходуются вне боя. Частная длительность/условия сохраняются:
[SYM-096] Нормативная база (действует во всей непротиворечащей части):</t>
  </si>
  <si>
    <t xml:space="preserve">SYM-096; Q-APP-001; SYM-010; SYM-011</t>
  </si>
  <si>
    <t xml:space="preserve">CTX-SYM-097-COMBAT</t>
  </si>
  <si>
    <t xml:space="preserve">[SYM-097] изменение L.</t>
  </si>
  <si>
    <t xml:space="preserve">[SYM-097] способность доступна.</t>
  </si>
  <si>
    <t xml:space="preserve">[SYM-097] базовый I Советника, L.</t>
  </si>
  <si>
    <t xml:space="preserve">[SYM-097] I_adviser=I_base+L.</t>
  </si>
  <si>
    <t xml:space="preserve">[SYM-097] пересчитать I и производные.</t>
  </si>
  <si>
    <t xml:space="preserve">SYM-097; CORE-229; SYM-010; SYM-011</t>
  </si>
  <si>
    <t xml:space="preserve">CTX-SYM-097-PEACE</t>
  </si>
  <si>
    <t xml:space="preserve">SYM-097; Q-APP-001; SYM-010; SYM-011</t>
  </si>
  <si>
    <t xml:space="preserve">CTX-SYM-098-COMBAT</t>
  </si>
  <si>
    <t xml:space="preserve">[SYM-098] требуется осмотр/внимательность.</t>
  </si>
  <si>
    <t xml:space="preserve">[SYM-098] органы чувств носителя функционируют.</t>
  </si>
  <si>
    <t xml:space="preserve">[SYM-098] характеристики/навыки Советника.</t>
  </si>
  <si>
    <t xml:space="preserve">[SYM-098] внешняя среда через носителя.</t>
  </si>
  <si>
    <t xml:space="preserve">[SYM-098] разрешить Советнику отдельную от носителя проверку восприятия.</t>
  </si>
  <si>
    <t xml:space="preserve">[SYM-098] появляется независимый результат обнаружения.</t>
  </si>
  <si>
    <t xml:space="preserve">SYM-098; CORE-229; SYM-010; SYM-011</t>
  </si>
  <si>
    <t xml:space="preserve">CTX-SYM-098-PEACE</t>
  </si>
  <si>
    <t xml:space="preserve">SYM-098; Q-APP-001; SYM-010; SYM-011</t>
  </si>
  <si>
    <t xml:space="preserve">CTX-SYM-099-COMBAT</t>
  </si>
  <si>
    <t xml:space="preserve">[SYM-099] добровольная передача управления.</t>
  </si>
  <si>
    <t xml:space="preserve">[SYM-099] Советник активен.</t>
  </si>
  <si>
    <t xml:space="preserve">[SYM-099] набор навыков обоих, ОЭ, время/ходы.</t>
  </si>
  <si>
    <t xml:space="preserve">[SYM-099] Советник / тело.</t>
  </si>
  <si>
    <t xml:space="preserve">[SYM-099]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t>
  </si>
  <si>
    <t xml:space="preserve">[SYM-099] набор навыков обоих, ОЭ, время/ходы.
на время контроля заменить набор навыков тела на набор Советника; каждые 5 минут/1 боевой ход списывать 10 ОЭ.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Автоматическое управление от «Системы устойчивости» ОЭ не расходует и прекращается при возвращении ясного сознания носителя.
при нехватке ОЭ поведение не задано.</t>
  </si>
  <si>
    <t xml:space="preserve">[SYM-099]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Приоритетные авторские дельты (заменяют только прямо пересекающиеся ветви):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</si>
  <si>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[SYM-099] контроллер тела и набор навыков переключены.</t>
  </si>
  <si>
    <t xml:space="preserve">[SYM-099] набор навыков обоих, ОЭ, время/ходы.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Добровольный возврат в начале хода бесплатен, принудительный занимает полный ход/5 минут.</t>
  </si>
  <si>
    <t xml:space="preserve">SYM-099; CORE-229; SYM-010; SYM-011</t>
  </si>
  <si>
    <t xml:space="preserve">CTX-SYM-099-PEACE</t>
  </si>
  <si>
    <t xml:space="preserve">Боевые действия не расходуются вне боя. Частная длительность/условия сохраняются:
[SYM-099]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t>
  </si>
  <si>
    <t xml:space="preserve">SYM-099; Q-APP-001; SYM-010; SYM-011</t>
  </si>
  <si>
    <t xml:space="preserve">CTX-SYM-100-COMBAT</t>
  </si>
  <si>
    <t xml:space="preserve">[SYM-100] носитель оглушён, уснул/потерял сознание, самоконтроль либо ментальный контроль.</t>
  </si>
  <si>
    <t xml:space="preserve">[SYM-100] тело физически дееспособно; Советник активен.</t>
  </si>
  <si>
    <t xml:space="preserve">[SYM-100] тип состояния носителя.</t>
  </si>
  <si>
    <t xml:space="preserve">[SYM-100] тело носителя.</t>
  </si>
  <si>
    <t xml:space="preserve">[SYM-100] автоматически передать управление Советнику без расхода ОЭ до возвращения ясного сознания носителя.</t>
  </si>
  <si>
    <t xml:space="preserve">[SYM-100] тело продолжает действовать под Советником.</t>
  </si>
  <si>
    <t xml:space="preserve">SYM-100; CORE-229; SYM-010; SYM-011</t>
  </si>
  <si>
    <t xml:space="preserve">CTX-SYM-100-PEACE</t>
  </si>
  <si>
    <t xml:space="preserve">SYM-100; Q-APP-002</t>
  </si>
  <si>
    <t xml:space="preserve">CTX-SYM-101-COMBAT</t>
  </si>
  <si>
    <t xml:space="preserve">[SYM-101] Советник по собственной воле соглашается; цена 100 ОЭ и 1 действие, если проверка в бою.</t>
  </si>
  <si>
    <t xml:space="preserve">[SYM-101] ОЭ≥100.</t>
  </si>
  <si>
    <t xml:space="preserve">[SYM-101] I Советника, предстоящая одна проверка I носителя.</t>
  </si>
  <si>
    <t xml:space="preserve">[SYM-101] носитель.</t>
  </si>
  <si>
    <t xml:space="preserve">[SYM-101] Советник по собственной воле соглашается; цена 100 ОЭ и 1 действие, если проверка в бою.
Нормативная база (действует во всей непротиворечащей части):
передать интеллект Советника на одну проверку, затем отключить Советника на 12 часов.
Навык и остальные модификаторы используются у носителя; после проверки Советник отключается на 12 часов.</t>
  </si>
  <si>
    <t xml:space="preserve">[SYM-101] Советник по собственной воле соглашается; цена 100 ОЭ и 1 действие, если проверка в бою.
ОЭ≥100.</t>
  </si>
  <si>
    <t xml:space="preserve">[SYM-101] Нормативная база (действует во всей непротиворечащей части):
передать интеллект Советника на одну проверку, затем отключить Советника на 12 часов.
Приоритетные авторские дельты (заменяют только прямо пересекающиеся ветви):
[Q-SYM-042]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</si>
  <si>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[SYM-101] одна проверка изменена; Советник отключён.</t>
  </si>
  <si>
    <t xml:space="preserve">[SYM-101] Нормативная база (действует во всей непротиворечащей части):
передать интеллект Советника на одну проверку, затем отключить Советника на 12 часов.
Навык и остальные модификаторы используются у носителя; после проверки Советник отключается на 12 часов.</t>
  </si>
  <si>
    <t xml:space="preserve">SYM-101; CORE-229; SYM-010; SYM-011</t>
  </si>
  <si>
    <t xml:space="preserve">CTX-SYM-101-PEACE</t>
  </si>
  <si>
    <t xml:space="preserve">Боевые действия не расходуются вне боя. Частная длительность/условия сохраняются:
[SYM-101] Советник по собственной воле соглашается; цена 100 ОЭ и 1 действие, если проверка в бою.
Нормативная база (действует во всей непротиворечащей части):
передать интеллект Советника на одну проверку, затем отключить Советника на 12 часов.
Навык и остальные модификаторы используются у носителя; после проверки Советник отключается на 12 часов.</t>
  </si>
  <si>
    <t xml:space="preserve">SYM-101; Q-APP-001; SYM-010; SYM-011</t>
  </si>
  <si>
    <t xml:space="preserve">CTX-SYM-103-COMBAT</t>
  </si>
  <si>
    <t xml:space="preserve">[SYM-103] рукопашная атака правой рукой.</t>
  </si>
  <si>
    <t xml:space="preserve">[SYM-103] Клещ активен.</t>
  </si>
  <si>
    <t xml:space="preserve">[SYM-103] базовый урон, L.</t>
  </si>
  <si>
    <t xml:space="preserve">[SYM-103] рукопашная цель.</t>
  </si>
  <si>
    <t xml:space="preserve">[SYM-103] Нормативная база (действует во всей непротиворечащей части):</t>
  </si>
  <si>
    <t xml:space="preserve">[SYM-103] Нормативная база (действует во всей непротиворечащей части):
добавить L к урону.
Приоритетные авторские дельты (заменяют только прямо пересекающиеся ветви):
[Q-SYM-043]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t>
  </si>
  <si>
    <t xml:space="preserve">[SYM-103] повышенный урон.</t>
  </si>
  <si>
    <t xml:space="preserve">SYM-103; CORE-229; SYM-010; SYM-011</t>
  </si>
  <si>
    <t xml:space="preserve">CTX-SYM-103-PEACE</t>
  </si>
  <si>
    <t xml:space="preserve">SYM-103; Q-APP-002</t>
  </si>
  <si>
    <t xml:space="preserve">CTX-SYM-104-COMBAT</t>
  </si>
  <si>
    <t xml:space="preserve">[SYM-104] пасть контактирует с кровью цели.</t>
  </si>
  <si>
    <t xml:space="preserve">[SYM-104] кровь принадлежит идентифицируемой цели.</t>
  </si>
  <si>
    <t xml:space="preserve">[SYM-104] карточка цели.</t>
  </si>
  <si>
    <t xml:space="preserve">[SYM-104] цель, чья кровь попробована пастью.</t>
  </si>
  <si>
    <t xml:space="preserve">[SYM-104] Нормативная база (действует во всей непротиворечащей части):</t>
  </si>
  <si>
    <t xml:space="preserve">[SYM-104] Базовые значения, текущие и максимальные HP/ОЭ не раскрываются, если способность не называет их отдельно.</t>
  </si>
  <si>
    <t xml:space="preserve">[SYM-104] Нормативная база (действует во всей непротиворечащей части):
без проверки раскрыть расу, значения всех характеристик, навыки, виды и уровни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</si>
  <si>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[SYM-104] информация помечается известной носителю.</t>
  </si>
  <si>
    <t xml:space="preserve">SYM-104; CORE-229; SYM-010; SYM-011</t>
  </si>
  <si>
    <t xml:space="preserve">CTX-SYM-104-PEACE</t>
  </si>
  <si>
    <t xml:space="preserve">Боевые действия не расходуются вне боя. Частная длительность/условия сохраняются:
[SYM-104] Нормативная база (действует во всей непротиворечащей части):</t>
  </si>
  <si>
    <t xml:space="preserve">SYM-104; Q-APP-001; SYM-010; SYM-011</t>
  </si>
  <si>
    <t xml:space="preserve">CTX-SYM-105-COMBAT</t>
  </si>
  <si>
    <t xml:space="preserve">[SYM-105] объявление; цена 30 ОЭ и 1 действие.</t>
  </si>
  <si>
    <t xml:space="preserve">[SYM-105] цель в 5L м; ОЭ≥30.</t>
  </si>
  <si>
    <t xml:space="preserve">[SYM-105] один чистый R20 R.</t>
  </si>
  <si>
    <t xml:space="preserve">[SYM-105] цель.</t>
  </si>
  <si>
    <t xml:space="preserve">[SYM-105] объявление; цена 30 ОЭ и 1 действие.
R=1: Клещ отключён на 1 час/6 ходов.</t>
  </si>
  <si>
    <t xml:space="preserve">[SYM-105] объявление; цена 30 ОЭ и 1 действие.
ОЭ≥30.</t>
  </si>
  <si>
    <t xml:space="preserve">[SYM-105] один чистый R20 R.
R≥3: стандартная дальняя атака, пробитие=R+L, урон=R+L одной проверкой.
R=2: нет эффекта.
R=1: Клещ отключён на 1 час/6 ходов.</t>
  </si>
  <si>
    <t xml:space="preserve">[SYM-105] R≥3: стандартная дальняя атака, пробитие=R+L, урон=R+L одной проверкой. R=2: нет эффекта. R=1: Клещ отключён на 1 час/6 ходов.</t>
  </si>
  <si>
    <t xml:space="preserve">[SYM-105] атака либо отключение.</t>
  </si>
  <si>
    <t xml:space="preserve">[SYM-105] R=1: Клещ отключён на 1 час/6 ходов.</t>
  </si>
  <si>
    <t xml:space="preserve">SYM-105; CORE-229; SYM-010; SYM-011</t>
  </si>
  <si>
    <t xml:space="preserve">CTX-SYM-105-PEACE</t>
  </si>
  <si>
    <t xml:space="preserve">SYM-105; Q-APP-002</t>
  </si>
  <si>
    <t xml:space="preserve">CTX-SYM-106-COMBAT</t>
  </si>
  <si>
    <t xml:space="preserve">[SYM-106] объявление; цена 30 ОЭ; формирование занимает 1 минуту/1 ход.</t>
  </si>
  <si>
    <t xml:space="preserve">[SYM-106] Клещ активен.</t>
  </si>
  <si>
    <t xml:space="preserve">[SYM-106] атака когтями, отдельные R20 урона/пробития, S,D, навык рукопашного боя.</t>
  </si>
  <si>
    <t xml:space="preserve">[SYM-106] рука носителя.</t>
  </si>
  <si>
    <t xml:space="preserve">[SYM-106] объявление; цена 30 ОЭ; формирование занимает 1 минуту/1 ход.
Нормативная база (действует во всей непротиворечащей части):
[Q-SYM-044] Выпускание когтей занимает одну полную минуту вне боя или весь боевой ход и стоит 30 ОЭ; дополнительное действие не добавляется.</t>
  </si>
  <si>
    <t xml:space="preserve">[SYM-106] объявление; цена 30 ОЭ; формирование занимает 1 минуту/1 ход.
Разрешить втянуть когти без ОЭ.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</si>
  <si>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[SYM-106] атака когтями, отдельные R20 урона/пробития, S,D, навык рукопашного боя.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t>
  </si>
  <si>
    <t xml:space="preserve">[SYM-106] Нормативная база (действует во всей непротиворечащей части):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
Приоритетные авторские дельты (заменяют только прямо пересекающиеся ветви):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</si>
  <si>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[SYM-106] рука экипирована/разэкипирована природным оружием.</t>
  </si>
  <si>
    <t xml:space="preserve">SYM-106; CORE-229; SYM-010; SYM-011</t>
  </si>
  <si>
    <t xml:space="preserve">CTX-SYM-106-PEACE</t>
  </si>
  <si>
    <t xml:space="preserve">Боевые действия не расходуются вне боя. Частная длительность/условия сохраняются:
[SYM-106] объявление; цена 30 ОЭ; формирование занимает 1 минуту/1 ход.
Нормативная база (действует во всей непротиворечащей части):
[Q-SYM-044] Выпускание когтей занимает одну полную минуту вне боя или весь боевой ход и стоит 30 ОЭ; дополнительное действие не добавляется.</t>
  </si>
  <si>
    <t xml:space="preserve">SYM-106; Q-APP-001; SYM-010; SYM-011</t>
  </si>
  <si>
    <t xml:space="preserve">CTX-SYM-107-COMBAT</t>
  </si>
  <si>
    <t xml:space="preserve">[SYM-107] выстрел; цена 60 ОЭ и 1 действие; последующее сокращение — 1 действие.</t>
  </si>
  <si>
    <t xml:space="preserve">[SYM-107] цель ≤L м; ОЭ≥60.</t>
  </si>
  <si>
    <t xml:space="preserve">[SYM-107] чистый R20 активации; S, L; масса цели/груза.</t>
  </si>
  <si>
    <t xml:space="preserve">[SYM-107] цель или опора.</t>
  </si>
  <si>
    <t xml:space="preserve">[SYM-107] выстрел; цена 60 ОЭ и 1 действие; последующее сокращение — 1 действие.
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t>
  </si>
  <si>
    <t xml:space="preserve">[SYM-107] выстрел; цена 60 ОЭ и 1 действие; последующее сокращение — 1 действие.
ОЭ≥60.</t>
  </si>
  <si>
    <t xml:space="preserve">[SYM-107] чистый R20 активации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Объект тяжелее S×L кг переместить нельзя.</t>
  </si>
  <si>
    <t xml:space="preserve">[SYM-107] 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
Приоритетные авторские дельты (заменяют только прямо пересекающиеся ветви):
[Q-SYM-045]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</si>
  <si>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[SYM-107] создаётся связь гарпуна и возможное перемещение.</t>
  </si>
  <si>
    <t xml:space="preserve">[SYM-107] Нормативная база (действует во всей непротиворечащей части):
При потере гарпуна восстановление 8−L суток.</t>
  </si>
  <si>
    <t xml:space="preserve">SYM-107; CORE-229; SYM-010; SYM-011</t>
  </si>
  <si>
    <t xml:space="preserve">CTX-SYM-107-PEACE</t>
  </si>
  <si>
    <t xml:space="preserve">SYM-107; Q-APP-002</t>
  </si>
  <si>
    <t xml:space="preserve">CTX-SYM-108-COMBAT</t>
  </si>
  <si>
    <t xml:space="preserve">[SYM-108] изменение L/наличия.</t>
  </si>
  <si>
    <t xml:space="preserve">[SYM-108] способность доступна.</t>
  </si>
  <si>
    <t xml:space="preserve">[SYM-108] базовая S, L.</t>
  </si>
  <si>
    <t xml:space="preserve">[SYM-108] S=S_base+L; при гибели/удалении вернуть базовую.</t>
  </si>
  <si>
    <t xml:space="preserve">[SYM-108] пересчитать S.</t>
  </si>
  <si>
    <t xml:space="preserve">SYM-108; CORE-229; SYM-010; SYM-011</t>
  </si>
  <si>
    <t xml:space="preserve">CTX-SYM-108-PEACE</t>
  </si>
  <si>
    <t xml:space="preserve">SYM-108; Q-APP-001; SYM-010; SYM-011</t>
  </si>
  <si>
    <t xml:space="preserve">CTX-SYM-110-COMBAT</t>
  </si>
  <si>
    <t xml:space="preserve">[SYM-110] попадание по ноге или проверка прыжка.</t>
  </si>
  <si>
    <t xml:space="preserve">[SYM-110] способность доступна.</t>
  </si>
  <si>
    <t xml:space="preserve">[SYM-110] отдельный R20 брони, носимая броня, L.</t>
  </si>
  <si>
    <t xml:space="preserve">[SYM-110] отдельный R20 брони, носимая броня, L.
для защиты ноги добавить спасбросок R20, складывающийся с носимой бронёй; к прыжкам добавить +L.
R20 бросается при каждом соответствующем попадании.</t>
  </si>
  <si>
    <t xml:space="preserve">[SYM-110] для защиты ноги добавить спасбросок R20, складывающийся с носимой бронёй; к прыжкам добавить +L.</t>
  </si>
  <si>
    <t xml:space="preserve">[SYM-110] защита/прыжок усилены.</t>
  </si>
  <si>
    <t xml:space="preserve">SYM-110; CORE-229; SYM-010; SYM-011</t>
  </si>
  <si>
    <t xml:space="preserve">CTX-SYM-110-PEACE</t>
  </si>
  <si>
    <t xml:space="preserve">SYM-110; Q-APP-001; SYM-010; SYM-011</t>
  </si>
  <si>
    <t xml:space="preserve">CTX-SYM-111-COMBAT</t>
  </si>
  <si>
    <t xml:space="preserve">[SYM-111] проверка осмотра в боевой сцене.</t>
  </si>
  <si>
    <t xml:space="preserve">[SYM-111] усы функционируют.</t>
  </si>
  <si>
    <t xml:space="preserve">[SYM-111] базовая проверка.</t>
  </si>
  <si>
    <t xml:space="preserve">[SYM-111] добавить +5; электрические и поверхностные колебания доступны как сенсорные каналы.</t>
  </si>
  <si>
    <t xml:space="preserve">[SYM-111] модифицированное обнаружение.</t>
  </si>
  <si>
    <t xml:space="preserve">SYM-111; CORE-229; SYM-010; SYM-011</t>
  </si>
  <si>
    <t xml:space="preserve">CTX-SYM-111-PEACE</t>
  </si>
  <si>
    <t xml:space="preserve">SYM-111; Q-APP-002</t>
  </si>
  <si>
    <t xml:space="preserve">CTX-SYM-112-COMBAT</t>
  </si>
  <si>
    <t xml:space="preserve">[SYM-112] объявление; цена 50 ОЭ и по умолчанию 1 действие.</t>
  </si>
  <si>
    <t xml:space="preserve">[SYM-112] ОЭ≥50.</t>
  </si>
  <si>
    <t xml:space="preserve">[SYM-112] чистый R20.</t>
  </si>
  <si>
    <t xml:space="preserve">[SYM-112] объявление; цена 50 ОЭ и по умолчанию 1 действие.
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</si>
  <si>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[SYM-112] объявление; цена 50 ОЭ и по умолчанию 1 действие.
ОЭ≥50.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цена ОЭ и бросок при бесплатном сокращении не уточнены.</t>
  </si>
  <si>
    <t xml:space="preserve">[SYM-112] чистый R20.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</si>
  <si>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[SYM-112] 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Приоритетные авторские дельты (заменяют только прямо пересекающиеся ветви):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t>
  </si>
  <si>
    <t xml:space="preserve">[SYM-112] позиция/дистанция изменена; разовый флаг использован.</t>
  </si>
  <si>
    <t xml:space="preserve">[SYM-112] Нормативная база (действует во всей непротиворечащей части):</t>
  </si>
  <si>
    <t xml:space="preserve">[SYM-112]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</si>
  <si>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SYM-112; CORE-229; SYM-010; SYM-011</t>
  </si>
  <si>
    <t xml:space="preserve">CTX-SYM-112-PEACE</t>
  </si>
  <si>
    <t xml:space="preserve">SYM-112; Q-APP-002</t>
  </si>
  <si>
    <t xml:space="preserve">CTX-SYM-113-COMBAT</t>
  </si>
  <si>
    <t xml:space="preserve">[SYM-113] объявление; цена 30 ОЭ и 1 действие.</t>
  </si>
  <si>
    <t xml:space="preserve">[SYM-113] фон/окружение — зелёные растения.</t>
  </si>
  <si>
    <t xml:space="preserve">[SYM-113] проверки скрытности.</t>
  </si>
  <si>
    <t xml:space="preserve">[SYM-113] объявление; цена 30 ОЭ и 1 действие.
обычное действие без движения/симбионта прямо не снимает.</t>
  </si>
  <si>
    <t xml:space="preserve">[SYM-113] добавить +5 к скрытности; снять эффект при движении или применении любой другой способности симбионта.</t>
  </si>
  <si>
    <t xml:space="preserve">[SYM-113] состояние растительной маскировки.</t>
  </si>
  <si>
    <t xml:space="preserve">SYM-113; CORE-229; SYM-010; SYM-011</t>
  </si>
  <si>
    <t xml:space="preserve">CTX-SYM-113-PEACE</t>
  </si>
  <si>
    <t xml:space="preserve">SYM-113; Q-APP-002</t>
  </si>
  <si>
    <t xml:space="preserve">CTX-SYM-114-COMBAT</t>
  </si>
  <si>
    <t xml:space="preserve">[SYM-114] после прыжка &gt;20 м объявить попытку; цена 60 ОЭ и 1 действие по умолчанию.</t>
  </si>
  <si>
    <t xml:space="preserve">[SYM-114] прыжок выполнен Заряженным прыжком; ОЭ≥60.</t>
  </si>
  <si>
    <t xml:space="preserve">[SYM-114] первый чистый R20 A; при A≤10 отдельный R20 multiplier; M,L,C (масса груза/экипировки без тела).</t>
  </si>
  <si>
    <t xml:space="preserve">[SYM-114] после прыжка &gt;20 м объявить попытку; цена 60 ОЭ и 1 действие по умолчанию.
Нормативная база (действует во всей непротиворечащей части):
До посадки персонаж не совершает иных действий, кроме изменения направления.</t>
  </si>
  <si>
    <t xml:space="preserve">[SYM-114] после прыжка &gt;20 м объявить попытку; цена 60 ОЭ и 1 действие по умолчанию.
ОЭ≥60.
[Q-SYM-047] После прыжка более чем на 20 м персонаж отдельно оплачивает 60 ОЭ и выполняет проверку «Крыльев».</t>
  </si>
  <si>
    <t xml:space="preserve">[SYM-114] первый чистый R20 A; при A≤10 отдельный R20 multiplier
A≤10: увеличить дальность исходного прыжка в отдельный R20 раз.
A≥11: начать полёт; max дальность max(0,M×L−C) км; при 0 приземлиться после прыжка.</t>
  </si>
  <si>
    <t xml:space="preserve">[SYM-114] Нормативная база (действует во всей непротиворечащей части):
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
Приоритетные авторские дельты (заменяют только прямо пересекающиеся ветви):
[Q-SYM-047]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</si>
  <si>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[SYM-114] удлинённый прыжок либо полёт.</t>
  </si>
  <si>
    <t xml:space="preserve">[SYM-114] Нормативная база (действует во всей непротиворечащей части):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t>
  </si>
  <si>
    <t xml:space="preserve">SYM-114; CORE-229; SYM-010; SYM-011</t>
  </si>
  <si>
    <t xml:space="preserve">CTX-SYM-114-PEACE</t>
  </si>
  <si>
    <t xml:space="preserve">SYM-114; Q-APP-002</t>
  </si>
  <si>
    <t xml:space="preserve">CTX-SYM-115-COMBAT</t>
  </si>
  <si>
    <t xml:space="preserve">[SYM-115] атака ногой.</t>
  </si>
  <si>
    <t xml:space="preserve">[SYM-115] на ногах нет носимой брони.</t>
  </si>
  <si>
    <t xml:space="preserve">[SYM-115] отдельные R20, L,S,D, навык рукопашного боя.</t>
  </si>
  <si>
    <t xml:space="preserve">[SYM-115] ноги.</t>
  </si>
  <si>
    <t xml:space="preserve">[SYM-115] отдельные R20, L,S,D, навык рукопашного боя.
считать ноги оружием; пробитие=R20+L; урон=отдельный R20+2L</t>
  </si>
  <si>
    <t xml:space="preserve">[SYM-115] считать ноги оружием; пробитие=R20+L; урон=отдельный R20+2L; S модифицирует урон, D — точность, рукопашный бой — общий; без навыка штраф не применять.</t>
  </si>
  <si>
    <t xml:space="preserve">[SYM-115] разрешена оружейная атака ногой.</t>
  </si>
  <si>
    <t xml:space="preserve">SYM-115; CORE-229; SYM-010; SYM-011</t>
  </si>
  <si>
    <t xml:space="preserve">CTX-SYM-115-PEACE</t>
  </si>
  <si>
    <t xml:space="preserve">SYM-115; Q-APP-002</t>
  </si>
  <si>
    <t xml:space="preserve">CTX-SYM-117-COMBAT</t>
  </si>
  <si>
    <t xml:space="preserve">SYM-117; Q-APP-002</t>
  </si>
  <si>
    <t xml:space="preserve">CTX-SYM-117-PEACE</t>
  </si>
  <si>
    <t xml:space="preserve">Игрок запускает команду «Паутинные железы» вне боя.</t>
  </si>
  <si>
    <t xml:space="preserve">Носитель имеет активного Паука и изученный SYM-117; EntityKind не CUSTOM_MONSTER.</t>
  </si>
  <si>
    <t xml:space="preserve">sourceLevelSnapshot=L</t>
  </si>
  <si>
    <t xml:space="preserve">Инвентарь носителя</t>
  </si>
  <si>
    <t xml:space="preserve">Мгновенно создать ровно один отдельный WEB_ITEM. Не моделировать длительность, длину, объём, массу или общий переносимый вес. Не объединять автоматически с другими экземплярами.</t>
  </si>
  <si>
    <t xml:space="preserve">0 боевых действий</t>
  </si>
  <si>
    <t xml:space="preserve">0; игровое и реальное время не продвигается</t>
  </si>
  <si>
    <t xml:space="preserve">0 ОЭ</t>
  </si>
  <si>
    <t xml:space="preserve">Нет броска</t>
  </si>
  <si>
    <t xml:space="preserve">Создан один служебный предмет с вычисляемыми свойствами: loadCapacityKg=20×sourceLevelSnapshot; adhesionKgPerCm2=5×sourceLevelSnapshot.</t>
  </si>
  <si>
    <t xml:space="preserve">inventory += new WEB_ITEM; generatedObjectId=new UUID; sourceLevelSnapshot=L; massKg=null; stackPolicy=NEVER_AUTO_MERGE</t>
  </si>
  <si>
    <t xml:space="preserve">Постоянно до передачи, выбрасывания, мародёрства или иного удаления предмета</t>
  </si>
  <si>
    <t xml:space="preserve">Игрок только подтверждает запуск способности</t>
  </si>
  <si>
    <t xml:space="preserve">Одна атомарная операция: проверка предусловий → создание одного экземпляра → запись в инвентарь. После удаления Паука предмет сохраняется.</t>
  </si>
  <si>
    <t xml:space="preserve">ERR_CONTEXT_FORBIDDEN; ERR_ENTITY_KIND; ERR_PRECONDITION</t>
  </si>
  <si>
    <t xml:space="preserve">SYM-117; CORE-224</t>
  </si>
  <si>
    <t xml:space="preserve">CTX-SYM-118-COMBAT</t>
  </si>
  <si>
    <t xml:space="preserve">[SYM-118] перемещение по нити.</t>
  </si>
  <si>
    <t xml:space="preserve">[SYM-118] паутина выдерживает нагрузку.</t>
  </si>
  <si>
    <t xml:space="preserve">[SYM-118] направление/дистанция.</t>
  </si>
  <si>
    <t xml:space="preserve">[SYM-118] любая паутина Паука.</t>
  </si>
  <si>
    <t xml:space="preserve">[SYM-118] разрешить безопасное движение по паутине в любых направлениях, независимо от создателя нити.</t>
  </si>
  <si>
    <t xml:space="preserve">[SYM-118] позиция меняется без специального риска.</t>
  </si>
  <si>
    <t xml:space="preserve">SYM-118; CORE-229; SYM-010; SYM-011</t>
  </si>
  <si>
    <t xml:space="preserve">CTX-SYM-118-PEACE</t>
  </si>
  <si>
    <t xml:space="preserve">SYM-118; Q-APP-002</t>
  </si>
  <si>
    <t xml:space="preserve">CTX-SYM-120-COMBAT</t>
  </si>
  <si>
    <t xml:space="preserve">[SYM-120] объявление; цена 30 ОЭ и 1 действие.</t>
  </si>
  <si>
    <t xml:space="preserve">[SYM-120] цель ≤L м; запястье доступно.</t>
  </si>
  <si>
    <t xml:space="preserve">[SYM-120] чистый R20 активации, точность.</t>
  </si>
  <si>
    <t xml:space="preserve">[SYM-120] твёрдый объект.</t>
  </si>
  <si>
    <t xml:space="preserve">[SYM-120] объявление; цена 30 ОЭ и 1 действие.
Нормативная база (действует во всей непротиворечащей части):
Отсоединение нити от запястья занимает 1 минуту/1 действие.
Носитель отсоединяет нить за 1 действие; цель освобождается за 1 действие и успешную проверку R20+S против 15+L.</t>
  </si>
  <si>
    <t xml:space="preserve">[SYM-120] чистый R20 активации, точность.
R=2: нет эффекта.
R=1: носитель запутан, −5 ко всем проверкам до освобождения.
Носитель отсоединяет нить за 1 действие; цель освобождается за 1 действие и успешную проверку R20+S против 15+L.</t>
  </si>
  <si>
    <t xml:space="preserve">[SYM-120] Нормативная база (действует во всей непротиворечащей части):
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</si>
  <si>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[SYM-120] закреплённая линия либо самозапутывание.</t>
  </si>
  <si>
    <t xml:space="preserve">[SYM-120] Нормативная база (действует во всей непротиворечащей части):
Отсоединение нити от запястья занимает 1 минуту/1 действие.</t>
  </si>
  <si>
    <t xml:space="preserve">SYM-120; CORE-229; SYM-010; SYM-011</t>
  </si>
  <si>
    <t xml:space="preserve">CTX-SYM-120-PEACE</t>
  </si>
  <si>
    <t xml:space="preserve">SYM-120; Q-APP-002</t>
  </si>
  <si>
    <t xml:space="preserve">CTX-SYM-121-COMBAT</t>
  </si>
  <si>
    <t xml:space="preserve">[SYM-121] объявление; цена 50 ОЭ и 1 действие.</t>
  </si>
  <si>
    <t xml:space="preserve">[SYM-121] оба запястья не закрыты; ОЭ≥50.</t>
  </si>
  <si>
    <t xml:space="preserve">[SYM-121] чистый R20 активации, точность.</t>
  </si>
  <si>
    <t xml:space="preserve">[SYM-121] цель.</t>
  </si>
  <si>
    <t xml:space="preserve">[SYM-121] объявление; цена 50 ОЭ и 1 действие.
Нормативная база (действует во всей непротиворечащей части):
R=1: руки носителя скованы на 20 минут/4 хода.
Носитель отсоединяет нить за 1 действие; цель освобождается за 1 действие и успешную проверку R20+S против 15+L.</t>
  </si>
  <si>
    <t xml:space="preserve">[SYM-121] объявление; цена 50 ОЭ и 1 действие.
ОЭ≥50.</t>
  </si>
  <si>
    <t xml:space="preserve">[SYM-121] чистый R20 активации, точность.
R≥3: выстрелить сетью 2×2 м; при попадании цель получает −5 ко всем проверкам до освобождения.
R=2: нет эффекта.
R=1: руки носителя скованы на 20 минут/4 хода.
Носитель отсоединяет нить за 1 действие; цель освобождается за 1 действие и успешную проверку R20+S против 15+L.</t>
  </si>
  <si>
    <t xml:space="preserve">[SYM-121] Нормативная база (действует во всей непротиворечащей части):
R≥3: выстрелить сетью 2×2 м; при попадании цель получает −5 ко всем проверкам до освобождения. R=2: нет эффекта. R=1: руки носителя скованы на 20 минут/4 хода.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</si>
  <si>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[SYM-121] цель/носитель опутаны.</t>
  </si>
  <si>
    <t xml:space="preserve">[SYM-121] Нормативная база (действует во всей непротиворечащей части):
R=1: руки носителя скованы на 20 минут/4 хода.</t>
  </si>
  <si>
    <t xml:space="preserve">SYM-121; CORE-229; SYM-010; SYM-011</t>
  </si>
  <si>
    <t xml:space="preserve">CTX-SYM-121-PEACE</t>
  </si>
  <si>
    <t xml:space="preserve">SYM-121; Q-APP-002</t>
  </si>
  <si>
    <t xml:space="preserve">CTX-SYM-122-COMBAT</t>
  </si>
  <si>
    <t xml:space="preserve">[SYM-122] изменение L/наличия.</t>
  </si>
  <si>
    <t xml:space="preserve">[SYM-122] способность доступна.</t>
  </si>
  <si>
    <t xml:space="preserve">[SYM-122] базовая D, L.</t>
  </si>
  <si>
    <t xml:space="preserve">[SYM-122] D=D_base+L; при гибели/удалении вернуть базовую.</t>
  </si>
  <si>
    <t xml:space="preserve">[SYM-122] пересчитать D.</t>
  </si>
  <si>
    <t xml:space="preserve">SYM-122; CORE-229; SYM-010; SYM-011</t>
  </si>
  <si>
    <t xml:space="preserve">CTX-SYM-122-PEACE</t>
  </si>
  <si>
    <t xml:space="preserve">SYM-122; Q-APP-001; SYM-010; SYM-011</t>
  </si>
  <si>
    <t xml:space="preserve">CTX-SYM-124-COMBAT</t>
  </si>
  <si>
    <t xml:space="preserve">[SYM-124] носитель замирает и объявляет; цена 10 ОЭ и 1 действие.</t>
  </si>
  <si>
    <t xml:space="preserve">[SYM-124] после смены одежды/брони прошёл 1 час прорастания хромоцветов.</t>
  </si>
  <si>
    <t xml:space="preserve">[SYM-124] чистый R20; размер предмета в руках.</t>
  </si>
  <si>
    <t xml:space="preserve">[SYM-124] наблюдатели.</t>
  </si>
  <si>
    <t xml:space="preserve">[SYM-124] носитель замирает и объявляет; цена 10 ОЭ и 1 действие.
после смены одежды/брони прошёл 1 час прорастания хромоцветов.
Нормативная база (действует во всей непротиворечащей части):
R=1: на 1 час окрас мухомора, −5 к скрытности и C-проверкам.</t>
  </si>
  <si>
    <t xml:space="preserve">[SYM-124] чистый R20; размер предмета в руках.
R=2: нет эффекта.
R=1: на 1 час окрас мухомора, −5 к скрытности и C-проверкам.</t>
  </si>
  <si>
    <t xml:space="preserve">[SYM-124] Нормативная база (действует во всей непротиворечащей части):
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</si>
  <si>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[SYM-124] маскировка либо негативный окрас.</t>
  </si>
  <si>
    <t xml:space="preserve">[SYM-124] после смены одежды/брони прошёл 1 час прорастания хромоцветов.
Нормативная база (действует во всей непротиворечащей части):
R=1: на 1 час окрас мухомора, −5 к скрытности и C-проверкам.</t>
  </si>
  <si>
    <t xml:space="preserve">SYM-124; CORE-229; SYM-010; SYM-011</t>
  </si>
  <si>
    <t xml:space="preserve">CTX-SYM-124-PEACE</t>
  </si>
  <si>
    <t xml:space="preserve">SYM-124; Q-APP-002</t>
  </si>
  <si>
    <t xml:space="preserve">CTX-SYM-125-COMBAT</t>
  </si>
  <si>
    <t xml:space="preserve">[SYM-125] любая атака из состояния маскировки.</t>
  </si>
  <si>
    <t xml:space="preserve">[SYM-125] цель не видит атакующего.</t>
  </si>
  <si>
    <t xml:space="preserve">[SYM-125] L, проверка точности.</t>
  </si>
  <si>
    <t xml:space="preserve">[SYM-125] цель.</t>
  </si>
  <si>
    <t xml:space="preserve">[SYM-125] Нормативная база (действует во всей непротиворечащей части):</t>
  </si>
  <si>
    <t xml:space="preserve">[SYM-125] Нормативная база (действует во всей непротиворечащей части):
добавить +L к меткости.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</si>
  <si>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[SYM-125] модифицированная атака.</t>
  </si>
  <si>
    <t xml:space="preserve">SYM-125; CORE-229; SYM-010; SYM-011</t>
  </si>
  <si>
    <t xml:space="preserve">CTX-SYM-125-PEACE</t>
  </si>
  <si>
    <t xml:space="preserve">SYM-125; Q-APP-002</t>
  </si>
  <si>
    <t xml:space="preserve">CTX-SYM-126-COMBAT</t>
  </si>
  <si>
    <t xml:space="preserve">[SYM-126] проверка осмотра.</t>
  </si>
  <si>
    <t xml:space="preserve">[SYM-126] у носителя нет действующей Совы с «Безупречным зрением».</t>
  </si>
  <si>
    <t xml:space="preserve">[SYM-126] L.</t>
  </si>
  <si>
    <t xml:space="preserve">[SYM-126] Нормативная база (действует во всей непротиворечащей части):</t>
  </si>
  <si>
    <t xml:space="preserve">[SYM-126] Нормативная база (действует во всей непротиворечащей части):
добавить +L.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</si>
  <si>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[SYM-126] модифицированный осмотр.</t>
  </si>
  <si>
    <t xml:space="preserve">SYM-126; CORE-229; SYM-010; SYM-011</t>
  </si>
  <si>
    <t xml:space="preserve">CTX-SYM-126-PEACE</t>
  </si>
  <si>
    <t xml:space="preserve">Боевые действия не расходуются вне боя. Частная длительность/условия сохраняются:
[SYM-126] Нормативная база (действует во всей непротиворечащей части):</t>
  </si>
  <si>
    <t xml:space="preserve">SYM-126; Q-APP-001; SYM-010; SYM-011</t>
  </si>
  <si>
    <t xml:space="preserve">CTX-SYM-127-COMBAT</t>
  </si>
  <si>
    <t xml:space="preserve">[SYM-127] объявление; цена 60 ОЭ и 1 действие.</t>
  </si>
  <si>
    <t xml:space="preserve">[SYM-127] после смены одежды/брони прошёл 1 час.</t>
  </si>
  <si>
    <t xml:space="preserve">[SYM-127] один чистый R20 R (активация/длительность), L, предмет в руках.</t>
  </si>
  <si>
    <t xml:space="preserve">[SYM-127] наблюдатели.</t>
  </si>
  <si>
    <t xml:space="preserve">[SYM-127] объявление; цена 60 ОЭ и 1 действие.
после смены одежды/брони прошёл 1 час.
R≥4: на 3R минут проверки обнаружения получают −2L, движение не снимает; крупный предмет в руках делит штраф пополам.
R=1: на 1 час окрас мухомора с движущимися пятнами, −10 к скрытности и C-проверкам.</t>
  </si>
  <si>
    <t xml:space="preserve">[SYM-127] один чистый R20 R (активация/длительность), L, предмет в руках.
R=2–3: нет эффекта.
R=1: на 1 час окрас мухомора с движущимися пятнами, −10 к скрытности и C-проверкам.</t>
  </si>
  <si>
    <t xml:space="preserve">[SYM-127] 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t>
  </si>
  <si>
    <t xml:space="preserve">[SYM-127] длительная маскировка либо негативный окрас.</t>
  </si>
  <si>
    <t xml:space="preserve">[SYM-127] после смены одежды/брони прошёл 1 час.
R≥4: на 3R минут проверки обнаружения получают −2L, движение не снимает; крупный предмет в руках делит штраф пополам.
R=1: на 1 час окрас мухомора с движущимися пятнами, −10 к скрытности и C-проверкам.</t>
  </si>
  <si>
    <t xml:space="preserve">SYM-127; CORE-229; SYM-010; SYM-011</t>
  </si>
  <si>
    <t xml:space="preserve">CTX-SYM-127-PEACE</t>
  </si>
  <si>
    <t xml:space="preserve">SYM-127; Q-APP-002</t>
  </si>
  <si>
    <t xml:space="preserve">CTX-SYM-128-COMBAT</t>
  </si>
  <si>
    <t xml:space="preserve">[SYM-128] расчёт статической/динамической маскировки.</t>
  </si>
  <si>
    <t xml:space="preserve">[SYM-128] способность доступна.</t>
  </si>
  <si>
    <t xml:space="preserve">[SYM-128] предметы в руках.</t>
  </si>
  <si>
    <t xml:space="preserve">[SYM-128] объекты в руках носителя.</t>
  </si>
  <si>
    <t xml:space="preserve">[SYM-128] не применять штраф/деление эффекта за крупные предметы; распространять маскировку на любые удерживаемые объекты.</t>
  </si>
  <si>
    <t xml:space="preserve">[SYM-128] полный модификатор маскировки.</t>
  </si>
  <si>
    <t xml:space="preserve">SYM-128; CORE-229; SYM-010; SYM-011</t>
  </si>
  <si>
    <t xml:space="preserve">CTX-SYM-128-PEACE</t>
  </si>
  <si>
    <t xml:space="preserve">SYM-128; Q-APP-001; SYM-010; SYM-011</t>
  </si>
  <si>
    <t xml:space="preserve">CTX-SYM-129-COMBAT</t>
  </si>
  <si>
    <t xml:space="preserve">[SYM-129] объявление; цена 300 ОЭ и 1 действие.</t>
  </si>
  <si>
    <t xml:space="preserve">[SYM-129] ОЭ≥300.</t>
  </si>
  <si>
    <t xml:space="preserve">[SYM-129] L, состав области.</t>
  </si>
  <si>
    <t xml:space="preserve">[SYM-129] живые объекты в радиусе 4 м.</t>
  </si>
  <si>
    <t xml:space="preserve">[SYM-129] объявление; цена 300 ОЭ и 1 действие.
Нормативная база (действует во всей непротиворечащей части):</t>
  </si>
  <si>
    <t xml:space="preserve">[SYM-129] объявление; цена 300 ОЭ и 1 действие.
ОЭ≥300.</t>
  </si>
  <si>
    <t xml:space="preserve">[SYM-129] Нормативная база (действует во всей непротиворечащей части):
дать всем живым объектам в радиусе 4 м +L к скрытности.
Приоритетные авторские дельты (заменяют только прямо пересекающиеся ветви):
[Q-SYM-052]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</si>
  <si>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[SYM-129] площадной бонус.</t>
  </si>
  <si>
    <t xml:space="preserve">[SYM-129] Нормативная база (действует во всей непротиворечащей части):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</si>
  <si>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SYM-129; CORE-229; SYM-010; SYM-011</t>
  </si>
  <si>
    <t xml:space="preserve">CTX-SYM-129-PEACE</t>
  </si>
  <si>
    <t xml:space="preserve">SYM-129; Q-APP-002</t>
  </si>
  <si>
    <t xml:space="preserve">CTX-SYM-131#MI_MI_MI-COMBAT</t>
  </si>
  <si>
    <t xml:space="preserve">[SYM-131] команда сменить тип феромонов.</t>
  </si>
  <si>
    <t xml:space="preserve">[SYM-131] изучено больше одного типа; Пингвин не подавлен.</t>
  </si>
  <si>
    <t xml:space="preserve">[SYM-131] текущий и выбранный тип, таймер.</t>
  </si>
  <si>
    <t xml:space="preserve">[SYM-131] 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</si>
  <si>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[SYM-131] 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</si>
  <si>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[SYM-131] по завершении новый тип становится активным.</t>
  </si>
  <si>
    <t xml:space="preserve">SYM-131; CORE-229; SYM-010; SYM-011</t>
  </si>
  <si>
    <t xml:space="preserve">CTX-SYM-131#MI_MI_MI-PEACE</t>
  </si>
  <si>
    <t xml:space="preserve">Боевые действия не расходуются вне боя. Частная длительность/условия сохраняются:
[SYM-131] 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</si>
  <si>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SYM-131; Q-APP-001; SYM-010; SYM-011</t>
  </si>
  <si>
    <t xml:space="preserve">CTX-SYM-131#OH_NICE-COMBAT</t>
  </si>
  <si>
    <t xml:space="preserve">CTX-SYM-131#OH_NICE-PEACE</t>
  </si>
  <si>
    <t xml:space="preserve">CTX-SYM-131#BLACK_WHITE_FEAR-COMBAT</t>
  </si>
  <si>
    <t xml:space="preserve">CTX-SYM-131#BLACK_WHITE_FEAR-PEACE</t>
  </si>
  <si>
    <t xml:space="preserve">CTX-SYM-132-COMBAT</t>
  </si>
  <si>
    <t xml:space="preserve">[SYM-132] объявление; цена 20 ОЭ и 1 действие.</t>
  </si>
  <si>
    <t xml:space="preserve">[SYM-132] цель в радиусе L м; Пингвин активен.</t>
  </si>
  <si>
    <t xml:space="preserve">[SYM-132] один чистый R20 R.</t>
  </si>
  <si>
    <t xml:space="preserve">[SYM-132] выбранная цель.</t>
  </si>
  <si>
    <t xml:space="preserve">[SYM-132] объявление; цена 20 ОЭ и 1 действие.
Нормативная база (действует во всей непротиворечащей части):
R≥4: цель получает +L S и +L D на R/5 минут/ходов.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</si>
  <si>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[SYM-132] один чистый R20 R.
R=2–3: нет эффекта.
R=1: цель в течение 1 хода пытается убить носителя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</si>
  <si>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[SYM-132] Нормативная база (действует во всей непротиворечащей части):
R≥4: цель получает +L S и +L D на R/5 минут/ходов. R=2–3: нет эффекта. R=1: цель в течение 1 хода пытается убить носителя Пингвина.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</si>
  <si>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[SYM-132] временный бафф либо принуждение.</t>
  </si>
  <si>
    <t xml:space="preserve">[SYM-132] Нормативная база (действует во всей непротиворечащей части):
R≥4: цель получает +L S и +L D на R/5 минут/ходов.
R=1: цель в течение 1 хода пытается убить носителя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t>
  </si>
  <si>
    <t xml:space="preserve">SYM-132; CORE-229; SYM-010; SYM-011</t>
  </si>
  <si>
    <t xml:space="preserve">CTX-SYM-132-PEACE</t>
  </si>
  <si>
    <t xml:space="preserve">SYM-132; Q-APP-002</t>
  </si>
  <si>
    <t xml:space="preserve">CTX-SYM-133-COMBAT</t>
  </si>
  <si>
    <t xml:space="preserve">[SYM-133] выбор режима.</t>
  </si>
  <si>
    <t xml:space="preserve">[SYM-133] способность доступна.</t>
  </si>
  <si>
    <t xml:space="preserve">[SYM-133] до двух типов либо команда отключения.</t>
  </si>
  <si>
    <t xml:space="preserve">[SYM-133] 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</si>
  <si>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[SYM-133] 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</si>
  <si>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[SYM-133] активный набор из 0–2 типов.</t>
  </si>
  <si>
    <t xml:space="preserve">SYM-133; CORE-229; SYM-010; SYM-011</t>
  </si>
  <si>
    <t xml:space="preserve">CTX-SYM-133-PEACE</t>
  </si>
  <si>
    <t xml:space="preserve">Боевые действия не расходуются вне боя. Частная длительность/условия сохраняются:
[SYM-133] 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</si>
  <si>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SYM-133; Q-APP-001; SYM-010; SYM-011</t>
  </si>
  <si>
    <t xml:space="preserve">CTX-SYM-134-COMBAT</t>
  </si>
  <si>
    <t xml:space="preserve">[SYM-134] объявление; явная цена ОЭ отсутствует, поэтому 0 ОЭ и 1 действие.</t>
  </si>
  <si>
    <t xml:space="preserve">[SYM-134] Пингвин активен.</t>
  </si>
  <si>
    <t xml:space="preserve">[SYM-134] первый R20 A (активация/длительность), отдельный R20 B (прибавка радиуса).</t>
  </si>
  <si>
    <t xml:space="preserve">[SYM-134] его ауры и способности.</t>
  </si>
  <si>
    <t xml:space="preserve">[SYM-134] объявление; явная цена ОЭ отсутствует, поэтому 0 ОЭ и 1 действие.
Нормативная база (действует во всей непротиворечащей части):
A≥3: на A/4 минут/ходов увеличить радиус феромонов и дальность способностей на B метров.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</si>
  <si>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[SYM-134] первый R20 A (активация/длительность), отдельный R20 B (прибавка радиуса).
A=2: нет эффекта.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</si>
  <si>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[SYM-134] Нормативная база (действует во всей непротиворечащей части):
A≥3: на A/4 минут/ходов увеличить радиус феромонов и дальность способностей на B метров. A=2: нет эффекта. A=1: запретить выработку феромонов на 3 часа.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</si>
  <si>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[SYM-134] временный бонус радиуса либо отключение.</t>
  </si>
  <si>
    <t xml:space="preserve">[SYM-134] Нормативная база (действует во всей непротиворечащей части):
A≥3: на A/4 минут/ходов увеличить радиус феромонов и дальность способностей на B метров.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</si>
  <si>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SYM-134; CORE-229; SYM-010; SYM-011</t>
  </si>
  <si>
    <t xml:space="preserve">CTX-SYM-134-PEACE</t>
  </si>
  <si>
    <t xml:space="preserve">SYM-134; Q-APP-002</t>
  </si>
  <si>
    <t xml:space="preserve">CTX-SYM-135-COMBAT</t>
  </si>
  <si>
    <t xml:space="preserve">[SYM-135] объявление; цена 60 ОЭ и 1 действие.</t>
  </si>
  <si>
    <t xml:space="preserve">[SYM-135] ОЭ≥60.</t>
  </si>
  <si>
    <t xml:space="preserve">[SYM-135] один чистый R20 R.</t>
  </si>
  <si>
    <t xml:space="preserve">[SYM-135] его эффекты.</t>
  </si>
  <si>
    <t xml:space="preserve">[SYM-135] объявление; цена 60 ОЭ и 1 действие.
Нормативная база (действует во всей непротиворечащей части):
R≥3: на R/4 минут/ходов удвоить только числовые бонусы и штрафы эффектов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</si>
  <si>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[SYM-135] объявление; цена 60 ОЭ и 1 действие.
ОЭ≥60.
Не удваивать радиус, длительность, стоимость, число целей и собственный множитель.
Узел самого высокого утраченного уровня помечается утраченным и становится недоступным; ранее потраченный на него опыт не возвращается.</t>
  </si>
  <si>
    <t xml:space="preserve">[SYM-135] один чистый R20 R.
R=2: нет эффекта.
R=1: Пингвин теряет один уровень.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</si>
  <si>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[SYM-135] Нормативная база (действует во всей непротиворечащей части):
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</si>
  <si>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[SYM-135] множитель эффектов либо L−1.</t>
  </si>
  <si>
    <t xml:space="preserve">[SYM-135] Нормативная база (действует во всей непротиворечащей части):
R≥3: на R/4 минут/ходов удвоить только числовые бонусы и штрафы эффектов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</si>
  <si>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SYM-135; CORE-229; SYM-010; SYM-011</t>
  </si>
  <si>
    <t xml:space="preserve">CTX-SYM-135-PEACE</t>
  </si>
  <si>
    <t xml:space="preserve">Боевые действия не расходуются вне боя. Частная длительность/условия сохраняются:
[SYM-135] объявление; цена 60 ОЭ и 1 действие.
Нормативная база (действует во всей непротиворечащей части):
R≥3: на R/4 минут/ходов удвоить только числовые бонусы и штрафы эффектов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</si>
  <si>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SYM-135; Q-APP-001; SYM-010; SYM-011</t>
  </si>
  <si>
    <t xml:space="preserve">CTX-SYM-137-COMBAT</t>
  </si>
  <si>
    <t xml:space="preserve">[SYM-137] объявить одновременно с рукопашной атакой; цена 30 ОЭ (без отдельного действия сверх атаки).</t>
  </si>
  <si>
    <t xml:space="preserve">[SYM-137] ОЭ≥30.</t>
  </si>
  <si>
    <t xml:space="preserve">[SYM-137] первый R20 A в пакете 2A (активация/урон/пороги), отдельный R20 B обратного урона; результат меткости.</t>
  </si>
  <si>
    <t xml:space="preserve">[SYM-137] цель атаки.</t>
  </si>
  <si>
    <t xml:space="preserve">[SYM-137] объявить одновременно с рукопашной атакой; цена 30 ОЭ (без отдельного действия сверх атаки).
Нормативная база (действует во всей непротиворечащей части):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t>
  </si>
  <si>
    <t xml:space="preserve">[SYM-137] объявить одновременно с рукопашной атакой; цена 30 ОЭ (без отдельного действия сверх атаки).
ОЭ≥30.</t>
  </si>
  <si>
    <t xml:space="preserve">[SYM-137] первый R20 A в пакете 2A (активация/урон/пороги), отдельный R20 B обратного урона; результат меткости.
A=1: носитель теряет сознание на 10 минут/2 хода, получает 30 урона, все его симбионты отключаются на тот же срок.
[Q-SYM-056] При промахе носитель получает и отдельный обратный урон R20 и все.</t>
  </si>
  <si>
    <t xml:space="preserve">[SYM-137] Нормативная база (действует во всей непротиворечащей части):
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
Приоритетные авторские дельты (заменяют только прямо пересекающиеся ветви):
[Q-SYM-056] 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</si>
  <si>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[SYM-137] урон/контроль цели или носителя.</t>
  </si>
  <si>
    <t xml:space="preserve">[SYM-137] Нормативная база (действует во всей непротиворечащей части):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t>
  </si>
  <si>
    <t xml:space="preserve">SYM-137; CORE-229; SYM-010; SYM-011</t>
  </si>
  <si>
    <t xml:space="preserve">CTX-SYM-137-PEACE</t>
  </si>
  <si>
    <t xml:space="preserve">SYM-137; Q-APP-002</t>
  </si>
  <si>
    <t xml:space="preserve">CTX-SYM-138-COMBAT</t>
  </si>
  <si>
    <t xml:space="preserve">[SYM-138] ближняя атака достигла цели и пробила броню.</t>
  </si>
  <si>
    <t xml:space="preserve">[SYM-138] оружие цельнометаллическое.</t>
  </si>
  <si>
    <t xml:space="preserve">[SYM-138] L, итоговый урон.</t>
  </si>
  <si>
    <t xml:space="preserve">[SYM-138] цель цельнометаллического оружия.</t>
  </si>
  <si>
    <t xml:space="preserve">[SYM-138] добавленная часть не учитывается при проверке инициации травмы.</t>
  </si>
  <si>
    <t xml:space="preserve">[SYM-138] добавить +L к урону.</t>
  </si>
  <si>
    <t xml:space="preserve">[SYM-138] повышенный урон.</t>
  </si>
  <si>
    <t xml:space="preserve">SYM-138; CORE-229; SYM-010; SYM-011</t>
  </si>
  <si>
    <t xml:space="preserve">CTX-SYM-138-PEACE</t>
  </si>
  <si>
    <t xml:space="preserve">SYM-138; Q-APP-002</t>
  </si>
  <si>
    <t xml:space="preserve">CTX-SYM-139-COMBAT</t>
  </si>
  <si>
    <t xml:space="preserve">[SYM-139] активация; затем начало каждого собственного хода.</t>
  </si>
  <si>
    <t xml:space="preserve">[SYM-139] доступно 30 ОЭ и 10 HP на интервал.</t>
  </si>
  <si>
    <t xml:space="preserve">[SYM-139] рукопашная меткость; R20 A урона; защитные действия; при блоке отдельный R20.</t>
  </si>
  <si>
    <t xml:space="preserve">[SYM-139] цель между ладонями или атакующий.</t>
  </si>
  <si>
    <t xml:space="preserve">[SYM-139] R20 A урона; защитные действия; при блоке отдельный R20.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</si>
  <si>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[SYM-139] доступно 30 ОЭ и 10 HP на интервал.
в начале каждого хода до действий списать 30 ОЭ и 10 HP.
Дуга существует до добровольного прекращения в свой ход (0 действий) или исчерпания ОЭ.
[Q-SYM-057] В начале хода атомарно проверяются 30 ОЭ и 10 HP.
Если ОЭ меньше 30 или HP меньше 10, дуга прекращается до оплаты и ничего не списывается.</t>
  </si>
  <si>
    <t xml:space="preserve">[SYM-139] R20 A урона; защитные действия; при блоке отдельный R20.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t>
  </si>
  <si>
    <t xml:space="preserve">[SYM-139]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
Приоритетные авторские дельты (заменяют только прямо пересекающиеся ветви):
[Q-SYM-057]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</si>
  <si>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[SYM-139] поддерживаемое оружие, атака/блок, ресурсные тики.</t>
  </si>
  <si>
    <t xml:space="preserve">[SYM-139] активация; затем начало каждого собственного хода.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A&gt;22−L → оглушение 1 ход/5 мин
A&gt;20−L → отключение симбионтов на тот же срок</t>
  </si>
  <si>
    <t xml:space="preserve">[SYM-139] [Q-SYM-057] В начале хода атомарно проверяются 30 ОЭ и 10 HP.</t>
  </si>
  <si>
    <t xml:space="preserve">SYM-139; CORE-229; SYM-010; SYM-011</t>
  </si>
  <si>
    <t xml:space="preserve">CTX-SYM-139-PEACE</t>
  </si>
  <si>
    <t xml:space="preserve">SYM-139; Q-APP-002</t>
  </si>
  <si>
    <t xml:space="preserve">CTX-SYM-140-COMBAT</t>
  </si>
  <si>
    <t xml:space="preserve">[SYM-140] после двух полностью поддержанных предшествующих ходов дуги; в ход запуска.</t>
  </si>
  <si>
    <t xml:space="preserve">[SYM-140] дуга активна; оплатить очередное поддержание и 30 ОЭ способности; 1 действие.</t>
  </si>
  <si>
    <t xml:space="preserve">[SYM-140] один чистый R20 A.</t>
  </si>
  <si>
    <t xml:space="preserve">[SYM-140] цель ≤40 м.</t>
  </si>
  <si>
    <t xml:space="preserve">[SYM-140] 1 действие.</t>
  </si>
  <si>
    <t xml:space="preserve">[SYM-140] дуга активна; оплатить очередное поддержание и 30 ОЭ способности</t>
  </si>
  <si>
    <t xml:space="preserve">[SYM-140] один чистый R20 A.
A=1 → специальное последствие носителю: сознание/30 урона/симбионты по SYM-137.</t>
  </si>
  <si>
    <t xml:space="preserve">[SYM-140] 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t>
  </si>
  <si>
    <t xml:space="preserve">[SYM-140] урон и контроль; дуга снята.</t>
  </si>
  <si>
    <t xml:space="preserve">[SYM-140] после двух полностью поддержанных предшествующих ходов дуги; в ход запуска.
A&gt;21−L → оглушение цели 1 ход/5 мин
A&gt;19−L → отключение её симбионтов на тот же срок
два предшествующих хода должны быть полными.</t>
  </si>
  <si>
    <t xml:space="preserve">SYM-140; CORE-229; SYM-010; SYM-011</t>
  </si>
  <si>
    <t xml:space="preserve">CTX-SYM-140-PEACE</t>
  </si>
  <si>
    <t xml:space="preserve">SYM-140; Q-APP-002</t>
  </si>
  <si>
    <t xml:space="preserve">CTX-SYM-141-COMBAT</t>
  </si>
  <si>
    <t xml:space="preserve">[SYM-141] при активной дуге сомкнуть ладони; оплатить поддержание и 100 ОЭ; 1 действие.</t>
  </si>
  <si>
    <t xml:space="preserve">[SYM-141] дуга активна; ресурсов хватает.</t>
  </si>
  <si>
    <t xml:space="preserve">[SYM-141] первый R20 A (активация, самоповреждение, пороги/единица), отдельный R20 D (урон цели).</t>
  </si>
  <si>
    <t xml:space="preserve">[SYM-141] цель ≤60 м.</t>
  </si>
  <si>
    <t xml:space="preserve">[SYM-141] 1 действие.</t>
  </si>
  <si>
    <t xml:space="preserve">[SYM-141] при активной дуге сомкнуть ладони; оплатить поддержание и 100 ОЭ
дуга активна; ресурсов хватает.</t>
  </si>
  <si>
    <t xml:space="preserve">[SYM-141] первый R20 A (активация, самоповреждение, пороги/единица), отдельный R20 D (урон цели).
A=1 → носитель дополнительно теряет сознание на 2 хода/10 мин, получает 30 урона, все его симбионты отключаются на тот же срок.
Контактный шокер отдельно не оплачивается, его обычный обратный урон не применяется; пороги относятся к первому R20, второй — только урон.</t>
  </si>
  <si>
    <t xml:space="preserve">[SYM-141] 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t>
  </si>
  <si>
    <t xml:space="preserve">[SYM-141] самоповреждение, дальний урон/контроль, снятие дуги.</t>
  </si>
  <si>
    <t xml:space="preserve">[SYM-141]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t>
  </si>
  <si>
    <t xml:space="preserve">SYM-141; CORE-229; SYM-010; SYM-011</t>
  </si>
  <si>
    <t xml:space="preserve">CTX-SYM-141-PEACE</t>
  </si>
  <si>
    <t xml:space="preserve">SYM-141; Q-APP-002</t>
  </si>
  <si>
    <t xml:space="preserve">CTX-SYM-142-COMBAT</t>
  </si>
  <si>
    <t xml:space="preserve">[SYM-142] объявление; цена 200 ОЭ; подготовка 1 минута/1 ход; в начале следующего круга до всех ходов — разрешение.</t>
  </si>
  <si>
    <t xml:space="preserve">[SYM-142] ОЭ≥200; подготовка завершена.</t>
  </si>
  <si>
    <t xml:space="preserve">[SYM-142] радиус 3L м, R6 числа перескоков, список целей.</t>
  </si>
  <si>
    <t xml:space="preserve">[SYM-142] случайные цели.</t>
  </si>
  <si>
    <t xml:space="preserve">[SYM-142] объявление; цена 200 ОЭ; подготовка 1 минута/1 ход; в начале следующего круга до всех ходов — разрешение.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Каждое попадание: 99 урона, гарантированное оглушение 3 хода и отключение всех симбионтов цели на 1 час.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</si>
  <si>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[SYM-142] объявление; цена 200 ОЭ; подготовка 1 минута/1 ход; в начале следующего круга до всех ходов — разрешение.
ОЭ≥200; подготовка завершена.
в момент разрешения израсходовать все имеющиеся HP, отключить все симбионты носителя на 1 час, перевести носителя в тяжёлое ранение.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</si>
  <si>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[SYM-142] радиус 3L м, R6 числа перескоков, список целей.
Выбрать случайную первую цель в радиусе; затем выполнить R6 перескоков в «другую» случайную цель.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t>
  </si>
  <si>
    <t xml:space="preserve">[SYM-142]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
Приоритетные авторские дельты (заменяют только прямо пересекающиеся ветви):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</si>
  <si>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[SYM-142] носитель тяжело ранен; цепь целей получает эффекты.</t>
  </si>
  <si>
    <t xml:space="preserve">[SYM-142] объявление; цена 200 ОЭ; подготовка 1 минута/1 ход; в начале следующего круга до всех ходов — разрешение.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Каждое попадание: 99 урона, гарантированное оглушение 3 хода и отключение всех симбионтов цели на 1 час.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
способность разрешается до ходов всех персонажей.</t>
  </si>
  <si>
    <t xml:space="preserve">SYM-142; CORE-229; SYM-010; SYM-011</t>
  </si>
  <si>
    <t xml:space="preserve">CTX-SYM-142-PEACE</t>
  </si>
  <si>
    <t xml:space="preserve">SYM-142; Q-APP-002</t>
  </si>
  <si>
    <t xml:space="preserve">CTX-SYM-144-COMBAT</t>
  </si>
  <si>
    <t xml:space="preserve">[SYM-144] применение урона/контроля от яда или отвара.</t>
  </si>
  <si>
    <t xml:space="preserve">[SYM-144] Жаба активна.</t>
  </si>
  <si>
    <t xml:space="preserve">[SYM-144] тип источника/эффекта.</t>
  </si>
  <si>
    <t xml:space="preserve">[SYM-144] отменить урон от яда; отменить эффекты контроля, вызванные ядами или отварами, включая обезболивание.</t>
  </si>
  <si>
    <t xml:space="preserve">[SYM-144] урон/контроль не применяется.</t>
  </si>
  <si>
    <t xml:space="preserve">SYM-144; CORE-229; SYM-010; SYM-011</t>
  </si>
  <si>
    <t xml:space="preserve">CTX-SYM-144-PEACE</t>
  </si>
  <si>
    <t xml:space="preserve">SYM-144; Q-APP-001; SYM-010; SYM-011</t>
  </si>
  <si>
    <t xml:space="preserve">CTX-SYM-145-COMBAT</t>
  </si>
  <si>
    <t xml:space="preserve">[SYM-145] выбор количества жертвуемых пунктов; цена 10 ОЭ за пункт и 1 действие по умолчанию.</t>
  </si>
  <si>
    <t xml:space="preserve">[SYM-145] жертвуются S,D,M,I; ни одна не опустится ниже 1; ОЭ хватает на всю цену.</t>
  </si>
  <si>
    <t xml:space="preserve">[SYM-145] распределение N пунктов.</t>
  </si>
  <si>
    <t xml:space="preserve">[SYM-145] выбор количества жертвуемых пунктов; цена 10 ОЭ за пункт и 1 действие по умолчанию.
временно снизить выбранные характеристики на N; за каждый пункт добавить +5 часов существования без еды и сна и +10 минут без кислорода.
Вернуть все пункты только после совместного выполнения: доступ к кислороду восстановлен, плотная еда принята, завершены 4 часа сна.
полноценность сна для восстановления пользы по SYM-007 отдельно не требуется текстом, но длительность 4 часа обязательна.</t>
  </si>
  <si>
    <t xml:space="preserve">[SYM-145] выбор количества жертвуемых пунктов; цена 10 ОЭ за пункт и 1 действие по умолчанию.
ОЭ хватает на всю цену.</t>
  </si>
  <si>
    <t xml:space="preserve">[SYM-145] 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t>
  </si>
  <si>
    <t xml:space="preserve">[SYM-145] временные модификаторы и лимиты выживания; затем атомарное восстановление.</t>
  </si>
  <si>
    <t xml:space="preserve">[SYM-145] временно снизить выбранные характеристики на N; за каждый пункт добавить +5 часов существования без еды и сна и +10 минут без кислорода.
Вернуть все пункты только после совместного выполнения: доступ к кислороду восстановлен, плотная еда принята, завершены 4 часа сна.
полноценность сна для восстановления пользы по SYM-007 отдельно не требуется текстом, но длительность 4 часа обязательна.</t>
  </si>
  <si>
    <t xml:space="preserve">SYM-145; CORE-229; SYM-010; SYM-011</t>
  </si>
  <si>
    <t xml:space="preserve">CTX-SYM-145-PEACE</t>
  </si>
  <si>
    <t xml:space="preserve">SYM-145; Q-APP-002</t>
  </si>
  <si>
    <t xml:space="preserve">CTX-SYM-147-COMBAT</t>
  </si>
  <si>
    <t xml:space="preserve">[SYM-147] рукопашная атака языком.</t>
  </si>
  <si>
    <t xml:space="preserve">[SYM-147] яд есть в крови; цель ≤L м; кончик касается кожи/тонкой одежды.</t>
  </si>
  <si>
    <t xml:space="preserve">[SYM-147] меткость рукопашной атаки, текущий яд.</t>
  </si>
  <si>
    <t xml:space="preserve">[SYM-147] цель.</t>
  </si>
  <si>
    <t xml:space="preserve">[SYM-147] Нормативная база (действует во всей непротиворечащей части):</t>
  </si>
  <si>
    <t xml:space="preserve">[SYM-147] Нормативная база (действует во всей непротиворечащей части):
при успешном касании доставить текущий яд; язык нельзя захватить.
Приоритетные авторские дельты (заменяют только прямо пересекающиеся ветви):
[Q-SYM-059] В Windows-приложении мы не обрабатываем этот эффект</t>
  </si>
  <si>
    <t xml:space="preserve">[SYM-147] яд применён к цели.</t>
  </si>
  <si>
    <t xml:space="preserve">SYM-147; CORE-229; SYM-010; SYM-011</t>
  </si>
  <si>
    <t xml:space="preserve">CTX-SYM-147-PEACE</t>
  </si>
  <si>
    <t xml:space="preserve">SYM-147; Q-APP-002</t>
  </si>
  <si>
    <t xml:space="preserve">CTX-SYM-148-COMBAT</t>
  </si>
  <si>
    <t xml:space="preserve">[SYM-148] сознательный контакт ладонью с кожей; в бою — успешная рукопашная проверка.</t>
  </si>
  <si>
    <t xml:space="preserve">[SYM-148] открытая кожа цели; держатель решил выделить вещество.</t>
  </si>
  <si>
    <t xml:space="preserve">[SYM-148] меткость/контакт.</t>
  </si>
  <si>
    <t xml:space="preserve">[SYM-148] цель.</t>
  </si>
  <si>
    <t xml:space="preserve">[SYM-148] отключить всех симбионтов цели на 5 минут/1 ход.
можно касаться без активации железы; дополнительное действие/ОЭ не тратится.</t>
  </si>
  <si>
    <t xml:space="preserve">[SYM-148] можно касаться без активации железы; дополнительное действие/ОЭ не тратится.</t>
  </si>
  <si>
    <t xml:space="preserve">[SYM-148] отключить всех симбионтов цели на 5 минут/1 ход.</t>
  </si>
  <si>
    <t xml:space="preserve">[SYM-148] симбионты цели disabled до таймера.</t>
  </si>
  <si>
    <t xml:space="preserve">SYM-148; CORE-229; SYM-010; SYM-011</t>
  </si>
  <si>
    <t xml:space="preserve">CTX-SYM-148-PEACE</t>
  </si>
  <si>
    <t xml:space="preserve">SYM-148; Q-APP-002</t>
  </si>
  <si>
    <t xml:space="preserve">CTX-SYM-149-COMBAT</t>
  </si>
  <si>
    <t xml:space="preserve">[SYM-149] изменение L/наличия.</t>
  </si>
  <si>
    <t xml:space="preserve">[SYM-149] способность доступна.</t>
  </si>
  <si>
    <t xml:space="preserve">[SYM-149] L, базовый maxHP.</t>
  </si>
  <si>
    <t xml:space="preserve">[SYM-149] maxHP +=10L; при гибели/удалении убрать бонус и ограничить текущий HP новым максимумом по общему правилу.</t>
  </si>
  <si>
    <t xml:space="preserve">[SYM-149] пересчитать maxHP.</t>
  </si>
  <si>
    <t xml:space="preserve">SYM-149; CORE-229; SYM-010; SYM-011</t>
  </si>
  <si>
    <t xml:space="preserve">CTX-SYM-149-PEACE</t>
  </si>
  <si>
    <t xml:space="preserve">SYM-149; Q-APP-001; SYM-010; SYM-011</t>
  </si>
  <si>
    <t xml:space="preserve">CTX-SYM-150-COMBAT</t>
  </si>
  <si>
    <t xml:space="preserve">[SYM-150] активировать одновременно с атакой языком; цена 140 ОЭ, без дополнительного действия.</t>
  </si>
  <si>
    <t xml:space="preserve">[SYM-150] ОЭ≥140.</t>
  </si>
  <si>
    <t xml:space="preserve">[SYM-150] R6 пробития; через 10 минут/3 хода R20+5 держателя и проверка M цели.</t>
  </si>
  <si>
    <t xml:space="preserve">[SYM-150] цель атаки языком.</t>
  </si>
  <si>
    <t xml:space="preserve">[SYM-150] активировать одновременно с атакой языком; цена 140 ОЭ, без дополнительного действия.
R6 пробития; через 10 минут/3 хода R20+5 держателя и проверка M цели.
Если R20+5 &gt; checkM_target, цель теряет сознание на 5 минут/1 ход.</t>
  </si>
  <si>
    <t xml:space="preserve">[SYM-150] активировать одновременно с атакой языком; цена 140 ОЭ, без дополнительного действия.
ОЭ≥140.</t>
  </si>
  <si>
    <t xml:space="preserve">[SYM-150] R6 пробития; через 10 минут/3 хода R20+5 держателя и проверка M цели.
Если R20+5 &gt; checkM_target, цель теряет сознание на 5 минут/1 ход.</t>
  </si>
  <si>
    <t xml:space="preserve">[SYM-150] при успешном попадании и пробитии поставить таймер; по истечении сравнить результаты. Если R20+5 &gt; checkM_target, цель теряет сознание на 5 минут/1 ход.</t>
  </si>
  <si>
    <t xml:space="preserve">[SYM-150] отложенная встречная проверка и бессознательность.</t>
  </si>
  <si>
    <t xml:space="preserve">SYM-150; CORE-229; SYM-010; SYM-011</t>
  </si>
  <si>
    <t xml:space="preserve">CTX-SYM-150-PEACE</t>
  </si>
  <si>
    <t xml:space="preserve">SYM-150; Q-APP-002</t>
  </si>
  <si>
    <t xml:space="preserve">CTX-SYM-152-COMBAT</t>
  </si>
  <si>
    <t xml:space="preserve">[SYM-152] в ход носителя команда выйти через рот; цена 1 боевое действие носителя.
[SYM-153] смерть Крысы вне тела.</t>
  </si>
  <si>
    <t xml:space="preserve">[SYM-152] Крыса в теле; закончился период восстановления вылазки.
[SYM-153] носитель жив.</t>
  </si>
  <si>
    <t xml:space="preserve">[SYM-152] L, текущий бой, действия носителя.
[SYM-153] доля сохранённого тела, время поедания, L.</t>
  </si>
  <si>
    <t xml:space="preserve">[SYM-152] носитель.
[SYM-153] носитель.</t>
  </si>
  <si>
    <t xml:space="preserve">[SYM-152] в ход носителя команда выйти через рот; цена 1 боевое действие носителя.
L, текущий бой, действия носителя.
Нормативная база (действует во всей непротиворечащей части):
создать отдельного персонажа: каждая характеристика 2L, HP=10L, максимальная автономность L часов.
В бою немедленно бросить чистую инициативу для следующего хода; в текущий момент Крыса может действовать, расходуя оставшиеся действия носителя.
[SYM-153]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t>
  </si>
  <si>
    <t xml:space="preserve">[SYM-152] в ход носителя команда выйти через рот; цена 1 боевое действие носителя.
создать отдельного персонажа: каждая характеристика 2L, HP=10L, максимальная автономность L часов.</t>
  </si>
  <si>
    <t xml:space="preserve">[SYM-152] 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[SYM-153] Иначе через 24 часа переродить с L=max(1,L−2); способности выше L сохранить изученными, но заблокировать.</t>
  </si>
  <si>
    <t xml:space="preserve">[SYM-152] Нормативная база (действует во всей непротиворечащей части):
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
Приоритетные авторские дельты (заменяют только прямо пересекающиеся ветви):
[Q-SYM-060]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
[SYM-153]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</si>
  <si>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[SYM-152] отдельная позиция/инициатива Крысы.
[SYM-153] Крыса возвращена в тело.</t>
  </si>
  <si>
    <t xml:space="preserve">[SYM-152] в ход носителя команда выйти через рот; цена 1 боевое действие носителя.
Нормативная база (действует во всей непротиворечащей части):
создать отдельного персонажа: каждая характеристика 2L, HP=10L, максимальная автономность L часов.
В бою немедленно бросить чистую инициативу для следующего хода; в текущий момент Крыса может действовать, расходуя оставшиеся действия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после возвращения до следующей вылазки ждать 11−L часов.
[SYM-153]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t>
  </si>
  <si>
    <t xml:space="preserve">SYM-152; SYM-153; CORE-229; SYM-010; SYM-011</t>
  </si>
  <si>
    <t xml:space="preserve">CTX-SYM-152-PEACE</t>
  </si>
  <si>
    <t xml:space="preserve">Боевые действия не расходуются вне боя. Частная длительность/условия сохраняются:
[SYM-152] в ход носителя команда выйти через рот; цена 1 боевое действие носителя.
L, текущий бой, действия носителя.
Нормативная база (действует во всей непротиворечащей части):
создать отдельного персонажа: каждая характеристика 2L, HP=10L, максимальная автономность L часов.
В бою немедленно бросить чистую инициативу для следующего хода; в текущий момент Крыса может действовать, расходуя оставшиеся действия носителя.
[SYM-153]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t>
  </si>
  <si>
    <t xml:space="preserve">SYM-152; SYM-153; Q-APP-001; SYM-010; SYM-011</t>
  </si>
  <si>
    <t xml:space="preserve">CTX-SYM-154-COMBAT</t>
  </si>
  <si>
    <t xml:space="preserve">[SYM-154] получение Крысой сенсорной информации.</t>
  </si>
  <si>
    <t xml:space="preserve">[SYM-154] ментальная связь с носителем сохраняется.</t>
  </si>
  <si>
    <t xml:space="preserve">[SYM-154] видимые/слышимые данные Крысы.</t>
  </si>
  <si>
    <t xml:space="preserve">[SYM-154] носитель.</t>
  </si>
  <si>
    <t xml:space="preserve">[SYM-154] Нормативная база (действует во всей непротиворечащей части):</t>
  </si>
  <si>
    <t xml:space="preserve">[SYM-154] Нормативная база (действует во всей непротиворечащей части):
немедленно сделать информацию доступной носителю.
Приоритетные авторские дельты (заменяют только прямо пересекающиеся ветви):
[Q-SYM-061] Не ограничена</t>
  </si>
  <si>
    <t xml:space="preserve">[SYM-154] общая видимость знаний/целей.</t>
  </si>
  <si>
    <t xml:space="preserve">[SYM-154] Нормативная база (действует во всей непротиворечащей части):
дальность базовой связи не указана, кроме автономного срока.</t>
  </si>
  <si>
    <t xml:space="preserve">SYM-154; CORE-229; SYM-010; SYM-011</t>
  </si>
  <si>
    <t xml:space="preserve">CTX-SYM-154-PEACE</t>
  </si>
  <si>
    <t xml:space="preserve">SYM-154; Q-APP-002</t>
  </si>
  <si>
    <t xml:space="preserve">CTX-SYM-155-COMBAT</t>
  </si>
  <si>
    <t xml:space="preserve">[SYM-155] изменение L.</t>
  </si>
  <si>
    <t xml:space="preserve">[SYM-155] способность доступна.</t>
  </si>
  <si>
    <t xml:space="preserve">[SYM-155] базовая D=2L.</t>
  </si>
  <si>
    <t xml:space="preserve">[SYM-155] базовая D=2L.
добавить бонус 2L; итоговая D Крысы при отсутствии иных модификаторов =4L.</t>
  </si>
  <si>
    <t xml:space="preserve">[SYM-155] добавить бонус 2L; итоговая D Крысы при отсутствии иных модификаторов =4L.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</si>
  <si>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[SYM-155] пересчитать D/инициативу/атаки.</t>
  </si>
  <si>
    <t xml:space="preserve">SYM-155; CORE-229; SYM-010; SYM-011</t>
  </si>
  <si>
    <t xml:space="preserve">CTX-SYM-155-PEACE</t>
  </si>
  <si>
    <t xml:space="preserve">SYM-155; Q-APP-001; SYM-010; SYM-011</t>
  </si>
  <si>
    <t xml:space="preserve">CTX-SYM-156-COMBAT</t>
  </si>
  <si>
    <t xml:space="preserve">[SYM-156] расчёт урона укуса.</t>
  </si>
  <si>
    <t xml:space="preserve">[SYM-156] способность доступна.</t>
  </si>
  <si>
    <t xml:space="preserve">[SYM-156] L, базовый урон.</t>
  </si>
  <si>
    <t xml:space="preserve">[SYM-156] добавить +L к урону укуса.</t>
  </si>
  <si>
    <t xml:space="preserve">[SYM-156] повышенный урон.</t>
  </si>
  <si>
    <t xml:space="preserve">SYM-156; CORE-229; SYM-010; SYM-011</t>
  </si>
  <si>
    <t xml:space="preserve">CTX-SYM-156-PEACE</t>
  </si>
  <si>
    <t xml:space="preserve">SYM-156; Q-APP-002</t>
  </si>
  <si>
    <t xml:space="preserve">CTX-SYM-157-COMBAT</t>
  </si>
  <si>
    <t xml:space="preserve">[SYM-157] Крыса победила вожака сообщества в радиусе 200 м и заняла место; затем вступает в бой.</t>
  </si>
  <si>
    <t xml:space="preserve">[SYM-157] статус вожака активен; до 30 крыс включены в единицу.</t>
  </si>
  <si>
    <t xml:space="preserve">[SYM-157] N — текущее число крыс, N0 — исходное; инициатива; атаки.</t>
  </si>
  <si>
    <t xml:space="preserve">[SYM-157] стая обычных крыс.</t>
  </si>
  <si>
    <t xml:space="preserve">[SYM-157] 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t>
  </si>
  <si>
    <t xml:space="preserve">[SYM-157] одна единица: S=D=M=HP=N (N≤30), I=1,C=1,W=10,Z=10; брони и активной защиты нет; одна чистая инициатива и одно боевое действие.
Каждая потеря 1 HP удаляет 1 крысу и сразу уменьшает S,D,M,HP.
Текущее N уменьшается с каждой потерянной единицей HP и используется для характеристик и урона</t>
  </si>
  <si>
    <t xml:space="preserve">[SYM-157] одна единица: S=D=M=HP=N (N≤30), I=1,C=1,W=10,Z=10; брони и активной защиты нет; одна чистая инициатива и одно боевое действие.
Укус: точность R20+D, пробитие 0, урон R6+N/5.
Без Крысиного короля стая начинает бегство, когда суммарные потери достигают ceil(0,30×N0), с Крысиным королём — ceil(0,60×N0).</t>
  </si>
  <si>
    <t xml:space="preserve">[SYM-157] 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</si>
  <si>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[SYM-157] динамическая групповая сущность.</t>
  </si>
  <si>
    <t xml:space="preserve">[SYM-157] Нормативная база (действует во всей непротиворечащей части):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</si>
  <si>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SYM-157; CORE-229; SYM-010; SYM-011</t>
  </si>
  <si>
    <t xml:space="preserve">CTX-SYM-157-PEACE</t>
  </si>
  <si>
    <t xml:space="preserve">SYM-157; Q-APP-002</t>
  </si>
  <si>
    <t xml:space="preserve">CTX-SYM-158-COMBAT</t>
  </si>
  <si>
    <t xml:space="preserve">[SYM-158] укус, пока Крыса находится в теле.</t>
  </si>
  <si>
    <t xml:space="preserve">[SYM-158] способность доступна.</t>
  </si>
  <si>
    <t xml:space="preserve">[SYM-158] R20, L, обычная рукопашная точность.</t>
  </si>
  <si>
    <t xml:space="preserve">[SYM-158] цель укуса.</t>
  </si>
  <si>
    <t xml:space="preserve">[SYM-158] R20, L, обычная рукопашная точность.
прямой урон R20+L, пробитие L; считать рукопашной атакой; разрешить как опцию после захвата в борьбе.</t>
  </si>
  <si>
    <t xml:space="preserve">[SYM-158] прямой урон R20+L, пробитие L; считать рукопашной атакой; разрешить как опцию после захвата в борьбе.</t>
  </si>
  <si>
    <t xml:space="preserve">[SYM-158] атака природным оружием.</t>
  </si>
  <si>
    <t xml:space="preserve">SYM-158; CORE-229; SYM-010; SYM-011</t>
  </si>
  <si>
    <t xml:space="preserve">CTX-SYM-158-PEACE</t>
  </si>
  <si>
    <t xml:space="preserve">SYM-158; Q-APP-002</t>
  </si>
  <si>
    <t xml:space="preserve">CTX-SYM-159-COMBAT</t>
  </si>
  <si>
    <t xml:space="preserve">[SYM-159] проверка порога потерь.</t>
  </si>
  <si>
    <t xml:space="preserve">[SYM-159] способность доступна.</t>
  </si>
  <si>
    <t xml:space="preserve">[SYM-159] потери относительно N0.</t>
  </si>
  <si>
    <t xml:space="preserve">[SYM-159] стая.</t>
  </si>
  <si>
    <t xml:space="preserve">[SYM-159] Нормативная база (действует во всей непротиворечащей части):</t>
  </si>
  <si>
    <t xml:space="preserve">[SYM-159] Текущее N уменьшается с каждой потерянной единицей HP и используется для характеристик и урона</t>
  </si>
  <si>
    <t xml:space="preserve">[SYM-159] Без Крысиного короля стая начинает бегство, когда суммарные потери достигают ceil(0,30×N0), с Крысиным королём — ceil(0,60×N0).</t>
  </si>
  <si>
    <t xml:space="preserve">[SYM-159] Нормативная база (действует во всей непротиворечащей части):
заменить порог отступления 30% на 60% исходного состава.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</si>
  <si>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[SYM-159] стая продолжает бой до нового порога.</t>
  </si>
  <si>
    <t xml:space="preserve">[SYM-159] Нормативная база (действует во всей непротиворечащей части):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</si>
  <si>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SYM-159; CORE-229; SYM-010; SYM-011</t>
  </si>
  <si>
    <t xml:space="preserve">CTX-SYM-159-PEACE</t>
  </si>
  <si>
    <t xml:space="preserve">SYM-159; Q-APP-002</t>
  </si>
  <si>
    <t xml:space="preserve">CTX-SYM-160-COMBAT</t>
  </si>
  <si>
    <t xml:space="preserve">[SYM-160] Крыса возвращается в тело.</t>
  </si>
  <si>
    <t xml:space="preserve">[SYM-160] Крыса была вожаком стаи.</t>
  </si>
  <si>
    <t xml:space="preserve">[SYM-160] таймер 24 часа.</t>
  </si>
  <si>
    <t xml:space="preserve">[SYM-160] стая.</t>
  </si>
  <si>
    <t xml:space="preserve">[SYM-160] таймер 24 часа.
в период действия пороги отступления не применяются.</t>
  </si>
  <si>
    <t xml:space="preserve">[SYM-160] сохранить контроль за носителем на сутки; стая выполняет приказ невзирая на любые потери; по окончании стая неизбежно разбегается.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</si>
  <si>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[SYM-160] статус вожака временно переносится носителю.</t>
  </si>
  <si>
    <t xml:space="preserve">[SYM-160] таймер 24 часа.
сохранить контроль за носителем на сутки; стая выполняет приказ невзирая на любые потери; по окончании стая неизбежно разбегается.</t>
  </si>
  <si>
    <t xml:space="preserve">SYM-160; CORE-229; SYM-010; SYM-011</t>
  </si>
  <si>
    <t xml:space="preserve">CTX-SYM-160-PEACE</t>
  </si>
  <si>
    <t xml:space="preserve">Боевые действия не расходуются вне боя. Частная длительность/условия сохраняются:
[SYM-160] таймер 24 часа.
в период действия пороги отступления не применяются.</t>
  </si>
  <si>
    <t xml:space="preserve">SYM-160; Q-APP-001; SYM-010; SYM-011</t>
  </si>
  <si>
    <t xml:space="preserve">CTX-SYM-162-COMBAT</t>
  </si>
  <si>
    <t xml:space="preserve">[SYM-162] изменение L/наличия.</t>
  </si>
  <si>
    <t xml:space="preserve">[SYM-162] Дельфин активен.</t>
  </si>
  <si>
    <t xml:space="preserve">[SYM-162] базовый I, L.</t>
  </si>
  <si>
    <t xml:space="preserve">[SYM-162] повысить I на 5L, но не выше 30; при удалении/гибели вернуть исходное.</t>
  </si>
  <si>
    <t xml:space="preserve">[SYM-162] пересчитать I.</t>
  </si>
  <si>
    <t xml:space="preserve">SYM-162; CORE-229; SYM-010; SYM-011</t>
  </si>
  <si>
    <t xml:space="preserve">CTX-SYM-162-PEACE</t>
  </si>
  <si>
    <t xml:space="preserve">SYM-162; Q-APP-001; SYM-010; SYM-011</t>
  </si>
  <si>
    <t xml:space="preserve">CTX-SYM-163-COMBAT</t>
  </si>
  <si>
    <t xml:space="preserve">[SYM-163] объявление; цена 10 ОЭ и 1 действие.</t>
  </si>
  <si>
    <t xml:space="preserve">[SYM-163] речевой аппарат функционирует.</t>
  </si>
  <si>
    <t xml:space="preserve">[SYM-163] чистый R20, L, среда.</t>
  </si>
  <si>
    <t xml:space="preserve">[SYM-163] указанное направление.</t>
  </si>
  <si>
    <t xml:space="preserve">[SYM-163] объявление; цена 10 ОЭ и 1 действие.
Нормативная база (действует во всей непротиворечащей части):</t>
  </si>
  <si>
    <t xml:space="preserve">[SYM-163] чистый R20, L, среда.
если объект под водой — гарантированно получить план местности/объектов; иначе успех, если R20 &gt; 12−L.</t>
  </si>
  <si>
    <t xml:space="preserve">[SYM-163] Нормативная база (действует во всей непротиворечащей части):
если объект под водой — гарантированно получить план местности/объектов; иначе успех, если R20 &gt; 12−L.
Приоритетные авторские дельты (заменяют только прямо пересекающиеся ветви):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</si>
  <si>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[SYM-163] раскрывается пространственный план в направлении.</t>
  </si>
  <si>
    <t xml:space="preserve">[SYM-163] Нормативная база (действует во всей непротиворечащей части):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</si>
  <si>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SYM-163; CORE-229; SYM-010; SYM-011</t>
  </si>
  <si>
    <t xml:space="preserve">CTX-SYM-163-PEACE</t>
  </si>
  <si>
    <t xml:space="preserve">SYM-163; Q-APP-002</t>
  </si>
  <si>
    <t xml:space="preserve">CTX-SYM-164-COMBAT</t>
  </si>
  <si>
    <t xml:space="preserve">[SYM-164] задержка дыхания или проверка плавания, включая бой в воде.</t>
  </si>
  <si>
    <t xml:space="preserve">[SYM-164] способность доступна.</t>
  </si>
  <si>
    <t xml:space="preserve">[SYM-164] базовый лимит дыхания/проверка.</t>
  </si>
  <si>
    <t xml:space="preserve">[SYM-164] добавить 30 минут к максимальной задержке дыхания; +10 к плаванию.</t>
  </si>
  <si>
    <t xml:space="preserve">[SYM-164] увеличенный лимит и результат движения.</t>
  </si>
  <si>
    <t xml:space="preserve">SYM-164; CORE-229; SYM-010; SYM-011</t>
  </si>
  <si>
    <t xml:space="preserve">CTX-SYM-164-PEACE</t>
  </si>
  <si>
    <t xml:space="preserve">Боевые действия не расходуются вне боя. Частная длительность/условия сохраняются:
[SYM-164] добавить 30 минут к максимальной задержке дыхания; +10 к плаванию.</t>
  </si>
  <si>
    <t xml:space="preserve">SYM-164; Q-APP-001; SYM-010; SYM-011</t>
  </si>
  <si>
    <t xml:space="preserve">CTX-SYM-165-COMBAT</t>
  </si>
  <si>
    <t xml:space="preserve">[SYM-165] проверка сопротивления ментальному воздействию.</t>
  </si>
  <si>
    <t xml:space="preserve">[SYM-165] способность доступна.</t>
  </si>
  <si>
    <t xml:space="preserve">[SYM-165] базовый результат, источник/позиция.</t>
  </si>
  <si>
    <t xml:space="preserve">[SYM-165] источник ментального эффекта.</t>
  </si>
  <si>
    <t xml:space="preserve">[SYM-165] добавить +10; при успешной защите гарантированно раскрыть источник и его местоположение.</t>
  </si>
  <si>
    <t xml:space="preserve">[SYM-165] повышенная защита и раскрытая позиция.</t>
  </si>
  <si>
    <t xml:space="preserve">SYM-165; CORE-229; SYM-010; SYM-011</t>
  </si>
  <si>
    <t xml:space="preserve">CTX-SYM-165-PEACE</t>
  </si>
  <si>
    <t xml:space="preserve">SYM-165; Q-APP-002</t>
  </si>
  <si>
    <t xml:space="preserve">CTX-SYM-166-COMBAT</t>
  </si>
  <si>
    <t xml:space="preserve">[SYM-166] проверка сопротивления харизме либо пересчёт слотов.</t>
  </si>
  <si>
    <t xml:space="preserve">[SYM-166] способность доступна.</t>
  </si>
  <si>
    <t xml:space="preserve">[SYM-166] базовая проверка/слоты.</t>
  </si>
  <si>
    <t xml:space="preserve">[SYM-166] добавить +5 к любой проверке сопротивления харизме; добавить 5 слотов навыков.</t>
  </si>
  <si>
    <t xml:space="preserve">[SYM-166] модифицированная проверка и вместимость навыков.</t>
  </si>
  <si>
    <t xml:space="preserve">SYM-166; CORE-229; SYM-010; SYM-011</t>
  </si>
  <si>
    <t xml:space="preserve">CTX-SYM-166-PEACE</t>
  </si>
  <si>
    <t xml:space="preserve">SYM-166; Q-APP-001; SYM-010; SYM-011</t>
  </si>
  <si>
    <t xml:space="preserve">CTX-SYM-168-COMBAT</t>
  </si>
  <si>
    <t xml:space="preserve">[SYM-168] складывание клинков (20 секунд/2 действия), затем атака.</t>
  </si>
  <si>
    <t xml:space="preserve">[SYM-168] клинок находится в боевом состоянии.</t>
  </si>
  <si>
    <t xml:space="preserve">[SYM-168] один общий R20 R на конкретную атаку, L, S, D, фехтование.</t>
  </si>
  <si>
    <t xml:space="preserve">[SYM-168] обе руки и цель.</t>
  </si>
  <si>
    <t xml:space="preserve">[SYM-168] складывание клинков (20 секунд/2 действия), затем атака.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t>
  </si>
  <si>
    <t xml:space="preserve">[SYM-168] один общий R20 R на конкретную атаку, L, S, D, фехтование.
при каждой новой атаке бросить один R; защита цели получает штраф L; урон=R+L+S_mod, пробитие=R+L; точность модифицирует D; общий модификатор — фехтование.</t>
  </si>
  <si>
    <t xml:space="preserve">[SYM-168] Нормативная база (действует во всей непротиворечащей части):
при каждой новой атаке бросить один R; защита цели получает штраф L; урон=R+L+S_mod, пробитие=R+L; точность модифицирует D; общий модификатор — фехтование.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t>
  </si>
  <si>
    <t xml:space="preserve">[SYM-168] вооружённое состояние и атака.</t>
  </si>
  <si>
    <t xml:space="preserve">[SYM-168] складывание клинков (20 секунд/2 действия), затем атака.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[AQ3-001] Складывание переводит оба клинка во взведённое состояние за 20 секунд вне боя либо за два последовательных боевых действия.</t>
  </si>
  <si>
    <t xml:space="preserve">SYM-168; CORE-229; SYM-010; SYM-011</t>
  </si>
  <si>
    <t xml:space="preserve">CTX-SYM-168-PEACE</t>
  </si>
  <si>
    <t xml:space="preserve">Боевые действия не расходуются вне боя. Частная длительность/условия сохраняются:
[SYM-168] складывание клинков (20 секунд/2 действия), затем атака.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t>
  </si>
  <si>
    <t xml:space="preserve">SYM-168; Q-APP-001; SYM-010; SYM-011</t>
  </si>
  <si>
    <t xml:space="preserve">CTX-SYM-169-COMBAT</t>
  </si>
  <si>
    <t xml:space="preserve">[SYM-169] вход; цена 20 ОЭ и 1 действие; выход — 1 действие.</t>
  </si>
  <si>
    <t xml:space="preserve">[SYM-169] ОЭ≥20.</t>
  </si>
  <si>
    <t xml:space="preserve">[SYM-169] активные периодические эффекты, прямой урон, горение.</t>
  </si>
  <si>
    <t xml:space="preserve">[SYM-169] вход; цена 20 ОЭ и 1 действие; выход — 1 действие.
Нормативная база (действует во всей непротиворечащей части):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Выйти из состояния можно только в свой ход за 1 боевое действие.</t>
  </si>
  <si>
    <t xml:space="preserve">[SYM-169] вход; цена 20 ОЭ и 1 действие; выход — 1 действие.
ОЭ≥20.</t>
  </si>
  <si>
    <t xml:space="preserve">[SYM-169] Нормативная база (действует во всей непротиворечащей части):
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
Приоритетные авторские дельты (заменяют только прямо пересекающиеся ветви):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</si>
  <si>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[SYM-169] состояние статуи и заморозка таймеров тика.</t>
  </si>
  <si>
    <t xml:space="preserve">[SYM-169] Нормативная база (действует во всей непротиворечащей части):
Выйти из состояния можно только в свой ход за 1 боевое действие.</t>
  </si>
  <si>
    <t xml:space="preserve">SYM-169; CORE-229; SYM-010; SYM-011</t>
  </si>
  <si>
    <t xml:space="preserve">CTX-SYM-169-PEACE</t>
  </si>
  <si>
    <t xml:space="preserve">Боевые действия не расходуются вне боя. Частная длительность/условия сохраняются:
[SYM-169] вход; цена 20 ОЭ и 1 действие; выход — 1 действие.
Нормативная база (действует во всей непротиворечащей части):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Выйти из состояния можно только в свой ход за 1 боевое действие.</t>
  </si>
  <si>
    <t xml:space="preserve">SYM-169; Q-APP-001; SYM-010; SYM-011</t>
  </si>
  <si>
    <t xml:space="preserve">CTX-SYM-170-COMBAT</t>
  </si>
  <si>
    <t xml:space="preserve">[SYM-170] реакция на неожиданное нападение либо уклонение.</t>
  </si>
  <si>
    <t xml:space="preserve">[SYM-170] способность доступна.</t>
  </si>
  <si>
    <t xml:space="preserve">[SYM-170] L, базовая проверка.</t>
  </si>
  <si>
    <t xml:space="preserve">[SYM-170] реакция на неожиданное нападение либо уклонение.
добавить +L к реакции при неожиданном нападении на носителя/группу и +L к уклонению.</t>
  </si>
  <si>
    <t xml:space="preserve">[SYM-170] добавить +L к реакции при неожиданном нападении на носителя/группу и +L к уклонению.</t>
  </si>
  <si>
    <t xml:space="preserve">[SYM-170] модифицированные проверки.</t>
  </si>
  <si>
    <t xml:space="preserve">SYM-170; CORE-229; SYM-010; SYM-011</t>
  </si>
  <si>
    <t xml:space="preserve">CTX-SYM-170-PEACE</t>
  </si>
  <si>
    <t xml:space="preserve">SYM-170; Q-APP-002</t>
  </si>
  <si>
    <t xml:space="preserve">CTX-SYM-171-COMBAT</t>
  </si>
  <si>
    <t xml:space="preserve">[SYM-171] носитель впивается зубами в мозг цели; цена 60 ОЭ и 1 действие по умолчанию.</t>
  </si>
  <si>
    <t xml:space="preserve">[SYM-171] физический доступ к мозгу живой цели.</t>
  </si>
  <si>
    <t xml:space="preserve">[SYM-171] чистый R20 A; при A=1 отдельный R12; при 11–17 навыки/слоты; при 18–20 случайная характеристика и lifetimeCount.</t>
  </si>
  <si>
    <t xml:space="preserve">[SYM-171] ещё живое мыслящее существо.</t>
  </si>
  <si>
    <t xml:space="preserve">[SYM-171] носитель впивается зубами в мозг цели; цена 60 ОЭ и 1 действие по умолчанию.
Нормативная база (действует во всей непротиворечащей части):
Затем: A=1 → D носителя=1 на R12 часов</t>
  </si>
  <si>
    <t xml:space="preserve">[SYM-171] носитель впивается зубами в мозг цели; цена 60 ОЭ и 1 действие по умолчанию.
сначала полностью восстановить HP носителя и ОЭ Богомола.
цена списывается до полного восстановления.</t>
  </si>
  <si>
    <t xml:space="preserve">[SYM-171] чистый R20 A; при A=1 отдельный R12; при 11–17 навыки/слоты; при 18–20 случайная характеристика и lifetimeCount.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t>
  </si>
  <si>
    <t xml:space="preserve">[SYM-171] Нормативная база (действует во всей непротиворечащей части):
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
Приоритетные авторские дельты (заменяют только прямо пересекающиеся ветви):
[Q-SYM-066]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</si>
  <si>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[SYM-171] полное восстановление и результат диапазона.</t>
  </si>
  <si>
    <t xml:space="preserve">[SYM-171] Нормативная база (действует во всей непротиворечащей части):
Затем: A=1 → D носителя=1 на R12 часов</t>
  </si>
  <si>
    <t xml:space="preserve">SYM-171; CORE-229; SYM-010; SYM-011</t>
  </si>
  <si>
    <t xml:space="preserve">CTX-SYM-171-PEACE</t>
  </si>
  <si>
    <t xml:space="preserve">SYM-171; Q-APP-002</t>
  </si>
  <si>
    <t xml:space="preserve">CTX-SYM-172-COMBAT</t>
  </si>
  <si>
    <t xml:space="preserve">[SYM-172] пересчёт слотов; атака клинками.</t>
  </si>
  <si>
    <t xml:space="preserve">[SYM-172] способность доступна; оба клинка в боевом состоянии.</t>
  </si>
  <si>
    <t xml:space="preserve">[SYM-172] L, одно боевое действие.</t>
  </si>
  <si>
    <t xml:space="preserve">[SYM-172] L, одно боевое действие.
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t>
  </si>
  <si>
    <t xml:space="preserve">[SYM-172] 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</si>
  <si>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[SYM-172] слоты и пакет двух атак.</t>
  </si>
  <si>
    <t xml:space="preserve">[SYM-172]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t>
  </si>
  <si>
    <t xml:space="preserve">SYM-172; CORE-229; SYM-010; SYM-011</t>
  </si>
  <si>
    <t xml:space="preserve">CTX-SYM-172-PEACE</t>
  </si>
  <si>
    <t xml:space="preserve">SYM-172; Q-APP-002</t>
  </si>
  <si>
    <t xml:space="preserve">CTX-SYM-173-COMBAT</t>
  </si>
  <si>
    <t xml:space="preserve">[SYM-173] объявление стойки; цена 40 ОЭ и 3 действия; затем первое враждебное действие/перемещение каждого противника до конца круга.</t>
  </si>
  <si>
    <t xml:space="preserve">[SYM-173] ≥3 действия; оба клинка пригодны; враг в радиусе атаки.</t>
  </si>
  <si>
    <t xml:space="preserve">[SYM-173] события круга, множество уже сработавших целей.</t>
  </si>
  <si>
    <t xml:space="preserve">[SYM-173] каждый противник в радиусе клинков.</t>
  </si>
  <si>
    <t xml:space="preserve">[SYM-173] объявление стойки; цена 40 ОЭ и 3 действия; затем первое враждебное действие/перемещение каждого противника до конца круга.
≥3 действия; оба клинка пригодны; враг в радиусе атаки.
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t>
  </si>
  <si>
    <t xml:space="preserve">[SYM-173] 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</si>
  <si>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[SYM-173] реакция отмечена на цель, действие прервано, атаки разрешены.</t>
  </si>
  <si>
    <t xml:space="preserve">[SYM-173] объявление стойки; цена 40 ОЭ и 3 действия; затем первое враждебное действие/перемещение каждого противника до конца круга.
события круга, множество уже сработавших целей.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максимум один триггер на противника за круг.</t>
  </si>
  <si>
    <t xml:space="preserve">[SYM-173]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t>
  </si>
  <si>
    <t xml:space="preserve">SYM-173; CORE-229; SYM-010; SYM-011</t>
  </si>
  <si>
    <t xml:space="preserve">CTX-SYM-173-PEACE</t>
  </si>
  <si>
    <t xml:space="preserve">SYM-173; Q-APP-002</t>
  </si>
  <si>
    <t xml:space="preserve">CTX-SYM-175-COMBAT</t>
  </si>
  <si>
    <t xml:space="preserve">[SYM-175] объявление; цена 20 ОЭ и 1 действие.</t>
  </si>
  <si>
    <t xml:space="preserve">[SYM-175] выпускное отверстие не закрыто; цель ≤L+3 м.</t>
  </si>
  <si>
    <t xml:space="preserve">[SYM-175] один чистый R20 A (активация/диапазон); при 6–11 отдельный R4 P.</t>
  </si>
  <si>
    <t xml:space="preserve">[SYM-175] цель или источник пламени.</t>
  </si>
  <si>
    <t xml:space="preserve">[SYM-175] объявление; цена 20 ОЭ и 1 действие.
Нормативная база (действует во всей непротиворечащей части):
A=4–5: цель до конца боя получает −1 боевое действие каждый ход.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</si>
  <si>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[SYM-175] один чистый R20 A (активация/диапазон); при 6–11 отдельный R4 P.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</si>
  <si>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[SYM-175] Нормативная база (действует во всей непротиворечащей части):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
Приоритетные авторские дельты (заменяют только прямо пересекающиеся ветви):
[Q-SYM-067]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</si>
  <si>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[SYM-175] набор дебаффов/урон/тушение либо постоянный до бани штраф носителя.</t>
  </si>
  <si>
    <t xml:space="preserve">[SYM-175] Нормативная база (действует во всей непротиворечащей части):
A=4–5: цель до конца боя получает −1 боевое действие каждый ход.
A=6–11: также эффект 4–5 и штраф P ко всем проверкам до конца боя, итог проверки не ниже 1.
A≥17: цель пропускает следующий ход, но может защищаться в нём с −5 ко всем проверкам; при попадании в пламя погасить.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</si>
  <si>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SYM-175; CORE-229; SYM-010; SYM-011</t>
  </si>
  <si>
    <t xml:space="preserve">CTX-SYM-175-PEACE</t>
  </si>
  <si>
    <t xml:space="preserve">SYM-175; Q-APP-002</t>
  </si>
  <si>
    <t xml:space="preserve">CTX-SYM-176-COMBAT</t>
  </si>
  <si>
    <t xml:space="preserve">[SYM-176] применение через запястье.</t>
  </si>
  <si>
    <t xml:space="preserve">[SYM-176] железа доступна.</t>
  </si>
  <si>
    <t xml:space="preserve">[SYM-176] R20; обычное математическое округление.</t>
  </si>
  <si>
    <t xml:space="preserve">[SYM-176] цель.</t>
  </si>
  <si>
    <t xml:space="preserve">[SYM-176] Нормативная база (действует во всей непротиворечащей части):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t>
  </si>
  <si>
    <t xml:space="preserve">[SYM-176]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стоимость, дальность и естественная 1 не уточнены.</t>
  </si>
  <si>
    <t xml:space="preserve">[SYM-176] R20; обычное математическое округление.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</si>
  <si>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[SYM-176] Нормативная база (действует во всей непротиворечащей части):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Приоритетные авторские дельты (заменяют только прямо пересекающиеся ветви):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</si>
  <si>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[SYM-176] ослабленный эффект таблицы.</t>
  </si>
  <si>
    <t xml:space="preserve">[SYM-176] Нормативная база (действует во всей непротиворечащей части):</t>
  </si>
  <si>
    <t xml:space="preserve">SYM-176; CORE-229; SYM-010; SYM-011</t>
  </si>
  <si>
    <t xml:space="preserve">CTX-SYM-176-PEACE</t>
  </si>
  <si>
    <t xml:space="preserve">SYM-176; Q-APP-002</t>
  </si>
  <si>
    <t xml:space="preserve">CTX-SYM-177-COMBAT</t>
  </si>
  <si>
    <t xml:space="preserve">[SYM-177] объявление; цена 40 ОЭ и 1 действие.</t>
  </si>
  <si>
    <t xml:space="preserve">[SYM-177] ОЭ≥40.</t>
  </si>
  <si>
    <t xml:space="preserve">[SYM-177] независимые R4 длительности, R20 радиуса, R20 снижения M; позиции/время внутри; неопределённый anchorMode области.</t>
  </si>
  <si>
    <t xml:space="preserve">[SYM-177] все персонажи и пламя в области.</t>
  </si>
  <si>
    <t xml:space="preserve">[SYM-177] объявление; цена 40 ОЭ и 1 действие.
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
Источник пламени, непрерывно находящийся внутри, гаснет через 2 минуты/2 хода.</t>
  </si>
  <si>
    <t xml:space="preserve">[SYM-177] объявление; цена 40 ОЭ и 1 действие.
ОЭ≥40.</t>
  </si>
  <si>
    <t xml:space="preserve">[SYM-177] независимые R4 длительности, R20 радиуса, R20 снижения M; позиции/время внутри; неопределённый anchorMode области.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t>
  </si>
  <si>
    <t xml:space="preserve">[SYM-177] 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
Приоритетные авторские дельты (заменяют только прямо пересекающиеся ветви):
[Q-SYM-069]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</si>
  <si>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[SYM-177] объект области, динамический состав/дебаффы/таймеры огня.</t>
  </si>
  <si>
    <t xml:space="preserve">[SYM-177] 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
Источник пламени, непрерывно находящийся внутри, гаснет через 2 минуты/2 хода.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t>
  </si>
  <si>
    <t xml:space="preserve">SYM-177; CORE-229; SYM-010; SYM-011</t>
  </si>
  <si>
    <t xml:space="preserve">CTX-SYM-177-PEACE</t>
  </si>
  <si>
    <t xml:space="preserve">SYM-177; Q-APP-002</t>
  </si>
  <si>
    <t xml:space="preserve">CTX-SYM-178-COMBAT</t>
  </si>
  <si>
    <t xml:space="preserve">[SYM-178] объявление; цена 50 ОЭ и 1 действие.</t>
  </si>
  <si>
    <t xml:space="preserve">[SYM-178] выпускное отверстие свободно.</t>
  </si>
  <si>
    <t xml:space="preserve">[SYM-178] R20 дальности, отдельный R12 радиуса, режим «с места/на бегу», для каждой цели отдельный бросок эффекта Анальной железы.</t>
  </si>
  <si>
    <t xml:space="preserve">[SYM-178] точка и все персонажи в области.</t>
  </si>
  <si>
    <t xml:space="preserve">[SYM-178] объявление; цена 50 ОЭ и 1 действие.
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t>
  </si>
  <si>
    <t xml:space="preserve">[SYM-178] объявление; цена 50 ОЭ и 1 действие.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Порог активации 4+, цена 20 ОЭ и самопоражение натуральной 1 не наследуются; результат 1 считается обычным диапазоном 1–5 для поражённой цели.</t>
  </si>
  <si>
    <t xml:space="preserve">[SYM-178] R20 дальности, отдельный R12 радиуса, режим «с места/на бегу», для каждой цели отдельный бросок эффекта Анальной железы.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t>
  </si>
  <si>
    <t xml:space="preserve">[SYM-178] 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t>
  </si>
  <si>
    <t xml:space="preserve">[SYM-178] отдельные дебаффы по целям.</t>
  </si>
  <si>
    <t xml:space="preserve">[SYM-178] 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t>
  </si>
  <si>
    <t xml:space="preserve">SYM-178; CORE-229; SYM-010; SYM-011</t>
  </si>
  <si>
    <t xml:space="preserve">CTX-SYM-178-PEACE</t>
  </si>
  <si>
    <t xml:space="preserve">SYM-178; Q-APP-002</t>
  </si>
  <si>
    <t xml:space="preserve">CTX-SYM-179-COMBAT</t>
  </si>
  <si>
    <t xml:space="preserve">[SYM-179] объявление; цена 50 ОЭ и 1 действие; можно на бегу.</t>
  </si>
  <si>
    <t xml:space="preserve">[SYM-179] выпускное отверстие свободно.</t>
  </si>
  <si>
    <t xml:space="preserve">[SYM-179] R4 количества; формула незаметности (10+L)×2; R20 срока; места установки.</t>
  </si>
  <si>
    <t xml:space="preserve">[SYM-179] R4 мин и контактирующие существа.</t>
  </si>
  <si>
    <t xml:space="preserve">[SYM-179] объявление; цена 50 ОЭ и 1 действие; можно на бегу.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t>
  </si>
  <si>
    <t xml:space="preserve">[SYM-179] объявление; цена 50 ОЭ и 1 действие; можно на бегу.
Порог активации 4+, цена 20 ОЭ и самопоражение натуральной 1 не наследуются; результат 1 считается обычным диапазоном 1–5 для поражённой цели.</t>
  </si>
  <si>
    <t xml:space="preserve">[SYM-179] R4 количества; формула незаметности (10+L)×2
R20 срока; места установки.
создать R4 укоренившихся активных мин, каждая активна R20 минут; при контакте живого существа применить эффект Анальной железы.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«незаметность (10+L)×2 (чистая проверка)» не содержит дайса; дальность/раскладка и расходование мины не заданы.</t>
  </si>
  <si>
    <t xml:space="preserve">[SYM-179]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</si>
  <si>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[SYM-179] набор объектов-ловушек с таймерами и одноразовым/неуказанным контактом.</t>
  </si>
  <si>
    <t xml:space="preserve">[SYM-179] R20 срока; места установки.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Они активируются в начале следующего боевого круга и после этого существуют R20 полных кругов.</t>
  </si>
  <si>
    <t xml:space="preserve">SYM-179; CORE-229; SYM-010; SYM-011</t>
  </si>
  <si>
    <t xml:space="preserve">CTX-SYM-179-PEACE</t>
  </si>
  <si>
    <t xml:space="preserve">SYM-179; Q-APP-002</t>
  </si>
  <si>
    <t xml:space="preserve">CTX-SYM-180-COMBAT</t>
  </si>
  <si>
    <t xml:space="preserve">[SYM-180] объявление при ≥3 действиях; общая цена 200 ОЭ.</t>
  </si>
  <si>
    <t xml:space="preserve">[SYM-180] ОЭ≥200; выпускное отверстие свободно.</t>
  </si>
  <si>
    <t xml:space="preserve">[SYM-180] действие 1 — один R20 A; действие 2 — отдельный R20 B; действие 3 — выбор типа и отдельный R20 C.</t>
  </si>
  <si>
    <t xml:space="preserve">[SYM-180] выбранная зона.</t>
  </si>
  <si>
    <t xml:space="preserve">[SYM-180] объявление при ≥3 действиях; общая цена 200 ОЭ.
действие 1 — один R20 A; действие 2 — отдельный R20 B; действие 3 — выбор типа и отдельный R20 C.
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t>
  </si>
  <si>
    <t xml:space="preserve">[SYM-180] объявление при ≥3 действиях; общая цена 200 ОЭ.
ОЭ≥200; выпускное отверстие свободно.
действие 1: единожды списать 200 ОЭ и задать max удаление центра A² м.
Можно прервать после любого действия без возврата ОЭ.
Порог активации 4+, цена 20 ОЭ и самопоражение натуральной 1 не наследуются; результат 1 считается обычным диапазоном 1–5 для поражённой цели.</t>
  </si>
  <si>
    <t xml:space="preserve">[SYM-180] действие 1 — один R20 A; действие 2 — отдельный R20 B; действие 3 — выбор типа и отдельный R20 C.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t>
  </si>
  <si>
    <t xml:space="preserve">[SYM-180] 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
[Q-SYM-072]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</si>
  <si>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[SYM-180] создаётся частично подготовленное действие либо пакет снарядов.</t>
  </si>
  <si>
    <t xml:space="preserve">[SYM-180] Нормативная база (действует во всей непротиворечащей части):
Они активируются в начале следующего боевого круга и после этого существуют R20 полных кругов.
создаётся частично подготовленное действие либо пакет снарядов.</t>
  </si>
  <si>
    <t xml:space="preserve">[SYM-180] [Q-SYM-072] Первым действием один раз списываются 200 ОЭ и определяется максимальная дальность.</t>
  </si>
  <si>
    <t xml:space="preserve">SYM-180; CORE-229; SYM-010; SYM-011</t>
  </si>
  <si>
    <t xml:space="preserve">CTX-SYM-180-PEACE</t>
  </si>
  <si>
    <t xml:space="preserve">SYM-180; Q-APP-002</t>
  </si>
  <si>
    <t xml:space="preserve">CTX-MON-004-COMBAT</t>
  </si>
  <si>
    <t xml:space="preserve">[MON-004] объявление «Пожирания».
[MON-005] Химера получает урон в голову или корпус при активном «Пожирании».
[MON-006] успешно завершены 10 минут/ходов «Пожирания».
[MON-007] завершённое «Пожирание» увеличивает счётчик съеденных целей.</t>
  </si>
  <si>
    <t xml:space="preserve">[MON-004] цель — Чистый, Единый или Вольный; цель жива и находится в тяжёлом ранении, без сознания, парализована либо уже удерживается Химерой в захвате.
[MON-005] процесс ещё не прерван.
[MON-006] процесс не был прерван.
[MON-007] получено менее трёх дополнительных слотов.</t>
  </si>
  <si>
    <t xml:space="preserve">[MON-004] 50 ОЭ; состояние цели; 10 последовательных боевых ходов либо 10 минут вне боя.
[MON-005] рассчитанный входящий урон после обычной последовательности защиты.
[MON-006] базовые характеристики и навыки цели; характеристики и навыки Химеры; активный результат «Взгляда мясника» для этой цели.
[MON-007] три скрытых броска мастера, каждый задаёт порог из диапазона 10–22; счётчик съеденных целей.</t>
  </si>
  <si>
    <t xml:space="preserve">[MON-004] одна живая цель.
[MON-005] голова или корпус пожирающей Химеры.
[MON-006] съеденная цель.
[MON-007] её носитель.</t>
  </si>
  <si>
    <t xml:space="preserve">[MON-004] 10 последовательных боевых ходов либо 10 минут вне боя.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[MON-006] успешно завершены 10 минут/ходов «Пожирания».
Нормативная база (действует во всей непротиворечащей части):
[MON-007] Нормативная база (действует во всей непротиворечащей части):</t>
  </si>
  <si>
    <t xml:space="preserve">[MON-004] 50 ОЭ; состояние цели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[MON-005] уменьшить HP на пятикратный урон и прервать «Пожирание» без награды.
[MON-006]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постоянные изменения характеристик, навыков, максимума HP; текущее HP восстановлено полностью.</t>
  </si>
  <si>
    <t xml:space="preserve">[MON-004]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[MON-005] итоговый урон умножить на 5.
[MON-006] Нормативная база (действует во всей непротиворечащей части):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Приоритетные авторские дельты (заменяют только прямо пересекающиеся ветви):
[Q-MON-002]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
[MON-007] Нормативная база (действует во всей непротиворечащей части):
при достижении соответствующего порога открыть один дополнительный слот; максимум три дополнительных слота; в них возможен однослотовый симбионт.
Приоритетные авторские дельты (заменяют только прямо пересекающиеся ветви):
[Q-MON-004]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</si>
  <si>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[MON-004] после полного срока цель считается съеденной; до завершения награда не начисляется.
[MON-005] уменьшить HP на пятикратный урон и прервать «Пожирание» без награды.
[MON-006] постоянные изменения характеристик, навыков, максимума HP; текущее HP восстановлено полностью.
[MON-007] число слотов носителя увеличивается на 1, максимум на 3.</t>
  </si>
  <si>
    <t xml:space="preserve">[MON-004] 10 последовательных боевых ходов либо 10 минут вне боя.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после полного срока цель считается съеденной; до завершения награда не начисляется.
[MON-006] успешно завершены 10 минут/ходов «Пожирания».
Нормативная база (действует во всей непротиворечащей части):
[MON-007] Нормативная база (действует во всей непротиворечащей части):</t>
  </si>
  <si>
    <t xml:space="preserve">MON-004; MON-005; MON-006; MON-007; CORE-229; SYM-010; SYM-011</t>
  </si>
  <si>
    <t xml:space="preserve">CTX-MON-004-PEACE</t>
  </si>
  <si>
    <t xml:space="preserve">Боевые действия не расходуются вне боя. Частная длительность/условия сохраняются:
[MON-004] 10 последовательных боевых ходов либо 10 минут вне боя.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[MON-006] успешно завершены 10 минут/ходов «Пожирания».
Нормативная база (действует во всей непротиворечащей части):
[MON-007] Нормативная база (действует во всей непротиворечащей части):</t>
  </si>
  <si>
    <t xml:space="preserve">MON-004; MON-005; MON-006; MON-007; Q-APP-001; SYM-010; SYM-011</t>
  </si>
  <si>
    <t xml:space="preserve">CTX-MON-008-COMBAT</t>
  </si>
  <si>
    <t xml:space="preserve">[MON-008] атака должна перевести Химеру в тяжёлое ранение.
[MON-009] Химера всё же входит в тяжёлое ранение.</t>
  </si>
  <si>
    <t xml:space="preserve">[MON-008] способность ещё не срабатывала в текущей боевой ситуации.
[MON-009] способность изучена.</t>
  </si>
  <si>
    <t xml:space="preserve">[MON-008] результат урона и состояние HP.
[MON-009] общий таймер смерти от тяжёлого ранения.</t>
  </si>
  <si>
    <t xml:space="preserve">[MON-008] входящая атака.</t>
  </si>
  <si>
    <t xml:space="preserve">[MON-008] результат урона и состояние HP.
отменить переход в тяжёлое ранение и установить текущее HP равным 1.
Химера остаётся вне тяжёлого ранения с 1 HP; отметить расход срабатывания.</t>
  </si>
  <si>
    <t xml:space="preserve">[MON-009] тяжело раненая Химера может действовать, таймер смерти ×4.
Множитель ×4 синхронизирован с локальным приоритетом CORE-154.</t>
  </si>
  <si>
    <t xml:space="preserve">[MON-008] отменить переход в тяжёлое ранение и установить текущее HP равным 1.
[MON-009] сохранить дееспособность; увеличить время до смерти в 4 раза.</t>
  </si>
  <si>
    <t xml:space="preserve">[MON-008] Химера остаётся вне тяжёлого ранения с 1 HP; отметить расход срабатывания.
[MON-009] тяжело раненая Химера может действовать, таймер смерти ×4.</t>
  </si>
  <si>
    <t xml:space="preserve">MON-008; MON-009; CORE-229; SYM-010; SYM-011</t>
  </si>
  <si>
    <t xml:space="preserve">CTX-MON-008-PEACE</t>
  </si>
  <si>
    <t xml:space="preserve">MON-008; MON-009; Q-APP-001; SYM-010; SYM-011</t>
  </si>
  <si>
    <t xml:space="preserve">CTX-MON-010-COMBAT</t>
  </si>
  <si>
    <t xml:space="preserve">[MON-010] объявление способности.</t>
  </si>
  <si>
    <t xml:space="preserve">[MON-010] на эту цель способность ещё не применялась.</t>
  </si>
  <si>
    <t xml:space="preserve">[MON-010] 30 ОЭ; чистый R20.</t>
  </si>
  <si>
    <t xml:space="preserve">[MON-010] один персонаж.</t>
  </si>
  <si>
    <t xml:space="preserve">[MON-010] Нормативная база (действует во всей непротиворечащей части):</t>
  </si>
  <si>
    <t xml:space="preserve">[MON-010] 30 ОЭ; чистый R20.
20 — записать для этой цели усиленную награду «Пожирания» (+2 к случайной характеристике и +10 max HP вместо обычных наград).</t>
  </si>
  <si>
    <t xml:space="preserve">[MON-010] Нормативная база (действует во всей непротиворечащей части):
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
Приоритетные авторские дельты (заменяют только прямо пересекающиеся ветви):
[Q-MON-005]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</si>
  <si>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[MON-010] цель помечается как уже оценённая; сохраняется раскрытая информация и, при 1 или 20, специальное состояние.</t>
  </si>
  <si>
    <t xml:space="preserve">[MON-010] Нормативная база (действует во всей непротиворечащей части):
1 — информации нет, Химера обязана съесть цель в течение суток, иначе все её характеристики −2</t>
  </si>
  <si>
    <t xml:space="preserve">MON-010; CORE-229; SYM-010; SYM-011</t>
  </si>
  <si>
    <t xml:space="preserve">CTX-MON-010-PEACE</t>
  </si>
  <si>
    <t xml:space="preserve">Боевые действия не расходуются вне боя. Частная длительность/условия сохраняются:
[MON-010] Нормативная база (действует во всей непротиворечащей части):</t>
  </si>
  <si>
    <t xml:space="preserve">MON-010; Q-APP-001; SYM-010; SYM-011</t>
  </si>
  <si>
    <t xml:space="preserve">CTX-MON-011-COMBAT</t>
  </si>
  <si>
    <t xml:space="preserve">[MON-011] проверка удержания, включая препятствование выходу из захвата.</t>
  </si>
  <si>
    <t xml:space="preserve">[MON-011] способность изучена.</t>
  </si>
  <si>
    <t xml:space="preserve">[MON-011] базовый результат проверки удержания.</t>
  </si>
  <si>
    <t xml:space="preserve">[MON-011] удерживаемая цель.</t>
  </si>
  <si>
    <t xml:space="preserve">[MON-011] добавить +10.</t>
  </si>
  <si>
    <t xml:space="preserve">[MON-011] повышенный итог встречной проверки.</t>
  </si>
  <si>
    <t xml:space="preserve">MON-011; CORE-229; SYM-010; SYM-011</t>
  </si>
  <si>
    <t xml:space="preserve">CTX-MON-011-PEACE</t>
  </si>
  <si>
    <t xml:space="preserve">MON-011; Q-APP-002</t>
  </si>
  <si>
    <t xml:space="preserve">CTX-MON-012-COMBAT</t>
  </si>
  <si>
    <t xml:space="preserve">[MON-012] изучение/активация симбионта.</t>
  </si>
  <si>
    <t xml:space="preserve">[MON-012] способность доступна.</t>
  </si>
  <si>
    <t xml:space="preserve">[MON-012] базовый максимум HP.</t>
  </si>
  <si>
    <t xml:space="preserve">[MON-012] базовый максимум HP.
постоянный повышенный максимум HP.</t>
  </si>
  <si>
    <t xml:space="preserve">[MON-012] maxHP += 100.</t>
  </si>
  <si>
    <t xml:space="preserve">[MON-012] постоянный повышенный максимум HP.</t>
  </si>
  <si>
    <t xml:space="preserve">MON-012; CORE-229; SYM-010; SYM-011</t>
  </si>
  <si>
    <t xml:space="preserve">CTX-MON-012-PEACE</t>
  </si>
  <si>
    <t xml:space="preserve">MON-012; Q-APP-001; SYM-010; SYM-011</t>
  </si>
  <si>
    <t xml:space="preserve">CTX-MON-013-COMBAT</t>
  </si>
  <si>
    <t xml:space="preserve">[MON-013] объявление способности.</t>
  </si>
  <si>
    <t xml:space="preserve">[MON-013] цель в поле зрения.</t>
  </si>
  <si>
    <t xml:space="preserve">[MON-013] 50 ОЭ; чистый R20.</t>
  </si>
  <si>
    <t xml:space="preserve">[MON-013] одна видимая цель.</t>
  </si>
  <si>
    <t xml:space="preserve">[MON-013] длительность метки R20×2 минут; для Химеры мир отображается чёрно-белым, цель и все её следы — ярко-красными.</t>
  </si>
  <si>
    <t xml:space="preserve">[MON-013] 50 ОЭ; чистый R20.
длительность метки R20×2 минут; для Химеры мир отображается чёрно-белым, цель и все её следы — ярко-красными.</t>
  </si>
  <si>
    <t xml:space="preserve">[MON-013] создать метку «Гончая» с таймером и источником.</t>
  </si>
  <si>
    <t xml:space="preserve">MON-013; CORE-229; SYM-010; SYM-011</t>
  </si>
  <si>
    <t xml:space="preserve">CTX-MON-013-PEACE</t>
  </si>
  <si>
    <t xml:space="preserve">MON-013; Q-APP-002</t>
  </si>
  <si>
    <t xml:space="preserve">CTX-MON-014-COMBAT</t>
  </si>
  <si>
    <t xml:space="preserve">[MON-014] рукопашная атака локтем.
[MON-015] физическая атака попала в руку.</t>
  </si>
  <si>
    <t xml:space="preserve">[MON-014] локоть не прикрыт доспехом.
[MON-015] способность изучена.</t>
  </si>
  <si>
    <t xml:space="preserve">[MON-014] R12; обычная точность атаки.
[MON-015] чистый R20 определения попадания в сгиб; при результате 16+ — R20 защиты.</t>
  </si>
  <si>
    <t xml:space="preserve">[MON-014] цель удара локтем.
[MON-015] физическая атака в левую или правую руку.</t>
  </si>
  <si>
    <t xml:space="preserve">[MON-014] Нормативная база (действует во всей непротиворечащей части):</t>
  </si>
  <si>
    <t xml:space="preserve">[MON-014] R12; обычная точность атаки.
бронепробитие атаки = R12; добавить к урону бонус R12.
[Q-MON-006] Для каждой атаки отбойником выполняются два независимых R12: первый определяет бронепробитие, второй — бонус к урону.
[MON-015] чистый R20 определения попадания в сгиб; при результате 16+ — R20 защиты.
если первый R20 ≥16, считать попадание пришедшимся по локтевому сгибу; добавить спасбросок брони R20×2 к спасброску надетой брони.</t>
  </si>
  <si>
    <t xml:space="preserve">[MON-014] Нормативная база (действует во всей непротиворечащей части):
бронепробитие атаки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
[MON-015] если первый R20 ≥16, считать попадание пришедшимся по локтевому сгибу; добавить спасбросок брони R20×2 к спасброску надетой брони.</t>
  </si>
  <si>
    <t xml:space="preserve">[MON-014] усиленные пробитие и урон атаки.
[MON-015] увеличенный результат брони для данной атаки.</t>
  </si>
  <si>
    <t xml:space="preserve">MON-014; MON-015; CORE-229; SYM-010; SYM-011</t>
  </si>
  <si>
    <t xml:space="preserve">CTX-MON-014-PEACE</t>
  </si>
  <si>
    <t xml:space="preserve">MON-014; MON-015; Q-APP-002</t>
  </si>
  <si>
    <t xml:space="preserve">CTX-MON-016-COMBAT</t>
  </si>
  <si>
    <t xml:space="preserve">[MON-016] способность активна.</t>
  </si>
  <si>
    <t xml:space="preserve">[MON-016] изучена.</t>
  </si>
  <si>
    <t xml:space="preserve">[MON-016] базовая M.</t>
  </si>
  <si>
    <t xml:space="preserve">[MON-016] M += 15.</t>
  </si>
  <si>
    <t xml:space="preserve">[MON-016] повышенная итоговая M.</t>
  </si>
  <si>
    <t xml:space="preserve">MON-016; CORE-229; SYM-010; SYM-011</t>
  </si>
  <si>
    <t xml:space="preserve">CTX-MON-016-PEACE</t>
  </si>
  <si>
    <t xml:space="preserve">MON-016; Q-APP-001; SYM-010; SYM-011</t>
  </si>
  <si>
    <t xml:space="preserve">CTX-MON-017-COMBAT</t>
  </si>
  <si>
    <t xml:space="preserve">[MON-017] помеченная цель убегает, Химера выполняет проверку преследования.</t>
  </si>
  <si>
    <t xml:space="preserve">[MON-017] метка активна.</t>
  </si>
  <si>
    <t xml:space="preserve">[MON-017] итог проверки Химеры на преследование.</t>
  </si>
  <si>
    <t xml:space="preserve">[MON-017] цель с меткой «Гончая».</t>
  </si>
  <si>
    <t xml:space="preserve">[MON-017] удвоить значение проверки Химеры.</t>
  </si>
  <si>
    <t xml:space="preserve">[MON-017] повышенный итог преследования.</t>
  </si>
  <si>
    <t xml:space="preserve">MON-017; CORE-229; SYM-010; SYM-011</t>
  </si>
  <si>
    <t xml:space="preserve">CTX-MON-017-PEACE</t>
  </si>
  <si>
    <t xml:space="preserve">MON-017; Q-APP-002</t>
  </si>
  <si>
    <t xml:space="preserve">CTX-MON-018-COMBAT</t>
  </si>
  <si>
    <t xml:space="preserve">[MON-018] рукопашная атака коленом.
[MON-019] физическая атака попала в ногу.</t>
  </si>
  <si>
    <t xml:space="preserve">[MON-018] колено не прикрыто доспехом.
[MON-019] способность изучена.</t>
  </si>
  <si>
    <t xml:space="preserve">[MON-018] R12; обычная точность атаки.
[MON-019] чистый R20; при 16+ — R20 защиты.</t>
  </si>
  <si>
    <t xml:space="preserve">[MON-018] цель удара коленом.
[MON-019] физическая атака в левую или правую ногу.</t>
  </si>
  <si>
    <t xml:space="preserve">[MON-018] Нормативная база (действует во всей непротиворечащей части):</t>
  </si>
  <si>
    <t xml:space="preserve">[MON-018] R12; обычная точность атаки.
бронепробитие = R12; добавить к урону бонус R12.
[Q-MON-006] Для каждой атаки отбойником выполняются два независимых R12: первый определяет бронепробитие, второй — бонус к урону.
[MON-019] чистый R20; при 16+ — R20 защиты.
при R20 ≥16 считать попадание пришедшимся по коленному наросту; добавить спасбросок R20×2 к броне.</t>
  </si>
  <si>
    <t xml:space="preserve">[MON-018] Нормативная база (действует во всей непротиворечащей части):
бронепробитие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
[MON-019] при R20 ≥16 считать попадание пришедшимся по коленному наросту; добавить спасбросок R20×2 к броне.</t>
  </si>
  <si>
    <t xml:space="preserve">[MON-018] усиленные пробитие и урон.
[MON-019] повышенная броня для атаки.</t>
  </si>
  <si>
    <t xml:space="preserve">MON-018; MON-019; CORE-229; SYM-010; SYM-011</t>
  </si>
  <si>
    <t xml:space="preserve">CTX-MON-018-PEACE</t>
  </si>
  <si>
    <t xml:space="preserve">MON-018; MON-019; Q-APP-002</t>
  </si>
  <si>
    <t xml:space="preserve">CTX-MON-020-COMBAT</t>
  </si>
  <si>
    <t xml:space="preserve">[MON-020] объявление способности.</t>
  </si>
  <si>
    <t xml:space="preserve">[MON-020] есть 150 ОЭ и 2 боевых действия.</t>
  </si>
  <si>
    <t xml:space="preserve">[MON-020] 150 ОЭ; 2 действия; чистый R20.</t>
  </si>
  <si>
    <t xml:space="preserve">[MON-020] есть 150 ОЭ и 2 боевых действия.
2 действия; чистый R20.
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t>
  </si>
  <si>
    <t xml:space="preserve">[MON-020] есть 150 ОЭ и 2 боевых действия.
150 ОЭ</t>
  </si>
  <si>
    <t xml:space="preserve">[MON-020] 2 действия; чистый R20.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t>
  </si>
  <si>
    <t xml:space="preserve">[MON-020] 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</si>
  <si>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[MON-020] временный иммунитет либо временное снижение I; затраты не возвращаются.</t>
  </si>
  <si>
    <t xml:space="preserve">[MON-020] 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t>
  </si>
  <si>
    <t xml:space="preserve">MON-020; CORE-229; SYM-010; SYM-011</t>
  </si>
  <si>
    <t xml:space="preserve">CTX-MON-020-PEACE</t>
  </si>
  <si>
    <t xml:space="preserve">MON-020; Q-APP-002</t>
  </si>
  <si>
    <t xml:space="preserve">CTX-MON-021-COMBAT</t>
  </si>
  <si>
    <t xml:space="preserve">[MON-021] Химера сокращает дистанцию до цели.</t>
  </si>
  <si>
    <t xml:space="preserve">[MON-021] цель помечена и находится не дальше 20 м.</t>
  </si>
  <si>
    <t xml:space="preserve">[MON-021] текущая дистанция; обычное допустимое сокращение дистанции.</t>
  </si>
  <si>
    <t xml:space="preserve">[MON-021] цель с меткой «Гончая».</t>
  </si>
  <si>
    <t xml:space="preserve">[MON-021] стоимость сокращения дистанции в боевых действиях = 0.
дистанция изменяется без траты действия.</t>
  </si>
  <si>
    <t xml:space="preserve">[MON-021] стоимость сокращения дистанции в боевых действиях = 0.</t>
  </si>
  <si>
    <t xml:space="preserve">[MON-021] дистанция изменяется без траты действия.</t>
  </si>
  <si>
    <t xml:space="preserve">MON-021; CORE-229; SYM-010; SYM-011</t>
  </si>
  <si>
    <t xml:space="preserve">CTX-MON-021-PEACE</t>
  </si>
  <si>
    <t xml:space="preserve">MON-021; Q-APP-002</t>
  </si>
  <si>
    <t xml:space="preserve">CTX-MON-022-COMBAT</t>
  </si>
  <si>
    <t xml:space="preserve">[MON-022] применение способности и установление зрительного контакта.</t>
  </si>
  <si>
    <t xml:space="preserve">[MON-022] 200 ОЭ; цель способна видеть глаза Химеры.</t>
  </si>
  <si>
    <t xml:space="preserve">[MON-022] 200 ОЭ; чистый R20 Химеры.</t>
  </si>
  <si>
    <t xml:space="preserve">[MON-022] персонаж, заглянувший ей в глаза.</t>
  </si>
  <si>
    <t xml:space="preserve">[MON-022] Нормативная база (действует во всей непротиворечащей части):
2–7 — 3 хода максимум 1 действие в серии
Обычный Последний взгляд после этого всё равно требует 1 действия и 200 ОЭ.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</si>
  <si>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[MON-022] 200 ОЭ; цель способна видеть глаза Химеры.
200 ОЭ; чистый R20 Химеры.
Обычный Последний взгляд после этого всё равно требует 1 действия и 200 ОЭ.</t>
  </si>
  <si>
    <t xml:space="preserve">[MON-022] 200 ОЭ; чистый R20 Химеры.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</si>
  <si>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[MON-022] Нормативная база (действует во всей непротиворечащей части):
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
Приоритетные авторские дельты (заменяют только прямо пересекающиеся ветви):
[Q-MON-007]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
[Q-MON-008]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</si>
  <si>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[MON-022] создать соответствующий временный эффект либо внеочередной управляемый ход.</t>
  </si>
  <si>
    <t xml:space="preserve">[MON-022] Нормативная база (действует во всей непротиворечащей части):
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t>
  </si>
  <si>
    <t xml:space="preserve">MON-022; CORE-229; SYM-010; SYM-011</t>
  </si>
  <si>
    <t xml:space="preserve">CTX-MON-022-PEACE</t>
  </si>
  <si>
    <t xml:space="preserve">MON-022; Q-APP-002</t>
  </si>
  <si>
    <t xml:space="preserve">CTX-MON-023-COMBAT</t>
  </si>
  <si>
    <t xml:space="preserve">[MON-023] объявление способности.
[MON-024] истёк срок «Ведомого голодом».</t>
  </si>
  <si>
    <t xml:space="preserve">[MON-023] 1000 ОЭ.
[MON-024] эффект был успешно активирован.</t>
  </si>
  <si>
    <t xml:space="preserve">[MON-023] 1000 ОЭ; чистый R20.
[MON-024] исходные максимумы; текущее удвоенное HP; текущее состояние тяжёлого ранения.</t>
  </si>
  <si>
    <t xml:space="preserve">[MON-023] 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</si>
  <si>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[MON-023] 1000 ОЭ.
1000 ОЭ; чистый R20.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За эти пассивные срабатывания не расходуются ни действия, ни дополнительные 200 ОЭ; одного персонажа проверяют не более одного раза за одну активацию.
[MON-024] исходные максимумы; текущее удвоенное HP; текущее состояние тяжёлого ранения.
вернуть максимальный HP и удвоенные характеристики к прежним значениям; текущее HP разделить на 2 с округлением вверх.</t>
  </si>
  <si>
    <t xml:space="preserve">[MON-023] 1000 ОЭ; чистый R20.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t>
  </si>
  <si>
    <t xml:space="preserve">[MON-023] 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Приоритетные авторские дельты (заменяют только прямо пересекающиеся ветви):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
[MON-024] вернуть максимальный HP и удвоенные характеристики к прежним значениям; текущее HP разделить на 2 с округлением вверх.</t>
  </si>
  <si>
    <t xml:space="preserve">[MON-023] создать комплексный эффект с зафиксированными исходными максимумами и характеристиками.
[MON-024] пропорционально сохраняется полученный во время эффекта урон.</t>
  </si>
  <si>
    <t xml:space="preserve">[MON-023] 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[MON-024] истёк срок «Ведомого голодом».</t>
  </si>
  <si>
    <t xml:space="preserve">MON-023; MON-024; CORE-229; SYM-010; SYM-011</t>
  </si>
  <si>
    <t xml:space="preserve">CTX-MON-023-PEACE</t>
  </si>
  <si>
    <t xml:space="preserve">MON-023; MON-024; Q-APP-002</t>
  </si>
  <si>
    <t xml:space="preserve">CTX-MON-027-COMBAT</t>
  </si>
  <si>
    <t xml:space="preserve">[MON-027] расчёт эффективной Харизмы Кукловода против цели.</t>
  </si>
  <si>
    <t xml:space="preserve">[MON-027] цель не является Кукловодом и не имеет полной неуязвимости к ментальному воздействию.</t>
  </si>
  <si>
    <t xml:space="preserve">[MON-027] C Кукловода, I Кукловода, L Кукловода, свойства ментальной защиты цели.</t>
  </si>
  <si>
    <t xml:space="preserve">[MON-027] выбранная цель взаимодействия.</t>
  </si>
  <si>
    <t xml:space="preserve">[MON-027] Полная ментальная неуязвимость отменяет бонус; числовая защита не создаёт отдельной встречной проверки, если её не требует само действие.</t>
  </si>
  <si>
    <t xml:space="preserve">[MON-027] Для допустимой цели вычислить C_eff = C + I + L.</t>
  </si>
  <si>
    <t xml:space="preserve">[MON-027] 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t>
  </si>
  <si>
    <t xml:space="preserve">[MON-027] контекстное эффективное значение C_eff без изменения базовой C.</t>
  </si>
  <si>
    <t xml:space="preserve">MON-027; CORE-229; SYM-010; SYM-011</t>
  </si>
  <si>
    <t xml:space="preserve">CTX-MON-027-PEACE</t>
  </si>
  <si>
    <t xml:space="preserve">Боевые действия не расходуются вне боя. Частная длительность/условия сохраняются:
[MON-027] Полная ментальная неуязвимость отменяет бонус; числовая защита не создаёт отдельной встречной проверки, если её не требует само действие.</t>
  </si>
  <si>
    <t xml:space="preserve">MON-027; Q-APP-001; SYM-010; SYM-011</t>
  </si>
  <si>
    <t xml:space="preserve">CTX-MON-028-COMBAT</t>
  </si>
  <si>
    <t xml:space="preserve">[MON-028] способность активна или L меняется.</t>
  </si>
  <si>
    <t xml:space="preserve">[MON-028] изучена.</t>
  </si>
  <si>
    <t xml:space="preserve">[MON-028] L.</t>
  </si>
  <si>
    <t xml:space="preserve">[MON-028] I += L.</t>
  </si>
  <si>
    <t xml:space="preserve">[MON-028] постоянный динамический бонус I.</t>
  </si>
  <si>
    <t xml:space="preserve">MON-028; CORE-229; SYM-010; SYM-011</t>
  </si>
  <si>
    <t xml:space="preserve">CTX-MON-028-PEACE</t>
  </si>
  <si>
    <t xml:space="preserve">MON-028; Q-APP-001; SYM-010; SYM-011</t>
  </si>
  <si>
    <t xml:space="preserve">CTX-MON-029-COMBAT</t>
  </si>
  <si>
    <t xml:space="preserve">[MON-029] объявление способности.
[MON-030] каждый её ход, пока активна «Рассеянность».</t>
  </si>
  <si>
    <t xml:space="preserve">[MON-029] Кукловод превышает своей проверкой I проверку I цели.
[MON-030] таймер не истёк.</t>
  </si>
  <si>
    <t xml:space="preserve">[MON-029] 30 ОЭ; встречные проверки I; отдельный чистый R20 длительности.
[MON-030] чистый R20 сопротивления.</t>
  </si>
  <si>
    <t xml:space="preserve">[MON-029] одна цель.</t>
  </si>
  <si>
    <t xml:space="preserve">[MON-029] длительность R20/5 минут или боевых ходов; каждый ход цели запускать MON-030.
[MON-030] Нормативная база (действует во всей непротиворечащей части):
1–3 — в следующий ход выполнить один одномоментный приказ Кукловода, кроме суицида/потенциально смертельного для себя действия.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t>
  </si>
  <si>
    <t xml:space="preserve">[MON-029] 30 ОЭ; встречные проверки I; отдельный чистый R20 длительности.</t>
  </si>
  <si>
    <t xml:space="preserve">[MON-029] 30 ОЭ; встречные проверки I; отдельный чистый R20 длительности.
длительность R20/5 минут или боевых ходов; каждый ход цели запускать MON-030.
[MON-030] чистый R20 сопротивления.</t>
  </si>
  <si>
    <t xml:space="preserve">[MON-029] длительность R20/5 минут или боевых ходов; каждый ход цели запускать MON-030.
[MON-030] Нормативная база (действует во всей непротиворечащей части):
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
Приоритетные авторские дельты (заменяют только прямо пересекающиеся ветви):
[Q-MON-010]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</si>
  <si>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[MON-029] создать эффект «Рассеянность» с таймером.
[MON-030] снять эффект либо записать отложенное принуждение/потерю навыков.</t>
  </si>
  <si>
    <t xml:space="preserve">[MON-029] длительность R20/5 минут или боевых ходов; каждый ход цели запускать MON-030.
[MON-030] каждый её ход, пока активна «Рассеянность».
Нормативная база (действует во всей непротиворечащей части):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t>
  </si>
  <si>
    <t xml:space="preserve">MON-029; MON-030; CORE-229; SYM-010; SYM-011</t>
  </si>
  <si>
    <t xml:space="preserve">CTX-MON-029-PEACE</t>
  </si>
  <si>
    <t xml:space="preserve">MON-029; MON-030; Q-APP-002</t>
  </si>
  <si>
    <t xml:space="preserve">CTX-MON-031-COMBAT</t>
  </si>
  <si>
    <t xml:space="preserve">[MON-031] успешное применение.</t>
  </si>
  <si>
    <t xml:space="preserve">[MON-031] проверка I Кукловода выше проверки I цели; лучший навык цели выше соответствующего навыка Кукловода.</t>
  </si>
  <si>
    <t xml:space="preserve">[MON-031] 30 ОЭ; встречные I; набор навыков цели и Кукловода.</t>
  </si>
  <si>
    <t xml:space="preserve">[MON-031] цель.</t>
  </si>
  <si>
    <t xml:space="preserve">[MON-031] Нормативная база (действует во всей непротиворечащей части):</t>
  </si>
  <si>
    <t xml:space="preserve">[MON-031] Нормативная база (действует во всей непротиворечащей части):
выбрать лучший навык цели; если Кукловод им не владеет — изучить, иначе повысить его уровень. Величина повышения требует Q-MON-012.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</si>
  <si>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[MON-031] постоянное изменение навыка Кукловода.</t>
  </si>
  <si>
    <t xml:space="preserve">MON-031; CORE-229; SYM-010; SYM-011</t>
  </si>
  <si>
    <t xml:space="preserve">CTX-MON-031-PEACE</t>
  </si>
  <si>
    <t xml:space="preserve">MON-031; Q-APP-002</t>
  </si>
  <si>
    <t xml:space="preserve">CTX-MON-032-COMBAT</t>
  </si>
  <si>
    <t xml:space="preserve">[MON-032] объявление способности.</t>
  </si>
  <si>
    <t xml:space="preserve">[MON-032] проверка I Кукловода выше проверки I цели.</t>
  </si>
  <si>
    <t xml:space="preserve">[MON-032] 50 ОЭ; встречные I; лучший навык цели.</t>
  </si>
  <si>
    <t xml:space="preserve">[MON-032] одна цель.</t>
  </si>
  <si>
    <t xml:space="preserve">[MON-032] 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t>
  </si>
  <si>
    <t xml:space="preserve">[MON-032] 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</si>
  <si>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[MON-032] после первого события навык остаётся только у исходной цели.</t>
  </si>
  <si>
    <t xml:space="preserve">[MON-032] Нормативная база (действует во всей непротиворечащей части):</t>
  </si>
  <si>
    <t xml:space="preserve">MON-032; CORE-229; SYM-010; SYM-011</t>
  </si>
  <si>
    <t xml:space="preserve">CTX-MON-032-PEACE</t>
  </si>
  <si>
    <t xml:space="preserve">Боевые действия не расходуются вне боя. Частная длительность/условия сохраняются:
[MON-032] 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t>
  </si>
  <si>
    <t xml:space="preserve">MON-032; Q-APP-001; SYM-010; SYM-011</t>
  </si>
  <si>
    <t xml:space="preserve">CTX-MON-033-COMBAT</t>
  </si>
  <si>
    <t xml:space="preserve">[MON-033] начало каждого последовательного хода поддержания.
[MON-034] Кукловод получает урон во время поддержания.</t>
  </si>
  <si>
    <t xml:space="preserve">[MON-033] цель видима и не дальше 60 м; Кукловод дееспособен; не прерван предыдущий ход; не более четырёх ходов.
[MON-034] эффект активен.</t>
  </si>
  <si>
    <t xml:space="preserve">[MON-033] 50 ОЭ в начале каждого хода; номер хода n=1..4; L.
[MON-034] проверка M Кукловода.</t>
  </si>
  <si>
    <t xml:space="preserve">[MON-033] одна цель.</t>
  </si>
  <si>
    <t xml:space="preserve">[MON-033] Нормативная база (действует во всей непротиворечащей части):</t>
  </si>
  <si>
    <t xml:space="preserve">[MON-033] 50 ОЭ в начале каждого хода; номер хода n=1..4
списать 50 ОЭ; не бросать серию и потратить весь боевой ход; в конце хода нанести L×2^(n−1) урона (L, 2L, 4L, 8L).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
уменьшить HP цели; увеличить номер поддержания на 1; после четвёртого хода завершить эффект.</t>
  </si>
  <si>
    <t xml:space="preserve">[MON-033] 50 ОЭ в начале каждого хода; номер хода n=1..4
списать 50 ОЭ; не бросать серию и потратить весь боевой ход; в конце хода нанести L×2^(n−1) урона (L, 2L, 4L, 8L).</t>
  </si>
  <si>
    <t xml:space="preserve">[MON-033] Нормативная база (действует во всей непротиворечащей части):
списать 50 ОЭ; не бросать серию и потратить весь боевой ход; в конце хода нанести L×2^(n−1) урона (L, 2L, 4L, 8L).
Приоритетные авторские дельты (заменяют только прямо пересекающиеся ветви):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
[MON-034] если итог проверки &lt;20, прекратить поддержание; иначе сохранить.</t>
  </si>
  <si>
    <t xml:space="preserve">[MON-033] уменьшить HP цели; увеличить номер поддержания на 1; после четвёртого хода завершить эффект.
[MON-034] состояние эффекта изменено либо сохранено.</t>
  </si>
  <si>
    <t xml:space="preserve">[MON-033] начало каждого последовательного хода поддержания.
Кукловод дееспособен; не прерван предыдущий ход; не более четырёх ходов.
50 ОЭ в начале каждого хода; номер хода n=1..4
Нормативная база (действует во всей непротиворечащей части):
списать 50 ОЭ; не бросать серию и потратить весь боевой ход; в конце хода нанести L×2^(n−1) урона (L, 2L, 4L, 8L).
уменьшить HP цели; увеличить номер поддержания на 1; после четвёртого хода завершить эффект.</t>
  </si>
  <si>
    <t xml:space="preserve">MON-033; MON-034; CORE-229; SYM-010; SYM-011</t>
  </si>
  <si>
    <t xml:space="preserve">CTX-MON-033-PEACE</t>
  </si>
  <si>
    <t xml:space="preserve">MON-033; MON-034; Q-APP-002</t>
  </si>
  <si>
    <t xml:space="preserve">CTX-MON-036-COMBAT</t>
  </si>
  <si>
    <t xml:space="preserve">[MON-036] после проверочного броска физического действия цели, до завершения действия.</t>
  </si>
  <si>
    <t xml:space="preserve">[MON-036] заранее зарезервированы 2 действия по правилам подготовки; успех цели не критический.</t>
  </si>
  <si>
    <t xml:space="preserve">[MON-036] 200 ОЭ; 2 подготовленных действия; встречные проверки I.</t>
  </si>
  <si>
    <t xml:space="preserve">[MON-036] цель физического действия.</t>
  </si>
  <si>
    <t xml:space="preserve">[MON-036] после проверочного броска физического действия цели, до завершения действия.
заранее зарезервированы 2 действия по правилам подготовки; успех цели не критический.
2 подготовленных действия; встречные проверки I.
Нормативная база (действует во всей непротиворечащей части):
если I Кукловода &gt; I цели, цель останавливается и не доводит физическое действие до конца.</t>
  </si>
  <si>
    <t xml:space="preserve">[MON-036] 200 ОЭ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
эффект исходного действия не применяется; реакция и ОЭ расходуются.</t>
  </si>
  <si>
    <t xml:space="preserve">[MON-036] Нормативная база (действует во всей непротиворечащей части):
если I Кукловода &gt; I цели, цель останавливается и не доводит физическое действие до конца.
Приоритетные авторские дельты (заменяют только прямо пересекающиеся ветви):
[Q-MON-015]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</si>
  <si>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[MON-036] эффект исходного действия не применяется; реакция и ОЭ расходуются.</t>
  </si>
  <si>
    <t xml:space="preserve">[MON-036] Нормативная база (действует во всей непротиворечащей части):
если I Кукловода &gt; I цели, цель останавливается и не доводит физическое действие до конца.</t>
  </si>
  <si>
    <t xml:space="preserve">MON-036; CORE-229; SYM-010; SYM-011</t>
  </si>
  <si>
    <t xml:space="preserve">CTX-MON-036-PEACE</t>
  </si>
  <si>
    <t xml:space="preserve">MON-036; Q-APP-002</t>
  </si>
  <si>
    <t xml:space="preserve">CTX-MON-038-COMBAT</t>
  </si>
  <si>
    <t xml:space="preserve">[MON-038] объявление способности.</t>
  </si>
  <si>
    <t xml:space="preserve">[MON-038] проверка I Кукловода превышает I цели минимум на 10.</t>
  </si>
  <si>
    <t xml:space="preserve">[MON-038] puppeteerResult=R20+I_Кукловода; targetResult=R20+I_цели; отдельный бросок длительности.</t>
  </si>
  <si>
    <t xml:space="preserve">[MON-038] одна цель.</t>
  </si>
  <si>
    <t xml:space="preserve">[MON-038] Нормативная база (действует во всей непротиворечащей части):
управление действиями цели передаётся источнику эффекта на таймер.</t>
  </si>
  <si>
    <t xml:space="preserve">[MON-038] 600 ОЭ; встречные I; отдельный чистый R20.</t>
  </si>
  <si>
    <t xml:space="preserve">[MON-038] R20+I_Кукловода и независимый R20+I_цели; успех iff first≥second+10; durationRoll отдельно.</t>
  </si>
  <si>
    <t xml:space="preserve">[MON-038] 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t>
  </si>
  <si>
    <t xml:space="preserve">[MON-038] При успехе effectiveController временно становится контроллером Кукловода; owningController не меняется. По окончании эффекта управление восстанавливается.</t>
  </si>
  <si>
    <t xml:space="preserve">[MON-038] Нормативная база (действует во всей непротиворечащей части):
на R20/4 ходов цель исполняет приказы Кукловода.
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t>
  </si>
  <si>
    <t xml:space="preserve">MON-038; CORE-229; SYM-010; SYM-011</t>
  </si>
  <si>
    <t xml:space="preserve">CTX-MON-038-PEACE</t>
  </si>
  <si>
    <t xml:space="preserve">MON-038; Q-APP-002</t>
  </si>
  <si>
    <t xml:space="preserve">CTX-MON-039-COMBAT</t>
  </si>
  <si>
    <t xml:space="preserve">[MON-039] применение «Ментальной паутины», затем следующей подходящей способности до конца следующего хода Кукловода.</t>
  </si>
  <si>
    <t xml:space="preserve">[MON-039] 600 ОЭ; следующая способность активная, с одной внешней целью в базовом виде; цели в поле зрения.</t>
  </si>
  <si>
    <t xml:space="preserve">[MON-039] 600 ОЭ один раз; количество целей 1–10; полная стоимость следующей способности отдельно на каждую цель; отдельные проверки по каждой цели.</t>
  </si>
  <si>
    <t xml:space="preserve">[MON-039] до 10 выбранных видимых внешних целей.</t>
  </si>
  <si>
    <t xml:space="preserve">[MON-039] 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[Q-MON-018] Цена следующей способности в боевых действиях оплачивается один раз за всё многоцелевое применение.</t>
  </si>
  <si>
    <t xml:space="preserve">[MON-039] 600 ОЭ; следующая способность активная, с одной внешней целью в базовом виде; цели в поле зрения.
600 ОЭ один раз; количество целей 1–10; полная стоимость следующей способности отдельно на каждую цель; отдельные проверки по каждой цели.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t>
  </si>
  <si>
    <t xml:space="preserve">[MON-039] 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Приоритетные авторские дельты (заменяют только прямо пересекающиеся ветви):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</si>
  <si>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[MON-039] следующая способность становится многоцелевой; после разрешения либо истечения срока усилитель удаляется.</t>
  </si>
  <si>
    <t xml:space="preserve">[MON-039] применение «Ментальной паутины», затем следующей подходящей способности до конца следующего хода Кукловода.
Нормативная база (действует во всей непротиворечащей части):
следующая способность становится многоцелевой; после разрешения либо истечения срока усилитель удаляется.</t>
  </si>
  <si>
    <t xml:space="preserve">[MON-039] 600 ОЭ один раз; количество целей 1–10; полная стоимость следующей способности отдельно на каждую цель; отдельные проверки по каждой цели.
[Q-MON-018] Цена следующей способности в боевых действиях оплачивается один раз за всё многоцелевое применение.
600 ОЭ «Ментальной паутины» платятся один раз.</t>
  </si>
  <si>
    <t xml:space="preserve">MON-039; CORE-229; SYM-010; SYM-011</t>
  </si>
  <si>
    <t xml:space="preserve">CTX-MON-039-PEACE</t>
  </si>
  <si>
    <t xml:space="preserve">MON-039; Q-APP-002</t>
  </si>
  <si>
    <t xml:space="preserve">CTX-MON-042-COMBAT</t>
  </si>
  <si>
    <t xml:space="preserve">[MON-042] контакт и решение Доктора попытаться заразить.
[MON-043] попытка заражения в боевой ситуации.
[MON-044] биологическая передача ассистентов от заражённого к новой цели.
[MON-045] успешное заражение новой цели.
[MON-046] решение Доктора.
[MON-047] успешное заражение.</t>
  </si>
  <si>
    <t xml:space="preserve">[MON-042] цель жива; у цели нет действующей неуязвимости к ассистентам этого Доктора; лимит обрабатывается MON-045.
[MON-043] применяется механика заражения через самого Доктора или уже заражённого переносчика.
[MON-044] переносчик заражён ассистентами данного Доктора; Доктор способен сконцентрироваться.
[MON-045] новая численность превышает текущий лимит.
[MON-046] цель заражена его ассистентами.
[MON-047] цель классифицирована как дикое животное.</t>
  </si>
  <si>
    <t xml:space="preserve">[MON-042] чистый R20 + 2L Доктора; проверка Z цели.
[MON-043] число попыток заражения в текущей боевой ситуации.
[MON-044] та же проверка заражения R20+2L против проверки Z; счётчик попыток MON-043.
[MON-045] базовый лимит 2L; список ранее заражённых; модификатор «Масштабной эпидемии».
[MON-046] идентификатор цели.
[MON-047] чистый R20; L Доктора.</t>
  </si>
  <si>
    <t xml:space="preserve">[MON-042] живое существо, контактировавшее с его биологической жидкостью.
[MON-043] попытки заражения.
[MON-044] новая цель.
[MON-045] его заражённые.
[MON-046] один выбранный заражённый.</t>
  </si>
  <si>
    <t xml:space="preserve">[MON-043] Нормативная база (действует во всей непротиворечащей части):
первая попытка не тратит боевое действие; каждая следующая стоит 1 боевое действие.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увеличить счётчик попыток и списать действие при count&gt;1.
[MON-044] Нормативная база (действует во всей непротиворечащей части):
[MON-045] Нормативная база (действует во всей непротиворечащей части):
[MON-046] Нормативная база (действует во всей непротиворечащей части):
[Q-MON-021] Уничтожение ассистентов бесплатно и может быть объявлено вне очереди, в том числе между объявлением чужого действия и его разрешением.
[MON-047] Нормативная база (действует во всей непротиворечащей части):</t>
  </si>
  <si>
    <t xml:space="preserve">[MON-043]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стоимость ОЭ конкретной способности оплачивается отдельно.</t>
  </si>
  <si>
    <t xml:space="preserve">[MON-042] чистый R20 + 2L Доктора; проверка Z цели.
[MON-044] та же проверка заражения R20+2L против проверки Z; счётчик попыток MON-043.
[MON-045] [Обязательная правка] Эта формулировка имеет приоритет над исходным текстом карточки.
При уменьшении лимита сохраняются newLimit заражений с наибольшим infectionOrder, остальные уничтожаются; при newLimit=0 уничтожаются все.
[MON-047] чистый R20
если R20 &lt; L, животное бросается в бегство.
[Q-MON-022] Дикое животное делает одну чистую проверку R20 сразу после успешного заражения.</t>
  </si>
  <si>
    <t xml:space="preserve">[MON-042] если итог Доктора строго выше итога проверки Z цели, создать заражение ассистентами.
[MON-043] Нормативная база (действует во всей непротиворечащей части):
первая попытка не тратит боевое действие; каждая следующая стоит 1 боевое действие.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
[MON-044] Нормативная база (действует во всей непротиворечащей части):
Доктор выполняет проверку; при строгом превышении новая цель заражается.
Приоритетные авторские дельты (заменяют только прямо пересекающиеся ветви):
[Q-MON-020]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
[MON-045] Нормативная база (действует во всей непротиворечащей части):
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исключение про отдельный лимит Чумного пророка
[AQ2-001]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
[MON-046] Нормативная база (действует во всей непротиворечащей части):
уничтожить всех ассистентов в цели.
Приоритетные авторские дельты (заменяют только прямо пересекающиеся ветви):
[Q-MON-021]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
[MON-047] Нормативная база (действует во всей непротиворечащей части):
если R20 &lt; L, животное бросается в бегство.
Приоритетные авторские дельты (заменяют только прямо пересекающиеся ветви):
[Q-MON-022]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</si>
  <si>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[MON-042] цель добавляется в реестр заражённых данного источника.
[MON-043] увеличить счётчик попыток и списать действие при count&gt;1.
[MON-044] новая цель привязана к тому же Доктору-источнику.
[MON-045] реестр остаётся в лимите.
[MON-046] снять заражение и освободить единицу лимита.
[MON-047] назначить поведение «бегство».</t>
  </si>
  <si>
    <t xml:space="preserve">[MON-043] 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[MON-044] Нормативная база (действует во всей непротиворечащей части):
[MON-045] Нормативная база (действует во всей непротиворечащей части):
[MON-046] Нормативная база (действует во всей непротиворечащей части):
[MON-047] Нормативная база (действует во всей непротиворечащей части):</t>
  </si>
  <si>
    <t xml:space="preserve">[MON-045] Последовательные цели нумеруются по порядку подтверждения; массовая операция без ручного порядка — по UUID по возрастанию.</t>
  </si>
  <si>
    <t xml:space="preserve">MON-042; MON-043; MON-044; MON-045; MON-046; MON-047; CORE-229; SYM-010; SYM-011</t>
  </si>
  <si>
    <t xml:space="preserve">CTX-MON-042-PEACE</t>
  </si>
  <si>
    <t xml:space="preserve">MON-042; MON-043; MON-044; MON-045; MON-046; MON-047; Q-APP-002</t>
  </si>
  <si>
    <t xml:space="preserve">CTX-MON-048-COMBAT</t>
  </si>
  <si>
    <t xml:space="preserve">[MON-048] кашель с намерением заразить.</t>
  </si>
  <si>
    <t xml:space="preserve">[MON-048] дистанция ≤L метров; цель не защищена костюмом «Нэйт».</t>
  </si>
  <si>
    <t xml:space="preserve">[MON-048] чистый R20+L; проверка Z цели.</t>
  </si>
  <si>
    <t xml:space="preserve">[MON-048] одна цель.</t>
  </si>
  <si>
    <t xml:space="preserve">[MON-048] 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</si>
  <si>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[MON-048]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</si>
  <si>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[MON-048] Нормативная база (действует во всей непротиворечащей части):
если итог Доктора строго выше проверки Z, заразить ассистентами.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</si>
  <si>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[MON-048] добавить цель в реестр с обработкой лимита.</t>
  </si>
  <si>
    <t xml:space="preserve">[MON-048] 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t>
  </si>
  <si>
    <t xml:space="preserve">MON-048; CORE-229; SYM-010; SYM-011</t>
  </si>
  <si>
    <t xml:space="preserve">CTX-MON-048-PEACE</t>
  </si>
  <si>
    <t xml:space="preserve">Боевые действия не расходуются вне боя. Частная длительность/условия сохраняются:
[MON-048] 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</si>
  <si>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MON-048; Q-APP-001; SYM-010; SYM-011</t>
  </si>
  <si>
    <t xml:space="preserve">CTX-MON-049-COMBAT</t>
  </si>
  <si>
    <t xml:space="preserve">[MON-049] объявление способности.</t>
  </si>
  <si>
    <t xml:space="preserve">[MON-049] цель содержит ассистентов Доктора.</t>
  </si>
  <si>
    <t xml:space="preserve">[MON-049] 100 ОЭ; чистый R20.</t>
  </si>
  <si>
    <t xml:space="preserve">[MON-049] выбранная заражённая цель.</t>
  </si>
  <si>
    <t xml:space="preserve">[MON-049] при R20≥3 установить M цели равной 1 на R20/3 минут/ходов; при R20=1 уничтожить всех ассистентов в цели; при 2 эффект отсутствует.</t>
  </si>
  <si>
    <t xml:space="preserve">[MON-049] 100 ОЭ; чистый R20.
при R20≥3 установить M цели равной 1 на R20/3 минут/ходов; при R20=1 уничтожить всех ассистентов в цели; при 2 эффект отсутствует.
по §7.1 один и тот же первый R20 определяет активацию и длительность.</t>
  </si>
  <si>
    <t xml:space="preserve">[MON-049] временное фиксированное M либо снятие заражения.</t>
  </si>
  <si>
    <t xml:space="preserve">MON-049; CORE-229; SYM-010; SYM-011</t>
  </si>
  <si>
    <t xml:space="preserve">CTX-MON-049-PEACE</t>
  </si>
  <si>
    <t xml:space="preserve">MON-049; Q-APP-002</t>
  </si>
  <si>
    <t xml:space="preserve">CTX-MON-050-COMBAT</t>
  </si>
  <si>
    <t xml:space="preserve">[MON-050] объявление способности.</t>
  </si>
  <si>
    <t xml:space="preserve">[MON-050] в цели есть ассистенты.</t>
  </si>
  <si>
    <t xml:space="preserve">[MON-050] 100 ОЭ; чистый R20.</t>
  </si>
  <si>
    <t xml:space="preserve">[MON-050] выбранная заражённая цель.</t>
  </si>
  <si>
    <t xml:space="preserve">[MON-050] Нормативная база (действует во всей непротиворечащей части):
При R20=1 ассистенты воспламеняют случайную часть тела и погибают; при 2 погибают/не погибают — см.
При результате 1 ассистенты погибают и случайная часть тела загорается; если целью был сам Доктор, блокировка на 8−L часов применяется.
при применении к себе Доктор теряет возможность проверок заражения на 8−L часов.</t>
  </si>
  <si>
    <t xml:space="preserve">[MON-050] 100 ОЭ; чистый R20.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t>
  </si>
  <si>
    <t xml:space="preserve">[MON-050] 100 ОЭ; чистый R20.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t>
  </si>
  <si>
    <t xml:space="preserve">[MON-050] Нормативная база (действует во всей непротиворечащей части):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
Приоритетные авторские дельты (заменяют только прямо пересекающиеся ветви):
[Q-MON-023]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</si>
  <si>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[MON-050] заражение снимается при сработавших ветках; применяются лечение/возгорание.</t>
  </si>
  <si>
    <t xml:space="preserve">MON-050; CORE-229; SYM-010; SYM-011</t>
  </si>
  <si>
    <t xml:space="preserve">CTX-MON-050-PEACE</t>
  </si>
  <si>
    <t xml:space="preserve">Боевые действия не расходуются вне боя. Частная длительность/условия сохраняются:
[MON-050] Нормативная база (действует во всей непротиворечащей части):
При R20=1 ассистенты воспламеняют случайную часть тела и погибают; при 2 погибают/не погибают — см.
При результате 1 ассистенты погибают и случайная часть тела загорается; если целью был сам Доктор, блокировка на 8−L часов применяется.
при применении к себе Доктор теряет возможность проверок заражения на 8−L часов.</t>
  </si>
  <si>
    <t xml:space="preserve">MON-050; Q-APP-001; SYM-010; SYM-011</t>
  </si>
  <si>
    <t xml:space="preserve">CTX-MON-051-COMBAT</t>
  </si>
  <si>
    <t xml:space="preserve">[MON-051] объявление способности.</t>
  </si>
  <si>
    <t xml:space="preserve">[MON-051] одежда/броня не мешает раскрыть грудную клетку; каждая цель не дальше 5L м.</t>
  </si>
  <si>
    <t xml:space="preserve">[MON-051] 200 ОЭ; названный в тексте чистый R4 количества целей; чистая проверка активации с порогом 4+, дайс которой отдельно не назван.</t>
  </si>
  <si>
    <t xml:space="preserve">[MON-051] R4 выбранных целей.</t>
  </si>
  <si>
    <t xml:space="preserve">[MON-051] 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t>
  </si>
  <si>
    <t xml:space="preserve">[MON-051] 200 ОЭ; названный в тексте чистый R4 количества целей; чистая проверка активации с порогом 4+, дайс которой отдельно не назван.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</si>
  <si>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[MON-051] 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Приоритетные авторские дельты (заменяют только прямо пересекающиеся ветви):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</si>
  <si>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[MON-051] массовое заражение с обработкой лимитов либо временная блокировка заражения.</t>
  </si>
  <si>
    <t xml:space="preserve">MON-051; CORE-229; SYM-010; SYM-011</t>
  </si>
  <si>
    <t xml:space="preserve">CTX-MON-051-PEACE</t>
  </si>
  <si>
    <t xml:space="preserve">Боевые действия не расходуются вне боя. Частная длительность/условия сохраняются:
[MON-051] 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t>
  </si>
  <si>
    <t xml:space="preserve">MON-051; Q-APP-001; SYM-010; SYM-011</t>
  </si>
  <si>
    <t xml:space="preserve">CTX-MON-052-COMBAT</t>
  </si>
  <si>
    <t xml:space="preserve">[MON-052] объявление способности.</t>
  </si>
  <si>
    <t xml:space="preserve">[MON-052] цель содержит ассистентов.</t>
  </si>
  <si>
    <t xml:space="preserve">[MON-052] 200 ОЭ; L; Z цели; чистый R20 активации/длительности; при критической 1 — отдельный скрытый R20 дней.</t>
  </si>
  <si>
    <t xml:space="preserve">[MON-052] заражённая цель.</t>
  </si>
  <si>
    <t xml:space="preserve">[MON-052]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</si>
  <si>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[MON-052] 200 ОЭ</t>
  </si>
  <si>
    <t xml:space="preserve">[MON-052] Z цели; чистый R20 активации/длительности; при критической 1 — отдельный скрытый R20 дней.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</si>
  <si>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[MON-052] длительный урон либо временный межисточниковый иммунитет.</t>
  </si>
  <si>
    <t xml:space="preserve">MON-052; CORE-229; SYM-010; SYM-011</t>
  </si>
  <si>
    <t xml:space="preserve">CTX-MON-052-PEACE</t>
  </si>
  <si>
    <t xml:space="preserve">MON-052; Q-APP-002</t>
  </si>
  <si>
    <t xml:space="preserve">CTX-MON-053-COMBAT</t>
  </si>
  <si>
    <t xml:space="preserve">[MON-053] объявление способности.</t>
  </si>
  <si>
    <t xml:space="preserve">[MON-053] цель содержит ассистентов.</t>
  </si>
  <si>
    <t xml:space="preserve">[MON-053] 200 ОЭ; чистый R20 величины; отдельный R20 длительности; отдельный R20 пост-урона.</t>
  </si>
  <si>
    <t xml:space="preserve">[MON-053] заражённая цель.</t>
  </si>
  <si>
    <t xml:space="preserve">[MON-053] увеличить S и D на R20/2; длительность R20/4 минут/ходов; при завершении однократно нанести отдельный R20 урона от яда.</t>
  </si>
  <si>
    <t xml:space="preserve">[MON-053] 200 ОЭ; чистый R20 величины; отдельный R20 длительности; отдельный R20 пост-урона.
увеличить S и D на R20/2; длительность R20/4 минут/ходов; при завершении однократно нанести отдельный R20 урона от яда.
все три R20 независимы.</t>
  </si>
  <si>
    <t xml:space="preserve">[MON-053] временный модификатор характеристик; затем урон и снятие модификатора.</t>
  </si>
  <si>
    <t xml:space="preserve">MON-053; CORE-229; SYM-010; SYM-011</t>
  </si>
  <si>
    <t xml:space="preserve">CTX-MON-053-PEACE</t>
  </si>
  <si>
    <t xml:space="preserve">Боевые действия не расходуются вне боя. Частная длительность/условия сохраняются:
[MON-053] увеличить S и D на R20/2; длительность R20/4 минут/ходов; при завершении однократно нанести отдельный R20 урона от яда.</t>
  </si>
  <si>
    <t xml:space="preserve">MON-053; Q-APP-001; SYM-010; SYM-011</t>
  </si>
  <si>
    <t xml:space="preserve">CTX-MON-054-COMBAT</t>
  </si>
  <si>
    <t xml:space="preserve">[MON-054] способность активна; проверка сопротивления ментальному воздействию.</t>
  </si>
  <si>
    <t xml:space="preserve">[MON-054] изучена.</t>
  </si>
  <si>
    <t xml:space="preserve">[MON-054] L; базовый лимит 2L; проверка сопротивления.</t>
  </si>
  <si>
    <t xml:space="preserve">[MON-054] Нормативная база (действует во всей непротиворечащей части):</t>
  </si>
  <si>
    <t xml:space="preserve">[MON-054] Нормативная база (действует во всей непротиворечащей части):
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
Приоритетные авторские дельты (заменяют только прямо пересекающиеся ветви):
[AQ2-001]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t>
  </si>
  <si>
    <t xml:space="preserve">[MON-054] новый лимит; модификатор защиты; информационный результат при успехе.</t>
  </si>
  <si>
    <t xml:space="preserve">MON-054; CORE-229; SYM-010; SYM-011</t>
  </si>
  <si>
    <t xml:space="preserve">CTX-MON-054-PEACE</t>
  </si>
  <si>
    <t xml:space="preserve">MON-054; Q-APP-002</t>
  </si>
  <si>
    <t xml:space="preserve">CTX-MON-055-COMBAT</t>
  </si>
  <si>
    <t xml:space="preserve">[MON-055] применение способности.</t>
  </si>
  <si>
    <t xml:space="preserve">[MON-055] цель заражена ассистентами этого Доктора.</t>
  </si>
  <si>
    <t xml:space="preserve">[MON-055] 800 ОЭ.</t>
  </si>
  <si>
    <t xml:space="preserve">[MON-055] выбранный заражённый.</t>
  </si>
  <si>
    <t xml:space="preserve">[MON-055] Нормативная база (действует во всей непротиворечащей части):</t>
  </si>
  <si>
    <t xml:space="preserve">[MON-055] Нормативная база (действует во всей непротиворечащей части):
гарантированно дать неуязвимость к ассистентам всех других Чумных докторов.
Приоритетные авторские дельты (заменяют только прямо пересекающиеся ветви):
[Q-MON-025]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</si>
  <si>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[MON-055] записать источник вакцинации и иммунитет к другим источникам.</t>
  </si>
  <si>
    <t xml:space="preserve">MON-055; CORE-229; SYM-010; SYM-011</t>
  </si>
  <si>
    <t xml:space="preserve">CTX-MON-055-PEACE</t>
  </si>
  <si>
    <t xml:space="preserve">Боевые действия не расходуются вне боя. Частная длительность/условия сохраняются:
[MON-055] Нормативная база (действует во всей непротиворечащей части):</t>
  </si>
  <si>
    <t xml:space="preserve">MON-055; Q-APP-001; SYM-010; SYM-011</t>
  </si>
  <si>
    <t xml:space="preserve">CTX-MON-056-COMBAT</t>
  </si>
  <si>
    <t xml:space="preserve">[MON-056] объявление способности.
[MON-057] воздействие жара/горения.</t>
  </si>
  <si>
    <t xml:space="preserve">[MON-056] в цели есть ассистенты.
[MON-057] способность изучена.</t>
  </si>
  <si>
    <t xml:space="preserve">[MON-056] 400 ОЭ; случайная часть тела.
[MON-057] обычный периодический урон огня.</t>
  </si>
  <si>
    <t xml:space="preserve">[MON-056] выбранный заражённый.</t>
  </si>
  <si>
    <t xml:space="preserve">[MON-056] 400 ОЭ; случайная часть тела.
Нормативная база (действует во всей непротиворечащей части):
гарантированно уничтожить ассистентов и воспламенить случайную часть тела цели.
заменить случайную часть тела одним binary burning по Q-CORE-030
[MON-057] не выполнять проверки самообладания из-за боли от горения; огонь наносит 5 HP за минуту/ход вместо 10.</t>
  </si>
  <si>
    <t xml:space="preserve">[MON-056] 400 ОЭ; случайная часть тела.
[MON-057] не выполнять проверки самообладания из-за боли от горения; огонь наносит 5 HP за минуту/ход вместо 10.</t>
  </si>
  <si>
    <t xml:space="preserve">[MON-056] [Обязательная правка] Эта формулировка имеет приоритет над исходным текстом карточки.</t>
  </si>
  <si>
    <t xml:space="preserve">[MON-056] Нормативная база (действует во всей непротиворечащей части):
гарантированно уничтожить ассистентов и воспламенить случайную часть тела цели.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заменить случайную часть тела одним binary burning по Q-CORE-030
[MON-057] не выполнять проверки самообладания из-за боли от горения; огонь наносит 5 HP за минуту/ход вместо 10.</t>
  </si>
  <si>
    <t xml:space="preserve">[MON-056] снять заражение; наложить горение.
[MON-057] уменьшенный урон, отсутствие указанной проверки.</t>
  </si>
  <si>
    <t xml:space="preserve">MON-056; MON-057; CORE-229; SYM-010; SYM-011</t>
  </si>
  <si>
    <t xml:space="preserve">CTX-MON-056-PEACE</t>
  </si>
  <si>
    <t xml:space="preserve">Боевые действия не расходуются вне боя. Частная длительность/условия сохраняются:
[MON-056] 400 ОЭ; случайная часть тела.
Нормативная база (действует во всей непротиворечащей части):
гарантированно уничтожить ассистентов и воспламенить случайную часть тела цели.
заменить случайную часть тела одним binary burning по Q-CORE-030
[MON-057] не выполнять проверки самообладания из-за боли от горения; огонь наносит 5 HP за минуту/ход вместо 10.</t>
  </si>
  <si>
    <t xml:space="preserve">MON-056; MON-057; Q-APP-001; SYM-010; SYM-011</t>
  </si>
  <si>
    <t xml:space="preserve">CTX-MON-061-COMBAT</t>
  </si>
  <si>
    <t xml:space="preserve">[MON-061] способность изучена; начало серии.
[MON-062] выдвижение клинка; затем атака клинком.
[MON-063] клинок нанёс ненулевой урон.</t>
  </si>
  <si>
    <t xml:space="preserve">[MON-061] активный симбионт.
[MON-062] для атаки клинок выдвинут.
[MON-063] цель может быть заражена ассистентами данного Доктора.</t>
  </si>
  <si>
    <t xml:space="preserve">[MON-061] исходные модификаторы; результат серии.
[MON-062] 1 действие на выдвижение; точность с D; навык «Фехтование»; один общий R20 R на конкретную атаку; L; S как модификатор урона.
[MON-063] результат попадания/пробития/урона.</t>
  </si>
  <si>
    <t xml:space="preserve">[MON-062] цель ближней атаки.
[MON-063] повреждённая клинком цель.</t>
  </si>
  <si>
    <t xml:space="preserve">[MON-061] Доктор не чувствует боли и не может потерять сознание; к числу действий серии прибавить 1; минимум действий в ход =2.
[MON-062] 1 действие на выдвижение; точность с D; навык «Фехтование»; один общий R20 R на конкретную атаку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t>
  </si>
  <si>
    <t xml:space="preserve">[MON-061] убрать штрафы S−5,D−5,M−5; Доктор не чувствует боли и не может потерять сознание; к числу действий серии прибавить 1; минимум действий в ход =2.
[MON-062]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
[MON-063] без проверки Z гарантированно заразить цель ассистентами.</t>
  </si>
  <si>
    <t xml:space="preserve">[MON-061] пересчитать характеристики и серию; запретить состояние «без сознания».
[MON-062] обычное разрешение атаки; при нанесении урона применить MON-063.
[MON-063] добавить цель в реестр и применить лимит MON-045.</t>
  </si>
  <si>
    <t xml:space="preserve">[MON-061] Доктор не чувствует боли и не может потерять сознание; к числу действий серии прибавить 1; минимум действий в ход =2.</t>
  </si>
  <si>
    <t xml:space="preserve">MON-061; MON-062; MON-063; CORE-229; SYM-010; SYM-011</t>
  </si>
  <si>
    <t xml:space="preserve">CTX-MON-061-PEACE</t>
  </si>
  <si>
    <t xml:space="preserve">Боевые действия не расходуются вне боя. Частная длительность/условия сохраняются:
[MON-061] Доктор не чувствует боли и не может потерять сознание; к числу действий серии прибавить 1; минимум действий в ход =2.
[MON-062] 1 действие на выдвижение; точность с D; навык «Фехтование»; один общий R20 R на конкретную атаку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t>
  </si>
  <si>
    <t xml:space="preserve">MON-061; MON-062; MON-063; Q-APP-001; SYM-010; SYM-011</t>
  </si>
  <si>
    <t xml:space="preserve">CTX-MON-066-COMBAT</t>
  </si>
  <si>
    <t xml:space="preserve">[MON-066] первые 6 ходов Доктора в боевой ситуации.
[MON-067] неожиданно атакован сам Доктор или его группа.</t>
  </si>
  <si>
    <t xml:space="preserve">[MON-066] способность изучена.
[MON-067] применяется сцена нападения.</t>
  </si>
  <si>
    <t xml:space="preserve">[MON-066] базовые S,D; номер хода боя.
[MON-067] флаг неожиданного нападения.</t>
  </si>
  <si>
    <t xml:space="preserve">[MON-066] Нормативная база (действует во всей непротиворечащей части):</t>
  </si>
  <si>
    <t xml:space="preserve">[MON-066] Нормативная база (действует во всей непротиворечащей части):
на ходах 1–6 увеличить S и D до 35; с 7-го вернуть обычные итоговые значения.
Приоритетные авторские дельты (заменяют только прямо пересекающиеся ветви):
[Q-MON-032]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
[MON-067] автоматически считать упреждение Доктора успешным.</t>
  </si>
  <si>
    <t xml:space="preserve">[MON-066] временные боевые значения S,D.
[MON-067] Доктор действует раньше атакующих по механике упреждения.</t>
  </si>
  <si>
    <t xml:space="preserve">[MON-066] первые 6 ходов Доктора в боевой ситуации.
базовые S,D; номер хода боя.
Нормативная база (действует во всей непротиворечащей части):
на ходах 1–6 увеличить S и D до 35; с 7-го вернуть обычные итоговые значения.
[Q-MON-032] На первые шесть боевых ходов способность устанавливает для S и D нижнюю границу 35: значение ниже 35 становится равным 35, а более высокое не меняется.
[MON-067] не выдаёт дополнительный полный ход.</t>
  </si>
  <si>
    <t xml:space="preserve">MON-066; MON-067; CORE-229; SYM-010; SYM-011</t>
  </si>
  <si>
    <t xml:space="preserve">CTX-MON-066-PEACE</t>
  </si>
  <si>
    <t xml:space="preserve">MON-066; MON-067; Q-APP-002</t>
  </si>
  <si>
    <t xml:space="preserve">CTX-MON-073-COMBAT</t>
  </si>
  <si>
    <t xml:space="preserve">[MON-073] физическая/ментальная атака; проверка обнаружения.</t>
  </si>
  <si>
    <t xml:space="preserve">[MON-073] способность изучена.</t>
  </si>
  <si>
    <t xml:space="preserve">[MON-073] R20 брони; базовые проверки защиты/обнаружения.</t>
  </si>
  <si>
    <t xml:space="preserve">[MON-073] R20 брони; базовые проверки защиты/обнаружения.
природный спасбросок брони R20×2; +10 к защите от ментальных воздействий; +10 к обнаружению.</t>
  </si>
  <si>
    <t xml:space="preserve">[MON-073] природный спасбросок брони R20×2; +10 к защите от ментальных воздействий; +10 к обнаружению.</t>
  </si>
  <si>
    <t xml:space="preserve">[MON-073] применить броню/модификаторы; обычная регенерация тела сохраняется.</t>
  </si>
  <si>
    <t xml:space="preserve">MON-073; CORE-229; SYM-010; SYM-011</t>
  </si>
  <si>
    <t xml:space="preserve">CTX-MON-073-PEACE</t>
  </si>
  <si>
    <t xml:space="preserve">MON-073; Q-APP-002</t>
  </si>
  <si>
    <t xml:space="preserve">CTX-MON-071-COMBAT</t>
  </si>
  <si>
    <t xml:space="preserve">[MON-071] объявление блока против любой ближней атаки.
[MON-072] выпуск струи пламени.</t>
  </si>
  <si>
    <t xml:space="preserve">[MON-071] костяной клинок выдвинут; есть 500 ОЭ.
[MON-072] клинок выдвинут; цена оплачена.</t>
  </si>
  <si>
    <t xml:space="preserve">[MON-071] 500 ОЭ; обычная проверка блока.
[MON-072] длина 2L м; для каждой цели отдельный чистый R6.</t>
  </si>
  <si>
    <t xml:space="preserve">[MON-071] атакующий в ближнем бою.
[MON-072] все персонажи под струёй.</t>
  </si>
  <si>
    <t xml:space="preserve">[MON-071] 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[MON-072] Нормативная база (действует во всей непротиворечащей части):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Увернуться от струи пламени нельзя, окно защитных действий у цели не открывается (точно так же работают поджигающие способности дракона)
точная форма струи и активная цена действий требуют Q-MON-035 и Q-MON-036.</t>
  </si>
  <si>
    <t xml:space="preserve">[MON-071] костяной клинок выдвинут; есть 500 ОЭ.
500 ОЭ; обычная проверка блока.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[MON-072] клинок выдвинут; цена оплачена.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точная форма струи и активная цена действий требуют Q-MON-035 и Q-MON-036.</t>
  </si>
  <si>
    <t xml:space="preserve">[MON-072] длина 2L м; для каждой цели отдельный чистый R6.
на каждую попавшую под струю цель наложить горение на случайные R6 элементов экипировки; если R6=6, горят все элементы, включая рюкзак при наличии.</t>
  </si>
  <si>
    <t xml:space="preserve">[MON-071] 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[MON-072] Нормативная база (действует во всей непротиворечащей части):
на каждую попавшую под струю цель наложить горение на случайные R6 элементов экипировки; если R6=6, горят все элементы, включая рюкзак при наличии.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</si>
  <si>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[MON-071] отменить удар; наложить горение атакующему.
[MON-072] состояния горения записываются на выбранные элементы.</t>
  </si>
  <si>
    <t xml:space="preserve">[MON-071] Нормативная база (действует во всей непротиворечащей части):
[MON-072] Нормативная база (действует во всей непротиворечащей части):</t>
  </si>
  <si>
    <t xml:space="preserve">MON-071; MON-072; CORE-229; SYM-010; SYM-011</t>
  </si>
  <si>
    <t xml:space="preserve">CTX-MON-071-PEACE</t>
  </si>
  <si>
    <t xml:space="preserve">MON-071; MON-072; Q-APP-002</t>
  </si>
  <si>
    <t xml:space="preserve">Несовместимости и подавления</t>
  </si>
  <si>
    <t xml:space="preserve">Ограничения проверяются при создании, добавлении, замене, импорте и runtime-пересчёте. Подавление не превращается в удаление без прямого правила.</t>
  </si>
  <si>
    <t xml:space="preserve">ConflictID</t>
  </si>
  <si>
    <t xml:space="preserve">LeftEntityType</t>
  </si>
  <si>
    <t xml:space="preserve">LeftEntityID</t>
  </si>
  <si>
    <t xml:space="preserve">RightEntityType</t>
  </si>
  <si>
    <t xml:space="preserve">RightEntityID</t>
  </si>
  <si>
    <t xml:space="preserve">ConflictType</t>
  </si>
  <si>
    <t xml:space="preserve">Symmetric</t>
  </si>
  <si>
    <t xml:space="preserve">EnforcementStage</t>
  </si>
  <si>
    <t xml:space="preserve">Resolution</t>
  </si>
  <si>
    <t xml:space="preserve">SYM-UNIQUE-SPECIES</t>
  </si>
  <si>
    <t xml:space="preserve">SYMBIONT_SPECIES</t>
  </si>
  <si>
    <t xml:space="preserve">ANY_ORDINARY_SYMBIONT</t>
  </si>
  <si>
    <t xml:space="preserve">SYMBIONT_SPECIES_OR_SET</t>
  </si>
  <si>
    <t xml:space="preserve">SAME_SPECIES</t>
  </si>
  <si>
    <t xml:space="preserve">HARD_REJECTION</t>
  </si>
  <si>
    <t xml:space="preserve">CHARACTER_COMPOSITION_AND_RUNTIME</t>
  </si>
  <si>
    <t xml:space="preserve">CREATE; ADD; REPLACE; IMPORT; RUNTIME_REEVALUATION</t>
  </si>
  <si>
    <t xml:space="preserve">В одном теле не может быть двух симбионтов одного вида.</t>
  </si>
  <si>
    <t xml:space="preserve">SYM-001</t>
  </si>
  <si>
    <t xml:space="preserve">SYM-SLOT-CAPACITY</t>
  </si>
  <si>
    <t xml:space="preserve">CHARACTER</t>
  </si>
  <si>
    <t xml:space="preserve">HOST</t>
  </si>
  <si>
    <t xml:space="preserve">ANY_SYMBIONT</t>
  </si>
  <si>
    <t xml:space="preserve">Обычный симбионт занимает 1 слот; симбиотическое чудовище — 4 базовых слота. Добавление отклоняется при нехватке вместимости.</t>
  </si>
  <si>
    <t xml:space="preserve">SYM-002; MON-001</t>
  </si>
  <si>
    <t xml:space="preserve">TOAD-SUPPRESSES-TAIPAN</t>
  </si>
  <si>
    <t xml:space="preserve">COEXISTENCE_WITH_SUPPRESSION</t>
  </si>
  <si>
    <t xml:space="preserve">Совместное нахождение разрешено, но Жаба полностью подавляет Тайпана: нет XP, выработки яда и зависящих от яда способностей; уже наложенные на других персонажей яды доживают свой срок.</t>
  </si>
  <si>
    <t xml:space="preserve">SYM-038</t>
  </si>
  <si>
    <t xml:space="preserve">Q-SYM-016</t>
  </si>
  <si>
    <t xml:space="preserve">OWL-SUPPRESSES-DOUBLE-FOCUS</t>
  </si>
  <si>
    <t xml:space="preserve">ABILITY_SUPPRESSION</t>
  </si>
  <si>
    <t xml:space="preserve">Активная Сова подавляет только «Двойной фокус внимания». После удаления, гибели или отключения Совы изученный узел Хамелеона включается автоматически.</t>
  </si>
  <si>
    <t xml:space="preserve">SYM-047; SYM-126</t>
  </si>
  <si>
    <t xml:space="preserve">TROGR-CONSUMES-TEACHER-DOLPHIN</t>
  </si>
  <si>
    <t xml:space="preserve">TEACHER+DOLPHIN</t>
  </si>
  <si>
    <t xml:space="preserve">IMMEDIATE_DESTRUCTION</t>
  </si>
  <si>
    <t xml:space="preserve">При появлении Трогра Учитель и/или Дельфин немедленно поглощаются без проверки; их XP/способности утрачиваются и после удаления Трогра не возвращаются. Поглощение меняет slotCost Трогра и может принудительно поднять его до L5.</t>
  </si>
  <si>
    <t xml:space="preserve">SYM-075; SYM-076; SYM-185</t>
  </si>
  <si>
    <t xml:space="preserve">Q-SYM-005; Q-SYM-031; Q-SYM-073; Q-SYM-032; Q-QA-009</t>
  </si>
  <si>
    <t xml:space="preserve">TROGR-VS-KEEPER</t>
  </si>
  <si>
    <t xml:space="preserve">CURRENT_OE_DUEL</t>
  </si>
  <si>
    <t xml:space="preserve">Сравнить текущие ОЭ: строго большее значение уничтожает другого симбионта и уменьшается на текущие ОЭ жертвы; при равенстве никто не погибает.</t>
  </si>
  <si>
    <t xml:space="preserve">SYM-075</t>
  </si>
  <si>
    <t xml:space="preserve">Q-SYM-005; Q-SYM-031; Q-SYM-073</t>
  </si>
  <si>
    <t xml:space="preserve">TROGR-SUPPRESSES-ADVISER</t>
  </si>
  <si>
    <t xml:space="preserve">Советник не проявляется, не развивается и не получает XP. При начале подавления один раз фиксируется B=round(R20/4); минимум I=1+B либо 4+B после поглощённого Учителя.</t>
  </si>
  <si>
    <t xml:space="preserve">SYM-075; SYM-095</t>
  </si>
  <si>
    <t xml:space="preserve">TROGR-SUPPRESSES-PENGUIN</t>
  </si>
  <si>
    <t xml:space="preserve">Пингвин не проявляет никаких эффектов, но продолжает получать XP.</t>
  </si>
  <si>
    <t xml:space="preserve">SYM-075; SYM-130</t>
  </si>
  <si>
    <t xml:space="preserve">SYMBIOTIC-MONSTER-BASE-SLOTS</t>
  </si>
  <si>
    <t xml:space="preserve">PUPPETEER+PLAGUE_DOCTOR</t>
  </si>
  <si>
    <t xml:space="preserve">SLOT_EXCLUSIVITY</t>
  </si>
  <si>
    <t xml:space="preserve">Каждое чудовище занимает четыре базовых слота. Кукловод и Чумной доктор не могут иметь обычные дополнительные симбионты. Только Химера может получить до трёх дополнительных слотов через подтверждённые «Пожирания»; изначально extraSlots=0, devouredCount=0, а пороги/история хранятся явно.</t>
  </si>
  <si>
    <t xml:space="preserve">MON-001; MON-006; MON-007</t>
  </si>
  <si>
    <t xml:space="preserve">Служебные генерируемые объекты</t>
  </si>
  <si>
    <t xml:space="preserve">Отдельный namespace нового реестра. WEB_ITEM не является ItemTypeID, не добавляет 65-й предмет и не требует иконки.</t>
  </si>
  <si>
    <t xml:space="preserve">GeneratedObjectTypeID</t>
  </si>
  <si>
    <t xml:space="preserve">ProducerAbilityID</t>
  </si>
  <si>
    <t xml:space="preserve">RuntimeKind</t>
  </si>
  <si>
    <t xml:space="preserve">ItemRegistryTypeID</t>
  </si>
  <si>
    <t xml:space="preserve">CreationCount</t>
  </si>
  <si>
    <t xml:space="preserve">QuantityMode</t>
  </si>
  <si>
    <t xml:space="preserve">VolumeMode</t>
  </si>
  <si>
    <t xml:space="preserve">massKg</t>
  </si>
  <si>
    <t xml:space="preserve">CountsTowardInventoryLoad</t>
  </si>
  <si>
    <t xml:space="preserve">Transferable</t>
  </si>
  <si>
    <t xml:space="preserve">Droppable</t>
  </si>
  <si>
    <t xml:space="preserve">Lootable</t>
  </si>
  <si>
    <t xml:space="preserve">PersistsAfterSymbiontRemoval</t>
  </si>
  <si>
    <t xml:space="preserve">IconRequired</t>
  </si>
  <si>
    <t xml:space="preserve">DerivedProperties</t>
  </si>
  <si>
    <t xml:space="preserve">Lifecycle</t>
  </si>
  <si>
    <t xml:space="preserve">WEB_ITEM</t>
  </si>
  <si>
    <t xml:space="preserve">Готовая паутина Паука</t>
  </si>
  <si>
    <t xml:space="preserve">SERVICE_GENERATED_ITEM</t>
  </si>
  <si>
    <t xml:space="preserve">ONE_INSTANCE_PER_ACTIVATION</t>
  </si>
  <si>
    <t xml:space="preserve">NOT_MODELED</t>
  </si>
  <si>
    <t xml:space="preserve">NEVER_AUTO_MERGE</t>
  </si>
  <si>
    <t xml:space="preserve">loadCapacityKg=20×sourceLevelSnapshot; adhesionKgPerCm2=5×sourceLevelSnapshot</t>
  </si>
  <si>
    <t xml:space="preserve">Обычный инвентарь; передача, выбрасывание и мародёрство разрешены. Общая масса/вместимость инвентаря приложением не моделируется.</t>
  </si>
  <si>
    <t xml:space="preserve">SYM-117; CORE-224; ISS-006</t>
  </si>
  <si>
    <t xml:space="preserve">Q-SYM-048; USR-2026-07-30-WEB-001</t>
  </si>
  <si>
    <t xml:space="preserve">Runtime-контракты Character, Skills &amp; Symbionts v1.2</t>
  </si>
  <si>
    <t xml:space="preserve">Типизированные поля базового персонажа, симбионта и исполнения способности. XP-событие и политики маршрутизации вынесены в отдельный машинный контракт 24_XP_Runtime.</t>
  </si>
  <si>
    <t xml:space="preserve">A. Registry Contract</t>
  </si>
  <si>
    <t xml:space="preserve">ContractKey</t>
  </si>
  <si>
    <t xml:space="preserve">NormativeValue</t>
  </si>
  <si>
    <t xml:space="preserve">RuleRef</t>
  </si>
  <si>
    <t xml:space="preserve">Consumer</t>
  </si>
  <si>
    <t xml:space="preserve">registryVersion</t>
  </si>
  <si>
    <t xml:space="preserve">Registry passport</t>
  </si>
  <si>
    <t xml:space="preserve">All consumers</t>
  </si>
  <si>
    <t xml:space="preserve">catalogVersion</t>
  </si>
  <si>
    <t xml:space="preserve">Runtime contract</t>
  </si>
  <si>
    <t xml:space="preserve">Campaign / services</t>
  </si>
  <si>
    <t xml:space="preserve">builtAgainstTuple</t>
  </si>
  <si>
    <t xml:space="preserve">Rules v1.6 | Character-Skills-Symbionts v1.1 | Items v1.5_with_icons | Bestiary v1.3 | Sentient v1.2</t>
  </si>
  <si>
    <t xml:space="preserve">Frozen v1.1 payload baseline</t>
  </si>
  <si>
    <t xml:space="preserve">Legacy payload deserializer</t>
  </si>
  <si>
    <t xml:space="preserve">sourcePriority</t>
  </si>
  <si>
    <t xml:space="preserve">User decisions 2026-08-01 &gt; v1.2 extension &gt; v1.1 builtAgainst &gt; earlier Q&amp;A</t>
  </si>
  <si>
    <t xml:space="preserve">Q-GM-XP-001; Q-ENEMY-B14</t>
  </si>
  <si>
    <t xml:space="preserve">Resolver</t>
  </si>
  <si>
    <t xml:space="preserve">skillRequirementStage</t>
  </si>
  <si>
    <t xml:space="preserve">CORE-081/167</t>
  </si>
  <si>
    <t xml:space="preserve">Character service</t>
  </si>
  <si>
    <t xml:space="preserve">startSkillSlots</t>
  </si>
  <si>
    <t xml:space="preserve">ceil(skillStageStats.W/2); mandatory fill</t>
  </si>
  <si>
    <t xml:space="preserve">CORE-081/159/AQA-004</t>
  </si>
  <si>
    <t xml:space="preserve">trainingSlotLedger</t>
  </si>
  <si>
    <t xml:space="preserve">monotonic maxEverIssued=floor(permanentW/2)</t>
  </si>
  <si>
    <t xml:space="preserve">CORE-081/Q-CORE-051</t>
  </si>
  <si>
    <t xml:space="preserve">Skill service</t>
  </si>
  <si>
    <t xml:space="preserve">skillLevelFormula</t>
  </si>
  <si>
    <t xml:space="preserve">+1..+5 costs 1..5; after +5 each +1 costs +2 slots</t>
  </si>
  <si>
    <t xml:space="preserve">CORE-165</t>
  </si>
  <si>
    <t xml:space="preserve">genericSkillXP</t>
  </si>
  <si>
    <t xml:space="preserve">NOT_DEFINED_DO_NOT_INVENT</t>
  </si>
  <si>
    <t xml:space="preserve">Approved source gap</t>
  </si>
  <si>
    <t xml:space="preserve">symbiontNodeCost</t>
  </si>
  <si>
    <t xml:space="preserve">XP cost equals node level; L=max learned available node level</t>
  </si>
  <si>
    <t xml:space="preserve">SYM-022/024</t>
  </si>
  <si>
    <t xml:space="preserve">Symbiont service</t>
  </si>
  <si>
    <t xml:space="preserve">abilityContexts</t>
  </si>
  <si>
    <t xml:space="preserve">Exactly COMBAT and PEACE for every automated ability</t>
  </si>
  <si>
    <t xml:space="preserve">Q-APP-001/002</t>
  </si>
  <si>
    <t xml:space="preserve">Ability service</t>
  </si>
  <si>
    <t xml:space="preserve">manualNodes</t>
  </si>
  <si>
    <t xml:space="preserve">Tree topology only; no executable behavior</t>
  </si>
  <si>
    <t xml:space="preserve">Q&amp;A automation decisions</t>
  </si>
  <si>
    <t xml:space="preserve">webItemNamespace</t>
  </si>
  <si>
    <t xml:space="preserve">GeneratedObjectType; not ItemTypeID</t>
  </si>
  <si>
    <t xml:space="preserve">SYM-117/USR-2026-07-30-WEB-001</t>
  </si>
  <si>
    <t xml:space="preserve">Inventory service</t>
  </si>
  <si>
    <t xml:space="preserve">inventoryLoad</t>
  </si>
  <si>
    <t xml:space="preserve">NOT_MODELED; massKg optional per instance</t>
  </si>
  <si>
    <t xml:space="preserve">ISS-006/CORE-130/131</t>
  </si>
  <si>
    <t xml:space="preserve">symbioticMonsterSlots</t>
  </si>
  <si>
    <t xml:space="preserve">4 base slots</t>
  </si>
  <si>
    <t xml:space="preserve">MON-001</t>
  </si>
  <si>
    <t xml:space="preserve">chimeraExtraSlots</t>
  </si>
  <si>
    <t xml:space="preserve">Confirmed Devouring history only; initial 0</t>
  </si>
  <si>
    <t xml:space="preserve">MON-006/007/010</t>
  </si>
  <si>
    <t xml:space="preserve">puppeteerPlagueExtras</t>
  </si>
  <si>
    <t xml:space="preserve">FORBIDDEN</t>
  </si>
  <si>
    <t xml:space="preserve">adviserAlias</t>
  </si>
  <si>
    <t xml:space="preserve">Canonical ADVISER; compatibility alias ADVISOR</t>
  </si>
  <si>
    <t xml:space="preserve">Rules/Sentient compatibility</t>
  </si>
  <si>
    <t xml:space="preserve">Deserializer</t>
  </si>
  <si>
    <t xml:space="preserve">manifestIntegration</t>
  </si>
  <si>
    <t xml:space="preserve">NORMATIVE_ARTIFACT_IN_MANIFEST_V1.2</t>
  </si>
  <si>
    <t xml:space="preserve">Development Baseline Manifest v1.2</t>
  </si>
  <si>
    <t xml:space="preserve">Release tooling / CI</t>
  </si>
  <si>
    <t xml:space="preserve">forwardCompatibility</t>
  </si>
  <si>
    <t xml:space="preserve">Current extension tuple=Rules v1.7 | Character-Skills-Symbionts v1.2 | Items v1.6_with_icons | Bestiary v1.4 | Sentient v1.2; frozen Sentient Registry/Runtime Pack v1.2 accepted only with SHA-256=614f0da1c3128aebbb28d67a68a89ccd189a067c57d407c92536425e46072cdc. New GM/player and generator contracts do not alter SYSTEM_SENTIENT_ENEMY/NO_XP_PROGRESSION payload semantics.</t>
  </si>
  <si>
    <t xml:space="preserve">Manifest v1.2 compatibility assertion</t>
  </si>
  <si>
    <t xml:space="preserve">Importer / CI</t>
  </si>
  <si>
    <t xml:space="preserve">B. CharacterProfile Fields</t>
  </si>
  <si>
    <t xml:space="preserve">Field</t>
  </si>
  <si>
    <t xml:space="preserve">Scope</t>
  </si>
  <si>
    <t xml:space="preserve">Data type</t>
  </si>
  <si>
    <t xml:space="preserve">Required</t>
  </si>
  <si>
    <t xml:space="preserve">Default</t>
  </si>
  <si>
    <t xml:space="preserve">Validation / constraint</t>
  </si>
  <si>
    <t xml:space="preserve">Purpose</t>
  </si>
  <si>
    <t xml:space="preserve">characterId</t>
  </si>
  <si>
    <t xml:space="preserve">CharacterProfile</t>
  </si>
  <si>
    <t xml:space="preserve">UUID</t>
  </si>
  <si>
    <t xml:space="preserve">new UUID</t>
  </si>
  <si>
    <t xml:space="preserve">Unique</t>
  </si>
  <si>
    <t xml:space="preserve">Character identity</t>
  </si>
  <si>
    <t xml:space="preserve">CORE-196</t>
  </si>
  <si>
    <t xml:space="preserve">raceCode</t>
  </si>
  <si>
    <t xml:space="preserve">enum</t>
  </si>
  <si>
    <t xml:space="preserve">PURE|FREE|UNITED</t>
  </si>
  <si>
    <t xml:space="preserve">Race</t>
  </si>
  <si>
    <t xml:space="preserve">CORE-001/006/008</t>
  </si>
  <si>
    <t xml:space="preserve">pureClassCode</t>
  </si>
  <si>
    <t xml:space="preserve">enum|null</t>
  </si>
  <si>
    <t xml:space="preserve">Required only for PURE</t>
  </si>
  <si>
    <t xml:space="preserve">Pure class</t>
  </si>
  <si>
    <t xml:space="preserve">CORE-008/009/010/013</t>
  </si>
  <si>
    <t xml:space="preserve">baseStats</t>
  </si>
  <si>
    <t xml:space="preserve">StatMap</t>
  </si>
  <si>
    <t xml:space="preserve">S,D,M,Z,I,W,C</t>
  </si>
  <si>
    <t xml:space="preserve">Accepted creation values</t>
  </si>
  <si>
    <t xml:space="preserve">CORE-160..163</t>
  </si>
  <si>
    <t xml:space="preserve">skillStageStats</t>
  </si>
  <si>
    <t xml:space="preserve">base+race+class before symbionts</t>
  </si>
  <si>
    <t xml:space="preserve">Eligibility witness</t>
  </si>
  <si>
    <t xml:space="preserve">effectiveStats</t>
  </si>
  <si>
    <t xml:space="preserve">&gt;=1 after active permanent modifiers</t>
  </si>
  <si>
    <t xml:space="preserve">Runtime stats</t>
  </si>
  <si>
    <t xml:space="preserve">CORE-078/079</t>
  </si>
  <si>
    <t xml:space="preserve">equippedStats</t>
  </si>
  <si>
    <t xml:space="preserve">effective+equipped item modifiers</t>
  </si>
  <si>
    <t xml:space="preserve">Combat input</t>
  </si>
  <si>
    <t xml:space="preserve">CORE-079</t>
  </si>
  <si>
    <t xml:space="preserve">skills</t>
  </si>
  <si>
    <t xml:space="preserve">SkillInstance[]</t>
  </si>
  <si>
    <t xml:space="preserve">[]</t>
  </si>
  <si>
    <t xml:space="preserve">SkillKey FK</t>
  </si>
  <si>
    <t xml:space="preserve">Learned skills</t>
  </si>
  <si>
    <t xml:space="preserve">CORE-165/167</t>
  </si>
  <si>
    <t xml:space="preserve">integer</t>
  </si>
  <si>
    <t xml:space="preserve">ceil(skillStageStats.W/2)</t>
  </si>
  <si>
    <t xml:space="preserve">All filled before final save</t>
  </si>
  <si>
    <t xml:space="preserve">CORE-081/159</t>
  </si>
  <si>
    <t xml:space="preserve">trainingSlotsEverIssued</t>
  </si>
  <si>
    <t xml:space="preserve">Monotonic</t>
  </si>
  <si>
    <t xml:space="preserve">Training ledger</t>
  </si>
  <si>
    <t xml:space="preserve">symbionts</t>
  </si>
  <si>
    <t xml:space="preserve">SymbiontInstance[]</t>
  </si>
  <si>
    <t xml:space="preserve">Race and slot policy</t>
  </si>
  <si>
    <t xml:space="preserve">Symbiont container</t>
  </si>
  <si>
    <t xml:space="preserve">SYM-001/002</t>
  </si>
  <si>
    <t xml:space="preserve">maxHP</t>
  </si>
  <si>
    <t xml:space="preserve">Explicit modifiers then clamp currentHP</t>
  </si>
  <si>
    <t xml:space="preserve">Health resource</t>
  </si>
  <si>
    <t xml:space="preserve">CORE-077/152/198</t>
  </si>
  <si>
    <t xml:space="preserve">currentHP</t>
  </si>
  <si>
    <t xml:space="preserve">0..maxHP</t>
  </si>
  <si>
    <t xml:space="preserve">Current health</t>
  </si>
  <si>
    <t xml:space="preserve">CORE-077</t>
  </si>
  <si>
    <t xml:space="preserve">symbiontXpProgressPoints</t>
  </si>
  <si>
    <t xml:space="preserve">0..2; не смешивать с CORE-085 counters</t>
  </si>
  <si>
    <t xml:space="preserve">Остаток общего счётчика XP симбионтов</t>
  </si>
  <si>
    <t xml:space="preserve">SYM-021; USR-2026-07-30-XP-001</t>
  </si>
  <si>
    <t xml:space="preserve">unallocatedSymbiontXp</t>
  </si>
  <si>
    <t xml:space="preserve">&gt;=0; сохраняется без симбионтов и не распределяется автоматически</t>
  </si>
  <si>
    <t xml:space="preserve">Накопленный XP для ручного распределения</t>
  </si>
  <si>
    <t xml:space="preserve">CORE-007; SYM-021; USR-2026-07-30-XP-001</t>
  </si>
  <si>
    <t xml:space="preserve">C. SymbiontInstance Fields</t>
  </si>
  <si>
    <t xml:space="preserve">symbiontInstanceId</t>
  </si>
  <si>
    <t xml:space="preserve">SymbiontInstance</t>
  </si>
  <si>
    <t xml:space="preserve">Unique deep clone</t>
  </si>
  <si>
    <t xml:space="preserve">Instance identity</t>
  </si>
  <si>
    <t xml:space="preserve">CORE-225</t>
  </si>
  <si>
    <t xml:space="preserve">speciesKey</t>
  </si>
  <si>
    <t xml:space="preserve">FK SymbiontCatalog</t>
  </si>
  <si>
    <t xml:space="preserve">Species</t>
  </si>
  <si>
    <t xml:space="preserve">targetL</t>
  </si>
  <si>
    <t xml:space="preserve">1..species.maxL</t>
  </si>
  <si>
    <t xml:space="preserve">Requested/imported level</t>
  </si>
  <si>
    <t xml:space="preserve">CORE-203/216</t>
  </si>
  <si>
    <t xml:space="preserve">effectiveL</t>
  </si>
  <si>
    <t xml:space="preserve">max learned available node level</t>
  </si>
  <si>
    <t xml:space="preserve">Active level</t>
  </si>
  <si>
    <t xml:space="preserve">SYM-024/025</t>
  </si>
  <si>
    <t xml:space="preserve">branchChoices</t>
  </si>
  <si>
    <t xml:space="preserve">string[]</t>
  </si>
  <si>
    <t xml:space="preserve">OR/XOR/AND valid</t>
  </si>
  <si>
    <t xml:space="preserve">Branch state</t>
  </si>
  <si>
    <t xml:space="preserve">SYM-023</t>
  </si>
  <si>
    <t xml:space="preserve">learnedNodeRefs</t>
  </si>
  <si>
    <t xml:space="preserve">NodeRef[]</t>
  </si>
  <si>
    <t xml:space="preserve">L1 roots</t>
  </si>
  <si>
    <t xml:space="preserve">All refs resolve</t>
  </si>
  <si>
    <t xml:space="preserve">SYM-020/022</t>
  </si>
  <si>
    <t xml:space="preserve">maxOE</t>
  </si>
  <si>
    <t xml:space="preserve">profile formula</t>
  </si>
  <si>
    <t xml:space="preserve">Recalculate on L/effect change</t>
  </si>
  <si>
    <t xml:space="preserve">SYM-009</t>
  </si>
  <si>
    <t xml:space="preserve">currentOE</t>
  </si>
  <si>
    <t xml:space="preserve">0..maxOE; transplant=0</t>
  </si>
  <si>
    <t xml:space="preserve">Current energy</t>
  </si>
  <si>
    <t xml:space="preserve">SYM-006/009</t>
  </si>
  <si>
    <t xml:space="preserve">initialRuntimeState</t>
  </si>
  <si>
    <t xml:space="preserve">object</t>
  </si>
  <si>
    <t xml:space="preserve">{}</t>
  </si>
  <si>
    <t xml:space="preserve">Typed per species; histories explicit</t>
  </si>
  <si>
    <t xml:space="preserve">Stateful abilities</t>
  </si>
  <si>
    <t xml:space="preserve">CORE-216</t>
  </si>
  <si>
    <t xml:space="preserve">deepClone</t>
  </si>
  <si>
    <t xml:space="preserve">boolean</t>
  </si>
  <si>
    <t xml:space="preserve">Always true on instantiation</t>
  </si>
  <si>
    <t xml:space="preserve">Isolation</t>
  </si>
  <si>
    <t xml:space="preserve">slotCost</t>
  </si>
  <si>
    <t xml:space="preserve">catalog value</t>
  </si>
  <si>
    <t xml:space="preserve">Ordinary 1; monster 4 except explicit change</t>
  </si>
  <si>
    <t xml:space="preserve">Capacity</t>
  </si>
  <si>
    <t xml:space="preserve">SYM-002/MON-001</t>
  </si>
  <si>
    <t xml:space="preserve">monsterProfileID</t>
  </si>
  <si>
    <t xml:space="preserve">string|null</t>
  </si>
  <si>
    <t xml:space="preserve">Required for symbiotic monster template</t>
  </si>
  <si>
    <t xml:space="preserve">Monster profile</t>
  </si>
  <si>
    <t xml:space="preserve">extraSlotCount</t>
  </si>
  <si>
    <t xml:space="preserve">Only Chimera; confirmed history; max 3</t>
  </si>
  <si>
    <t xml:space="preserve">Additional slots</t>
  </si>
  <si>
    <t xml:space="preserve">MON-006/007</t>
  </si>
  <si>
    <t xml:space="preserve">devouringHistory</t>
  </si>
  <si>
    <t xml:space="preserve">object[]</t>
  </si>
  <si>
    <t xml:space="preserve">Append-only confirmations</t>
  </si>
  <si>
    <t xml:space="preserve">Chimera audit</t>
  </si>
  <si>
    <t xml:space="preserve">adviserCard</t>
  </si>
  <si>
    <t xml:space="preserve">object|null</t>
  </si>
  <si>
    <t xml:space="preserve">Only ADVISER; typed rolls/stats/skills</t>
  </si>
  <si>
    <t xml:space="preserve">Adviser identity</t>
  </si>
  <si>
    <t xml:space="preserve">SYM-096/097</t>
  </si>
  <si>
    <t xml:space="preserve">xp</t>
  </si>
  <si>
    <t xml:space="preserve">&gt;=0; списывается только на узлы развития</t>
  </si>
  <si>
    <t xml:space="preserve">Текущий опыт экземпляра</t>
  </si>
  <si>
    <t xml:space="preserve">SYM-021; SYM-022; SYM-055; USR-2026-07-30-XP-001</t>
  </si>
  <si>
    <t xml:space="preserve">effectsEnabled</t>
  </si>
  <si>
    <t xml:space="preserve">Пересчитывается по suppression policy</t>
  </si>
  <si>
    <t xml:space="preserve">Доступность эффектов и способностей</t>
  </si>
  <si>
    <t xml:space="preserve">SYM-038; SYM-075; USR-2026-07-30-XP-001</t>
  </si>
  <si>
    <t xml:space="preserve">xpEligible</t>
  </si>
  <si>
    <t xml:space="preserve">Независимо от effectsEnabled: TAIPAN/ADVISER=false при подавлении; PENGUIN=true</t>
  </si>
  <si>
    <t xml:space="preserve">Право получать прямой, распределённый и иной XP</t>
  </si>
  <si>
    <t xml:space="preserve">SYM-038; SYM-075; SYM-130; USR-2026-07-30-XP-001</t>
  </si>
  <si>
    <t xml:space="preserve">D. AbilityExecution Fields</t>
  </si>
  <si>
    <t xml:space="preserve">executionId</t>
  </si>
  <si>
    <t xml:space="preserve">AbilityExecution</t>
  </si>
  <si>
    <t xml:space="preserve">Audit identity</t>
  </si>
  <si>
    <t xml:space="preserve">SYM-011</t>
  </si>
  <si>
    <t xml:space="preserve">abilityId</t>
  </si>
  <si>
    <t xml:space="preserve">FK automated ability</t>
  </si>
  <si>
    <t xml:space="preserve">Selected ability</t>
  </si>
  <si>
    <t xml:space="preserve">Q-APP-002</t>
  </si>
  <si>
    <t xml:space="preserve">context</t>
  </si>
  <si>
    <t xml:space="preserve">COMBAT|PEACE</t>
  </si>
  <si>
    <t xml:space="preserve">Context routing</t>
  </si>
  <si>
    <t xml:space="preserve">actorId</t>
  </si>
  <si>
    <t xml:space="preserve">Active carrier/system actor</t>
  </si>
  <si>
    <t xml:space="preserve">Actor</t>
  </si>
  <si>
    <t xml:space="preserve">SYM-016</t>
  </si>
  <si>
    <t xml:space="preserve">targetRef</t>
  </si>
  <si>
    <t xml:space="preserve">EntityRef|null</t>
  </si>
  <si>
    <t xml:space="preserve">Context card target selector</t>
  </si>
  <si>
    <t xml:space="preserve">Target</t>
  </si>
  <si>
    <t xml:space="preserve">SYM-015</t>
  </si>
  <si>
    <t xml:space="preserve">parameters</t>
  </si>
  <si>
    <t xml:space="preserve">Typed by AbilityContext</t>
  </si>
  <si>
    <t xml:space="preserve">Ability context</t>
  </si>
  <si>
    <t xml:space="preserve">actionCost</t>
  </si>
  <si>
    <t xml:space="preserve">integer|typed</t>
  </si>
  <si>
    <t xml:space="preserve">Combat only unless explicit time</t>
  </si>
  <si>
    <t xml:space="preserve">Action accounting</t>
  </si>
  <si>
    <t xml:space="preserve">SYM-010/011</t>
  </si>
  <si>
    <t xml:space="preserve">resourceCost</t>
  </si>
  <si>
    <t xml:space="preserve">Prevalidated and atomically paid</t>
  </si>
  <si>
    <t xml:space="preserve">OE/other costs</t>
  </si>
  <si>
    <t xml:space="preserve">rolls</t>
  </si>
  <si>
    <t xml:space="preserve">RollSpec[]</t>
  </si>
  <si>
    <t xml:space="preserve">Independent dice semantics</t>
  </si>
  <si>
    <t xml:space="preserve">Roll definitions</t>
  </si>
  <si>
    <t xml:space="preserve">SYM-012/017</t>
  </si>
  <si>
    <t xml:space="preserve">attackResolution</t>
  </si>
  <si>
    <t xml:space="preserve">sourceKind=SYMBIONT_ABILITY</t>
  </si>
  <si>
    <t xml:space="preserve">Typed attack path</t>
  </si>
  <si>
    <t xml:space="preserve">SYM-013/014</t>
  </si>
  <si>
    <t xml:space="preserve">stateWrites</t>
  </si>
  <si>
    <t xml:space="preserve">Atomic after validation</t>
  </si>
  <si>
    <t xml:space="preserve">Result</t>
  </si>
  <si>
    <t xml:space="preserve">audit</t>
  </si>
  <si>
    <t xml:space="preserve">Inputs, costs, rolls, results, errors</t>
  </si>
  <si>
    <t xml:space="preserve">Reproducibility</t>
  </si>
  <si>
    <t xml:space="preserve">Операции приложения</t>
  </si>
  <si>
    <t xml:space="preserve">Команды и атомарные переходы состояния. XP-маршрутизация, конвертация баллов и ручное распределение выделены в самостоятельные операции.</t>
  </si>
  <si>
    <t xml:space="preserve">OperationID</t>
  </si>
  <si>
    <t xml:space="preserve">Command</t>
  </si>
  <si>
    <t xml:space="preserve">Validation</t>
  </si>
  <si>
    <t xml:space="preserve">State transition / result</t>
  </si>
  <si>
    <t xml:space="preserve">Error codes</t>
  </si>
  <si>
    <t xml:space="preserve">Rule IDs / source</t>
  </si>
  <si>
    <t xml:space="preserve">OP-CHAR-CREATE</t>
  </si>
  <si>
    <t xml:space="preserve">CREATE_CHARACTER</t>
  </si>
  <si>
    <t xml:space="preserve">PLAYER</t>
  </si>
  <si>
    <t xml:space="preserve">CREATION</t>
  </si>
  <si>
    <t xml:space="preserve">baseStats; raceCode; pureClass?; skill selections; symbiont selections</t>
  </si>
  <si>
    <t xml:space="preserve">Допустимый способ генерации; базовые характеристики; согласованный tuple реестров.</t>
  </si>
  <si>
    <t xml:space="preserve">Раса/класс → skillStageStats → ceil(W/2) стартовых слотов → требования навыков до симбионтов → состав симбионтов.</t>
  </si>
  <si>
    <t xml:space="preserve">Создать профиль; заполнить все обязательные стартовые слоты; затем применить симбионты и вывести effectiveStats.</t>
  </si>
  <si>
    <t xml:space="preserve">ERR_STATS; ERR_RACE_CLASS; ERR_SKILL_SLOTS; ERR_SKILL_REQ; ERR_SYMBIONT_SET</t>
  </si>
  <si>
    <t xml:space="preserve">CORE-159; CORE-160; CORE-161; CORE-162; CORE-163; CORE-165; CORE-167; CORE-196</t>
  </si>
  <si>
    <t xml:space="preserve">OP-SKILL-LEARN</t>
  </si>
  <si>
    <t xml:space="preserve">LEARN_OR_UPGRADE_SKILL</t>
  </si>
  <si>
    <t xml:space="preserve">PLAYER_OR_SYSTEM</t>
  </si>
  <si>
    <t xml:space="preserve">CREATION_OR_TRAINING</t>
  </si>
  <si>
    <t xml:space="preserve">skillKey; targetBonus; sourcePool</t>
  </si>
  <si>
    <t xml:space="preserve">Требования выполнены на применимом слое; достаточно слотов.</t>
  </si>
  <si>
    <t xml:space="preserve">slotCost=bonus для +1..+5; после +5 slotCost=5+2×plusCount. Универсальный XP-алгоритм не добавляется.</t>
  </si>
  <si>
    <t xml:space="preserve">Обновить learned skill и занятые слоты выбранного пула.</t>
  </si>
  <si>
    <t xml:space="preserve">ERR_SKILL_REQ; ERR_SKILL_CAPACITY; ERR_SKILL_KEY</t>
  </si>
  <si>
    <t xml:space="preserve">CORE-081; CORE-165; CORE-166; CORE-167</t>
  </si>
  <si>
    <t xml:space="preserve">OP-SKILL-REVALIDATE</t>
  </si>
  <si>
    <t xml:space="preserve">REVALIDATE_SKILLS</t>
  </si>
  <si>
    <t xml:space="preserve">SYSTEM</t>
  </si>
  <si>
    <t xml:space="preserve">STAT_CHANGE</t>
  </si>
  <si>
    <t xml:space="preserve">permanentStats; temporaryStats; learned skills</t>
  </si>
  <si>
    <t xml:space="preserve">Изменилась характеристика или лимит слотов.</t>
  </si>
  <si>
    <t xml:space="preserve">Временная потеря требования выключает навык без освобождения слотов; постоянная удаляет и освобождает; потеря W-capacity сама по себе навык не удаляет.</t>
  </si>
  <si>
    <t xml:space="preserve">Обновить active/removed/overfilled flags и training-slot ledger.</t>
  </si>
  <si>
    <t xml:space="preserve">ERR_NONE</t>
  </si>
  <si>
    <t xml:space="preserve">CORE-081; Q-CORE-024; Q-CORE-051</t>
  </si>
  <si>
    <t xml:space="preserve">OP-SYMBIONT-ADD</t>
  </si>
  <si>
    <t xml:space="preserve">ADD_SYMBIONT</t>
  </si>
  <si>
    <t xml:space="preserve">PLAYER_OR_GM</t>
  </si>
  <si>
    <t xml:space="preserve">CREATION_OR_RUNTIME</t>
  </si>
  <si>
    <t xml:space="preserve">speciesKey; acquisitionMode; targetL?; learnedNodeRefs?</t>
  </si>
  <si>
    <t xml:space="preserve">Раса допускает вид; уникальный вид; достаточно слотов.</t>
  </si>
  <si>
    <t xml:space="preserve">SYM-001/002; несовместимости; четыре базовых слота чудовища; отдельная история Химеры.</t>
  </si>
  <si>
    <t xml:space="preserve">Создать deep-clone экземпляра. Новый экземпляр начинает с full currentOE, пересаженный — с 0.</t>
  </si>
  <si>
    <t xml:space="preserve">ERR_RACE; ERR_DUPLICATE_SPECIES; ERR_SLOT_CAPACITY; ERR_INCOMPATIBILITY</t>
  </si>
  <si>
    <t xml:space="preserve">SYM-001; SYM-002; SYM-006; SYM-009; MON-001</t>
  </si>
  <si>
    <t xml:space="preserve">OP-SYMBIONT-NODE</t>
  </si>
  <si>
    <t xml:space="preserve">LEARN_DEVELOPMENT_NODE</t>
  </si>
  <si>
    <t xml:space="preserve">PROGRESSION</t>
  </si>
  <si>
    <t xml:space="preserve">symbiontInstanceId; nodeRef</t>
  </si>
  <si>
    <t xml:space="preserve">Родители и выбор ветви валидны; достаточно XP.</t>
  </si>
  <si>
    <t xml:space="preserve">Цена=N XP; OR/XOR/AND; L=max(level learned available node).</t>
  </si>
  <si>
    <t xml:space="preserve">Списать XP; добавить nodeRef; пересчитать L, maxOE и доступность способностей.</t>
  </si>
  <si>
    <t xml:space="preserve">ERR_NODE_REF; ERR_PREREQUISITE; ERR_BRANCH_LOCK; ERR_XP</t>
  </si>
  <si>
    <t xml:space="preserve">SYM-022; SYM-023; SYM-024; SYM-025</t>
  </si>
  <si>
    <t xml:space="preserve">OP-ABILITY-COMBAT</t>
  </si>
  <si>
    <t xml:space="preserve">EXECUTE_SYMBIONT_ABILITY</t>
  </si>
  <si>
    <t xml:space="preserve">abilityId; actor; target; parameters</t>
  </si>
  <si>
    <t xml:space="preserve">COMBAT context allowed; ability active; target/resources/actions valid.</t>
  </si>
  <si>
    <t xml:space="preserve">Использовать CTX-&lt;AbilityID&gt;-COMBAT; боевые криты только по CORE-229.</t>
  </si>
  <si>
    <t xml:space="preserve">Атомарно списать цену и применить частный алгоритм.</t>
  </si>
  <si>
    <t xml:space="preserve">ERR_CONTEXT_FORBIDDEN; ERR_TARGET; ERR_RESOURCE; ERR_ACTION_COST</t>
  </si>
  <si>
    <t xml:space="preserve">SYM-010; SYM-011; SYM-013; CORE-229</t>
  </si>
  <si>
    <t xml:space="preserve">OP-ABILITY-PEACE</t>
  </si>
  <si>
    <t xml:space="preserve">abilityId; actor; target; parameters; GM confirmations</t>
  </si>
  <si>
    <t xml:space="preserve">PEACE context allowed; hostile action resolved by Q-APP-001 before payment.</t>
  </si>
  <si>
    <t xml:space="preserve">Использовать CTX-&lt;AbilityID&gt;-PEACE; боевой auto-outcome CORE-229 не переносится, но оригинальная natural 1/20 проходит общую XP-маршрутизацию SYM-021.</t>
  </si>
  <si>
    <t xml:space="preserve">Атомарно списать только прямо заданные ресурсы/время и применить мирный алгоритм.</t>
  </si>
  <si>
    <t xml:space="preserve">ERR_CONTEXT_FORBIDDEN; ERR_TARGET_CONSENT; ERR_GM_CONFIRMATION; ERR_RESOURCE</t>
  </si>
  <si>
    <t xml:space="preserve">Q-APP-001; Q-APP-002; CORE-229; SYM-021; USR-2026-07-30-XP-001</t>
  </si>
  <si>
    <t xml:space="preserve">OP-WEB-ITEM-CREATE</t>
  </si>
  <si>
    <t xml:space="preserve">CREATE_WEB_ITEM</t>
  </si>
  <si>
    <t xml:space="preserve">abilityId=SYM-117; sourceLevelSnapshot</t>
  </si>
  <si>
    <t xml:space="preserve">CTX-SYM-117-PEACE allowed; carrier is not CUSTOM_MONSTER.</t>
  </si>
  <si>
    <t xml:space="preserve">Не запрашивать время, длину, объём, массу или количество.</t>
  </si>
  <si>
    <t xml:space="preserve">Мгновенно создать один WEB_ITEM в инвентаре; massKg=null; load excluded; no auto merge.</t>
  </si>
  <si>
    <t xml:space="preserve">SYM-117; CORE-224; USR-2026-07-30-WEB-001</t>
  </si>
  <si>
    <t xml:space="preserve">OP-CHIMERA-DEVOUR</t>
  </si>
  <si>
    <t xml:space="preserve">RECORD_CONFIRMED_DEVOURING</t>
  </si>
  <si>
    <t xml:space="preserve">GM</t>
  </si>
  <si>
    <t xml:space="preserve">RUNTIME</t>
  </si>
  <si>
    <t xml:space="preserve">chimeraInstanceId; devouredProfile; confirmed threshold result</t>
  </si>
  <si>
    <t xml:space="preserve">В теле есть Химера; событие подтверждено мастером.</t>
  </si>
  <si>
    <t xml:space="preserve">История неизменяемо дополняется; extraSlots выводится только из подтверждённых порогов; максимум +3.</t>
  </si>
  <si>
    <t xml:space="preserve">devouredCount +=1; append devouringHistory; возможно extraSlots +=1.</t>
  </si>
  <si>
    <t xml:space="preserve">ERR_NOT_CHIMERA; ERR_UNCONFIRMED_DEVOURING; ERR_SLOT_LIMIT</t>
  </si>
  <si>
    <t xml:space="preserve">MON-006; MON-007; MON-010</t>
  </si>
  <si>
    <t xml:space="preserve">OP-FULL-REST</t>
  </si>
  <si>
    <t xml:space="preserve">APPLY_FULL_REST</t>
  </si>
  <si>
    <t xml:space="preserve">SYSTEM_WITH_GM_CONFIRMATION</t>
  </si>
  <si>
    <t xml:space="preserve">rest progress; last beneficial rest; active symbionts</t>
  </si>
  <si>
    <t xml:space="preserve">Накоплено 240 минут; скользящий 24-часовой лимит допускает пользу.</t>
  </si>
  <si>
    <t xml:space="preserve">Прерывания и дозоры по SYM-007; пауза приложения время не начисляет.</t>
  </si>
  <si>
    <t xml:space="preserve">HP += Z с clamp; active symbiont currentOE=maxOE; записать timestamp пользы.</t>
  </si>
  <si>
    <t xml:space="preserve">ERR_REST_INCOMPLETE; ERR_REST_COOLDOWN</t>
  </si>
  <si>
    <t xml:space="preserve">SYM-007; CORE-077</t>
  </si>
  <si>
    <t xml:space="preserve">OP-SENTIENT-IMPORT</t>
  </si>
  <si>
    <t xml:space="preserve">VALIDATE_SENTIENT_TEMPLATE</t>
  </si>
  <si>
    <t xml:space="preserve">IMPORT</t>
  </si>
  <si>
    <t xml:space="preserve">Sentient Registry v1.2 payload</t>
  </si>
  <si>
    <t xml:space="preserve">Sentient Registry v1.2 and Runtime Pack v1.2; package SHA-256=614f0da1c3128aebbb28d67a68a89ccd189a067c57d407c92536425e46072cdc. Embedded dependency tuple is treated as builtAgainst, not an equality assertion against the current app.</t>
  </si>
  <si>
    <t xml:space="preserve">Validate all 44 templates and all internal hashes; require NO_XP_PROGRESSION. Accept only the frozen v1.2 version+SHA allowlist and a Manifest v1.2 forwardCompatibility assertion.</t>
  </si>
  <si>
    <t xml:space="preserve">Принять неизменяемый шаблон или отклонить целиком.</t>
  </si>
  <si>
    <t xml:space="preserve">ERR_RUNTIME_PACK_VERSION; ERR_RUNTIME_PACK_SHA; ERR_FOREIGN_KEY; ERR_TEMPLATE_INVARIANT; ERR_FORWARD_COMPATIBILITY</t>
  </si>
  <si>
    <t xml:space="preserve">CORE-196; CORE-216; CORE-227; Manifest v1.2</t>
  </si>
  <si>
    <t xml:space="preserve">OP-SYMBIONT-XP-ROUTE</t>
  </si>
  <si>
    <t xml:space="preserve">ROUTE_SYMBIONT_XP_EVENT</t>
  </si>
  <si>
    <t xml:space="preserve">COMBAT_OR_PEACE</t>
  </si>
  <si>
    <t xml:space="preserve">Все 19 полей SymbiontXpEvent</t>
  </si>
  <si>
    <t xml:space="preserve">Оригинальный D20 или аудируемое исключение; actorCharacterId разрешён.</t>
  </si>
  <si>
    <t xml:space="preserve">Проверить actorType, rawFace, rollKind, source flags, modifierStatCodes, xpEligible, уникальность (actorCharacterId,originRollId) и race policy.</t>
  </si>
  <si>
    <t xml:space="preserve">Атомарно выбрать DIRECT_SYMBIONT, CHARACTER_PROGRESS_COUNTER или NEVER_PROGRESSION; записать processingStatus и не более одного state delta.</t>
  </si>
  <si>
    <t xml:space="preserve">ERR_XP_EVENT_INVALID; ERR_DUPLICATE_ORIGIN_ROLL; ERR_FOREIGN_KEY; ERR_XP_POLICY</t>
  </si>
  <si>
    <t xml:space="preserve">SYM-021; CORE-007; CORE-229; USR-2026-07-30-XP-001</t>
  </si>
  <si>
    <t xml:space="preserve">OP-SYMBIONT-XP-CONVERT</t>
  </si>
  <si>
    <t xml:space="preserve">CONVERT_SYMBIONT_XP_POINTS</t>
  </si>
  <si>
    <t xml:space="preserve">ATOMIC_SUBSTEP</t>
  </si>
  <si>
    <t xml:space="preserve">actorCharacterId; eventPoints; originRollId</t>
  </si>
  <si>
    <t xml:space="preserve">progressionRoute=CHARACTER_PROGRESS_COUNTER; event ещё не применён.</t>
  </si>
  <si>
    <t xml:space="preserve">total=oldProgressPoints+eventPoints; gained=floor(total/3); remainder=total mod 3; race multiplier к баллам/порогу не применять.</t>
  </si>
  <si>
    <t xml:space="preserve">unallocatedSymbiontXp += gained; symbiontXpProgressPoints=remainder в той же транзакции ROUTE.</t>
  </si>
  <si>
    <t xml:space="preserve">ERR_XP_EVENT_INVALID; ERR_DUPLICATE_ORIGIN_ROLL</t>
  </si>
  <si>
    <t xml:space="preserve">OP-SYMBIONT-XP-ALLOCATE</t>
  </si>
  <si>
    <t xml:space="preserve">ALLOCATE_UNASSIGNED_SYMBIONT_XP</t>
  </si>
  <si>
    <t xml:space="preserve">actorCharacterId; symbiontInstanceId; amount</t>
  </si>
  <si>
    <t xml:space="preserve">amount integer 1..unallocatedSymbiontXp; экземпляр принадлежит персонажу; xpEligible=true.</t>
  </si>
  <si>
    <t xml:space="preserve">Не использовать effectsEnabled как замену xpEligible; FREE allocation multiplier=2, остальные=1; множитель применить ровно один раз.</t>
  </si>
  <si>
    <t xml:space="preserve">Атомарно unallocatedSymbiontXp -= amount; symbiont.xp += amount×race.allocationXpMultiplier; записать аудит.</t>
  </si>
  <si>
    <t xml:space="preserve">ERR_XP_AMOUNT; ERR_XP_NOT_AVAILABLE; ERR_SYMBIONT_NOT_OWNED; ERR_XP_INELIGIBLE</t>
  </si>
  <si>
    <t xml:space="preserve">OP-SYMBIONT-XP-GM-AWARD</t>
  </si>
  <si>
    <t xml:space="preserve">GM_GRANT_SYMBIONT_XP</t>
  </si>
  <si>
    <t xml:space="preserve">SAFE_BOUNDARY</t>
  </si>
  <si>
    <t xml:space="preserve">awardId; masterUserId; actorCharacterId; symbiontInstanceId; baseXP; reason</t>
  </si>
  <si>
    <t xml:space="preserve">PLAYER_CHARACTER; target owned and xpEligible; baseXP integer &gt;=1; reason non-empty; awardId unique.</t>
  </si>
  <si>
    <t xml:space="preserve">FREE multiplier=2 else 1 exactly once; counter/unallocated/conversion untouched; identical retry idempotent.</t>
  </si>
  <si>
    <t xml:space="preserve">Atomically symbiont.xp += finalXP and append immutable receipt. No rollback/delete/negative/compensating operation exists.</t>
  </si>
  <si>
    <t xml:space="preserve">ERR_XP_AMOUNT; ERR_REASON_REQUIRED; ERR_ACTOR_TYPE; ERR_SYMBIONT_NOT_OWNED; ERR_XP_INELIGIBLE; ERR_AWARD_ID_CONFLICT; ERR_OPERATION_IMMUTABLE</t>
  </si>
  <si>
    <t xml:space="preserve">CORE-007; CORE-234; Q-GM-XP-001</t>
  </si>
  <si>
    <t xml:space="preserve">OP-ENEMY-GROUP-GENERATE</t>
  </si>
  <si>
    <t xml:space="preserve">GENERATE_ENEMY_GROUP</t>
  </si>
  <si>
    <t xml:space="preserve">COMBAT_SETUP</t>
  </si>
  <si>
    <t xml:space="preserve">operationId; partyGroupSnapshot; allowedOrigins; seed</t>
  </si>
  <si>
    <t xml:space="preserve">No active unresolved atomic operation; active PLAYER_CHARACTER group snapshot is stable; current GM authorized.</t>
  </si>
  <si>
    <t xml:space="preserve">Random integer percent 80..150; targetTotal=round(partyStatTotal*percent/100); enemyCount oriented to average 80; seven random integer stats per enemy, each &lt;=35; actualTotal=targetTotal.</t>
  </si>
  <si>
    <t xml:space="preserve">Create preview only. ACCEPT_GENERATED_ENEMY_GROUP atomically deep-clones runtime instances into combat setup; cancel changes no game state.</t>
  </si>
  <si>
    <t xml:space="preserve">ERR_GROUP_SNAPSHOT; ERR_GENERATOR_RANGE; ERR_STAT_CAP; ERR_TARGET_TOTAL; ERR_SEED_EXHAUSTED; ERR_OPERATION_CONFLICT</t>
  </si>
  <si>
    <t xml:space="preserve">AQA-044; CORE-214; CORE-215; Q-ENEMY-B14</t>
  </si>
  <si>
    <t xml:space="preserve">Трассировка отбора автоматизации</t>
  </si>
  <si>
    <t xml:space="preserve">Доказывает границу scope: исполняемое поведение есть только у принятых автоматизируемых способностей; исключённые узлы представлены только метаданными решения.</t>
  </si>
  <si>
    <t xml:space="preserve">CandidateRuleID</t>
  </si>
  <si>
    <t xml:space="preserve">SourceQuestionID</t>
  </si>
  <si>
    <t xml:space="preserve">QuestionStatus</t>
  </si>
  <si>
    <t xml:space="preserve">DecisionCode</t>
  </si>
  <si>
    <t xml:space="preserve">IncludedAbilityID</t>
  </si>
  <si>
    <t xml:space="preserve">AcceptedEvidence</t>
  </si>
  <si>
    <t xml:space="preserve">LaterOverrideIDs</t>
  </si>
  <si>
    <t xml:space="preserve">RulesMirrorID</t>
  </si>
  <si>
    <t xml:space="preserve">CLOSED_ACCEPTED</t>
  </si>
  <si>
    <t xml:space="preserve">INCLUDED_AUTOMATED</t>
  </si>
  <si>
    <t xml:space="preserve">Rules implementation card + accepted Q&amp;A automation decision</t>
  </si>
  <si>
    <t xml:space="preserve">CLOSED_EXCLUDED_OR_NODE_ONLY</t>
  </si>
  <si>
    <t xml:space="preserve">NODE_ONLY_NO_EXECUTABLE_BEHAVIOR</t>
  </si>
  <si>
    <t xml:space="preserve">Topology retained; executable behavior intentionally omitted</t>
  </si>
  <si>
    <t xml:space="preserve">USR-2026-07-30-WEB-001</t>
  </si>
  <si>
    <t xml:space="preserve">Трассировка нормативных правил</t>
  </si>
  <si>
    <t xml:space="preserve">Дословное поле-в-поле зеркало Rules v1.6: status/mode/title/trigger/preconditions/algorithm/result/exceptions/costs/formulas/questions/source/priority.</t>
  </si>
  <si>
    <t xml:space="preserve">Статус</t>
  </si>
  <si>
    <t xml:space="preserve">Режим реализации</t>
  </si>
  <si>
    <t xml:space="preserve">Runtime trigger</t>
  </si>
  <si>
    <t xml:space="preserve">Предусловия</t>
  </si>
  <si>
    <t xml:space="preserve">Итоговый алгоритм</t>
  </si>
  <si>
    <t xml:space="preserve">State result</t>
  </si>
  <si>
    <t xml:space="preserve">Exceptions / priority</t>
  </si>
  <si>
    <t xml:space="preserve">Action/time cost</t>
  </si>
  <si>
    <t xml:space="preserve">Resource cost</t>
  </si>
  <si>
    <t xml:space="preserve">Rolls/formulas</t>
  </si>
  <si>
    <t xml:space="preserve">Источник карточки</t>
  </si>
  <si>
    <t xml:space="preserve">Активно</t>
  </si>
  <si>
    <t xml:space="preserve">Реализовать в игровом ядре</t>
  </si>
  <si>
    <t xml:space="preserve">Поправки Единого при создании</t>
  </si>
  <si>
    <t xml:space="preserve">выбор расы и способа выбора симбионтов.</t>
  </si>
  <si>
    <t xml:space="preserve">раса = Единый.</t>
  </si>
  <si>
    <t xml:space="preserve">random: S−=3, M−=6, Z−=6; manual: S−=7, M−=10, Z−=10; при проверке общения C_eff=C+5 против Единого, C_eff=C−15 против Чистого.</t>
  </si>
  <si>
    <t xml:space="preserve">постоянные расовые поправки; контекстный модификатор C.</t>
  </si>
  <si>
    <t xml:space="preserve">итоговые постоянные характеристики не ниже 1 по CORE-164; социальное разрешение проверки вне охвата.</t>
  </si>
  <si>
    <t xml:space="preserve">раса = Единый.
random: S−=3, M−=6, Z−=6; manual: S−=7, M−=10, Z−=10; при проверке общения C_eff=C+5 против Единого, C_eff=C−15 против Чистого.</t>
  </si>
  <si>
    <t xml:space="preserve">§3.2.6.1, стр. 48.</t>
  </si>
  <si>
    <t xml:space="preserve">Навык Единого «Идущий вслед за болью»</t>
  </si>
  <si>
    <t xml:space="preserve">создание Единого; соответствующая проверка.</t>
  </si>
  <si>
    <t xml:space="preserve">раса = Единый, пассивный источник активен.</t>
  </si>
  <si>
    <t xml:space="preserve">навык добавляется автоматически, не занимает слот; к указанным проверкам +15.</t>
  </si>
  <si>
    <t xml:space="preserve">постоянный навык и модификатор.</t>
  </si>
  <si>
    <t xml:space="preserve">социальная механика пыток вне охвата; бонус к самообладанию при пожаре применяется по CORE-114.</t>
  </si>
  <si>
    <t xml:space="preserve">§3.2.6.1.1, стр. 48.</t>
  </si>
  <si>
    <t xml:space="preserve">CORE-005</t>
  </si>
  <si>
    <t xml:space="preserve">Слоты симбионтов Единого</t>
  </si>
  <si>
    <t xml:space="preserve">создание или изменение состава симбионтов.</t>
  </si>
  <si>
    <t xml:space="preserve">вместимость = 4 слота; обычный симбионт занимает установленное его каталогом число слотов; «Симбиотическое чудовище» занимает все 4 и доступно только Единому.</t>
  </si>
  <si>
    <t xml:space="preserve">валидированный состав симбионтов.</t>
  </si>
  <si>
    <t xml:space="preserve">случайное получение чудовища — CORE-170.</t>
  </si>
  <si>
    <t xml:space="preserve">раса = Единый.
вместимость = 4 слота; обычный симбионт занимает установленное его каталогом число слотов; «Симбиотическое чудовище» занимает все 4 и доступно только Единому.</t>
  </si>
  <si>
    <t xml:space="preserve">§3.2.6.2, стр. 48.</t>
  </si>
  <si>
    <t xml:space="preserve">Поправки Вольного при создании</t>
  </si>
  <si>
    <t xml:space="preserve">выбор способа выбора симбионта.</t>
  </si>
  <si>
    <t xml:space="preserve">раса = Вольный.</t>
  </si>
  <si>
    <t xml:space="preserve">random: без расовой поправки; manual: S−=2, M−=2, Z−=2.</t>
  </si>
  <si>
    <t xml:space="preserve">постоянные расовые поправки.</t>
  </si>
  <si>
    <t xml:space="preserve">минимумы создания CORE-164.</t>
  </si>
  <si>
    <t xml:space="preserve">раса = Вольный.
random: без расовой поправки; manual: S−=2, M−=2, Z−=2.</t>
  </si>
  <si>
    <t xml:space="preserve">§3.3.6.1, стр. 55.</t>
  </si>
  <si>
    <t xml:space="preserve">CORE-007</t>
  </si>
  <si>
    <t xml:space="preserve">Симбионт и опыт Вольного</t>
  </si>
  <si>
    <t xml:space="preserve">создание; любое начисление XP симбионту.</t>
  </si>
  <si>
    <t xml:space="preserve">Если XP фактически начисляется симбионту Вольного, включая GM_DIRECT, применить multiplier=2 ровно один раз. Баллы и конвертация 3→1 не удваиваются и не участвуют в GM_DIRECT.</t>
  </si>
  <si>
    <t xml:space="preserve">directAward, allocatedAward и gmDirectAward получают ×2; counters создаются только обычным маршрутом.</t>
  </si>
  <si>
    <t xml:space="preserve">Не удваивать eventPoints до маршрутизации и не применять ×2 повторно после записи XP.</t>
  </si>
  <si>
    <t xml:space="preserve">effectiveSymbiontXP=baseXP×2; progressPointsMultiplier=1; conversionRate=3:1.</t>
  </si>
  <si>
    <t xml:space="preserve">Q-SYMBIONT-XP-001
Q-GM-XP-001</t>
  </si>
  <si>
    <t xml:space="preserve">Rules v1.7; прямое решение 2026-08-01</t>
  </si>
  <si>
    <t xml:space="preserve">CORE-008</t>
  </si>
  <si>
    <t xml:space="preserve">Выбор класса Чистого</t>
  </si>
  <si>
    <t xml:space="preserve">создание персонажа Чистого.</t>
  </si>
  <si>
    <t xml:space="preserve">раса = Чистый.</t>
  </si>
  <si>
    <t xml:space="preserve">Нормативная база (действует во всей непротиворечащей части):
выбрать ровно один класс; применить соответствующие CORE-009/010/013 и обязательный классовый навык, занимающий 1 слот.
Приоритетные авторские дельты (заменяют только прямо пересекающиеся ветви):
[Q-CORE-002] При создании персонажа после проброса очков характеристик (если выбрана раса Чистых). Когда переходим к выбору навыков классовый навык чистого уже должен быть изучен, занимать 1 слот навыков, а его модификаторы уже должны быть применены к характеристикам персонажа.</t>
  </si>
  <si>
    <t xml:space="preserve">класс, поправки, обязательный навык.</t>
  </si>
  <si>
    <t xml:space="preserve">порядок резервирования обязательного слота требует Q-CORE-002.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</si>
  <si>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t>
  </si>
  <si>
    <t xml:space="preserve">Q-CORE-002</t>
  </si>
  <si>
    <t xml:space="preserve">§3.4.6, стр. 62–64.</t>
  </si>
  <si>
    <t xml:space="preserve">Чистый Искатель</t>
  </si>
  <si>
    <t xml:space="preserve">выбор класса; соответствующая проверка.</t>
  </si>
  <si>
    <t xml:space="preserve">раса Чистый, класс Искатель.</t>
  </si>
  <si>
    <t xml:space="preserve">Нормативная база (действует во всей непротиворечащей части):
S+2, D+2, I+7, Z+5; контекстно C+5 с Чистыми, C−15 с Едиными; автоматически навык «Искатель Последнего Рассвета» (1 слот); +5 к изучению, поиску закономерности, крафту, ремонту, изобретательству, первой помощи, медицинским манипуляциям, выживанию в дикой природе и упреждающему удару.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Бонус к «Крафту» хранится в листе персонажа, но приложение не предоставляет runtime-действие создания предмета по Q-CORE-059.</t>
  </si>
  <si>
    <t xml:space="preserve">постоянные поправки и навык.</t>
  </si>
  <si>
    <t xml:space="preserve">разрешение небоевых/социальных действий вне охвата; боевые модификаторы применяются.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</si>
  <si>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Бонус к «Крафту» хранится в листе персонажа, но приложение не предоставляет runtime-действие создания предмета по Q-CORE-059.
разрешение небоевых/социальных действий вне охвата; боевые модификаторы применяются.</t>
  </si>
  <si>
    <t xml:space="preserve">[Обязательная правка] Эта формулировка имеет приоритет над исходным текстом карточки.</t>
  </si>
  <si>
    <t xml:space="preserve">§3.4.7.1, стр. 65.</t>
  </si>
  <si>
    <t xml:space="preserve">Чистый Сталкер: характеристики и пассив</t>
  </si>
  <si>
    <t xml:space="preserve">выбор класса; соответствующая проверка/экипировка.</t>
  </si>
  <si>
    <t xml:space="preserve">раса Чистый, класс Сталкер.</t>
  </si>
  <si>
    <t xml:space="preserve">S+2, D+5, M+5, Z+5; C+5 с Чистыми, C−10 с Едиными; навык «Сталкер Последнего Рассвета» занимает 1 слот и даёт +4 к прокладыванию маршрута, выслеживанию, обнаружению, скрытности, выживанию, осмотру, молниеносной реакции, уклонению, освобождению из пут; бесштрафное владение Кенси/Эривел/Эстрефорд/Айнцберн и Цесмором.</t>
  </si>
  <si>
    <t xml:space="preserve">постоянные поправки, бонусы и исключение штрафов владения.</t>
  </si>
  <si>
    <t xml:space="preserve">небоевые проверки хранятся как параметры, их разрешение вне охвата.</t>
  </si>
  <si>
    <t xml:space="preserve">C+5 с Чистыми, C−10 с Едиными; навык «Сталкер Последнего Рассвета» занимает 1 слот и даёт +4 к прокладыванию маршрута, выслеживанию, обнаружению, скрытности, выживанию, осмотру, молниеносной реакции, уклонению, освобождению из пут; бесштрафное владение Кенси/Эривел/Эстрефорд/Айнцберн и Цесмором.</t>
  </si>
  <si>
    <t xml:space="preserve">§3.4.7.2.1–3.4.7.2.2, стр. 65.</t>
  </si>
  <si>
    <t xml:space="preserve">Чистый Солдат</t>
  </si>
  <si>
    <t xml:space="preserve">выбор класса; соответствующее боевое действие.</t>
  </si>
  <si>
    <t xml:space="preserve">раса Чистый, класс Солдат.</t>
  </si>
  <si>
    <t xml:space="preserve">S+5, D+2, M+5, Z+5; C+5 с Чистыми, C−20 с Едиными; навык «Солдат Последнего Рассвета» занимает 1 слот и даёт +3 к точности ударов руками/ногами, борьбе, точности одноручного/полуторного меча, блокированию и точности ударов щитом; бесштрафны Кастелькросс/Цесмор/Гленхейм, Корнадора/Бларадэ, Кенси/Эривел/Эстрефорд/Айнцберн; смена цели ближней атаки не расходует действие.</t>
  </si>
  <si>
    <t xml:space="preserve">постоянные поправки и боевые исключения.</t>
  </si>
  <si>
    <t xml:space="preserve">необходимое перемещение к новой цели оплачивается обычными действиями.</t>
  </si>
  <si>
    <t xml:space="preserve">выбор класса; соответствующее боевое действие.
C+5 с Чистыми, C−20 с Едиными; навык «Солдат Последнего Рассвета» занимает 1 слот и даёт +3 к точности ударов руками/ногами, борьбе, точности одноручного/полуторного меча, блокированию и точности ударов щитом; бесштрафны Кастелькросс/Цесмор/Гленхейм, Корнадора/Бларадэ, Кенси/Эривел/Эстрефорд/Айнцберн; смена цели ближней атаки не расходует действие.
необходимое перемещение к новой цели оплачивается обычными действиями.</t>
  </si>
  <si>
    <t xml:space="preserve">§3.4.7.3, стр. 65–66.</t>
  </si>
  <si>
    <t xml:space="preserve">CORE-073</t>
  </si>
  <si>
    <t xml:space="preserve">Проверка характеристики</t>
  </si>
  <si>
    <t xml:space="preserve">мастер назначил проверку.</t>
  </si>
  <si>
    <t xml:space="preserve">игрок до броска заявил намерение и способ; мастер назвал характеристику, навык, сложность и очевидные последствия провала.</t>
  </si>
  <si>
    <t xml:space="preserve">Сначала зафиксировать ordinaryTotal=R20+characteristic+allowedModifiers. Если combat.active=true и проверка допускает критичность, сырая грань R20 проходит CORE-082–084 и CORE-229 до сравнения с difficulty: подтверждённый критический успех автоматически успешно разрешает текущую проверку независимо от ordinaryTotal; подтверждённый критический провал автоматически проваливает её. При grade=0 применяется обычное result≥difficulty. Вне боевой ситуации действует прежнее математическое сравнение; критическая градация сама по себе не меняет обычный исход.
После фиксации исходной натуральной грани передать оригинальный D20 в CORE-230; итог формулы 1/20 без rawFace не является событием прогрессии.</t>
  </si>
  <si>
    <t xml:space="preserve">finalCheckSuccess, ordinaryTotal, criticalPolarity, criticalGrade и причина разрешения.
Создаётся не более одного symbiontXpEvent на originRollId.</t>
  </si>
  <si>
    <t xml:space="preserve">чистые проверки CORE-074; критическая процедура CORE-082–CORE-085.
Боевой override применяется только к допускающей критичность проверке по CORE-229; исключённые виды бросков CORE-074/082 остаются исключёнными.
Manual и Auto используют одну серверную ветвь; броски подтверждения и подстановки исключены.</t>
  </si>
  <si>
    <t xml:space="preserve">R20, значение характеристики, применимые навыки/эффекты.
result=R20+characteristic+allowedModifiers; против фиксированной сложности result≥difficulty = успех.</t>
  </si>
  <si>
    <t xml:space="preserve">Q-COMBAT-CRIT-001
Q-SYMBIONT-XP-001</t>
  </si>
  <si>
    <t xml:space="preserve">§5.1, стр. 85–86.
Прямое уточнение пользователя 2026-07-29 — боевой приоритет критов
Прямое авторское решение Q-SYMBIONT-XP-001 — опыт симбионтов за natural 20/1, 2026-07-30</t>
  </si>
  <si>
    <t xml:space="preserve">Границы HP и ОЭ</t>
  </si>
  <si>
    <t xml:space="preserve">любое изменение текущего или максимального запаса.</t>
  </si>
  <si>
    <t xml:space="preserve">нет.</t>
  </si>
  <si>
    <t xml:space="preserve">clamp текущего в [0,currentMax]; избыточное восстановление пропадает; при временном снижении max текущий снизить до нового max, если выше; увеличение max само не восстанавливает текущий запас.</t>
  </si>
  <si>
    <t xml:space="preserve">валидный ресурс.</t>
  </si>
  <si>
    <t xml:space="preserve">тяжёлое ранение срабатывает при HP=0.</t>
  </si>
  <si>
    <t xml:space="preserve">валидный ресурс.
тяжёлое ранение срабатывает при HP=0.</t>
  </si>
  <si>
    <t xml:space="preserve">§5.1, стр. 86.</t>
  </si>
  <si>
    <t xml:space="preserve">CORE-078</t>
  </si>
  <si>
    <t xml:space="preserve">Постоянные характеристики и пределы</t>
  </si>
  <si>
    <t xml:space="preserve">создание или изменение характеристики.</t>
  </si>
  <si>
    <t xml:space="preserve">постоянное значение не ниже 1; ручное распределение до расовых/симбиотических поправок — не более 20 в одну характеристику; случайные значения, криты, раса, симбионты и развитие могут дать &gt;20; временный штраф может сделать итог проверки отрицательным, но не саму характеристику, если эффект не говорит иное.</t>
  </si>
  <si>
    <t xml:space="preserve">валидная характеристика.</t>
  </si>
  <si>
    <t xml:space="preserve">специальное последствие снижения ниже 1 сначала срабатывает, затем для расчётов значение 1.</t>
  </si>
  <si>
    <t xml:space="preserve">§5.1, стр. 86–87; §6.1, стр. 105.</t>
  </si>
  <si>
    <t xml:space="preserve">Порядок применения модификаторов характеристики</t>
  </si>
  <si>
    <t xml:space="preserve">пересчёт.</t>
  </si>
  <si>
    <t xml:space="preserve">имеются эффекты.</t>
  </si>
  <si>
    <t xml:space="preserve">1) постоянное значение; 2) временные прибавки/штрафы; 3) умножение/деление; 4) точная установка и явно названные min/max. «Становится равной/до» применяется после обычных модификаторов.</t>
  </si>
  <si>
    <t xml:space="preserve">итоговая характеристика.</t>
  </si>
  <si>
    <t xml:space="preserve">при несовместимых установках — более конкретная, при равной конкретности более ограничительная.</t>
  </si>
  <si>
    <t xml:space="preserve">база, раса, постоянное развитие/симбионты, временные ±, ×/÷, установки/min/max.</t>
  </si>
  <si>
    <t xml:space="preserve">§5.1, стр. 87.</t>
  </si>
  <si>
    <t xml:space="preserve">CORE-081</t>
  </si>
  <si>
    <t xml:space="preserve">Слоты навыков от Мудрости</t>
  </si>
  <si>
    <t xml:space="preserve">создание и изменение W.</t>
  </si>
  <si>
    <t xml:space="preserve">Нормативная база (действует во всей непротиворечащей части):
startSlots=ceil(W/2); отдельный trainingSlots=floor(W/2); повышение W после выбора навыков не добавляет стартовых слотов — новые считаются учебными; снижение W не удаляет уже полученные навыки.
Приоритетные авторские дельты (заменяют только прямо пересекающиеся ветви):
[Q-CORE-024] После выбора стартовых навыков фиксируется максимальное постоянное W, достигнутое персонажем. 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</si>
  <si>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ёмкости пулов и занятые слоты.</t>
  </si>
  <si>
    <t xml:space="preserve">поведение динамического учебного пула при последующем снижении/повышении W — Q-CORE-024.
Поздние дельты применяются по приоритету AQ3 &gt; AQ2 &gt; AQA/CQA &gt; базовая карточка; локальное исключение сильнее общего.</t>
  </si>
  <si>
    <t xml:space="preserve">startSlots=ceil(W/2); отдельный trainingSlots=floor(W/2); повышение W после выбора навыков не добавляет стартовых слотов — новые считаются учебными; снижение W не удаляет уже полученные навыки.
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</si>
  <si>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CORE-085</t>
  </si>
  <si>
    <t xml:space="preserve">Счётчик критов и рост характеристики</t>
  </si>
  <si>
    <t xml:space="preserve">подтверждённый критический успех или провал значимой проверки.</t>
  </si>
  <si>
    <t xml:space="preserve">характеристика действительно была прибавлена.</t>
  </si>
  <si>
    <t xml:space="preserve">Сохранить действующую механику роста характеристик за подтверждённые криты. Новый symbiontXpProgressPoints не является её общим крит-счётчиком и не заменяет characteristic progression.</t>
  </si>
  <si>
    <t xml:space="preserve">Событие роста характеристики и не более одного события опыта симбионтов могут сосуществовать у одного originRollId как разные типы событий.</t>
  </si>
  <si>
    <t xml:space="preserve">Запрет Q-CORE-025 на общий счётчик относится только к росту характеристик; он отменён новым решением лишь в части отдельного счётчика опыта симбионтов.</t>
  </si>
  <si>
    <t xml:space="preserve">характеристика действительно была прибавлена.
Нормативная база (действует во всей непротиворечащей части):
если характеристика одна — адресовать ей отметки; если несколько — равновероятно выбрать одну из действительно прибавленных; counter+=grade; за каждые 10 отметок characteristic+=1, остаток сохранить.</t>
  </si>
  <si>
    <t xml:space="preserve">grade (Crit=1, Double=2, Triple=3, Ultra=4, Rampage=5), список участвовавших характеристик.
если характеристика одна — адресовать ей отметки; если несколько — равновероятно выбрать одну из действительно прибавленных; counter+=grade; за каждые 10 отметок characteristic+=1, остаток сохранить.</t>
  </si>
  <si>
    <t xml:space="preserve">Q-CORE-025
Q-COMBAT-CRIT-001
Q-SYMBIONT-XP-001</t>
  </si>
  <si>
    <t xml:space="preserve">§5.2.1, стр. 87.
Прямое уточнение пользователя 2026-07-29 — боевой приоритет критов
Прямое авторское решение Q-SYMBIONT-XP-001 — опыт симбионтов за natural 20/1, 2026-07-30</t>
  </si>
  <si>
    <t xml:space="preserve">CORE-152</t>
  </si>
  <si>
    <t xml:space="preserve">Базовый запас HP и вход в тяжёлое ранение</t>
  </si>
  <si>
    <t xml:space="preserve">HP снижается до 0.</t>
  </si>
  <si>
    <t xml:space="preserve">симбиотическое улучшение не меняет максимум; базовый maxHP=100.</t>
  </si>
  <si>
    <t xml:space="preserve">Нормативная база (действует во всей непротиворечащей части):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Приоритетные авторские дельты (заменяют только прямо пересекающиеся ветви):
[Q-CORE-047] 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
[v1.3] База 100 не применяется к CustomMonster; его baseMaxHP задаёт мастер по CORE-202, а затем применяются симбиотические модификаторы.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</si>
  <si>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severelyWounded=true, HP=0, organ damaged.</t>
  </si>
  <si>
    <t xml:space="preserve">способ определения органа не задан; особая дееспособность CORE-154/таблетка CORE-069.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</si>
  <si>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</si>
  <si>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HP снижается до 0.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severelyWounded=true, HP=0, organ damaged.</t>
  </si>
  <si>
    <t xml:space="preserve">симбиотическое улучшение не меняет максимум; базовый maxHP=100.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severelyWounded=true, HP=0, organ damaged.</t>
  </si>
  <si>
    <t xml:space="preserve">Q-CORE-047
Q-ENEMY-B11
Q-PREDEV-008</t>
  </si>
  <si>
    <t xml:space="preserve">§5.5, стр. 104.
Прямое уточнение пользователя 2026-07-28 — шаблоны врагов v1.3
Предразработочный QA и прямые ответы пользователя 2026-07-29</t>
  </si>
  <si>
    <t xml:space="preserve">CORE-159</t>
  </si>
  <si>
    <t xml:space="preserve">Последовательность этапов создания</t>
  </si>
  <si>
    <t xml:space="preserve">начало создания.</t>
  </si>
  <si>
    <t xml:space="preserve">выбрана доступная игровая раса.</t>
  </si>
  <si>
    <t xml:space="preserve">Нормативная база (действует во всей непротиворечащей части):
1) получить/распределить 7 характеристик; 2) применить поправки выбранной расы (и класса Чистого); 3) рассчитать стартовые слоты и выбрать навыки; 4) Вольному/Единому выбрать симбионта(ов), применить их поправки; новые слоты W от симбионтов считать учебными; 5) определить стартовое имущество; финально проверить все характеристики ≥1, кроме специального пола случайных симбионтов.
Приоритетные авторские дельты (заменяют только прямо пересекающиеся ветви):
[Q-CORE-002] При создании персонажа после проброса очков характеристик (если выбрана раса Чистых). Когда переходим к выбору навыков классовый навык чистого уже должен быть изучен, занимать 1 слот навыков, а его модификаторы уже должны быть применены к характеристикам персонажа.
[v1.3] Ветвь SENTIENT_ENEMY повторяет процесс персонажа с заменой только этапа характеристик по CORE-197. Ветвь CUSTOM_MONSTER использует отдельный payload CORE-199 и пропускает навыки/имущество.</t>
  </si>
  <si>
    <t xml:space="preserve">валидный персонаж.</t>
  </si>
  <si>
    <t xml:space="preserve">текст одновременно говорит применять поправки расы и симбионтов после распределения, но симбионты выбираются после навыков; порядок классового навыка/слота Q-CORE-002.
Поздние дельты применяются по приоритету AQ3 &gt; AQ2 &gt; AQA/CQA &gt; базовая карточка; локальное исключение сильнее общего.</t>
  </si>
  <si>
    <t xml:space="preserve">Q-CORE-002
Q-ENEMY-P9
Q-ENEMY-P10</t>
  </si>
  <si>
    <t xml:space="preserve">§6.1–6.4, стр. 105–110; §3.4.6–3.4.7, стр. 62–66.
Прямое уточнение пользователя 2026-07-28 — шаблоны врагов v1.3</t>
  </si>
  <si>
    <t xml:space="preserve">CORE-160</t>
  </si>
  <si>
    <t xml:space="preserve">Классический способ характеристик</t>
  </si>
  <si>
    <t xml:space="preserve">выбор «Классический».</t>
  </si>
  <si>
    <t xml:space="preserve">Нормативная база (действует во всей непротиворечащей части):
бросить один набор 7; после просмотра либо принять и биективно распределить по 7 характеристикам, либо безвозвратно отвергнуть и вручную распределить ровно 90 очков, не более 20 в одну.
Приоритетные авторские дельты (заменяют только прямо пересекающиеся ветви):
[Q-CORE-048] При ручном распределении исходное значение характеристики не может быть меньше единицы, и не может быть отрицательным или превышать 20. Создание завершается только если после всех постоянных расовых, классовых и симбиотических поправок каждая характеристика равна не менее 1. При указании некорректного значения, оповещение для пользователя нужно выводить сразу.
[Q-CORE-049] 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</si>
  <si>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базовые характеристики и постоянные крит-модификаторы.</t>
  </si>
  <si>
    <t xml:space="preserve">минимальное ручное значение до поправок и момент подтверждения критов относительно решения — Q-CORE-048/Q-CORE-049.
Поздние дельты применяются по приоритету AQ3 &gt; AQ2 &gt; AQA/CQA &gt; базовая карточка; локальное исключение сильнее общего.</t>
  </si>
  <si>
    <t xml:space="preserve">7 независимых D20 и критические цепочки для 1/20.</t>
  </si>
  <si>
    <t xml:space="preserve">Q-CORE-048
Q-CORE-049</t>
  </si>
  <si>
    <t xml:space="preserve">§6.1.1.1, стр. 105.</t>
  </si>
  <si>
    <t xml:space="preserve">CORE-161</t>
  </si>
  <si>
    <t xml:space="preserve">Авантюристский способ характеристик</t>
  </si>
  <si>
    <t xml:space="preserve">выбор «Авантюристский».</t>
  </si>
  <si>
    <t xml:space="preserve">Нормативная база (действует во всей непротиворечащей части):
после первого либо принять, либо навсегда отказаться и бросить второй; второй либо принять, либо вручную распределить ровно 85 очков (max20 до поправок).
Приоритетные авторские дельты (заменяют только прямо пересекающиеся ветви):
[Q-CORE-048] При ручном распределении исходное значение характеристики не может быть меньше единицы, и не может быть отрицательным или превышать 20. Создание завершается только если после всех постоянных расовых, классовых и симбиотических поправок каждая характеристика равна не менее 1. При указании некорректного значения, оповещение для пользователя нужно выводить сразу.
[Q-CORE-049] 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</si>
  <si>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базовые значения.</t>
  </si>
  <si>
    <t xml:space="preserve">Q-CORE-048/Q-CORE-049.
Поздние дельты применяются по приоритету AQ3 &gt; AQ2 &gt; AQA/CQA &gt; базовая карточка; локальное исключение сильнее общего.</t>
  </si>
  <si>
    <t xml:space="preserve">до двух наборов по 7 D20.</t>
  </si>
  <si>
    <t xml:space="preserve">§6.1.1.2, стр. 105.</t>
  </si>
  <si>
    <t xml:space="preserve">CORE-162</t>
  </si>
  <si>
    <t xml:space="preserve">«Всё или ничего»</t>
  </si>
  <si>
    <t xml:space="preserve">выбор метода.</t>
  </si>
  <si>
    <t xml:space="preserve">Нормативная база (действует во всей непротиворечащей части):
после наборов 1–4 принять текущий либо безвозвратно перейти к следующему; пятый обязателен; ручного распределения нет.
Приоритетные авторские дельты (заменяют только прямо пересекающиеся ветви):
[Q-CORE-049] 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</si>
  <si>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принятый набор.</t>
  </si>
  <si>
    <t xml:space="preserve">Q-CORE-049 о времени критического подтверждения.
Поздние дельты применяются по приоритету AQ3 &gt; AQ2 &gt; AQA/CQA &gt; базовая карточка; локальное исключение сильнее общего.</t>
  </si>
  <si>
    <t xml:space="preserve">до 5 наборов по 7 D20.</t>
  </si>
  <si>
    <t xml:space="preserve">Q-CORE-049</t>
  </si>
  <si>
    <t xml:space="preserve">§6.1.1.3, стр. 105.</t>
  </si>
  <si>
    <t xml:space="preserve">CORE-163</t>
  </si>
  <si>
    <t xml:space="preserve">Критические 20/1 при создании характеристик</t>
  </si>
  <si>
    <t xml:space="preserve">D20 базового значения =20 или 1.</t>
  </si>
  <si>
    <t xml:space="preserve">специальное правило создания, обычный успех/провал не требуется.</t>
  </si>
  <si>
    <t xml:space="preserve">Нормативная база (действует во всей непротиворечащей части):
подтверждённая 20: базовое значение 20+grade (Rampage=25); подтверждённая 1: характеристика остаётся базово 1, но добавить постоянный штраф −grade ко всем проверкам этой характеристики; неподтверждённая остаётся 20/1 без эффекта.
Приоритетные авторские дельты (заменяют только прямо пересекающиеся ветви):
[Q-CORE-050] Криты этапа создания применяют только специальные последствия §6.1 и не записываются в обычный счётчик развития характеристик. Счётчики развития начинают заполняться после завершения создания персонажа.
[v1.3] Создание SentientEnemy не бросает характеристики, а системные R20 CustomMonster не считаются creation checks; критические последствия этой карточки не применяются.
D20 создания персонажа, стартовых предметов и генерации их свойств имеют rollKind=CHARACTER_CREATION и маршрут NEVER_PROGRESSION.</t>
  </si>
  <si>
    <t xml:space="preserve">значение или отдельный creationCriticalPenalty.</t>
  </si>
  <si>
    <t xml:space="preserve">не записывать эти криты в обычный счётчик §5.2, если не указано иное; это не определено прямо.
Поздние дельты применяются по приоритету AQ3 &gt; AQ2 &gt; AQA/CQA &gt; базовая карточка; локальное исключение сильнее общего.
Натуральная 1/20 здесь не создаёт XP и баллы.</t>
  </si>
  <si>
    <t xml:space="preserve">D20 базового значения =20 или 1.
подтверждённая 20: базовое значение 20+grade (Rampage=25); подтверждённая 1: характеристика остаётся базово 1, но добавить постоянный штраф −grade ко всем проверкам этой характеристики; неподтверждённая остаётся 20/1 без эффекта.</t>
  </si>
  <si>
    <t xml:space="preserve">Q-CORE-050
Q-ENEMY-B2
Q-ENEMY-P9
Q-SYMBIONT-XP-001</t>
  </si>
  <si>
    <t xml:space="preserve">§6.1, стр. 105; §5.2, стр. 87–88.
Прямое уточнение пользователя 2026-07-28 — шаблоны врагов v1.3
Прямое авторское решение Q-SYMBIONT-XP-001 — опыт симбионтов за natural 20/1, 2026-07-30</t>
  </si>
  <si>
    <t xml:space="preserve">CORE-164</t>
  </si>
  <si>
    <t xml:space="preserve">Проверка допустимости характеристик после поправок</t>
  </si>
  <si>
    <t xml:space="preserve">применение всех расовых/классовых/симбиотических поправок.</t>
  </si>
  <si>
    <t xml:space="preserve">базовый набор выбран.</t>
  </si>
  <si>
    <t xml:space="preserve">персонаж валиден, только если каждая ≥1; единственное исключение: при случайном выборе симбионта отрицательная поправка симбионта не опускает характеристику ниже 1 (clamp 1). Расовые поправки такого исключения не получают.
[v1.3] Для двух пользовательских типов лимит 1–35 проверяет только семь введённых базовых значений до постоянных модификаторов. Итог может превышать 35; действующий постоянный минимум 1 сохраняется.</t>
  </si>
  <si>
    <t xml:space="preserve">валидный персонаж либо блок сохранения.</t>
  </si>
  <si>
    <t xml:space="preserve">постоянный минимум 1.</t>
  </si>
  <si>
    <t xml:space="preserve">Q-ENEMY-B1</t>
  </si>
  <si>
    <t xml:space="preserve">§6.1, стр. 105; §5.1, стр. 86.
Прямое уточнение пользователя 2026-07-28 — шаблоны врагов v1.3</t>
  </si>
  <si>
    <t xml:space="preserve">Выбор и стоимость уровней навыка</t>
  </si>
  <si>
    <t xml:space="preserve">изучение/повышение.</t>
  </si>
  <si>
    <t xml:space="preserve">выполнены все требования каталога, хватает слотов соответствующего пула.</t>
  </si>
  <si>
    <t xml:space="preserve">Базовый +1 занимает 1 слот; Средний +2 — 2; Высокий +3 — 3; Совершенный +4 — 4; Абсолютный +5 — 5. После абсолютного каждый + добавляет ещё +1 к бонусу и стоит 2 дополнительных слота: slotCost=5+2×plusCount, bonus=5+plusCount.</t>
  </si>
  <si>
    <t xml:space="preserve">навык, бонус, занятые слоты.</t>
  </si>
  <si>
    <t xml:space="preserve">верхний предел плюсов не задан.</t>
  </si>
  <si>
    <t xml:space="preserve">После абсолютного каждый + добавляет ещё +1 к бонусу и стоит 2 дополнительных слота: slotCost=5+2×plusCount, bonus=5+plusCount.</t>
  </si>
  <si>
    <t xml:space="preserve">§6.2, стр. 105–106.</t>
  </si>
  <si>
    <t xml:space="preserve">CORE-166</t>
  </si>
  <si>
    <t xml:space="preserve">Требования и потеря доступа к навыку</t>
  </si>
  <si>
    <t xml:space="preserve">изучение или изменение характеристики.</t>
  </si>
  <si>
    <t xml:space="preserve">все перечисленные требования соединены AND, если нет «или».</t>
  </si>
  <si>
    <t xml:space="preserve">Нормативная база (действует во всей непротиворечащей части):
изучить только при всех требованиях; временное снижение ниже требования не стирает навык, а отключает навык/бонус до восстановления; постоянное снижение по основному тексту «забывает» навык; снижение W/дефицит слотов само навыки не удаляет; отсутствие навыка без явно указанного штрафа = бонус 0, штраф 0.
Приоритетные авторские дельты (заменяют только прямо пересекающиеся ветви):
[Q-CORE-051] Само уменьшение вместимости пула из-за снижения W не удаляет и не отключает уже изученные навыки: пул может временно или постоянно оказаться переполненным. Пока занято больше доступного, нельзя изучать или повышать навыки, требующие новые слоты; освобождённые слоты сначала погашают переполнение. Восстановление W просто увеличивает вместимость обратно. Исключение действует, если W или другая снизившаяся характеристика прямо названа требованием конкретного навыка: временное нарушение требования отключает этот навык, а постоянное удаляет его по уже принятому правилу.</t>
  </si>
  <si>
    <t xml:space="preserve">active/inactive/forgotten.</t>
  </si>
  <si>
    <t xml:space="preserve">освобождаются ли слоты забытого навыка и возвращается ли он после восстановления постоянной характеристики — Q-CORE-051.
Поздние дельты применяются по приоритету AQ3 &gt; AQ2 &gt; AQA/CQA &gt; базовая карточка; локальное исключение сильнее общего.</t>
  </si>
  <si>
    <t xml:space="preserve">изучить только при всех требованиях; временное снижение ниже требования не стирает навык, а отключает навык/бонус до восстановления; постоянное снижение по основному тексту «забывает» навык; снижение W/дефицит слотов само навыки не удаляет; отсутствие навыка без явно указанного штрафа = бонус 0, штраф 0.</t>
  </si>
  <si>
    <t xml:space="preserve">Q-CORE-051</t>
  </si>
  <si>
    <t xml:space="preserve">§6.2, стр. 105, 108.</t>
  </si>
  <si>
    <t xml:space="preserve">Каталог навыков, доступных при создании</t>
  </si>
  <si>
    <t xml:space="preserve">просмотр, изучение, применение.</t>
  </si>
  <si>
    <t xml:space="preserve">требования строки; стоимость CORE-165.</t>
  </si>
  <si>
    <t xml:space="preserve">Нормативная база (действует во всей непротиворечащей части):
валидировать требования; добавлять итоговый бонус навыка к перечисленным действиям; применять штраф без навыка только где указан.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Навык «Крафт» можно выбрать и хранить как характеристику листа, но его действие создания предметов приложением не исполняется по Q-CORE-059.</t>
  </si>
  <si>
    <t xml:space="preserve">структурированная запись навыка. 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</si>
  <si>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социальные/мирные проверки не реализуются этим реестром, но выбор/требования навыков необходимы для полной процедуры создания.
Поздние дельты применяются по приоритету AQ3 &gt; AQ2 &gt; AQA/CQA &gt; базовая карточка; локальное исключение сильнее общего.</t>
  </si>
  <si>
    <t xml:space="preserve">характеристики и контекст действия.
Нормативная база (действует во всей непротиворечащей части):
валидировать требования; добавлять итоговый бонус навыка к перечисленным действиям; применять штраф без навыка только где указан.
Навык «Крафт» можно выбрать и хранить как характеристику листа, но его действие создания предметов приложением не исполняется по Q-CORE-059.
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</si>
  <si>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[Обязательная правка] Эта формулировка имеет приоритет над исходным текстом карточки.
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</si>
  <si>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§6.2, таблица 6, стр. 106–108.</t>
  </si>
  <si>
    <t xml:space="preserve">CORE-170</t>
  </si>
  <si>
    <t xml:space="preserve">Симбиотическое чудовище при случайном выборе</t>
  </si>
  <si>
    <t xml:space="preserve">подтверждённый критический успех или провал первого обрабатываемого D20 выбора.</t>
  </si>
  <si>
    <t xml:space="preserve">у Единого ещё нет ни одного обычного симбионта.</t>
  </si>
  <si>
    <t xml:space="preserve">заменить табличный результат выбранным чудовищем; занять 4 слота; прекратить остальные броски. Если уже есть обычный симбионт, подтверждённая 1/20 не даёт чудовище и используется обычная таблица.</t>
  </si>
  <si>
    <t xml:space="preserve">один symbioticMonster.</t>
  </si>
  <si>
    <t xml:space="preserve">каталог чудовищ вне охваченных разделов.</t>
  </si>
  <si>
    <t xml:space="preserve">§6.3, стр. 109; §3.2.6.2, стр. 48.</t>
  </si>
  <si>
    <t xml:space="preserve">CORE-174</t>
  </si>
  <si>
    <t xml:space="preserve">Древние недоступны как игровая раса</t>
  </si>
  <si>
    <t xml:space="preserve">создание персонажа.</t>
  </si>
  <si>
    <t xml:space="preserve">не показывать Древних как доступную игровую расу; отклонять создание персонажа с raceId=Ancient.</t>
  </si>
  <si>
    <t xml:space="preserve">доступны только игровые расы, разрешённые правилами.</t>
  </si>
  <si>
    <t xml:space="preserve">мастерские НПС не затрагиваются этим запретом, если отдельное правило кампании не говорит иное.</t>
  </si>
  <si>
    <t xml:space="preserve">§3.1 (механическое указание), стр. 43.</t>
  </si>
  <si>
    <t xml:space="preserve">Создание шаблона врага-мыслящего</t>
  </si>
  <si>
    <t xml:space="preserve">Мастер запускает CREATE_SENTIENT_ENEMY_TEMPLATE.</t>
  </si>
  <si>
    <t xml:space="preserve">CORE-192; открыт процесс создания SENTIENT_ENEMY.</t>
  </si>
  <si>
    <t xml:space="preserve">Повторно использовать согласованный процесс создания персонажа: расу, класс Чистого, навыки, симбионтов, имущество, массу, обычную анатомию и производные показатели. Мастер одновременно является создателем и согласующим, поэтому отдельное pendingMasterApproval не создаётся. Единственное механическое отличие этапа создания — прямые характеристики CORE-197.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</si>
  <si>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Сформирован полный SentientEnemyPayload, готовый к атомарной финализации.</t>
  </si>
  <si>
    <t xml:space="preserve">Не используются способы распределения характеристик игрока и отдельный лимит места игрока.
Не создавать symbiontXpProgressPoints, unallocatedSymbiontXp или XP симбионтов системному противнику.</t>
  </si>
  <si>
    <t xml:space="preserve">Не требует игрового действия, кроме явно указанной боевой атаки.</t>
  </si>
  <si>
    <t xml:space="preserve">Игровые ресурсы не расходуются, кроме цены выбранной атаки/способности.</t>
  </si>
  <si>
    <t xml:space="preserve">Q-ENEMY-P9
Q-ENEMY-P10
Q-ENEMY-P11
Q-ENEMY-P12
Q-PREDEV-001
Q-SYMBIONT-XP-001</t>
  </si>
  <si>
    <t xml:space="preserve">Прямое уточнение пользователя 2026-07-28 — шаблоны врагов v1.3
Предразработочный QA и прямые ответы пользователя 2026-07-29
Прямое авторское решение Q-SYMBIONT-XP-001 — опыт симбионтов за natural 20/1, 2026-07-30</t>
  </si>
  <si>
    <t xml:space="preserve">CORE-197</t>
  </si>
  <si>
    <t xml:space="preserve">Базовые характеристики врага-мыслящего</t>
  </si>
  <si>
    <t xml:space="preserve">Валидируется этап характеристик врага-мыслящего.</t>
  </si>
  <si>
    <t xml:space="preserve">Указаны значения до расовых, классовых и симбиотических модификаторов.</t>
  </si>
  <si>
    <t xml:space="preserve">Проверить ровно семь целых базовых значений, каждое 1–35. Лимита суммарных очков нет. Способы 90/85/«Всё или ничего», броски и критические последствия создания не применяются. Затем обычным порядком применяются постоянные расовые, классовые и симбиотические модификаторы. Итог может превышать 35; действующий итоговый минимум CORE-164 сохраняется. Автоматический clamp запрещён.</t>
  </si>
  <si>
    <t xml:space="preserve">Получены валидные базовые и вычисленные итоговые характеристики либо финализация заблокирована.</t>
  </si>
  <si>
    <t xml:space="preserve">35 ограничивает только стартовое значение до постоянных модификаторов; сумма не ограничена.</t>
  </si>
  <si>
    <t xml:space="preserve">Каждый baseStat∈Z и 1≤baseStat≤35; SUM(baseStats) без верхнего ограничения.</t>
  </si>
  <si>
    <t xml:space="preserve">Q-ENEMY-B1
Q-ENEMY-P9</t>
  </si>
  <si>
    <t xml:space="preserve">Прямое уточнение пользователя 2026-07-28 — шаблоны врагов v1.3</t>
  </si>
  <si>
    <t xml:space="preserve">CORE-198</t>
  </si>
  <si>
    <t xml:space="preserve">Состояние и управление врагом-мыслящим</t>
  </si>
  <si>
    <t xml:space="preserve">Создаётся экземпляр из SentientEnemyVersion.</t>
  </si>
  <si>
    <t xml:space="preserve">Закреплён валидный снимок версии.</t>
  </si>
  <si>
    <t xml:space="preserve">Максимум HP рассчитывается как у обычного персонажа: база 100 и штатные классовые/симбиотические изменения. Навыки, имущество, обычная анатомия и зоны тела работают по правилам персонажа. Экземпляр не занимает слот игрока и не получает управляющее устройство; им вручную управляет текущий мастер по AQA-040/AQA-043.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</si>
  <si>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Создан обычный по механике персонаж-враг под управлением мастера.</t>
  </si>
  <si>
    <t xml:space="preserve">Отдельного боевого ИИ и передачи управления игроку нет.
Не создавать symbiontXpProgressPoints, unallocatedSymbiontXp или XP симбионтов системному противнику.</t>
  </si>
  <si>
    <t xml:space="preserve">Q-ENEMY-P10
Q-ENEMY-P11
Q-ENEMY-P12
Q-PREDEV-001
Q-SYMBIONT-XP-001</t>
  </si>
  <si>
    <t xml:space="preserve">CORE-203</t>
  </si>
  <si>
    <t xml:space="preserve">Обычный симбионт пользовательского монстра</t>
  </si>
  <si>
    <t xml:space="preserve">Мастер выбирает или меняет симбионта в payload версии.</t>
  </si>
  <si>
    <t xml:space="preserve">kind=CUSTOM_MONSTER; операция создания или новой версии шаблона.</t>
  </si>
  <si>
    <t xml:space="preserve">Допускается от нуля до одного обычного симбионта. Химера, Кукловод, Чумной доктор и любой speciesKind=SYMBIOTIC_MONSTER запрещены. Мастер задаёт целый targetLevel 1..species.maxL и выбирает валидный граф изученных узлов: обязательные способности L1, prerequisites и OR/XOR/AND соблюдены; вычисленный SYM-024 уровень равен targetLevel. XP-бюджет шаблона не проверяется. Новый экземпляр получает currentOE=maxOE этого уровня.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
NPC, SentientEnemy, канонические и произвольные монстры имеют actorType≠PLAYER_CHARACTER и всегда маршрутизируются NEVER_PROGRESSION.</t>
  </si>
  <si>
    <t xml:space="preserve">Сохранён ноль или один валидный симбионт с определённым уровнем и деревом.</t>
  </si>
  <si>
    <t xml:space="preserve">Это поле версии шаблона, а не post-creation операция AQ2-014; уже созданный экземпляр не получает новый симбионт через эту команду.
Не создавать symbiontXpProgressPoints, unallocatedSymbiontXp или XP симбионтов системному противнику.</t>
  </si>
  <si>
    <t xml:space="preserve">Q-ENEMY-B9
Q-ENEMY-B10
Q-PREDEV-010
Q-SYMBIONT-XP-001</t>
  </si>
  <si>
    <t xml:space="preserve">Уровни и деревья симбионтов врага-мыслящего</t>
  </si>
  <si>
    <t xml:space="preserve">Создание или новая версия шаблона SentientEnemy.</t>
  </si>
  <si>
    <t xml:space="preserve">Мастер кампании; базовые поля персонажного конвейера валидны.</t>
  </si>
  <si>
    <t xml:space="preserve">Единому разрешены четыре разных обычных симбионта либо одно напрямую выбранное симбиотическое чудовище. Для каждого обычного симбионта мастер задаёт граф узлов и targetLevel без XP-бюджета. После штатной композиции AQA-005 вычисленный effectiveLevel обязан равняться targetLevel; обязательные L1 и prerequisites/OR/XOR/AND соблюдаются. Симбиотическое чудовище выбирается напрямую в допустимом профиле. После финализации currentOE=maxOE; история Пожираний, Попутчиков, стая Крысы и иные накопленные данные пуста.
NPC, SentientEnemy, канонические и произвольные монстры имеют actorType≠PLAYER_CHARACTER и всегда маршрутизируются NEVER_PROGRESSION.</t>
  </si>
  <si>
    <t xml:space="preserve">Сохранена валидная многоуровневая конфигурация симбионтов шаблона; экземпляр получает полный ОЭ.</t>
  </si>
  <si>
    <t xml:space="preserve">CORE-170 относится только к случайному созданию игрока. Один и тот же обычный вид нельзя занять дважды; симбиотическое чудовище несовместимо с обычными слотами.
Не создавать symbiontXpProgressPoints, unallocatedSymbiontXp или XP симбионтов системному противнику.</t>
  </si>
  <si>
    <t xml:space="preserve">По команде-источнику; сама системная стадия дополнительного действия не требует.</t>
  </si>
  <si>
    <t xml:space="preserve">По способности/атаке-источнику; системная стадия отдельный ресурс не списывает.</t>
  </si>
  <si>
    <t xml:space="preserve">effectiveLevelAfterInteractions=targetLevel; currentOE=maxOE(effectiveLevel).</t>
  </si>
  <si>
    <t xml:space="preserve">Q-PREDEV-001
Q-SYMBIONT-XP-001</t>
  </si>
  <si>
    <t xml:space="preserve">Предразработочный QA и прямые ответы пользователя 2026-07-29
Прямое авторское решение Q-SYMBIONT-XP-001 — опыт симбионтов за natural 20/1, 2026-07-30</t>
  </si>
  <si>
    <t xml:space="preserve">CORE-224</t>
  </si>
  <si>
    <t xml:space="preserve">Функциональные интерфейсы симбионта CustomMonster</t>
  </si>
  <si>
    <t xml:space="preserve">Валидация способности симбионта.</t>
  </si>
  <si>
    <t xml:space="preserve">У CustomMonster выбран обычный симбионт.</t>
  </si>
  <si>
    <t xml:space="preserve">Создать необходимые функциональные, но непоражаемые интерфейсы (кожа, рот, глаз, конечность, запястье и т.п.) без bodyZone, ItemInstance, equipment или inventory. Если интерфейс принципиально запрещён, команда отсутствует. Для Паука SYM-117 недоступна: производство паутины не создаёт предмет или MapObject. SYM-120/121 могут оставаться самостоятельными боевыми эффектами, если изучены и валидны, без сохраняемого лута.</t>
  </si>
  <si>
    <t xml:space="preserve">Совместимые способности работают без нарушения TORSO_ONLY и запрета инвентаря.</t>
  </si>
  <si>
    <t xml:space="preserve">Способности с обязательным навыком или предметом по-прежнему недоступны по CORE-204.</t>
  </si>
  <si>
    <t xml:space="preserve">Q-PREDEV-010</t>
  </si>
  <si>
    <t xml:space="preserve">Предразработочный QA и прямые ответы пользователя 2026-07-29</t>
  </si>
  <si>
    <t xml:space="preserve">Глубокое клонирование экземпляра шаблона врага</t>
  </si>
  <si>
    <t xml:space="preserve">INSTANTIATE_ENEMY_TEMPLATE.</t>
  </si>
  <si>
    <t xml:space="preserve">Источник и версия валидны.</t>
  </si>
  <si>
    <t xml:space="preserve">Создать новый entityId и новые UUID для каждой изменяемой вложенной сущности: ItemInstance, instance WeaponProfileVersion, symbiont instance, effect, cooldown, capture, spawned component и mutable link. Все внутренние ссылки перепривязать к новым UUID. Неизменяемые ItemType, ability, template и version refs могут разделяться. Изменение экземпляра никогда не записывается в шаблон и не затрагивает соседний экземпляр.</t>
  </si>
  <si>
    <t xml:space="preserve">Получен полностью независимый изменяемый runtime-граф.</t>
  </si>
  <si>
    <t xml:space="preserve">CustomMonster не получает item graph; SentientEnemy из CAMPAIGN_CUSTOM и SYSTEM_DEFAULT_SENTIENT клонируются одинаково.</t>
  </si>
  <si>
    <t xml:space="preserve">MutableUUIDSets(instanceA) ∩ MutableUUIDSets(instanceB) = ∅.</t>
  </si>
  <si>
    <t xml:space="preserve">Q-PREDEV-014</t>
  </si>
  <si>
    <t xml:space="preserve">CORE-227</t>
  </si>
  <si>
    <t xml:space="preserve">Системный каталог врагов-мыслящих по умолчанию</t>
  </si>
  <si>
    <t xml:space="preserve">Создание/загрузка кампании или инстанцирование системного шаблона.</t>
  </si>
  <si>
    <t xml:space="preserve">Установлена версия системного каталога.</t>
  </si>
  <si>
    <t xml:space="preserve">При создании кампании зафиксировать campaign.defaultSentientCatalogVersion на текущей системной версии. Все записи origin=SYSTEM_DEFAULT_SENTIENT этой версии всегда доступны во вкладке SentientEnemy. Мастер не может их изменить, скрыть, архивировать или удалить, но может добавлять campaign-owned custom. Экземпляр хранит provenance systemTemplateId+catalogVersion; изменения экземпляра не записываются в системный шаблон. Наполнение набора поставляется отдельно и в v1.4 не выдумывается.</t>
  </si>
  <si>
    <t xml:space="preserve">Контракт неизменяемого системного слоя готов к будущему наполнению.</t>
  </si>
  <si>
    <t xml:space="preserve">Это не общая библиотека пользовательских шаблонов; новые версии не меняют уже созданную кампанию без явной миграции.</t>
  </si>
  <si>
    <t xml:space="preserve">Q-PREDEV-012</t>
  </si>
  <si>
    <t xml:space="preserve">CORE-228</t>
  </si>
  <si>
    <t xml:space="preserve">Типизация яда и абсолютный иммунитет</t>
  </si>
  <si>
    <t xml:space="preserve">До применения эффекта с effectFamily=POISON.</t>
  </si>
  <si>
    <t xml:space="preserve">Эффект типизирован.</t>
  </si>
  <si>
    <t xml:space="preserve">Каждый яд обязан иметь effectFamily=POISON и poisonSourceKind=ORDINARY|NATURAL|ARTIFICIAL|SYMBIOTIC|CANONICAL. Ответ IMMUNE_BEFORE_ROLL с SourceScope=ANY полностью отклоняет прямой урон, состояние, счётчик и вторичные ядовитые эффекты до бросков. Крысюк и Гигантская жаба имеют такой ответ ко всем источникам.</t>
  </si>
  <si>
    <t xml:space="preserve">Симбиотический яд не обходит абсолютный иммунитет.</t>
  </si>
  <si>
    <t xml:space="preserve">Болезнь с названием «Отравление» без effectFamily=POISON остаётся болезнью; облако Скунса не считается ядом без явного тега.</t>
  </si>
  <si>
    <t xml:space="preserve">Q-PREDEV-011</t>
  </si>
  <si>
    <t xml:space="preserve">CORE-229</t>
  </si>
  <si>
    <t xml:space="preserve">Приоритет критичности в боевой проверке</t>
  </si>
  <si>
    <t xml:space="preserve">combat.active=true и выполняется допускающая критичность проверка действия, атаки, защиты или сопротивления; получена natural 20/1 либо локальная способность назначила критическую градацию.</t>
  </si>
  <si>
    <t xml:space="preserve">checkKind∈{ACTION,ATTACK,DEFENSE,RESISTANCE}; allowCritical=true; проверка значима и объявлена до броска; законность, цель, дистанция и обязательные расходы проверены; снимки модификаторов обеих сторон зафиксированы.</t>
  </si>
  <si>
    <t xml:space="preserve">Сначала разрешить критичность текущей боевой проверки по прежнему приоритету. Для progression отдельно передать original rawFace=20/1 в CORE-230. Положительная и отрицательная градации дают одинаковые eventPoints 1..5. Событие создаётся до выбора общего победителя и сохраняется при проигрыше.</t>
  </si>
  <si>
    <t xml:space="preserve">Не более одного symbiontXpEvent на originRollId; отдельное characteristic progression CORE-085 допускается.</t>
  </si>
  <si>
    <t xml:space="preserve">NO_DIRECT_BUT_POOL не становится критической проверкой и даёт 1 балл за rawFace 1/20. NEVER_PROGRESSION не даёт ничего. Equal-grade подстановка и confirmation rolls не создают событие.</t>
  </si>
  <si>
    <t xml:space="preserve">Не создаёт отдельного действия; стоимость исходного действия уже определена и не возвращается.</t>
  </si>
  <si>
    <t xml:space="preserve">Не создаёт и не возвращает ресурсы; сохраняются расходы исходного действия.</t>
  </si>
  <si>
    <t xml:space="preserve">rawFace 20/1 → base eventPoints=1; confirmedGrade Crit/Double/Triple/Ultra/Rampage → 1/2/3/4/5 вместо базовой единицы.</t>
  </si>
  <si>
    <t xml:space="preserve">Прямое уточнение пользователя 2026-07-29 — боевой приоритет критов
Прямое авторское решение Q-SYMBIONT-XP-001 — опыт симбионтов за natural 20/1, 2026-07-30</t>
  </si>
  <si>
    <t xml:space="preserve">Ёмкость симбиотического чудовища</t>
  </si>
  <si>
    <t xml:space="preserve">добавление чудовища в тело носителя.</t>
  </si>
  <si>
    <t xml:space="preserve">носитель может иметь симбионтов; применяются общие ограничения заражения.</t>
  </si>
  <si>
    <t xml:space="preserve">занять 4 слота.</t>
  </si>
  <si>
    <t xml:space="preserve">четыре слота помечаются занятыми одним чудовищем.</t>
  </si>
  <si>
    <t xml:space="preserve">дополнительные слоты Химеры, полученные «Пожиранием», учитываются отдельно; базовая Химера всё равно занимает 4.</t>
  </si>
  <si>
    <t xml:space="preserve">§7.6, печ. стр. 163.</t>
  </si>
  <si>
    <t xml:space="preserve">Базовые параметры Химеры</t>
  </si>
  <si>
    <t xml:space="preserve">получение Химеры; изменение её уровня.</t>
  </si>
  <si>
    <t xml:space="preserve">Химера активна.</t>
  </si>
  <si>
    <t xml:space="preserve">максимум ОЭ 400×L; связанные характеристики: Z, S, D; максимальный уровень 6; постоянные модификаторы носителя S+5, M+10.</t>
  </si>
  <si>
    <t xml:space="preserve">пересчитать максимум ОЭ и итоговые характеристики.</t>
  </si>
  <si>
    <t xml:space="preserve">текущие ОЭ при росте уровня не восстанавливаются по общему правилу §7.2.</t>
  </si>
  <si>
    <t xml:space="preserve">максимум ОЭ 400×L; связанные характеристики: Z, S, D; максимальный уровень 6; постоянные модификаторы носителя S+5, M+10.
пересчитать максимум ОЭ и итоговые характеристики.
текущие ОЭ при росте уровня не восстанавливаются по общему правилу §7.2.</t>
  </si>
  <si>
    <t xml:space="preserve">Начало и поддержание «Пожирания»</t>
  </si>
  <si>
    <t xml:space="preserve">объявление «Пожирания».</t>
  </si>
  <si>
    <t xml:space="preserve">цель — Чистый, Единый или Вольный; цель жива и находится в тяжёлом ранении, без сознания, парализована либо уже удерживается Химерой в захвате.</t>
  </si>
  <si>
    <t xml:space="preserve">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</si>
  <si>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после полного срока цель считается съеденной; до завершения награда не начисляется.</t>
  </si>
  <si>
    <t xml:space="preserve">мёртвая цель недопустима; разрыв захвата, уход цели либо любой урон Химере в голову или корпус прерывает процесс без награды.</t>
  </si>
  <si>
    <t xml:space="preserve">10 последовательных боевых ходов либо 10 минут вне боя.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</si>
  <si>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50 ОЭ; состояние цели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</si>
  <si>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§7.6.1.2.1 и уточнение, печ. стр. 164.</t>
  </si>
  <si>
    <t xml:space="preserve">MON-005</t>
  </si>
  <si>
    <t xml:space="preserve">Уязвимость Химеры во время «Пожирания»</t>
  </si>
  <si>
    <t xml:space="preserve">Химера получает урон в голову или корпус при активном «Пожирании».</t>
  </si>
  <si>
    <t xml:space="preserve">процесс ещё не прерван.</t>
  </si>
  <si>
    <t xml:space="preserve">итоговый урон умножить на 5.</t>
  </si>
  <si>
    <t xml:space="preserve">уменьшить HP на пятикратный урон и прервать «Пожирание» без награды.</t>
  </si>
  <si>
    <t xml:space="preserve">атака в иные зоны не получает множитель и сама по себе не названа причиной прерывания.</t>
  </si>
  <si>
    <t xml:space="preserve">§7.6.1.2.1, печ. стр. 164.</t>
  </si>
  <si>
    <t xml:space="preserve">MON-006</t>
  </si>
  <si>
    <t xml:space="preserve">Награды за завершённое «Пожирание»</t>
  </si>
  <si>
    <t xml:space="preserve">успешно завершены 10 минут/ходов «Пожирания».</t>
  </si>
  <si>
    <t xml:space="preserve">процесс не был прерван.</t>
  </si>
  <si>
    <t xml:space="preserve">Нормативная база (действует во всей непротиворечащей части):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Приоритетные авторские дельты (заменяют только прямо пересекающиеся ветви):
[Q-MON-002]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t>
  </si>
  <si>
    <t xml:space="preserve">постоянные изменения характеристик, навыков, максимума HP; текущее HP восстановлено полностью.</t>
  </si>
  <si>
    <t xml:space="preserve">результат 20 «Взгляда мясника» имеет приоритет над обычными +1/+5; выдача навыка возможна только при наличии допустимого кандидата.
Поздние дельты применяются по приоритету AQ3 &gt; AQ2 &gt; AQA/CQA &gt; базовая карточка; локальное исключение сильнее общего.</t>
  </si>
  <si>
    <t xml:space="preserve">успешно завершены 10 минут/ходов «Пожирания».
Нормативная база (действует во всей непротиворечащей части):</t>
  </si>
  <si>
    <t xml:space="preserve">(1)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постоянные изменения характеристик, навыков, максимума HP; текущее HP восстановлено полностью.</t>
  </si>
  <si>
    <t xml:space="preserve">Q-MON-002
Q-MON-003</t>
  </si>
  <si>
    <t xml:space="preserve">MON-007</t>
  </si>
  <si>
    <t xml:space="preserve">Счётчик съеденных целей и дополнительные слоты Химеры</t>
  </si>
  <si>
    <t xml:space="preserve">завершённое «Пожирание» увеличивает счётчик съеденных целей.</t>
  </si>
  <si>
    <t xml:space="preserve">получено менее трёх дополнительных слотов.</t>
  </si>
  <si>
    <t xml:space="preserve">Нормативная база (действует во всей непротиворечащей части):
при достижении соответствующего порога открыть один дополнительный слот; максимум три дополнительных слота; в них возможен однослотовый симбионт.
Приоритетные авторские дельты (заменяют только прямо пересекающиеся ветви):
[Q-MON-004]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</si>
  <si>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число слотов носителя увеличивается на 1, максимум на 3.</t>
  </si>
  <si>
    <t xml:space="preserve">при попадании «Хранителя» в Химеру с другими симбионтами «Хранитель» может атаковать только Химеру, а не прочих симбионтов.
Поздние дельты применяются по приоритету AQ3 &gt; AQ2 &gt; AQA/CQA &gt; базовая карточка; локальное исключение сильнее общего.</t>
  </si>
  <si>
    <t xml:space="preserve">Q-MON-004</t>
  </si>
  <si>
    <t xml:space="preserve">«Дублирование органов»: предотвращение тяжёлого ранения</t>
  </si>
  <si>
    <t xml:space="preserve">атака должна перевести Химеру в тяжёлое ранение.</t>
  </si>
  <si>
    <t xml:space="preserve">способность ещё не срабатывала в текущей боевой ситуации.</t>
  </si>
  <si>
    <t xml:space="preserve">отменить переход в тяжёлое ранение и установить текущее HP равным 1.</t>
  </si>
  <si>
    <t xml:space="preserve">Химера остаётся вне тяжёлого ранения с 1 HP; отметить расход срабатывания.</t>
  </si>
  <si>
    <t xml:space="preserve">не более 1 раза за боевую ситуацию.</t>
  </si>
  <si>
    <t xml:space="preserve">результат урона и состояние HP.
отменить переход в тяжёлое ранение и установить текущее HP равным 1.
Химера остаётся вне тяжёлого ранения с 1 HP; отметить расход срабатывания.</t>
  </si>
  <si>
    <t xml:space="preserve">§7.6.1.3.1, печ. стр. 164.</t>
  </si>
  <si>
    <t xml:space="preserve">MON-009</t>
  </si>
  <si>
    <t xml:space="preserve">«Дублирование органов»: состояние после тяжёлого ранения</t>
  </si>
  <si>
    <t xml:space="preserve">Химера всё же входит в тяжёлое ранение.</t>
  </si>
  <si>
    <t xml:space="preserve">способность изучена.</t>
  </si>
  <si>
    <t xml:space="preserve">сохранить дееспособность; увеличить время до смерти в 4 раза.</t>
  </si>
  <si>
    <t xml:space="preserve">тяжело раненая Химера может действовать, таймер смерти ×4.</t>
  </si>
  <si>
    <t xml:space="preserve">иные причины недееспособности продолжают действовать.
Множитель ×4 синхронизирован с локальным приоритетом CORE-154.</t>
  </si>
  <si>
    <t xml:space="preserve">тяжело раненая Химера может действовать, таймер смерти ×4.
Множитель ×4 синхронизирован с локальным приоритетом CORE-154.</t>
  </si>
  <si>
    <t xml:space="preserve">«Взгляд мясника»</t>
  </si>
  <si>
    <t xml:space="preserve">объявление способности.</t>
  </si>
  <si>
    <t xml:space="preserve">на эту цель способность ещё не применялась.</t>
  </si>
  <si>
    <t xml:space="preserve">Нормативная база (действует во всей непротиворечащей части):
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
Приоритетные авторские дельты (заменяют только прямо пересекающиеся ветви):
[Q-MON-005]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</si>
  <si>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цель помечается как уже оценённая; сохраняется раскрытая информация и, при 1 или 20, специальное состояние.</t>
  </si>
  <si>
    <t xml:space="preserve">не более одного применения к каждому персонажу.
Поздние дельты применяются по приоритету AQ3 &gt; AQ2 &gt; AQA/CQA &gt; базовая карточка; локальное исключение сильнее общего.</t>
  </si>
  <si>
    <t xml:space="preserve">30 ОЭ; чистый R20.
20 — записать для этой цели усиленную награду «Пожирания» (+2 к случайной характеристике и +10 max HP вместо обычных наград).</t>
  </si>
  <si>
    <t xml:space="preserve">30 ОЭ; чистый R20.</t>
  </si>
  <si>
    <t xml:space="preserve">§7.6.1.3.2, печ. стр. 164.</t>
  </si>
  <si>
    <t xml:space="preserve">«Железная хватка»</t>
  </si>
  <si>
    <t xml:space="preserve">проверка удержания, включая препятствование выходу из захвата.</t>
  </si>
  <si>
    <t xml:space="preserve">добавить +10.</t>
  </si>
  <si>
    <t xml:space="preserve">повышенный итог встречной проверки.</t>
  </si>
  <si>
    <t xml:space="preserve">не распространяется на проверки, не являющиеся удержанием.</t>
  </si>
  <si>
    <t xml:space="preserve">§7.6.1.3.3, печ. стр. 164.</t>
  </si>
  <si>
    <t xml:space="preserve">«Безразличная плоть»</t>
  </si>
  <si>
    <t xml:space="preserve">изучение/активация симбионта.</t>
  </si>
  <si>
    <t xml:space="preserve">способность доступна.</t>
  </si>
  <si>
    <t xml:space="preserve">maxHP += 100.</t>
  </si>
  <si>
    <t xml:space="preserve">постоянный повышенный максимум HP.</t>
  </si>
  <si>
    <t xml:space="preserve">удаление/отключение симбионта обрабатывается общими правилами пассивов.</t>
  </si>
  <si>
    <t xml:space="preserve">базовый максимум HP.
постоянный повышенный максимум HP.</t>
  </si>
  <si>
    <t xml:space="preserve">§7.6.1.4.1, печ. стр. 164.</t>
  </si>
  <si>
    <t xml:space="preserve">«Гончая»</t>
  </si>
  <si>
    <t xml:space="preserve">цель в поле зрения.</t>
  </si>
  <si>
    <t xml:space="preserve">длительность метки R20×2 минут; для Химеры мир отображается чёрно-белым, цель и все её следы — ярко-красными.</t>
  </si>
  <si>
    <t xml:space="preserve">создать метку «Гончая» с таймером и источником.</t>
  </si>
  <si>
    <t xml:space="preserve">метка используется «Охотничьим азартом» и «Змеиным броском».</t>
  </si>
  <si>
    <t xml:space="preserve">50 ОЭ; чистый R20.</t>
  </si>
  <si>
    <t xml:space="preserve">50 ОЭ; чистый R20.
длительность метки R20×2 минут; для Химеры мир отображается чёрно-белым, цель и все её следы — ярко-красными.</t>
  </si>
  <si>
    <t xml:space="preserve">§7.6.1.4.2, печ. стр. 164–165.</t>
  </si>
  <si>
    <t xml:space="preserve">«Локтевой отбойник»: атака локтем</t>
  </si>
  <si>
    <t xml:space="preserve">рукопашная атака локтем.</t>
  </si>
  <si>
    <t xml:space="preserve">локоть не прикрыт доспехом.</t>
  </si>
  <si>
    <t xml:space="preserve">Нормативная база (действует во всей непротиворечащей части):
бронепробитие атаки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t>
  </si>
  <si>
    <t xml:space="preserve">усиленные пробитие и урон атаки.</t>
  </si>
  <si>
    <t xml:space="preserve">доспех, защищающий руку, но оставляющий локоть открытым, не блокирует способность.
Поздние дельты применяются по приоритету AQ3 &gt; AQ2 &gt; AQA/CQA &gt; базовая карточка; локальное исключение сильнее общего.</t>
  </si>
  <si>
    <t xml:space="preserve">R12; обычная точность атаки.
бронепробитие атаки = R12; добавить к урону бонус R12.
[Q-MON-006] Для каждой атаки отбойником выполняются два независимых R12: первый определяет бронепробитие, второй — бонус к урону.</t>
  </si>
  <si>
    <t xml:space="preserve">§7.6.1.4.3, печ. стр. 165.</t>
  </si>
  <si>
    <t xml:space="preserve">MON-015</t>
  </si>
  <si>
    <t xml:space="preserve">«Локтевой отбойник»: дополнительная броня</t>
  </si>
  <si>
    <t xml:space="preserve">физическая атака попала в руку.</t>
  </si>
  <si>
    <t xml:space="preserve">если первый R20 ≥16, считать попадание пришедшимся по локтевому сгибу; добавить спасбросок брони R20×2 к спасброску надетой брони.</t>
  </si>
  <si>
    <t xml:space="preserve">увеличенный результат брони для данной атаки.</t>
  </si>
  <si>
    <t xml:space="preserve">проверка выполняется только для физических атак в руки.</t>
  </si>
  <si>
    <t xml:space="preserve">чистый R20 определения попадания в сгиб; при результате 16+ — R20 защиты.
если первый R20 ≥16, считать попадание пришедшимся по локтевому сгибу; добавить спасбросок брони R20×2 к спасброску надетой брони.</t>
  </si>
  <si>
    <t xml:space="preserve">«Выносливость хищника»</t>
  </si>
  <si>
    <t xml:space="preserve">способность активна.</t>
  </si>
  <si>
    <t xml:space="preserve">изучена.</t>
  </si>
  <si>
    <t xml:space="preserve">M += 15.</t>
  </si>
  <si>
    <t xml:space="preserve">повышенная итоговая M.</t>
  </si>
  <si>
    <t xml:space="preserve">общие правила сложения модификаторов.</t>
  </si>
  <si>
    <t xml:space="preserve">§7.6.1.5.1, печ. стр. 165.</t>
  </si>
  <si>
    <t xml:space="preserve">«Охотничий азарт»</t>
  </si>
  <si>
    <t xml:space="preserve">помеченная цель убегает, Химера выполняет проверку преследования.</t>
  </si>
  <si>
    <t xml:space="preserve">метка активна.</t>
  </si>
  <si>
    <t xml:space="preserve">удвоить значение проверки Химеры.</t>
  </si>
  <si>
    <t xml:space="preserve">повышенный итог преследования.</t>
  </si>
  <si>
    <t xml:space="preserve">не действует на непомеченные цели.</t>
  </si>
  <si>
    <t xml:space="preserve">§7.6.1.5.2, печ. стр. 165.</t>
  </si>
  <si>
    <t xml:space="preserve">«Коленный отбойник»: атака коленом</t>
  </si>
  <si>
    <t xml:space="preserve">рукопашная атака коленом.</t>
  </si>
  <si>
    <t xml:space="preserve">колено не прикрыто доспехом.</t>
  </si>
  <si>
    <t xml:space="preserve">Нормативная база (действует во всей непротиворечащей части):
бронепробитие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t>
  </si>
  <si>
    <t xml:space="preserve">усиленные пробитие и урон.</t>
  </si>
  <si>
    <t xml:space="preserve">доспех может прикрывать ногу, оставляя колено открытым.
Поздние дельты применяются по приоритету AQ3 &gt; AQ2 &gt; AQA/CQA &gt; базовая карточка; локальное исключение сильнее общего.</t>
  </si>
  <si>
    <t xml:space="preserve">R12; обычная точность атаки.
бронепробитие = R12; добавить к урону бонус R12.
[Q-MON-006] Для каждой атаки отбойником выполняются два независимых R12: первый определяет бронепробитие, второй — бонус к урону.</t>
  </si>
  <si>
    <t xml:space="preserve">§7.6.1.5.3, печ. стр. 165.</t>
  </si>
  <si>
    <t xml:space="preserve">MON-019</t>
  </si>
  <si>
    <t xml:space="preserve">«Коленный отбойник»: дополнительная броня</t>
  </si>
  <si>
    <t xml:space="preserve">физическая атака попала в ногу.</t>
  </si>
  <si>
    <t xml:space="preserve">при R20 ≥16 считать попадание пришедшимся по коленному наросту; добавить спасбросок R20×2 к броне.</t>
  </si>
  <si>
    <t xml:space="preserve">повышенная броня для атаки.</t>
  </si>
  <si>
    <t xml:space="preserve">только физические атаки в ноги.</t>
  </si>
  <si>
    <t xml:space="preserve">чистый R20; при 16+ — R20 защиты.
при R20 ≥16 считать попадание пришедшимся по коленному наросту; добавить спасбросок R20×2 к броне.</t>
  </si>
  <si>
    <t xml:space="preserve">«Неудержимость»</t>
  </si>
  <si>
    <t xml:space="preserve">есть 150 ОЭ и 2 боевых действия.</t>
  </si>
  <si>
    <t xml:space="preserve">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</si>
  <si>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временный иммунитет либо временное снижение I; затраты не возвращаются.</t>
  </si>
  <si>
    <t xml:space="preserve">перечисление в скобках не объявлено закрытым; физическое обездвиживание и тяжёлое ранение не отменяются, если утверждённая таксономия не отнесёт их к эффектам контроля.
Поздние дельты применяются по приоритету AQ3 &gt; AQ2 &gt; AQA/CQA &gt; базовая карточка; локальное исключение сильнее общего.</t>
  </si>
  <si>
    <t xml:space="preserve">есть 150 ОЭ и 2 боевых действия.
2 действия; чистый R20.
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t>
  </si>
  <si>
    <t xml:space="preserve">есть 150 ОЭ и 2 боевых действия.
150 ОЭ</t>
  </si>
  <si>
    <t xml:space="preserve">2 действия; чистый R20.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t>
  </si>
  <si>
    <t xml:space="preserve">§7.6.1.6.1, печ. стр. 165.</t>
  </si>
  <si>
    <t xml:space="preserve">«Змеиный бросок»</t>
  </si>
  <si>
    <t xml:space="preserve">Химера сокращает дистанцию до цели.</t>
  </si>
  <si>
    <t xml:space="preserve">цель помечена и находится не дальше 20 м.</t>
  </si>
  <si>
    <t xml:space="preserve">стоимость сокращения дистанции в боевых действиях = 0.</t>
  </si>
  <si>
    <t xml:space="preserve">дистанция изменяется без траты действия.</t>
  </si>
  <si>
    <t xml:space="preserve">не отменяет иных ограничений перемещения, явно не снятых способностью.</t>
  </si>
  <si>
    <t xml:space="preserve">стоимость сокращения дистанции в боевых действиях = 0.
дистанция изменяется без траты действия.</t>
  </si>
  <si>
    <t xml:space="preserve">§7.6.1.6.2, печ. стр. 165.</t>
  </si>
  <si>
    <t xml:space="preserve">«Последний взгляд»</t>
  </si>
  <si>
    <t xml:space="preserve">применение способности и установление зрительного контакта.</t>
  </si>
  <si>
    <t xml:space="preserve">200 ОЭ; цель способна видеть глаза Химеры.</t>
  </si>
  <si>
    <t xml:space="preserve">Нормативная база (действует во всей непротиворечащей части):
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
Приоритетные авторские дельты (заменяют только прямо пересекающиеся ветви):
[Q-MON-007]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
[Q-MON-008]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</si>
  <si>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создать соответствующий временный эффект либо внеочередной управляемый ход.</t>
  </si>
  <si>
    <t xml:space="preserve">результат 20 не позволяет атаковать саму цель.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</si>
  <si>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2–7 — 3 хода максимум 1 действие в серии
Обычный Последний взгляд после этого всё равно требует 1 действия и 200 ОЭ.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</si>
  <si>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200 ОЭ; цель способна видеть глаза Химеры.
200 ОЭ; чистый R20 Химеры.
Обычный Последний взгляд после этого всё равно требует 1 действия и 200 ОЭ.</t>
  </si>
  <si>
    <t xml:space="preserve">200 ОЭ; чистый R20 Химеры.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</si>
  <si>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Q-MON-007
Q-MON-008</t>
  </si>
  <si>
    <t xml:space="preserve">§7.6.1.6.3, печ. стр. 165–166.</t>
  </si>
  <si>
    <t xml:space="preserve">«Ведомый голодом»: активация и состав эффекта</t>
  </si>
  <si>
    <t xml:space="preserve">1000 ОЭ.</t>
  </si>
  <si>
    <t xml:space="preserve">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Приоритетные авторские дельты (заменяют только прямо пересекающиеся ветви):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</si>
  <si>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создать комплексный эффект с зафиксированными исходными максимумами и характеристиками.</t>
  </si>
  <si>
    <t xml:space="preserve">при 1 основной эффект не активируется; затраты не возвращаются.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</si>
  <si>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</si>
  <si>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1000 ОЭ.
1000 ОЭ; чистый R20.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</si>
  <si>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1000 ОЭ; чистый R20.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t>
  </si>
  <si>
    <t xml:space="preserve">§7.6.1.7.1 и уточнение, печ. стр. 165–166.</t>
  </si>
  <si>
    <t xml:space="preserve">MON-024</t>
  </si>
  <si>
    <t xml:space="preserve">«Ведомый голодом»: завершение</t>
  </si>
  <si>
    <t xml:space="preserve">истёк срок «Ведомого голодом».</t>
  </si>
  <si>
    <t xml:space="preserve">эффект был успешно активирован.</t>
  </si>
  <si>
    <t xml:space="preserve">вернуть максимальный HP и удвоенные характеристики к прежним значениям; текущее HP разделить на 2 с округлением вверх.</t>
  </si>
  <si>
    <t xml:space="preserve">пропорционально сохраняется полученный во время эффекта урон.</t>
  </si>
  <si>
    <t xml:space="preserve">если тяжёлое ранение уже наступило, обратный пересчёт его не отменяет.</t>
  </si>
  <si>
    <t xml:space="preserve">исходные максимумы; текущее удвоенное HP; текущее состояние тяжёлого ранения.
вернуть максимальный HP и удвоенные характеристики к прежним значениям; текущее HP разделить на 2 с округлением вверх.</t>
  </si>
  <si>
    <t xml:space="preserve">уточнение к §7.6.1, печ. стр. 165.</t>
  </si>
  <si>
    <t xml:space="preserve">Базовые параметры Кукловода</t>
  </si>
  <si>
    <t xml:space="preserve">получение симбионта или изменение L.</t>
  </si>
  <si>
    <t xml:space="preserve">Кукловод активен.</t>
  </si>
  <si>
    <t xml:space="preserve">максимум ОЭ 400×L; связанные характеристики C,I,W; максимальный уровень 6; C+10.</t>
  </si>
  <si>
    <t xml:space="preserve">пересчитать максимум ОЭ и C.</t>
  </si>
  <si>
    <t xml:space="preserve">общие правила текущих ОЭ.</t>
  </si>
  <si>
    <t xml:space="preserve">максимум ОЭ 400×L; связанные характеристики C,I,W; максимальный уровень 6
пересчитать максимум ОЭ и C.
общие правила текущих ОЭ.</t>
  </si>
  <si>
    <t xml:space="preserve">максимум ОЭ 400×L; связанные характеристики C,I,W; максимальный уровень 6</t>
  </si>
  <si>
    <t xml:space="preserve">расчёт эффективной Харизмы Кукловода против цели.</t>
  </si>
  <si>
    <t xml:space="preserve">цель не является Кукловодом и не имеет полной неуязвимости к ментальному воздействию.</t>
  </si>
  <si>
    <t xml:space="preserve">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t>
  </si>
  <si>
    <t xml:space="preserve">контекстное эффективное значение C_eff без изменения базовой C.</t>
  </si>
  <si>
    <t xml:space="preserve">Не действует на других Кукловодов; COMBAT/Q-MON-078 имеет приоритет.</t>
  </si>
  <si>
    <t xml:space="preserve">Полная ментальная неуязвимость отменяет бонус; числовая защита не создаёт отдельной встречной проверки, если её не требует само действие.</t>
  </si>
  <si>
    <t xml:space="preserve">Для допустимой цели вычислить C_eff = C + I + L.</t>
  </si>
  <si>
    <t xml:space="preserve">§7.6.2.2.1, стр. 167; COMBAT/Q-MON-078.</t>
  </si>
  <si>
    <t xml:space="preserve">«Доминантный разум»</t>
  </si>
  <si>
    <t xml:space="preserve">способность активна или L меняется.</t>
  </si>
  <si>
    <t xml:space="preserve">I += L.</t>
  </si>
  <si>
    <t xml:space="preserve">постоянный динамический бонус I.</t>
  </si>
  <si>
    <t xml:space="preserve">пересчитывается при изменении уровня.</t>
  </si>
  <si>
    <t xml:space="preserve">§7.6.2.3.1, печ. стр. 168.</t>
  </si>
  <si>
    <t xml:space="preserve">«Рассеянность»: наложение и длительность</t>
  </si>
  <si>
    <t xml:space="preserve">Кукловод превышает своей проверкой I проверку I цели.</t>
  </si>
  <si>
    <t xml:space="preserve">длительность R20/5 минут или боевых ходов; каждый ход цели запускать MON-030.</t>
  </si>
  <si>
    <t xml:space="preserve">создать эффект «Рассеянность» с таймером.</t>
  </si>
  <si>
    <t xml:space="preserve">при провале встречной проверки эффект не создаётся, затраты не возвращаются.</t>
  </si>
  <si>
    <t xml:space="preserve">30 ОЭ; встречные проверки I; отдельный чистый R20 длительности.</t>
  </si>
  <si>
    <t xml:space="preserve">30 ОЭ; встречные проверки I; отдельный чистый R20 длительности.
длительность R20/5 минут или боевых ходов; каждый ход цели запускать MON-030.</t>
  </si>
  <si>
    <t xml:space="preserve">§7.6.2.3.3, печ. стр. 168.</t>
  </si>
  <si>
    <t xml:space="preserve">MON-030</t>
  </si>
  <si>
    <t xml:space="preserve">«Рассеянность»: эффект очередного хода</t>
  </si>
  <si>
    <t xml:space="preserve">каждый её ход, пока активна «Рассеянность».</t>
  </si>
  <si>
    <t xml:space="preserve">таймер не истёк.</t>
  </si>
  <si>
    <t xml:space="preserve">Нормативная база (действует во всей непротиворечащей части):
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
Приоритетные авторские дельты (заменяют только прямо пересекающиеся ветви):
[Q-MON-010]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</si>
  <si>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снять эффект либо записать отложенное принуждение/потерю навыков.</t>
  </si>
  <si>
    <t xml:space="preserve">диапазон 9–14 вне боя не действует.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</si>
  <si>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1–3 — в следующий ход выполнить один одномоментный приказ Кукловода, кроме суицида/потенциально смертельного для себя действия.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t>
  </si>
  <si>
    <t xml:space="preserve">чистый R20 сопротивления.</t>
  </si>
  <si>
    <t xml:space="preserve">Q-MON-010
Q-MON-011</t>
  </si>
  <si>
    <t xml:space="preserve">«Ментальный ученик»</t>
  </si>
  <si>
    <t xml:space="preserve">успешное применение.</t>
  </si>
  <si>
    <t xml:space="preserve">проверка I Кукловода выше проверки I цели; лучший навык цели выше соответствующего навыка Кукловода.</t>
  </si>
  <si>
    <t xml:space="preserve">Нормативная база (действует во всей непротиворечащей части):
выбрать лучший навык цели; если Кукловод им не владеет — изучить, иначе повысить его уровень. Величина повышения требует Q-MON-012.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</si>
  <si>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постоянное изменение навыка Кукловода.</t>
  </si>
  <si>
    <t xml:space="preserve">не срабатывает, если навык цели не выше.
Поздние дельты применяются по приоритету AQ3 &gt; AQ2 &gt; AQA/CQA &gt; базовая карточка; локальное исключение сильнее общего.</t>
  </si>
  <si>
    <t xml:space="preserve">30 ОЭ; встречные I; набор навыков цели и Кукловода.</t>
  </si>
  <si>
    <t xml:space="preserve">§7.6.2.4.1, печ. стр. 168.</t>
  </si>
  <si>
    <t xml:space="preserve">«Превосходство»</t>
  </si>
  <si>
    <t xml:space="preserve">проверка I Кукловода выше проверки I цели.</t>
  </si>
  <si>
    <t xml:space="preserve">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</si>
  <si>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после первого события навык остаётся только у исходной цели.</t>
  </si>
  <si>
    <t xml:space="preserve">при провале встречной проверки передачи нет.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</si>
  <si>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t>
  </si>
  <si>
    <t xml:space="preserve">50 ОЭ; встречные I; лучший навык цели.</t>
  </si>
  <si>
    <t xml:space="preserve">§7.6.2.4.2 и уточнение, печ. стр. 168.</t>
  </si>
  <si>
    <t xml:space="preserve">«Псионическое разложение»: цикл поддержания</t>
  </si>
  <si>
    <t xml:space="preserve">начало каждого последовательного хода поддержания.</t>
  </si>
  <si>
    <t xml:space="preserve">цель видима и не дальше 60 м; Кукловод дееспособен; не прерван предыдущий ход; не более четырёх ходов.</t>
  </si>
  <si>
    <t xml:space="preserve">Нормативная база (действует во всей непротиворечащей части):
списать 50 ОЭ; не бросать серию и потратить весь боевой ход; в конце хода нанести L×2^(n−1) урона (L, 2L, 4L, 8L).
Приоритетные авторские дельты (заменяют только прямо пересекающиеся ветви):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t>
  </si>
  <si>
    <t xml:space="preserve">уменьшить HP цели; увеличить номер поддержания на 1; после четвёртого хода завершить эффект.</t>
  </si>
  <si>
    <t xml:space="preserve">немедленно прекратить при потере дистанции, видимости, дееспособности или концентрации; невозможность заплатить 50 ОЭ также прекращает цикл по общему правилу.
Поздние дельты применяются по приоритету AQ3 &gt; AQ2 &gt; AQA/CQA &gt; базовая карточка; локальное исключение сильнее общего.</t>
  </si>
  <si>
    <t xml:space="preserve">50 ОЭ в начале каждого хода; номер хода n=1..4
списать 50 ОЭ; не бросать серию и потратить весь боевой ход; в конце хода нанести L×2^(n−1) урона (L, 2L, 4L, 8L).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
уменьшить HP цели; увеличить номер поддержания на 1; после четвёртого хода завершить эффект.</t>
  </si>
  <si>
    <t xml:space="preserve">50 ОЭ в начале каждого хода; номер хода n=1..4
списать 50 ОЭ; не бросать серию и потратить весь боевой ход; в конце хода нанести L×2^(n−1) урона (L, 2L, 4L, 8L).</t>
  </si>
  <si>
    <t xml:space="preserve">§7.6.2.4.3 и уточнение, печ. стр. 168–169.</t>
  </si>
  <si>
    <t xml:space="preserve">MON-034</t>
  </si>
  <si>
    <t xml:space="preserve">«Псионическое разложение»: проверка концентрации</t>
  </si>
  <si>
    <t xml:space="preserve">Кукловод получает урон во время поддержания.</t>
  </si>
  <si>
    <t xml:space="preserve">эффект активен.</t>
  </si>
  <si>
    <t xml:space="preserve">если итог проверки &lt;20, прекратить поддержание; иначе сохранить.</t>
  </si>
  <si>
    <t xml:space="preserve">состояние эффекта изменено либо сохранено.</t>
  </si>
  <si>
    <t xml:space="preserve">проверка выполняется после каждого отдельного получения урона.</t>
  </si>
  <si>
    <t xml:space="preserve">«Отмена действия»</t>
  </si>
  <si>
    <t xml:space="preserve">после проверочного броска физического действия цели, до завершения действия.</t>
  </si>
  <si>
    <t xml:space="preserve">заранее зарезервированы 2 действия по правилам подготовки; успех цели не критический.</t>
  </si>
  <si>
    <t xml:space="preserve">Нормативная база (действует во всей непротиворечащей части):
если I Кукловода &gt; I цели, цель останавливается и не доводит физическое действие до конца.
Приоритетные авторские дельты (заменяют только прямо пересекающиеся ветви):
[Q-MON-015]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</si>
  <si>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эффект исходного действия не применяется; реакция и ОЭ расходуются.</t>
  </si>
  <si>
    <t xml:space="preserve">критически успешное действие отменить нельзя.
Поздние дельты применяются по приоритету AQ3 &gt; AQ2 &gt; AQA/CQA &gt; базовая карточка; локальное исключение сильнее общего.</t>
  </si>
  <si>
    <t xml:space="preserve">после проверочного броска физического действия цели, до завершения действия.
заранее зарезервированы 2 действия по правилам подготовки; успех цели не критический.
2 подготовленных действия; встречные проверки I.
Нормативная база (действует во всей непротиворечащей части):
если I Кукловода &gt; I цели, цель останавливается и не доводит физическое действие до конца.</t>
  </si>
  <si>
    <t xml:space="preserve">200 ОЭ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
эффект исходного действия не применяется; реакция и ОЭ расходуются.</t>
  </si>
  <si>
    <t xml:space="preserve">§7.6.2.5.3, печ. стр. 169.</t>
  </si>
  <si>
    <t xml:space="preserve">«Марионетка»</t>
  </si>
  <si>
    <t xml:space="preserve">проверка I Кукловода превышает I цели минимум на 10.</t>
  </si>
  <si>
    <t xml:space="preserve">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t>
  </si>
  <si>
    <t xml:space="preserve">При успехе effectiveController временно становится контроллером Кукловода; owningController не меняется. По окончании эффекта управление восстанавливается.</t>
  </si>
  <si>
    <t xml:space="preserve">Бросок длительности не участвует во встречной проверке. Уже существующий более приоритетный явный запрет ментального контроля сохраняется.</t>
  </si>
  <si>
    <t xml:space="preserve">Нормативная база (действует во всей непротиворечащей части):
управление действиями цели передаётся источнику эффекта на таймер.</t>
  </si>
  <si>
    <t xml:space="preserve">600 ОЭ; встречные I; отдельный чистый R20.</t>
  </si>
  <si>
    <t xml:space="preserve">R20+I_Кукловода и независимый R20+I_цели; успех iff first≥second+10; durationRoll отдельно.</t>
  </si>
  <si>
    <t xml:space="preserve">Q-MON-017
Q-PREDEV-006</t>
  </si>
  <si>
    <t xml:space="preserve">§7.6.2.6.3, печ. стр. 169.
Предразработочный QA и прямые ответы пользователя 2026-07-29</t>
  </si>
  <si>
    <t xml:space="preserve">«Ментальная паутина»</t>
  </si>
  <si>
    <t xml:space="preserve">применение «Ментальной паутины», затем следующей подходящей способности до конца следующего хода Кукловода.</t>
  </si>
  <si>
    <t xml:space="preserve">600 ОЭ; следующая способность активная, с одной внешней целью в базовом виде; цели в поле зрения.</t>
  </si>
  <si>
    <t xml:space="preserve">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Приоритетные авторские дельты (заменяют только прямо пересекающиеся ветви):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</si>
  <si>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следующая способность становится многоцелевой; после разрешения либо истечения срока усилитель удаляется.</t>
  </si>
  <si>
    <t xml:space="preserve">не подходят самонаправленные, пассивные и площадные способности.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</si>
  <si>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[Q-MON-018] Цена следующей способности в боевых действиях оплачивается один раз за всё многоцелевое применение.</t>
  </si>
  <si>
    <t xml:space="preserve">600 ОЭ; следующая способность активная, с одной внешней целью в базовом виде; цели в поле зрения.
600 ОЭ один раз; количество целей 1–10; полная стоимость следующей способности отдельно на каждую цель; отдельные проверки по каждой цели.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t>
  </si>
  <si>
    <t xml:space="preserve">§7.6.2.7.1 и уточнение, печ. стр. 169.</t>
  </si>
  <si>
    <t xml:space="preserve">Базовые параметры Чумного доктора</t>
  </si>
  <si>
    <t xml:space="preserve">получение или изменение L.</t>
  </si>
  <si>
    <t xml:space="preserve">симбионт активен.</t>
  </si>
  <si>
    <t xml:space="preserve">максимум ОЭ 400×L; связанные характеристики Z,I,W; максимум L=8; модификаторы S−5, D−5, M−5, I+10.</t>
  </si>
  <si>
    <t xml:space="preserve">пересчитать максимум ОЭ и характеристики.</t>
  </si>
  <si>
    <t xml:space="preserve">«Мёртвый вестник» прекращает три штрафа −5, но сохраняет I+10.</t>
  </si>
  <si>
    <t xml:space="preserve">максимум ОЭ 400×L; связанные характеристики Z,I,W; максимум L=8; модификаторы S−5, D−5, M−5, I+10.
пересчитать максимум ОЭ и характеристики.</t>
  </si>
  <si>
    <t xml:space="preserve">Контактное заражение ассистентами</t>
  </si>
  <si>
    <t xml:space="preserve">контакт и решение Доктора попытаться заразить.</t>
  </si>
  <si>
    <t xml:space="preserve">цель жива; у цели нет действующей неуязвимости к ассистентам этого Доктора; лимит обрабатывается MON-045.</t>
  </si>
  <si>
    <t xml:space="preserve">если итог Доктора строго выше итога проверки Z цели, создать заражение ассистентами.</t>
  </si>
  <si>
    <t xml:space="preserve">цель добавляется в реестр заражённых данного источника.</t>
  </si>
  <si>
    <t xml:space="preserve">Доктор может отказаться от попытки; при вакцинации другим Доктором применить MON-055.</t>
  </si>
  <si>
    <t xml:space="preserve">чистый R20 + 2L Доктора; проверка Z цели.</t>
  </si>
  <si>
    <t xml:space="preserve">§7.6.3.2.1, печ. стр. 171.</t>
  </si>
  <si>
    <t xml:space="preserve">MON-043</t>
  </si>
  <si>
    <t xml:space="preserve">Цена повторных попыток заражения в бою</t>
  </si>
  <si>
    <t xml:space="preserve">попытка заражения в боевой ситуации.</t>
  </si>
  <si>
    <t xml:space="preserve">применяется механика заражения через самого Доктора или уже заражённого переносчика.</t>
  </si>
  <si>
    <t xml:space="preserve">Нормативная база (действует во всей непротиворечащей части):
первая попытка не тратит боевое действие; каждая следующая стоит 1 боевое действие.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</si>
  <si>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увеличить счётчик попыток и списать действие при count&gt;1.</t>
  </si>
  <si>
    <t xml:space="preserve">стоимость ОЭ конкретной способности оплачивается отдельно.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</si>
  <si>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первая попытка не тратит боевое действие; каждая следующая стоит 1 боевое действие.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увеличить счётчик попыток и списать действие при count&gt;1.</t>
  </si>
  <si>
    <t xml:space="preserve">[Q-MON-019]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стоимость ОЭ конкретной способности оплачивается отдельно.</t>
  </si>
  <si>
    <t xml:space="preserve">MON-044</t>
  </si>
  <si>
    <t xml:space="preserve">Заражение через инфицированного переносчика</t>
  </si>
  <si>
    <t xml:space="preserve">биологическая передача ассистентов от заражённого к новой цели.</t>
  </si>
  <si>
    <t xml:space="preserve">переносчик заражён ассистентами данного Доктора; Доктор способен сконцентрироваться.</t>
  </si>
  <si>
    <t xml:space="preserve">Нормативная база (действует во всей непротиворечащей части):
Доктор выполняет проверку; при строгом превышении новая цель заражается.
Приоритетные авторские дельты (заменяют только прямо пересекающиеся ветви):
[Q-MON-020]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t>
  </si>
  <si>
    <t xml:space="preserve">новая цель привязана к тому же Доктору-источнику.</t>
  </si>
  <si>
    <t xml:space="preserve">заражение не происходит автономно без концентрации/проверки Доктора.
Поздние дельты применяются по приоритету AQ3 &gt; AQ2 &gt; AQA/CQA &gt; базовая карточка; локальное исключение сильнее общего.</t>
  </si>
  <si>
    <t xml:space="preserve">та же проверка заражения R20+2L против проверки Z; счётчик попыток MON-043.</t>
  </si>
  <si>
    <t xml:space="preserve">Q-MON-020</t>
  </si>
  <si>
    <t xml:space="preserve">MON-045</t>
  </si>
  <si>
    <t xml:space="preserve">Лимит заражённых ассистентами</t>
  </si>
  <si>
    <t xml:space="preserve">успешное заражение новой цели.</t>
  </si>
  <si>
    <t xml:space="preserve">новая численность превышает текущий лимит.</t>
  </si>
  <si>
    <t xml:space="preserve">Нормативная база (действует во всей непротиворечащей части):
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исключение про отдельный лимит Чумного пророка
[AQ2-001]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t>
  </si>
  <si>
    <t xml:space="preserve">реестр остаётся в лимите.</t>
  </si>
  <si>
    <t xml:space="preserve">заражённые через Чумного пророка учитываются в отдельном лимите пророка, а не Доктора.
Поздние дельты применяются по приоритету AQ3 &gt; AQ2 &gt; AQA/CQA &gt; базовая карточка; локальное исключение сильнее общего.</t>
  </si>
  <si>
    <t xml:space="preserve">[Обязательная правка] Эта формулировка имеет приоритет над исходным текстом карточки.
При уменьшении лимита сохраняются newLimit заражений с наибольшим infectionOrder, остальные уничтожаются; при newLimit=0 уничтожаются все.</t>
  </si>
  <si>
    <t xml:space="preserve">MON-046</t>
  </si>
  <si>
    <t xml:space="preserve">Добровольное уничтожение ассистентов</t>
  </si>
  <si>
    <t xml:space="preserve">решение Доктора.</t>
  </si>
  <si>
    <t xml:space="preserve">цель заражена его ассистентами.</t>
  </si>
  <si>
    <t xml:space="preserve">Нормативная база (действует во всей непротиворечащей части):
уничтожить всех ассистентов в цели.
Приоритетные авторские дельты (заменяют только прямо пересекающиеся ветви):
[Q-MON-021]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t>
  </si>
  <si>
    <t xml:space="preserve">снять заражение и освободить единицу лимита.</t>
  </si>
  <si>
    <t xml:space="preserve">не снимает отдельно наложенную болезнь «Поветрие».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</si>
  <si>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[Q-MON-021] Уничтожение ассистентов бесплатно и может быть объявлено вне очереди, в том числе между объявлением чужого действия и его разрешением.</t>
  </si>
  <si>
    <t xml:space="preserve">Q-MON-021</t>
  </si>
  <si>
    <t xml:space="preserve">MON-047</t>
  </si>
  <si>
    <t xml:space="preserve">Реакция заражённого дикого животного</t>
  </si>
  <si>
    <t xml:space="preserve">успешное заражение.</t>
  </si>
  <si>
    <t xml:space="preserve">цель классифицирована как дикое животное.</t>
  </si>
  <si>
    <t xml:space="preserve">Нормативная база (действует во всей непротиворечащей части):
если R20 &lt; L, животное бросается в бегство.
Приоритетные авторские дельты (заменяют только прямо пересекающиеся ветви):
[Q-MON-022]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</si>
  <si>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назначить поведение «бегство».</t>
  </si>
  <si>
    <t xml:space="preserve">для мыслящих и недиких животных проверка не указана.
Поздние дельты применяются по приоритету AQ3 &gt; AQ2 &gt; AQA/CQA &gt; базовая карточка; локальное исключение сильнее общего.</t>
  </si>
  <si>
    <t xml:space="preserve">чистый R20
если R20 &lt; L, животное бросается в бегство.
[Q-MON-022] Дикое животное делает одну чистую проверку R20 сразу после успешного заражения.</t>
  </si>
  <si>
    <t xml:space="preserve">Q-MON-022</t>
  </si>
  <si>
    <t xml:space="preserve">Воздушно-капельное заражение «Кхе-кхе…»</t>
  </si>
  <si>
    <t xml:space="preserve">кашель с намерением заразить.</t>
  </si>
  <si>
    <t xml:space="preserve">дистанция ≤L метров; цель не защищена костюмом «Нэйт».</t>
  </si>
  <si>
    <t xml:space="preserve">Нормативная база (действует во всей непротиворечащей части):
если итог Доктора строго выше проверки Z, заразить ассистентами.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</si>
  <si>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добавить цель в реестр с обработкой лимита.</t>
  </si>
  <si>
    <t xml:space="preserve">«Нэйт» полностью блокирует этот путь; цена действия требует решения Q-MON-019.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</si>
  <si>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</si>
  <si>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</si>
  <si>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чистый R20+L; проверка Z цели.</t>
  </si>
  <si>
    <t xml:space="preserve">§7.6.3.3.1, печ. стр. 171.</t>
  </si>
  <si>
    <t xml:space="preserve">«Вы больны, вам нужно отдохнуть»</t>
  </si>
  <si>
    <t xml:space="preserve">цель содержит ассистентов Доктора.</t>
  </si>
  <si>
    <t xml:space="preserve">при R20≥3 установить M цели равной 1 на R20/3 минут/ходов; при R20=1 уничтожить всех ассистентов в цели; при 2 эффект отсутствует.</t>
  </si>
  <si>
    <t xml:space="preserve">временное фиксированное M либо снятие заражения.</t>
  </si>
  <si>
    <t xml:space="preserve">по §7.1 один и тот же первый R20 определяет активацию и длительность.</t>
  </si>
  <si>
    <t xml:space="preserve">100 ОЭ; чистый R20.</t>
  </si>
  <si>
    <t xml:space="preserve">100 ОЭ; чистый R20.
при R20≥3 установить M цели равной 1 на R20/3 минут/ходов; при R20=1 уничтожить всех ассистентов в цели; при 2 эффект отсутствует.
по §7.1 один и тот же первый R20 определяет активацию и длительность.</t>
  </si>
  <si>
    <t xml:space="preserve">§7.6.3.3.2, печ. стр. 171.</t>
  </si>
  <si>
    <t xml:space="preserve">«Они вам помогут…»: лечение ценой ассистентов</t>
  </si>
  <si>
    <t xml:space="preserve">в цели есть ассистенты.</t>
  </si>
  <si>
    <t xml:space="preserve">Нормативная база (действует во всей непротиворечащей части):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
Приоритетные авторские дельты (заменяют только прямо пересекающиеся ветви):
[Q-MON-023]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</si>
  <si>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заражение снимается при сработавших ветках; применяются лечение/возгорание.</t>
  </si>
  <si>
    <t xml:space="preserve">при применении к себе Доктор теряет возможность проверок заражения на 8−L часов.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</si>
  <si>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R20=1 ассистенты воспламеняют случайную часть тела и погибают; при 2 погибают/не погибают — см.
При результате 1 ассистенты погибают и случайная часть тела загорается; если целью был сам Доктор, блокировка на 8−L часов применяется.
при применении к себе Доктор теряет возможность проверок заражения на 8−L часов.</t>
  </si>
  <si>
    <t xml:space="preserve">100 ОЭ; чистый R20.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t>
  </si>
  <si>
    <t xml:space="preserve">100 ОЭ; чистый R20.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t>
  </si>
  <si>
    <t xml:space="preserve">§7.6.3.3.3, печ. стр. 171.</t>
  </si>
  <si>
    <t xml:space="preserve">«Не обращайте внимания — я потягиваюсь»</t>
  </si>
  <si>
    <t xml:space="preserve">одежда/броня не мешает раскрыть грудную клетку; каждая цель не дальше 5L м.</t>
  </si>
  <si>
    <t xml:space="preserve">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Приоритетные авторские дельты (заменяют только прямо пересекающиеся ветви):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</si>
  <si>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массовое заражение с обработкой лимитов либо временная блокировка заражения.</t>
  </si>
  <si>
    <t xml:space="preserve">гарантированность отменяет проверку Z, но не лимит заражённых.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</si>
  <si>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t>
  </si>
  <si>
    <t xml:space="preserve">200 ОЭ; названный в тексте чистый R4 количества целей; чистая проверка активации с порогом 4+, дайс которой отдельно не назван.</t>
  </si>
  <si>
    <t xml:space="preserve">200 ОЭ; названный в тексте чистый R4 количества целей; чистая проверка активации с порогом 4+, дайс которой отдельно не назван.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</si>
  <si>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§7.6.3.4.1, печ. стр. 172.</t>
  </si>
  <si>
    <t xml:space="preserve">«Какое здоровье, какая воля к жизни!»</t>
  </si>
  <si>
    <t xml:space="preserve">цель содержит ассистентов.</t>
  </si>
  <si>
    <t xml:space="preserve">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</si>
  <si>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длительный урон либо временный межисточниковый иммунитет.</t>
  </si>
  <si>
    <t xml:space="preserve">иммунитет действует против всех Чумных докторов.</t>
  </si>
  <si>
    <t xml:space="preserve">200 ОЭ</t>
  </si>
  <si>
    <t xml:space="preserve">Z цели; чистый R20 активации/длительности; при критической 1 — отдельный скрытый R20 дней.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</si>
  <si>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§7.6.3.4.2, печ. стр. 172.</t>
  </si>
  <si>
    <t xml:space="preserve">«Сражайся, больной!»</t>
  </si>
  <si>
    <t xml:space="preserve">увеличить S и D на R20/2; длительность R20/4 минут/ходов; при завершении однократно нанести отдельный R20 урона от яда.</t>
  </si>
  <si>
    <t xml:space="preserve">временный модификатор характеристик; затем урон и снятие модификатора.</t>
  </si>
  <si>
    <t xml:space="preserve">все три R20 независимы.</t>
  </si>
  <si>
    <t xml:space="preserve">200 ОЭ; чистый R20 величины; отдельный R20 длительности; отдельный R20 пост-урона.</t>
  </si>
  <si>
    <t xml:space="preserve">200 ОЭ; чистый R20 величины; отдельный R20 длительности; отдельный R20 пост-урона.
увеличить S и D на R20/2; длительность R20/4 минут/ходов; при завершении однократно нанести отдельный R20 урона от яда.
все три R20 независимы.</t>
  </si>
  <si>
    <t xml:space="preserve">§7.6.3.4.3, печ. стр. 172.</t>
  </si>
  <si>
    <t xml:space="preserve">«Масштабная эпидемия»</t>
  </si>
  <si>
    <t xml:space="preserve">способность активна; проверка сопротивления ментальному воздействию.</t>
  </si>
  <si>
    <t xml:space="preserve">Нормативная база (действует во всей непротиворечащей части):
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
Приоритетные авторские дельты (заменяют только прямо пересекающиеся ветви):
[AQ2-001]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t>
  </si>
  <si>
    <t xml:space="preserve">новый лимит; модификатор защиты; информационный результат при успехе.</t>
  </si>
  <si>
    <t xml:space="preserve">пророческие лимиты отдельны.
Поздние дельты применяются по приоритету AQ3 &gt; AQ2 &gt; AQA/CQA &gt; базовая карточка; локальное исключение сильнее общего.</t>
  </si>
  <si>
    <t xml:space="preserve">§7.6.3.5.1, печ. стр. 172.</t>
  </si>
  <si>
    <t xml:space="preserve">«Вакцинация»</t>
  </si>
  <si>
    <t xml:space="preserve">применение способности.</t>
  </si>
  <si>
    <t xml:space="preserve">цель заражена ассистентами этого Доктора.</t>
  </si>
  <si>
    <t xml:space="preserve">Нормативная база (действует во всей непротиворечащей части):
гарантированно дать неуязвимость к ассистентам всех других Чумных докторов.
Приоритетные авторские дельты (заменяют только прямо пересекающиеся ветви):
[Q-MON-025]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</si>
  <si>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записать источник вакцинации и иммунитет к другим источникам.</t>
  </si>
  <si>
    <t xml:space="preserve">не заявлена защита от ассистентов самого вакцинирующего Доктора.
Поздние дельты применяются по приоритету AQ3 &gt; AQ2 &gt; AQA/CQA &gt; базовая карточка; локальное исключение сильнее общего.</t>
  </si>
  <si>
    <t xml:space="preserve">800 ОЭ.</t>
  </si>
  <si>
    <t xml:space="preserve">§7.6.3.5.2, печ. стр. 172.</t>
  </si>
  <si>
    <t xml:space="preserve">«Самое надёжное лекарство»: активный эффект</t>
  </si>
  <si>
    <t xml:space="preserve">Нормативная база (действует во всей непротиворечащей части):
гарантированно уничтожить ассистентов и воспламенить случайную часть тела цели.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заменить случайную часть тела одним binary burning по Q-CORE-030</t>
  </si>
  <si>
    <t xml:space="preserve">снять заражение; наложить горение.</t>
  </si>
  <si>
    <t xml:space="preserve">Поветрие как отдельная болезнь не снимается.
Поздние дельты применяются по приоритету AQ3 &gt; AQ2 &gt; AQA/CQA &gt; базовая карточка; локальное исключение сильнее общего.</t>
  </si>
  <si>
    <t xml:space="preserve">400 ОЭ; случайная часть тела.
Нормативная база (действует во всей непротиворечащей части):
гарантированно уничтожить ассистентов и воспламенить случайную часть тела цели.
заменить случайную часть тела одним binary burning по Q-CORE-030</t>
  </si>
  <si>
    <t xml:space="preserve">400 ОЭ; случайная часть тела.</t>
  </si>
  <si>
    <t xml:space="preserve">§7.6.3.6.1, печ. стр. 172.</t>
  </si>
  <si>
    <t xml:space="preserve">MON-057</t>
  </si>
  <si>
    <t xml:space="preserve">«Самое надёжное лекарство»: огнестойкость Доктора</t>
  </si>
  <si>
    <t xml:space="preserve">воздействие жара/горения.</t>
  </si>
  <si>
    <t xml:space="preserve">не выполнять проверки самообладания из-за боли от горения; огонь наносит 5 HP за минуту/ход вместо 10.</t>
  </si>
  <si>
    <t xml:space="preserve">уменьшенный урон, отсутствие указанной проверки.</t>
  </si>
  <si>
    <t xml:space="preserve">не заявлен общий иммунитет к иному огненному урону.</t>
  </si>
  <si>
    <t xml:space="preserve">«Мёртвый вестник»: базовые пассивы</t>
  </si>
  <si>
    <t xml:space="preserve">способность изучена; начало серии.</t>
  </si>
  <si>
    <t xml:space="preserve">активный симбионт.</t>
  </si>
  <si>
    <t xml:space="preserve">убрать штрафы S−5,D−5,M−5; Доктор не чувствует боли и не может потерять сознание; к числу действий серии прибавить 1; минимум действий в ход =2.</t>
  </si>
  <si>
    <t xml:space="preserve">пересчитать характеристики и серию; запретить состояние «без сознания».</t>
  </si>
  <si>
    <t xml:space="preserve">невозможность потерять сознание не отменяет недееспособность тяжёлого ранения, паралич и физическое разрушение тела.</t>
  </si>
  <si>
    <t xml:space="preserve">Доктор не чувствует боли и не может потерять сознание; к числу действий серии прибавить 1; минимум действий в ход =2.</t>
  </si>
  <si>
    <t xml:space="preserve">§7.6.3.7.2 и уточнение, печ. стр. 173.</t>
  </si>
  <si>
    <t xml:space="preserve">MON-062</t>
  </si>
  <si>
    <t xml:space="preserve">«Мёртвый вестник»: костяной клинок</t>
  </si>
  <si>
    <t xml:space="preserve">выдвижение клинка; затем атака клинком.</t>
  </si>
  <si>
    <t xml:space="preserve">для атаки клинок выдвинут.</t>
  </si>
  <si>
    <t xml:space="preserve">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t>
  </si>
  <si>
    <t xml:space="preserve">обычное разрешение атаки; при нанесении урона применить MON-063.</t>
  </si>
  <si>
    <t xml:space="preserve">фраза «отдельная проверка при каждой атаке» означает новый общий бросок для следующей атаки, а не отдельные броски урона и пробития.</t>
  </si>
  <si>
    <t xml:space="preserve">1 действие на выдвижение; точность с D; навык «Фехтование»; один общий R20 R на конкретную атаку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t>
  </si>
  <si>
    <t xml:space="preserve">§7.6.3.7.2, печ. стр. 173.</t>
  </si>
  <si>
    <t xml:space="preserve">MON-063</t>
  </si>
  <si>
    <t xml:space="preserve">Костяной клинок: гарантированное заражение</t>
  </si>
  <si>
    <t xml:space="preserve">клинок нанёс ненулевой урон.</t>
  </si>
  <si>
    <t xml:space="preserve">цель может быть заражена ассистентами данного Доктора.</t>
  </si>
  <si>
    <t xml:space="preserve">без проверки Z гарантированно заразить цель ассистентами.</t>
  </si>
  <si>
    <t xml:space="preserve">добавить цель в реестр и применить лимит MON-045.</t>
  </si>
  <si>
    <t xml:space="preserve">вакцинация/иммунитет может запретить заражение; лимит сохраняется.</t>
  </si>
  <si>
    <t xml:space="preserve">«Распределение сил»: первые шесть ходов</t>
  </si>
  <si>
    <t xml:space="preserve">первые 6 ходов Доктора в боевой ситуации.</t>
  </si>
  <si>
    <t xml:space="preserve">Нормативная база (действует во всей непротиворечащей части):
на ходах 1–6 увеличить S и D до 35; с 7-го вернуть обычные итоговые значения.
Приоритетные авторские дельты (заменяют только прямо пересекающиеся ветви):
[Q-MON-032]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t>
  </si>
  <si>
    <t xml:space="preserve">временные боевые значения S,D.</t>
  </si>
  <si>
    <t xml:space="preserve">трактовка значений выше 35 требует Q-MON-032.
Поздние дельты применяются по приоритету AQ3 &gt; AQ2 &gt; AQA/CQA &gt; базовая карточка; локальное исключение сильнее общего.</t>
  </si>
  <si>
    <t xml:space="preserve">§7.6.3.8.2, печ. стр. 173–174.</t>
  </si>
  <si>
    <t xml:space="preserve">MON-067</t>
  </si>
  <si>
    <t xml:space="preserve">«Распределение сил»: неожиданное нападение</t>
  </si>
  <si>
    <t xml:space="preserve">неожиданно атакован сам Доктор или его группа.</t>
  </si>
  <si>
    <t xml:space="preserve">применяется сцена нападения.</t>
  </si>
  <si>
    <t xml:space="preserve">автоматически считать упреждение Доктора успешным.</t>
  </si>
  <si>
    <t xml:space="preserve">Доктор действует раньше атакующих по механике упреждения.</t>
  </si>
  <si>
    <t xml:space="preserve">не выдаёт дополнительный полный ход.</t>
  </si>
  <si>
    <t xml:space="preserve">§7.6.3.8.2 и уточнение, печ. стр. 173–174.</t>
  </si>
  <si>
    <t xml:space="preserve">«Выжгу до тла»: защитное применение</t>
  </si>
  <si>
    <t xml:space="preserve">объявление блока против любой ближней атаки.</t>
  </si>
  <si>
    <t xml:space="preserve">костяной клинок выдвинут; есть 500 ОЭ.</t>
  </si>
  <si>
    <t xml:space="preserve">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</si>
  <si>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отменить удар; наложить горение атакующему.</t>
  </si>
  <si>
    <t xml:space="preserve">при неуспешном блоке атака разрешается обычно; активная геометрия струи обрабатывается MON-072.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</si>
  <si>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</si>
  <si>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костяной клинок выдвинут; есть 500 ОЭ.
500 ОЭ; обычная проверка блока.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</si>
  <si>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Q-MON-035</t>
  </si>
  <si>
    <t xml:space="preserve">§7.6.3.9.2, печ. стр. 174.</t>
  </si>
  <si>
    <t xml:space="preserve">MON-072</t>
  </si>
  <si>
    <t xml:space="preserve">«Выжгу до тла»: струя и экипировка</t>
  </si>
  <si>
    <t xml:space="preserve">выпуск струи пламени.</t>
  </si>
  <si>
    <t xml:space="preserve">клинок выдвинут; цена оплачена.</t>
  </si>
  <si>
    <t xml:space="preserve">Нормативная база (действует во всей непротиворечащей части):
на каждую попавшую под струю цель наложить горение на случайные R6 элементов экипировки; если R6=6, горят все элементы, включая рюкзак при наличии.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</si>
  <si>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состояния горения записываются на выбранные элементы.</t>
  </si>
  <si>
    <t xml:space="preserve">точная форма струи и активная цена действий требуют Q-MON-035 и Q-MON-036.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</si>
  <si>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Увернуться от струи пламени нельзя, окно защитных действий у цели не открывается (точно так же работают поджигающие способности дракона)
точная форма струи и активная цена действий требуют Q-MON-035 и Q-MON-036.</t>
  </si>
  <si>
    <t xml:space="preserve">клинок выдвинут; цена оплачена.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точная форма струи и активная цена действий требуют Q-MON-035 и Q-MON-036.</t>
  </si>
  <si>
    <t xml:space="preserve">длина 2L м; для каждой цели отдельный чистый R6.
на каждую попавшую под струю цель наложить горение на случайные R6 элементов экипировки; если R6=6, горят все элементы, включая рюкзак при наличии.</t>
  </si>
  <si>
    <t xml:space="preserve">Q-MON-035
Q-MON-036</t>
  </si>
  <si>
    <t xml:space="preserve">«Одержимый познанием»</t>
  </si>
  <si>
    <t xml:space="preserve">физическая/ментальная атака; проверка обнаружения.</t>
  </si>
  <si>
    <t xml:space="preserve">природный спасбросок брони R20×2; +10 к защите от ментальных воздействий; +10 к обнаружению.</t>
  </si>
  <si>
    <t xml:space="preserve">применить броню/модификаторы; обычная регенерация тела сохраняется.</t>
  </si>
  <si>
    <t xml:space="preserve">не указано сложение природной брони с носимой — применяется общий порядок брони.</t>
  </si>
  <si>
    <t xml:space="preserve">R20 брони; базовые проверки защиты/обнаружения.
природный спасбросок брони R20×2; +10 к защите от ментальных воздействий; +10 к обнаружению.</t>
  </si>
  <si>
    <t xml:space="preserve">§7.6.3.9.3, печ. стр. 174.</t>
  </si>
  <si>
    <t xml:space="preserve">Ограничение одного симбионта каждого вида</t>
  </si>
  <si>
    <t xml:space="preserve">попытка заражения, пересадки или создания набора симбионтов.</t>
  </si>
  <si>
    <t xml:space="preserve">вид симбионта определён.</t>
  </si>
  <si>
    <t xml:space="preserve">отклонить добавление, если в теле уже есть симбионт с type = candidate.type.</t>
  </si>
  <si>
    <t xml:space="preserve">состав не меняется; причина отказа «вид уже занят».</t>
  </si>
  <si>
    <t xml:space="preserve">специальных исключений в 7.1–7.5.20 нет.</t>
  </si>
  <si>
    <t xml:space="preserve">7.1, стр. 111.</t>
  </si>
  <si>
    <t xml:space="preserve">SYM-002</t>
  </si>
  <si>
    <t xml:space="preserve">Вместимость симбиотических слотов</t>
  </si>
  <si>
    <t xml:space="preserve">добавление симбионта или изменение его занимаемых слотов.</t>
  </si>
  <si>
    <t xml:space="preserve">известны свободные слоты и размер симбионта.</t>
  </si>
  <si>
    <t xml:space="preserve">добавление допустимо, только если occupiedSlots + slotCost &lt;= slotCapacity.</t>
  </si>
  <si>
    <t xml:space="preserve">при успехе занять слоты; при нехватке новый симбионт не поселяется.</t>
  </si>
  <si>
    <t xml:space="preserve">Трогр после поглощения Учителя/Дельфина меняет slotCost по SYM-076.</t>
  </si>
  <si>
    <t xml:space="preserve">slotCapacity, occupiedSlots; для обыкновенного симбионта slotCost=1, если специальное правило не меняет стоимость.</t>
  </si>
  <si>
    <t xml:space="preserve">slotCapacity, occupiedSlots; для обыкновенного симбионта slotCost=1, если специальное правило не меняет стоимость.
добавление допустимо, только если occupiedSlots + slotCost &lt;= slotCapacity.</t>
  </si>
  <si>
    <t xml:space="preserve">7.1, стр. 111; 7.5, стр. 115.</t>
  </si>
  <si>
    <t xml:space="preserve">SYM-003</t>
  </si>
  <si>
    <t xml:space="preserve">Иммунитет Чистых к естественному заражению</t>
  </si>
  <si>
    <t xml:space="preserve">наступление момента проверки заражения.</t>
  </si>
  <si>
    <t xml:space="preserve">race=Чистый.</t>
  </si>
  <si>
    <t xml:space="preserve">Нормативная база (действует во всей непротиворечащей части):
проверку не выполнять; заражение не возникает.
Приоритетные авторские дельты (заменяют только прямо пересекающиеся ветви):
[AQ2-GM-SYM] Операции мастера по добавлению, удалению, замене, пересадке и изменению уровня симбионта определены карточками AQ2-013–AQ2-025. Прежняя помета о неопределённости пересадки в конфликтующей части не применяется.</t>
  </si>
  <si>
    <t xml:space="preserve">состав симбионтов неизменен.</t>
  </si>
  <si>
    <t xml:space="preserve">правило относится к естественному заражению; операции пересадки здесь не определены.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</si>
  <si>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Прежняя помета о неопределённости пересадки в конфликтующей части не применяется.</t>
  </si>
  <si>
    <t xml:space="preserve">SYM-006</t>
  </si>
  <si>
    <t xml:space="preserve">Состояние пересаженного симбионта</t>
  </si>
  <si>
    <t xml:space="preserve">успешное завершение операции пересадки.</t>
  </si>
  <si>
    <t xml:space="preserve">пересадка допустима по слотам и уникальности вида.</t>
  </si>
  <si>
    <t xml:space="preserve">сохранить приобретённый уровень и изученные способности; установить currentOE=0.</t>
  </si>
  <si>
    <t xml:space="preserve">симбионт переносится без потери прогресса, но без текущей энергии.</t>
  </si>
  <si>
    <t xml:space="preserve">восстановление ОЭ — только обычным отдыхом.</t>
  </si>
  <si>
    <t xml:space="preserve">уровень, изученные способности, текущие ОЭ симбионта.
восстановление ОЭ — только обычным отдыхом.</t>
  </si>
  <si>
    <t xml:space="preserve">SYM-007</t>
  </si>
  <si>
    <t xml:space="preserve">Полноценный отдых и частота его пользы</t>
  </si>
  <si>
    <t xml:space="preserve">завершены не менее 4 непрерывных часов сна в условиях, позволяющих отдыхать.</t>
  </si>
  <si>
    <t xml:space="preserve">персонаж не получал пользу полного восстановления в текущем 24-часовом игровом периоде.</t>
  </si>
  <si>
    <t xml:space="preserve">Нормативная база (действует во всей непротиворечащей части):
восстановить персонажу Z HP с применением общего предела HP; каждому активному симбионту установить currentOE=maxOE; зафиксировать использование восстановления.
Приоритетные авторские дельты (заменяют только прямо пересекающиеся ветви):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
[AQ3-003] В одной подтверждённой заявке отдыха полноценный отдых наступает при накоплении 240 минут. Только плановая смена дозора может разделять эти минуты без потери accumulatedRestMinutes; любое иное прерывание из AQ2-030 обнуляет текущий отрезок и накопленный итог. Пауза приложения и остановка виртуального времени ничего не начисляют и не обнуляют. Скользящий 24-часовой лимит пользы не меняется.</t>
  </si>
  <si>
    <t xml:space="preserve">HP увеличен, ОЭ активных симбионтов полны.</t>
  </si>
  <si>
    <t xml:space="preserve">повторный 4-часовой сон в те же 24 игровых часа не повторяет HP/ОЭ-восстановление, но может иметь сюжетный эффект.
Поздние дельты применяются по приоритету AQ3 &gt; AQ2 &gt; AQA/CQA &gt; базовая карточка; локальное исключение сильнее общего.</t>
  </si>
  <si>
    <t xml:space="preserve">завершены не менее 4 непрерывных часов сна в условиях, позволяющих отдыхать.
персонаж не получал пользу полного восстановления в текущем 24-часовом игровом периоде.
Нормативная база (действует во всей непротиворечащей части):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t>
  </si>
  <si>
    <t xml:space="preserve">Z, текущий/максимальный HP, текущий/максимальный ОЭ активных симбионтов, журнал отдыха.
восстановить персонажу Z HP с применением общего предела HP; каждому активному симбионту установить currentOE=maxOE; зафиксировать использование восстановления.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Только плановая смена дозора может разделять эти минуты без потери accumulatedRestMinutes; любое иное прерывание из AQ2-030 обнуляет текущий отрезок и накопленный итог.
HP увеличен, ОЭ активных симбионтов полны.</t>
  </si>
  <si>
    <t xml:space="preserve">восстановить персонажу Z HP с применением общего предела HP; каждому активному симбионту установить currentOE=maxOE; зафиксировать использование восстановления.</t>
  </si>
  <si>
    <t xml:space="preserve">Q-SYM-002</t>
  </si>
  <si>
    <t xml:space="preserve">SYM-008</t>
  </si>
  <si>
    <t xml:space="preserve">Возврат отключённого симбионта</t>
  </si>
  <si>
    <t xml:space="preserve">истекло указанное эффектом время либо завершён полноценный отдых.</t>
  </si>
  <si>
    <t xml:space="preserve">описание конкретного отключения прямо разрешает соответствующий способ возврата.</t>
  </si>
  <si>
    <t xml:space="preserve">активировать симбионт только по прямо разрешённому условию; сам по себе отдых не сокращает любое отключение.</t>
  </si>
  <si>
    <t xml:space="preserve">disabled=false.</t>
  </si>
  <si>
    <t xml:space="preserve">конкретное описание отключения имеет приоритет.</t>
  </si>
  <si>
    <t xml:space="preserve">Максимальный и текущий запас ОЭ</t>
  </si>
  <si>
    <t xml:space="preserve">получение симбионта, изменение уровня или специальной формулы запаса.</t>
  </si>
  <si>
    <t xml:space="preserve">известны L и формула профиля.</t>
  </si>
  <si>
    <t xml:space="preserve">Нормативная база (действует во всей непротиворечащей части):
пересчитать maxOE; при повышении уровня не восстанавливать текущие ОЭ; при снижении/смене максимума установить currentOE=min(currentOE,maxOE).
Приоритетные авторские дельты (заменяют только прямо пересекающиеся ветви):
[Q-SYM-003] Новый симбионт, полученный при создании персонажа или естественном заражении, начинает с полным текущим запасом ОЭ по своему уровню. За исключением пересадки симбионта, у пересаженного симбионта ОЭ равны нулю
[v1.3] Симбионт экземпляра CustomMonster начинает с currentOE=maxOE для заявленного и проверенного уровня CORE-203.</t>
  </si>
  <si>
    <t xml:space="preserve">обновлён максимум и при необходимости обрезан текущий запас.</t>
  </si>
  <si>
    <t xml:space="preserve">Кромсатель Хранителя заменяет формулу на 200×L.
Поздние дельты применяются по приоритету AQ3 &gt; AQ2 &gt; AQA/CQA &gt; базовая карточка; локальное исключение сильнее общего.</t>
  </si>
  <si>
    <t xml:space="preserve">уровень, формула maxOE, текущие ОЭ.
пересчитать maxOE; при повышении уровня не восстанавливать текущие ОЭ; при снижении/смене максимума установить currentOE=min(currentOE,maxOE).
[Q-SYM-003] Новый симбионт, полученный при создании персонажа или естественном заражении, начинает с полным текущим запасом ОЭ по своему уровню.
За исключением пересадки симбионта, у пересаженного симбионта ОЭ равны нулю</t>
  </si>
  <si>
    <t xml:space="preserve">получение симбионта, изменение уровня или специальной формулы запаса.
известны L и формула профиля.
уровень, формула maxOE, текущие ОЭ.
пересчитать maxOE; при повышении уровня не восстанавливать текущие ОЭ; при снижении/смене максимума установить currentOE=min(currentOE,maxOE).
Кромсатель Хранителя заменяет формулу на 200×L.</t>
  </si>
  <si>
    <t xml:space="preserve">Q-SYM-003
Q-ENEMY-B9
Q-ENEMY-P15</t>
  </si>
  <si>
    <t xml:space="preserve">7.1–7.2, стр. 111–113; профили 7.5.1–7.5.20.
Прямое уточнение пользователя 2026-07-28 — шаблоны врагов v1.3</t>
  </si>
  <si>
    <t xml:space="preserve">SYM-010</t>
  </si>
  <si>
    <t xml:space="preserve">Дефолтная цена активной способности</t>
  </si>
  <si>
    <t xml:space="preserve">объявление способности, для которой не указана стоимость и которая не названа пассивной.</t>
  </si>
  <si>
    <t xml:space="preserve">способность доступна и симбионт активен.</t>
  </si>
  <si>
    <t xml:space="preserve">Нормативная база (действует во всей непротиворечащей части):
если цена не указана, назначить 1 боевое действие + 0 ОЭ.
Приоритетные авторские дельты (заменяют только прямо пересекающиеся ветви):
[Q-SYM-004]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Защитное действие не расходует боевые действия своего хода, если способность прямо не говорит обратное. Убирать действия в подготовку можно только в свой ход.</t>
  </si>
  <si>
    <t xml:space="preserve">резервируется/списывается одно действие.</t>
  </si>
  <si>
    <t xml:space="preserve">явно указанная цена, подготовка, защитная реакция или пассивность имеют приоритет.
Поздние дельты применяются по приоритету AQ3 &gt; AQ2 &gt; AQA/CQA &gt; базовая карточка; локальное исключение сильнее общего.</t>
  </si>
  <si>
    <t xml:space="preserve">явная цена действий/ОЭ, тип способности.
Нормативная база (действует во всей непротиворечащей части):
если цена не указана, назначить 1 боевое действие + 0 ОЭ.
[Q-SYM-004]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Защитное действие не расходует боевые действия своего хода, если способность прямо не говорит обратное.</t>
  </si>
  <si>
    <t xml:space="preserve">объявление способности, для которой не указана стоимость и которая не названа пассивной.
явная цена действий/ОЭ, тип способности.
если цена не указана, назначить 1 боевое действие + 0 ОЭ.
[Q-SYM-004]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явно указанная цена, подготовка, защитная реакция или пассивность имеют приоритет.</t>
  </si>
  <si>
    <t xml:space="preserve">Q-SYM-004</t>
  </si>
  <si>
    <t xml:space="preserve">Проверка достаточности ОЭ и атомарная оплата</t>
  </si>
  <si>
    <t xml:space="preserve">пользователь объявляет способность.</t>
  </si>
  <si>
    <t xml:space="preserve">известна полная цена.</t>
  </si>
  <si>
    <t xml:space="preserve">если ОЭ меньше полной цены либо действий недостаточно — запретить объявление; иначе при объявлении единоразово списать ОЭ и действия.</t>
  </si>
  <si>
    <t xml:space="preserve">создаётся оплаченная попытка способности.</t>
  </si>
  <si>
    <t xml:space="preserve">провал активации, промах, защита и непробитие не возвращают затраты; особые цены «вся энергия» и поддержание исполняются по описанию.</t>
  </si>
  <si>
    <t xml:space="preserve">currentOE, цена ОЭ, доступные действия.
если ОЭ меньше полной цены либо действий недостаточно — запретить объявление; иначе при объявлении единоразово списать ОЭ и действия.</t>
  </si>
  <si>
    <t xml:space="preserve">известна полная цена.
currentOE, цена ОЭ, доступные действия.
если ОЭ меньше полной цены либо действий недостаточно — запретить объявление; иначе при объявлении единоразово списать ОЭ и действия.
провал активации, промах, защита и непробитие не возвращают затраты; особые цены «вся энергия» и поддержание исполняются по описанию.</t>
  </si>
  <si>
    <t xml:space="preserve">SYM-012</t>
  </si>
  <si>
    <t xml:space="preserve">Активационный бросок и специальные исходы</t>
  </si>
  <si>
    <t xml:space="preserve">оплаченная способность переходит к разрешению.</t>
  </si>
  <si>
    <t xml:space="preserve">описание содержит формулу от чистого R20 и пороги «срабатывает при…» либо явно требует активацию.</t>
  </si>
  <si>
    <t xml:space="preserve">первый названный чистый R20 — бросок активации и одновременно значение первого связанного числового эффекта; слово «отдельная»/новое вхождение требует нового броска. Чистая 1 и иные специальные последствия относятся к активационному броску.
Прогрессия симбионта определяется только CORE-230/SYM-021 по реально использованным modifierStatCodes; сам факт активации способности отдельным основанием больше не является.</t>
  </si>
  <si>
    <t xml:space="preserve">при достижении порога продолжить разрешение; иначе способность оплачена, но основного эффекта нет; специальный исход применить отдельно.</t>
  </si>
  <si>
    <t xml:space="preserve">если активация не указана, после оплаты она автоматическая, но попадание/пробитие/встречная проверка могут остаться.
Без связанной характеристики значимая активационная проверка идёт в общий счётчик; незначимая — NEVER.</t>
  </si>
  <si>
    <t xml:space="preserve">описание содержит формулу от чистого R20 и пороги «срабатывает при…» либо явно требует активацию.
последовательность вхождений R20, порог, специальные значения.
первый названный чистый R20 — бросок активации и одновременно значение первого связанного числового эффекта; слово «отдельная»/новое вхождение требует нового броска.</t>
  </si>
  <si>
    <t xml:space="preserve">Q-SYMBIONT-XP-001</t>
  </si>
  <si>
    <t xml:space="preserve">7.1, стр. 111.
Прямое авторское решение Q-SYMBIONT-XP-001 — опыт симбионтов за natural 20/1, 2026-07-30</t>
  </si>
  <si>
    <t xml:space="preserve">SYM-013</t>
  </si>
  <si>
    <t xml:space="preserve">Последовательность активной атакующей способности</t>
  </si>
  <si>
    <t xml:space="preserve">объявление активной атакующей способности.</t>
  </si>
  <si>
    <t xml:space="preserve">цель допустима, способность доступна.</t>
  </si>
  <si>
    <t xml:space="preserve">объявление цели и оплата → активация → точность → защитное действие → пробитие → урон и эффект.</t>
  </si>
  <si>
    <t xml:space="preserve">журналировать каждый этап и итог.</t>
  </si>
  <si>
    <t xml:space="preserve">прямые исключения («нельзя защититься», чистый урон, гарантированное попадание и т.п.) пропускают соответствующий этап.</t>
  </si>
  <si>
    <t xml:space="preserve">цель, стоимость, активация, меткость, защита, пробитие, урон/эффект.</t>
  </si>
  <si>
    <t xml:space="preserve">SYM-014</t>
  </si>
  <si>
    <t xml:space="preserve">Дальняя способность и несколько целей</t>
  </si>
  <si>
    <t xml:space="preserve">активная способность действует на дистанции.</t>
  </si>
  <si>
    <t xml:space="preserve">описание не задаёт иной тип разрешения.</t>
  </si>
  <si>
    <t xml:space="preserve">применять по умолчанию правила стрельбы; для каждой цели отдельно выполнять атаку, защиту, пробитие и эффект.</t>
  </si>
  <si>
    <t xml:space="preserve">отдельные результаты по каждой цели.</t>
  </si>
  <si>
    <t xml:space="preserve">площадные, самонаводящиеся, контактные и прямо беззащитные способности исполняются по специальному тексту.</t>
  </si>
  <si>
    <t xml:space="preserve">Цель, контакт и поле зрения</t>
  </si>
  <si>
    <t xml:space="preserve">выбор цели.</t>
  </si>
  <si>
    <t xml:space="preserve">если цель не названа и меняется тело носителя — цель носитель; «в поле зрения» проверять и при объявлении, и при разрешении; непрозрачное препятствие блокирует; контактная способность без дальности требует касания; дальняя без линии распространения требует поля зрения.</t>
  </si>
  <si>
    <t xml:space="preserve">валидная цель принимается либо команда отклоняется.</t>
  </si>
  <si>
    <t xml:space="preserve">прямые указания прохождения сквозь препятствия имеют приоритет.</t>
  </si>
  <si>
    <t xml:space="preserve">формулировка способности, позиции, препятствия, контакт.</t>
  </si>
  <si>
    <t xml:space="preserve">7.4, стр. 114.</t>
  </si>
  <si>
    <t xml:space="preserve">Типы механических субъектов</t>
  </si>
  <si>
    <t xml:space="preserve">вычисление применимости правила.</t>
  </si>
  <si>
    <t xml:space="preserve">объект участвует в сцене.</t>
  </si>
  <si>
    <t xml:space="preserve">«персонаж» включает ПК, НПС, животное, симбионта вне тела и иное участвующее существо; «источник эффекта» — персонаж/симбионт/предмет/болезнь/явление; «носитель» — персонаж, в теле которого симбионт.</t>
  </si>
  <si>
    <t xml:space="preserve">правила применяются к унифицированному интерфейсу боевого субъекта.</t>
  </si>
  <si>
    <t xml:space="preserve">способность может сузить тип цели.</t>
  </si>
  <si>
    <t xml:space="preserve">SYM-017</t>
  </si>
  <si>
    <t xml:space="preserve">Нотация бросков и независимость дайсов</t>
  </si>
  <si>
    <t xml:space="preserve">вычисление формулы.</t>
  </si>
  <si>
    <t xml:space="preserve">формула содержит D/R.</t>
  </si>
  <si>
    <t xml:space="preserve">R — результат отдельного дайса; 2R20 — два независимых D20 с суммой; R20×2 — один результат, умноженный на 2; каждое новое вхождение R — новый бросок, если не сказано обратное; R20² — квадрат одного результата.
2R20 означает два независимых D20 с разными originRollId; R20×2 означает один D20, где для прогрессии учитывается rawFace до умножения.</t>
  </si>
  <si>
    <t xml:space="preserve">формируется трассируемый набор независимых бросков.</t>
  </si>
  <si>
    <t xml:space="preserve">прямые слова «тот же результат», «одна проверка», «один общий бросок» связывают значения.
Итог 20 от иной натуральной грани не создаёт событие.</t>
  </si>
  <si>
    <t xml:space="preserve">вычисление формулы.
формула содержит D/R.
D20/D12/D6/D4, R20/R12/R6/R4, количество, степень.
2R20 — два независимых D20 с суммой
R20×2 — один результат, умноженный на 2; каждое новое вхождение R — новый бросок, если не сказано обратное</t>
  </si>
  <si>
    <t xml:space="preserve">7.4, стр. 114.
Прямое авторское решение Q-SYMBIONT-XP-001 — опыт симбионтов за natural 20/1, 2026-07-30</t>
  </si>
  <si>
    <t xml:space="preserve">SYM-018</t>
  </si>
  <si>
    <t xml:space="preserve">Диапазоны и порядок операций</t>
  </si>
  <si>
    <t xml:space="preserve">оценка порога/формулы.</t>
  </si>
  <si>
    <t xml:space="preserve">есть числовое выражение.</t>
  </si>
  <si>
    <t xml:space="preserve">Нормативная база (действует во всей непротиворечащей части):
5+ включает 5; 5- включает 5; диапазон включает обе границы; порядок: скобки → степень → умножение/деление → сложение/вычитание.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</si>
  <si>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детерминированное значение/ветвь.</t>
  </si>
  <si>
    <t xml:space="preserve">способ округления большинства дробей не задан.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</si>
  <si>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</si>
  <si>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оценка порога/формулы.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</si>
  <si>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SYM-019</t>
  </si>
  <si>
    <t xml:space="preserve">Динамический параметр L</t>
  </si>
  <si>
    <t xml:space="preserve">расчёт формулы с L.</t>
  </si>
  <si>
    <t xml:space="preserve">Нормативная база (действует во всей непротиворечащей части):
подставлять текущий L; числовые эффекты становятся мощнее с ростом уровня.
Приоритетные авторские дельты (заменяют только прямо пересекающиеся ветви):
[Q-SYM-006] Одноразовый уже вычисленный результат не пересчитывается. Для продолжающегося эффекта каждое применение его числовой величины использует текущий L; уже определённая броском длительность не перебрасывается. Пассивы, ауры и поддерживаемые режимы также пересчитываются сразу после изменения L.</t>
  </si>
  <si>
    <t xml:space="preserve">рассчитано значение эффекта.</t>
  </si>
  <si>
    <t xml:space="preserve">единоразово зафиксированные результаты прямо помечены как такие.
Поздние дельты применяются по приоритету AQ3 &gt; AQ2 &gt; AQA/CQA &gt; базовая карточка; локальное исключение сильнее общего.</t>
  </si>
  <si>
    <t xml:space="preserve">Q-SYM-006</t>
  </si>
  <si>
    <t xml:space="preserve">SYM-020</t>
  </si>
  <si>
    <t xml:space="preserve">Стартовый уровень и способности 1-го уровня</t>
  </si>
  <si>
    <t xml:space="preserve">первоначальное получение.</t>
  </si>
  <si>
    <t xml:space="preserve">симбионт создан/заражение завершено.</t>
  </si>
  <si>
    <t xml:space="preserve">установить L=1; отметить все способности 1-го уровня изученными бесплатно.
[v1.3] Для CustomMonster L=1 является только минимумом: мастер вправе заявить более высокий уровень и валидный набор узлов по CORE-203.</t>
  </si>
  <si>
    <t xml:space="preserve">доступен весь уровень 1 без расхода опыта.</t>
  </si>
  <si>
    <t xml:space="preserve">пересадка сохраняет прежний прогресс по SYM-006.</t>
  </si>
  <si>
    <t xml:space="preserve">установить L=1; отметить все способности 1-го уровня изученными бесплатно.</t>
  </si>
  <si>
    <t xml:space="preserve">Q-ENEMY-B9</t>
  </si>
  <si>
    <t xml:space="preserve">7.2, стр. 112–113.
Прямое уточнение пользователя 2026-07-28 — шаблоны врагов v1.3</t>
  </si>
  <si>
    <t xml:space="preserve">SYM-021</t>
  </si>
  <si>
    <t xml:space="preserve">Прямое начисление опыта симбионту за natural 20/1</t>
  </si>
  <si>
    <t xml:space="preserve">CORE-230 вернул progressionRoute=DIRECT_SYMBIONT и processingStatus=PENDING для игрока.</t>
  </si>
  <si>
    <t xml:space="preserve">Значимая проверка; original D20 rawFace=20/1; rollKind допускает direct; modifierStatCodes содержит связанную характеристику; найден хотя бы один активный допустимый экземпляр симбионта.</t>
  </si>
  <si>
    <t xml:space="preserve">Выбрать ровно один уникальный допустимый экземпляр симбионта равновероятно, без веса за число совпавших характеристик. Начислить ему baseXP=eventPoints. Для Вольного применить CORE-007 ×2 один раз. Установить APPLIED_DIRECT.</t>
  </si>
  <si>
    <t xml:space="preserve">XP выбранного симбионта увеличен; progressionRoute=DIRECT_SYMBIONT; counterPoints не меняются.</t>
  </si>
  <si>
    <t xml:space="preserve">Натуральная 1 и отрицательные градации допустимы. Сам факт активации способности не является основанием. Неактивные экземпляры исключены, кроме явных локальных правил. Проигрыш встречной проверки не отменяет award.</t>
  </si>
  <si>
    <t xml:space="preserve">baseXP=eventPoints; FreeXP=baseXP×2; Crit/Double/Triple/Ultra/Rampage=1/2/3/4/5.</t>
  </si>
  <si>
    <t xml:space="preserve">7.2, стр. 112–113.
Прямое уточнение пользователя 2026-07-29 — боевой приоритет критов
Прямое авторское решение Q-SYMBIONT-XP-001 — опыт симбионтов за natural 20/1, 2026-07-30</t>
  </si>
  <si>
    <t xml:space="preserve">SYM-022</t>
  </si>
  <si>
    <t xml:space="preserve">Покупка способности и цена</t>
  </si>
  <si>
    <t xml:space="preserve">игрок выбирает способность.</t>
  </si>
  <si>
    <t xml:space="preserve">входящие связи выполнены; XOR-ветвь не заблокирована; XP достаточно.</t>
  </si>
  <si>
    <t xml:space="preserve">стоимость способности = N XP; списать XP и отметить способность изученной.
При повышении уровня использовать XP, полученный напрямую, распределением unallocatedSymbiontXp или отдельными пассивными правилами; источник award не меняет таблицу порогов.</t>
  </si>
  <si>
    <t xml:space="preserve">способность доступна, если её уровень не выше текущего L.</t>
  </si>
  <si>
    <t xml:space="preserve">уровень 1 бесплатен по SYM-020.</t>
  </si>
  <si>
    <t xml:space="preserve">стоимость способности = N XP; списать XP и отметить способность изученной.</t>
  </si>
  <si>
    <t xml:space="preserve">7.2–7.3, стр. 112–113.
Прямое авторское решение Q-SYMBIONT-XP-001 — опыт симбионтов за natural 20/1, 2026-07-30</t>
  </si>
  <si>
    <t xml:space="preserve">Семантика стрелок, OR, XOR и AND</t>
  </si>
  <si>
    <t xml:space="preserve">проверка доступности узла.</t>
  </si>
  <si>
    <t xml:space="preserve">дерево оцифровано.</t>
  </si>
  <si>
    <t xml:space="preserve">стрелка идёт от обязательного узла к открываемому; OR — для перехода достаточно любой одной ветви, другая не блокируется и может быть изучена позже; XOR — выбор первой способности фиксирует ветвь и навсегда блокирует противоположную; AND — требуются все входящие ветви. Закрывающий OR/XOR/AND применяет те же условия к следующему узлу.</t>
  </si>
  <si>
    <t xml:space="preserve">вычислены доступные/заблокированные узлы.</t>
  </si>
  <si>
    <t xml:space="preserve">конкретные деревья перечислены в профильных правилах.</t>
  </si>
  <si>
    <t xml:space="preserve">7.3, стр. 113 (растровая схема и уточнение).</t>
  </si>
  <si>
    <t xml:space="preserve">SYM-024</t>
  </si>
  <si>
    <t xml:space="preserve">Уровень симбионта</t>
  </si>
  <si>
    <t xml:space="preserve">изучение способности или изменение доступности уровня.</t>
  </si>
  <si>
    <t xml:space="preserve">известны изученные доступные способности.</t>
  </si>
  <si>
    <t xml:space="preserve">L = max(level изученной доступной способности); при переходе на новый этап дерева уровень повышается.
[v1.3] При создании CustomMonster вычисленный по изученным узлам эффективный L обязан совпасть с targetLevel, указанным мастером; иначе шаблон не финализируется.</t>
  </si>
  <si>
    <t xml:space="preserve">пересчитать L и maxOE; текущие ОЭ не восстанавливать.</t>
  </si>
  <si>
    <t xml:space="preserve">прямые эффекты потери/получения уровня могут требовать отдельного решения.</t>
  </si>
  <si>
    <t xml:space="preserve">L = max(level изученной доступной способности); при переходе на новый этап дерева уровень повышается.</t>
  </si>
  <si>
    <t xml:space="preserve">7.2–7.3, стр. 112–113.
Прямое уточнение пользователя 2026-07-28 — шаблоны врагов v1.3</t>
  </si>
  <si>
    <t xml:space="preserve">SYM-025</t>
  </si>
  <si>
    <t xml:space="preserve">Временная потеря уровня, удаление и гибель</t>
  </si>
  <si>
    <t xml:space="preserve">временная потеря уровня либо удаление/гибель симбионта.</t>
  </si>
  <si>
    <t xml:space="preserve">эффект разрешён.</t>
  </si>
  <si>
    <t xml:space="preserve">при временной потере уровня не удалять способности, заблокировать способности выше L, ограничить ОЭ новым максимумом, XP не возвращать. При удалении/гибели прекратить обычные пассивы.</t>
  </si>
  <si>
    <t xml:space="preserve">обновлены доступность, ОЭ и производные показатели.</t>
  </si>
  <si>
    <t xml:space="preserve">прямо указанное постоянное последствие сохраняется (пример — навык Трогра после удаления).</t>
  </si>
  <si>
    <t xml:space="preserve">новый L, изученные способности, текущие ОЭ, пассивы.
при временной потере уровня не удалять способности, заблокировать способности выше L, ограничить ОЭ новым максимумом, XP не возвращать.
обновлены доступность, ОЭ и производные показатели.</t>
  </si>
  <si>
    <t xml:space="preserve">7.2, стр. 113.</t>
  </si>
  <si>
    <t xml:space="preserve">Профиль и XOR-дерево Ткача</t>
  </si>
  <si>
    <t xml:space="preserve">получение, изменение L, покупка способности.</t>
  </si>
  <si>
    <t xml:space="preserve">один слот; носитель допустим.</t>
  </si>
  <si>
    <t xml:space="preserve">maxOE=50×L; связанная характеристика I; max L=6; прямого модификатора характеристик нет. Дерево: Регенерация(1) → XOR {Замена органа(2) → Дублирование органов(3) → Анаболический форсаж(4) → Абсолютная регенерация(5)| Внешняя регенерация(2) → Выстрел регенерона(3) → Адреналиновая реанимация(4) → Абсолютная реанимация(5)} → Облако регенерона(6).</t>
  </si>
  <si>
    <t xml:space="preserve">первая купленная способность уровня 2 навсегда блокирует противоположную ветвь; уровень 6 открывается после уровня 5 выбранной ветви.</t>
  </si>
  <si>
    <t xml:space="preserve">XOR по SYM-023.</t>
  </si>
  <si>
    <t xml:space="preserve">maxOE=50×L; связанная характеристика I; max L=6; прямого модификатора характеристик нет.</t>
  </si>
  <si>
    <t xml:space="preserve">объявление; цена 30 ОЭ и 1 действие.</t>
  </si>
  <si>
    <t xml:space="preserve">способность доступна; ОЭ≥30.</t>
  </si>
  <si>
    <t xml:space="preserve">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</si>
  <si>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HP/травмы либо бессознательность.</t>
  </si>
  <si>
    <t xml:space="preserve">специальные диапазоны заменяют базовое 2R.</t>
  </si>
  <si>
    <t xml:space="preserve">объявление; цена 30 ОЭ и 1 действие.
R=1: носитель без сознания 30 минут/до конца боя.</t>
  </si>
  <si>
    <t xml:space="preserve">объявление; цена 30 ОЭ и 1 действие.
ОЭ≥30.
R=5–17: HP += 2R.
R=18–19: восстановить 50 HP и удалить все травмы.
R=20: восстановить HP полностью, удалить все травмы и косметические дефекты, снижающие C.</t>
  </si>
  <si>
    <t xml:space="preserve">один чистый R20 (активация и величина).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</si>
  <si>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7.5.1.2.1, стр. 116.</t>
  </si>
  <si>
    <t xml:space="preserve">ручное объявление либо автоматическая потеря сознания от тяжёлого ранения; цена 50 ОЭ.</t>
  </si>
  <si>
    <t xml:space="preserve">способность изучена, ОЭ≥50, есть уничтоженный внутренний орган.</t>
  </si>
  <si>
    <t xml:space="preserve">Нормативная база (действует во всей непротиворечащей части):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
[Q-SYM-008]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</si>
  <si>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временная функция органа, продление таймера смерти; возможно постоянное восстановление.</t>
  </si>
  <si>
    <t xml:space="preserve">автоприменение только при достаточных ОЭ.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</si>
  <si>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R=1: Ткач отключён на 30 минут/4 хода.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[Q-SYM-008] Способность немедленно и без расходования действий носителя объявляется при потере сознания от тяжёлого ранения</t>
  </si>
  <si>
    <t xml:space="preserve">ручное объявление либо автоматическая потеря сознания от тяжёлого ранения; цена 50 ОЭ.
способность изучена, ОЭ≥50, есть уничтоженный внутренний орган.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Любая новая потеря хотя бы 1 HP во время тяжёлого ранения вызывает окончательную смерть.</t>
  </si>
  <si>
    <t xml:space="preserve">один чистый R20 R.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t>
  </si>
  <si>
    <t xml:space="preserve">Q-SYM-005
Q-SYM-007
Q-SYM-008</t>
  </si>
  <si>
    <t xml:space="preserve">7.5.1.3.1, стр. 116.</t>
  </si>
  <si>
    <t xml:space="preserve">касание ладонью раны; цена 20 ОЭ и 1 действие.</t>
  </si>
  <si>
    <t xml:space="preserve">физический контакт, ОЭ≥20.</t>
  </si>
  <si>
    <t xml:space="preserve">R=1: цель теряет 10 HP. R=2–4: нет эффекта. R=5–19: цель восстанавливает 2R HP. R=20: цель восстанавливает 50 HP, все травмы и косметические дефекты, снижающие C.</t>
  </si>
  <si>
    <t xml:space="preserve">HP/травмы цели.</t>
  </si>
  <si>
    <t xml:space="preserve">контакт обязателен.</t>
  </si>
  <si>
    <t xml:space="preserve">касание ладонью раны; цена 20 ОЭ и 1 действие.
физический контакт, ОЭ≥20.
R=1: цель теряет 10 HP.
R=5–19: цель восстанавливает 2R HP.
R=20: цель восстанавливает 50 HP, все травмы и косметические дефекты, снижающие C.</t>
  </si>
  <si>
    <t xml:space="preserve">один чистый R20 R.
R=1: цель теряет 10 HP.
R=2–4: нет эффекта.
R=5–19: цель восстанавливает 2R HP.
R=20: цель восстанавливает 50 HP, все травмы и косметические дефекты, снижающие C.</t>
  </si>
  <si>
    <t xml:space="preserve">7.5.1.3.2, стр. 116.</t>
  </si>
  <si>
    <t xml:space="preserve">объявление; цена 50 ОЭ и 1 действие.</t>
  </si>
  <si>
    <t xml:space="preserve">ОЭ≥50.</t>
  </si>
  <si>
    <t xml:space="preserve">Нормативная база (действует во всей непротиворечащей части):
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</si>
  <si>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одноразовое предотвращение тяжёлого ранения либо штраф симбионту.</t>
  </si>
  <si>
    <t xml:space="preserve">эффект расходуется первым срабатыванием.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</si>
  <si>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Дополнительное отключение наступает только там, где оно прямо указано, в частности у Ткача при неудаче «Дублирования органов».</t>
  </si>
  <si>
    <t xml:space="preserve">объявление; цена 50 ОЭ и 1 действие.
ОЭ≥50.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[Q-SYM-009] При обязательной потере ОЭ текущий запас уменьшается не ниже 0; энергетический долг не создаётся.</t>
  </si>
  <si>
    <t xml:space="preserve">один чистый R20 R.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</si>
  <si>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Q-SYM-005
Q-SYM-009</t>
  </si>
  <si>
    <t xml:space="preserve">7.5.1.4.1, стр. 116.</t>
  </si>
  <si>
    <t xml:space="preserve">объявление выстрела; цена 40 ОЭ и 1 действие.</t>
  </si>
  <si>
    <t xml:space="preserve">валидная дальняя цель; ОЭ≥40.</t>
  </si>
  <si>
    <t xml:space="preserve">Нормативная база (действует во всей непротиворечащей части):
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</si>
  <si>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лечение либо атака колючкой.</t>
  </si>
  <si>
    <t xml:space="preserve">стандартные дальняя атака/защита; активационная единица только выбирает ветку осложнения и не подставляется в формулы урона/пробития.
Поздние дельты применяются по приоритету AQ3 &gt; AQ2 &gt; AQA/CQA &gt; базовая карточка; локальное исключение сильнее общего.</t>
  </si>
  <si>
    <t xml:space="preserve">объявление выстрела; цена 40 ОЭ и 1 действие.
Нормативная база (действует во всей непротиворечащей части):</t>
  </si>
  <si>
    <t xml:space="preserve">объявление выстрела; цена 40 ОЭ и 1 действие.
ОЭ≥40.
R≥5 и попадание: голая кожа → +2R HP; проницаемая одежда → +R HP; герметичная одежда → 0.</t>
  </si>
  <si>
    <t xml:space="preserve">активационный R20 R; категория контакта; при R=1 — два новых независимых R20: R_damage и R_penetration.
R=2–4: нет эффекта.
R=1: вместо лечения кристаллизованная колючка наносит 2×R_damage урона, пробитие = R_penetration.
стандартные дальняя атака/защита; активационная единица только выбирает ветку осложнения и не подставляется в формулы урона/пробития.</t>
  </si>
  <si>
    <t xml:space="preserve">7.5.1.4.2, стр. 116.</t>
  </si>
  <si>
    <t xml:space="preserve">объявление; цена 100 ОЭ и 1 действие.</t>
  </si>
  <si>
    <t xml:space="preserve">ОЭ≥100.</t>
  </si>
  <si>
    <t xml:space="preserve">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
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t>
  </si>
  <si>
    <t xml:space="preserve">временные модификаторы и при единице потеря самоконтроля.</t>
  </si>
  <si>
    <t xml:space="preserve">цель случайной атаки может быть любой видимой.
Поздние дельты применяются по приоритету AQ3 &gt; AQ2 &gt; AQA/CQA &gt; базовая карточка; локальное исключение сильнее общего.</t>
  </si>
  <si>
    <t xml:space="preserve">объявление; цена 100 ОЭ и 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</si>
  <si>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цена 100 ОЭ и 1 действие.
ОЭ≥100.
100 ОЭ остаются израсходованными, повторного броска нет.
Вне боя специальная ветвь не возникает; затраты 100 ОЭ не возвращаются.</t>
  </si>
  <si>
    <t xml:space="preserve">первый R20 A (активация/бонус), отдельный R20 T (длительность).
A≥2: S += A/2, D += A/2 на T/4 ходов.
A=1: вместо этого S +=20, D +=20 на 5 ходов и каждый ход носитель атакует случайную цель в поле зрения.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</si>
  <si>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Q-SYM-005
Q-SYM-011</t>
  </si>
  <si>
    <t xml:space="preserve">7.5.1.5.1, стр. 116–117.</t>
  </si>
  <si>
    <t xml:space="preserve">ОЭ≥100; цель допустима.</t>
  </si>
  <si>
    <t xml:space="preserve">Нормативная база (действует во всей непротиворечащей части):
R=2–4: активация неуспешна. R≥5: выполнить попадание и пробитие; если шип достиг плоти, вывести цель из тяжёлого ранения, установить HP=1. R=1: «добить цель».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</si>
  <si>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реанимация либо фатальный исход.</t>
  </si>
  <si>
    <t xml:space="preserve">броня должна быть пробита.
Поздние дельты применяются по приоритету AQ3 &gt; AQ2 &gt; AQA/CQA &gt; базовая карточка; локальное исключение сильнее общего.</t>
  </si>
  <si>
    <t xml:space="preserve">объявление; цена 100 ОЭ и 1 действие.
Нормативная база (действует во всей непротиворечащей части):</t>
  </si>
  <si>
    <t xml:space="preserve">объявление; цена 100 ОЭ и 1 действие.
ОЭ≥100; цель допустима.
R≥5: выполнить попадание и пробитие; если шип достиг плоти, вывести цель из тяжёлого ранения, установить HP=1.</t>
  </si>
  <si>
    <t xml:space="preserve">чистый R20 R, одновременно активация и пробитие=3R.
R=2–4: активация неуспешна.
R≥5: выполнить попадание и пробитие; если шип достиг плоти, вывести цель из тяжёлого ранения, установить HP=1.
R=1: «добить цель».</t>
  </si>
  <si>
    <t xml:space="preserve">Q-SYM-010
Q-SYM-012</t>
  </si>
  <si>
    <t xml:space="preserve">7.5.1.5.2, стр. 117.</t>
  </si>
  <si>
    <t xml:space="preserve">объявление; списать весь текущий ОЭ, но команда допустима только при ОЭ≥200; 1 действие.</t>
  </si>
  <si>
    <t xml:space="preserve">Нормативная база (действует во всей непротиворечащей части):
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
[Q-SYM-014]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</si>
  <si>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временный режим абсолютной регенерации либо деградация.</t>
  </si>
  <si>
    <t xml:space="preserve">цена — вся энергия, не фиксированные 200.
Поздние дельты применяются по приоритету AQ3 &gt; AQ2 &gt; AQA/CQA &gt; базовая карточка; локальное исключение сильнее общего.</t>
  </si>
  <si>
    <t xml:space="preserve">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</si>
  <si>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списать весь текущий ОЭ, но команда допустима только при ОЭ≥200
R≥4: на R/4 ходов установить количество HP носителя 1000, запретить потерю дееспособности; каждая рана регенерирует через 2 хода.
[Q-SYM-013] После окончания способности временное значение 1000 снимается, а текущие HP становятся равны min(текущие HP при эффекте, обычный максимум HP).
Ткач становится 4 уровня; изученные узлы 5–6 уровней помечаются утраченными и недоступны, ранее потраченный на них опыт не возвращается.
цена — вся энергия, не фиксированные 200.</t>
  </si>
  <si>
    <t xml:space="preserve">один чистый R20 R.
R=2–3: нет основного эффекта, вся энергия потрачена.
R=1: Ткач отключён на сутки и деградирует до L=4.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t>
  </si>
  <si>
    <t xml:space="preserve">Q-SYM-005
Q-SYM-013
Q-SYM-014</t>
  </si>
  <si>
    <t xml:space="preserve">7.5.1.6.1, стр. 117.</t>
  </si>
  <si>
    <t xml:space="preserve">контактное применение; цена 150 ОЭ и 1 действие.</t>
  </si>
  <si>
    <t xml:space="preserve">ОЭ≥150; известен T — время с момента смерти.</t>
  </si>
  <si>
    <t xml:space="preserve">Нормативная база (действует во всей непротиворечащей части):
если R=1, цель любой степени повреждения воскресает с I=1 независимо от формулы. Иначе воскрешение успешно только если R − 4T &gt; 0.
Приоритетные авторские дельты (заменяют только прямо пересекающиеся ветви):
[Q-SYM-015]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</si>
  <si>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цель возвращается к жизни либо остаётся мёртвой; Ткач вводится в тело цели по описанию.</t>
  </si>
  <si>
    <t xml:space="preserve">натуральная 1 — прямое исключение.
Поздние дельты применяются по приоритету AQ3 &gt; AQ2 &gt; AQA/CQA &gt; базовая карточка; локальное исключение сильнее общего.</t>
  </si>
  <si>
    <t xml:space="preserve">контактное применение; цена 150 ОЭ и 1 действие.
чистый R20 R, T в ходах/минутах.
Нормативная база (действует во всей непротиворечащей части):
[Q-SYM-015] Сохранение мозга и части тела не проверяется – это игровая условность; цель воскресает с 1 HP вне тяжёлого ранения, Ткач сохраняется в носителе.
T считается в ходах в бою и полных минутах вне боя по правилу перехода режимов Q-CORE-063.</t>
  </si>
  <si>
    <t xml:space="preserve">контактное применение; цена 150 ОЭ и 1 действие.
ОЭ≥150; известен T — время с момента смерти.
[Q-SYM-015] Сохранение мозга и части тела не проверяется – это игровая условность; цель воскресает с 1 HP вне тяжёлого ранения, Ткач сохраняется в носителе.</t>
  </si>
  <si>
    <t xml:space="preserve">чистый R20 R, T в ходах/минутах.
если R=1, цель любой степени повреждения воскресает с I=1 независимо от формулы.</t>
  </si>
  <si>
    <t xml:space="preserve">7.5.1.6.2 и уточнение, стр. 117.</t>
  </si>
  <si>
    <t xml:space="preserve">объявление; цена 150 ОЭ и 1 действие.</t>
  </si>
  <si>
    <t xml:space="preserve">ОЭ≥150.</t>
  </si>
  <si>
    <t xml:space="preserve">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</si>
  <si>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массовое лечение, включая союзников и противников.</t>
  </si>
  <si>
    <t xml:space="preserve">отдельной проверки по целям нет.</t>
  </si>
  <si>
    <t xml:space="preserve">объявление; цена 150 ОЭ и 1 действие.
ОЭ≥150.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</si>
  <si>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чистый R20 радиуса.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</si>
  <si>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7.5.1.7.1, стр. 117.</t>
  </si>
  <si>
    <t xml:space="preserve">Профиль и линейное дерево Тайпана</t>
  </si>
  <si>
    <t xml:space="preserve">один слот.</t>
  </si>
  <si>
    <t xml:space="preserve">maxOE=50×L; связанные D,W; max L=7; пока Тайпан действует, Z -=5. Линейное дерево: Смертельный яд(1) → Проницаемая кожа(2) → Плевок ядом(3) → Ослабляющий яд(4) → Ядовитый шип(5) → Кумулятивный шип(6) → Парализующий яд(7).</t>
  </si>
  <si>
    <t xml:space="preserve">профиль и доступность узлов пересчитаны.</t>
  </si>
  <si>
    <t xml:space="preserve">взаимодействие с Жабой — SYM-038.</t>
  </si>
  <si>
    <t xml:space="preserve">maxOE=50×L; связанные D,W; max L=7; пока Тайпан действует, Z -=5.</t>
  </si>
  <si>
    <t xml:space="preserve">Несовместимость Тайпана и Жабы</t>
  </si>
  <si>
    <t xml:space="preserve">оба вида оказываются в одном носителе.</t>
  </si>
  <si>
    <t xml:space="preserve">проверка состава пройдена.</t>
  </si>
  <si>
    <t xml:space="preserve">Нормативная база (действует во всей непротиворечащей части):
установить Тайпану состояние подавления: запретить получение XP и выработку ядов.
Приоритетные авторские дельты (заменяют только прямо пересекающиеся ветви):
[Q-SYM-016] Тайпан и Жаба могут находиться в одном теле, но Жаба подавляет Тайпана: он не получает опыт, не вырабатывает яд и не применяет зависящие от яда способности. Уже наложенные на других персонажей эффекты яда продолжаются до окончания своего срока.
Подавленный Taipan не является кандидатом DIRECT_SYMBIONT и не может получать распределяемый XP.</t>
  </si>
  <si>
    <t xml:space="preserve">ядовитые режимы Тайпана не создают яд; развитие остановлено.</t>
  </si>
  <si>
    <t xml:space="preserve">текст говорит, что виды «не могут существовать» вместе, но одновременно описывает состояние сосуществования.
Поздние дельты применяются по приоритету AQ3 &gt; AQ2 &gt; AQA/CQA &gt; базовая карточка; локальное исключение сильнее общего.
Событие при отсутствии иных кандидатов идёт в CHARACTER_PROGRESS_COUNTER.</t>
  </si>
  <si>
    <t xml:space="preserve">[Q-SYM-016] Тайпан и Жаба могут находиться в одном теле, но Жаба подавляет Тайпана: он не получает опыт, не вырабатывает яд и не применяет зависящие от яда способности.</t>
  </si>
  <si>
    <t xml:space="preserve">Q-SYM-016
Q-SYMBIONT-XP-001</t>
  </si>
  <si>
    <t xml:space="preserve">7.5.2, стр. 118; 7.5.16, стр. 150.
Прямое авторское решение Q-SYMBIONT-XP-001 — опыт симбионтов за natural 20/1, 2026-07-30</t>
  </si>
  <si>
    <t xml:space="preserve">выбран режим «смертельный»; яд попал в кровоток либо проглоченную пищу цели.</t>
  </si>
  <si>
    <t xml:space="preserve">Тайпан не подавлен Жабой.</t>
  </si>
  <si>
    <t xml:space="preserve">Нормативная база (действует во всей непротиворечащей части):
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</si>
  <si>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создаётся периодический эффект с зафиксированными величиной и сроком; повторное применение обновляет, а не складывает эффект.</t>
  </si>
  <si>
    <t xml:space="preserve">общие вопросы дозы/тика и округления — Q-SYM-005, Q-SYM-017.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</si>
  <si>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t>
  </si>
  <si>
    <t xml:space="preserve">[Q-SYM-017]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общие вопросы дозы/тика и округления — Q-SYM-005, Q-SYM-017.</t>
  </si>
  <si>
    <t xml:space="preserve">L; отдельный R20 урона, отдельный R20 длительности; способ доставки.
Цель получает за ход R20/5 + L урона в течение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</si>
  <si>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Q-SYM-005
Q-SYM-017</t>
  </si>
  <si>
    <t xml:space="preserve">7.5.2.2.1 и уточнение, стр. 119.</t>
  </si>
  <si>
    <t xml:space="preserve">объявление; цена 10 ОЭ и 1 действие.</t>
  </si>
  <si>
    <t xml:space="preserve">в крови вырабатывается яд; ОЭ≥10.</t>
  </si>
  <si>
    <t xml:space="preserve">Нормативная база (действует во всей непротиворечащей части):
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
Приоритетные авторские дельты (заменяют только прямо пересекающиеся ветви):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</si>
  <si>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подготовлена контактная зона либо наложен штраф серии.</t>
  </si>
  <si>
    <t xml:space="preserve">срок существования проницаемой зоны не указан.
Поздние дельты применяются по приоритету AQ3 &gt; AQ2 &gt; AQA/CQA &gt; базовая карточка; локальное исключение сильнее общего.</t>
  </si>
  <si>
    <t xml:space="preserve">объявление; цена 10 ОЭ и 1 действие.
Нормативная база (действует во всей непротиворечащей части):
R=1: носитель получает −1 к серии приёмов на 1 час/до конца боя.</t>
  </si>
  <si>
    <t xml:space="preserve">объявление; цена 10 ОЭ и 1 действие.
ОЭ≥10.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t>
  </si>
  <si>
    <t xml:space="preserve">чистый R20 активации, область тела.
R=2–3: нет эффекта.
R=1: носитель получает −1 к серии приёмов на 1 час/до конца боя.</t>
  </si>
  <si>
    <t xml:space="preserve">7.5.2.3.1, стр. 119.</t>
  </si>
  <si>
    <t xml:space="preserve">Тайпан не подавлен; выбран яд; ОЭ≥10.</t>
  </si>
  <si>
    <t xml:space="preserve">Нормативная база (действует во всей непротиворечащей части):
R20≥4: выполнить дальнюю атаку; пробитие=R12; если сгусток достиг кожи, наложить текущий яд. R20=2–3: нет эффекта. R20=1: носитель теряет 10 HP.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</si>
  <si>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яд на цели либо самоповреждение; при контакте слизь инициирует неопределённый коррозионный эффект на одежде/лёгкой броне.</t>
  </si>
  <si>
    <t xml:space="preserve">числовые последствия коррозии не заданы и не могут быть отброшены как художественное описание.
Поздние дельты применяются по приоритету AQ3 &gt; AQ2 &gt; AQA/CQA &gt; базовая карточка; локальное исключение сильнее общего.</t>
  </si>
  <si>
    <t xml:space="preserve">объявление; цена 10 ОЭ и 1 действие.
Нормативная база (действует во всей непротиворечащей части):</t>
  </si>
  <si>
    <t xml:space="preserve">объявление; цена 10 ОЭ и 1 действие.
ОЭ≥10.
R20=1: носитель теряет 10 HP.</t>
  </si>
  <si>
    <t xml:space="preserve">отдельный R20 активации
R12 пробития; текущий яд.
R20≥4: выполнить дальнюю атаку; пробитие=R12; если сгусток достиг кожи, наложить текущий яд.
R20=2–3: нет эффекта.
R20=1: носитель теряет 10 HP.
[Q-SYM-075] При попадании Плевка ядом немедленно уничтожается внешний элемент обычной одежды или лёгкой брони со спасброском не выше R6.</t>
  </si>
  <si>
    <t xml:space="preserve">Q-SYM-010
Q-SYM-075</t>
  </si>
  <si>
    <t xml:space="preserve">7.5.2.4.1, стр. 119.</t>
  </si>
  <si>
    <t xml:space="preserve">яд попал в кровоток/пищу.</t>
  </si>
  <si>
    <t xml:space="preserve">выбран ослабляющий режим; Тайпан не подавлен.</t>
  </si>
  <si>
    <t xml:space="preserve">Нормативная база (действует во всей непротиворечащей части):
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[Q-SYM-019] Сила снижения K рассчитывается как max(0, R20 + L − Z). При K=0 яд считается попавшим, но характеристики цели не изменяются.</t>
  </si>
  <si>
    <t xml:space="preserve">временные модификаторы S,D,M.</t>
  </si>
  <si>
    <t xml:space="preserve">при неположительном K текст не определяет, применять ли 0 либо повышение.
Поздние дельты применяются по приоритету AQ3 &gt; AQ2 &gt; AQA/CQA &gt; базовая карточка; локальное исключение сильнее общего.</t>
  </si>
  <si>
    <t xml:space="preserve">[Q-SYM-017]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t>
  </si>
  <si>
    <t xml:space="preserve">L, Z_target, R20 величины, отдельный R20 длительности, способ доставки.
Рассчитать K=R20+L−Z_target; снизить S,D,M цели на K, но ни одну не ниже 1; срок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[Q-SYM-019] Сила снижения K рассчитывается как max(0, R20 + L − Z).
При K=0 яд считается попавшим, но характеристики цели не изменяются.</t>
  </si>
  <si>
    <t xml:space="preserve">Q-SYM-005
Q-SYM-017
Q-SYM-019</t>
  </si>
  <si>
    <t xml:space="preserve">7.5.2.5.1 и уточнение, стр. 119.</t>
  </si>
  <si>
    <t xml:space="preserve">ОЭ≥30.</t>
  </si>
  <si>
    <t xml:space="preserve">Нормативная база (действует во всей непротиворечащей части):
R≥4: дальняя атака, пробитие=R+L, урон=R+L одной проверкой; если нанесён урон, наложить текущий яд. R=2–3: нет эффекта. R=1: Тайпан отключён на 1 час/6 ходов.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</si>
  <si>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урон/яд либо отключение.</t>
  </si>
  <si>
    <t xml:space="preserve">дальность не задана.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</si>
  <si>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R=1: Тайпан отключён на 1 час/6 ходов.</t>
  </si>
  <si>
    <t xml:space="preserve">объявление; цена 30 ОЭ и 1 действие.
ОЭ≥30.</t>
  </si>
  <si>
    <t xml:space="preserve">один чистый R20 R, текущий яд.
R≥4: дальняя атака, пробитие=R+L, урон=R+L одной проверкой; если нанесён урон, наложить текущий яд.
R=2–3: нет эффекта.
R=1: Тайпан отключён на 1 час/6 ходов.</t>
  </si>
  <si>
    <t xml:space="preserve">7.5.2.6.1, стр. 119–120.</t>
  </si>
  <si>
    <t xml:space="preserve">Нормативная база (действует во всей непротиворечащей части):
A≥4: пробитие=(A+L)×2, урон=D+L; при нанесении урона наложить текущий яд. A=2–3: нет эффекта. A=1: носитель получает 20 урона и оглушение на 40 минут/3 хода.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</si>
  <si>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атака либо самоповреждение/оглушение.</t>
  </si>
  <si>
    <t xml:space="preserve">объявление; цена 50 ОЭ и 1 действие.
Нормативная база (действует во всей непротиворечащей части):
A=1: носитель получает 20 урона и оглушение на 40 минут/3 хода.</t>
  </si>
  <si>
    <t xml:space="preserve">объявление; цена 50 ОЭ и 1 действие.
ОЭ≥50.</t>
  </si>
  <si>
    <t xml:space="preserve">первый R20 A (активация/пробитие), отдельный R20 D (урон), текущий яд.
A≥4: пробитие=(A+L)×2, урон=D+L; при нанесении урона наложить текущий яд.
A=2–3: нет эффекта.
A=1: носитель получает 20 урона и оглушение на 40 минут/3 хода.</t>
  </si>
  <si>
    <t xml:space="preserve">7.5.2.7.1, стр. 120.</t>
  </si>
  <si>
    <t xml:space="preserve">выбран парализующий режим; Тайпан не подавлен.</t>
  </si>
  <si>
    <t xml:space="preserve">Нормативная база (действует во всей непротиворечащей части):
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t>
  </si>
  <si>
    <t xml:space="preserve">конечность получает состояние «онемела» до таймера.</t>
  </si>
  <si>
    <t xml:space="preserve">повторные применения могут выбирать другие действующие конечности; анатомия не-D4 требует решения.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</si>
  <si>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Попадание в любую часть тела обсчитывается как попадание в корпус</t>
  </si>
  <si>
    <t xml:space="preserve">R20 проверки, L, Z цели, D4 зоны, отдельный R20 длительности, способ доставки.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повторные применения могут выбирать другие действующие конечности; анатомия не-D4 требует решения.</t>
  </si>
  <si>
    <t xml:space="preserve">Q-SYM-005
Q-SYM-017
Q-SYM-020</t>
  </si>
  <si>
    <t xml:space="preserve">7.5.2.8.1 и уточнение, стр. 120.</t>
  </si>
  <si>
    <t xml:space="preserve">Профиль и линейное дерево Совы</t>
  </si>
  <si>
    <t xml:space="preserve">получение/развитие.</t>
  </si>
  <si>
    <t xml:space="preserve">maxOE=10×L; связанная W; max L=6; W +=5. Дерево линейно: Безупречное зрение → Абсолютное ночное зрение → Абсолютное обоняние → Абсолютный слух → Звуковая картина → Восприятие хищника.</t>
  </si>
  <si>
    <t xml:space="preserve">параметры/доступность пересчитаны.</t>
  </si>
  <si>
    <t xml:space="preserve">взаимодействие с Хамелеоном — SYM-047.</t>
  </si>
  <si>
    <t xml:space="preserve">maxOE=10×L; связанная W; max L=6
W +=5.</t>
  </si>
  <si>
    <t xml:space="preserve">Безупречное зрение и подавление Двойного фокуса</t>
  </si>
  <si>
    <t xml:space="preserve">визуальная проверка днём либо наличие обеих способностей.</t>
  </si>
  <si>
    <t xml:space="preserve">Нормативная база (действует во всей непротиворечащей части):
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</si>
  <si>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модифицирован визуальный бросок; эффект Хамелеона подавлен.</t>
  </si>
  <si>
    <t xml:space="preserve">Сова прямо имеет приоритет над Двойным фокусом.
Поздние дельты применяются по приоритету AQ3 &gt; AQ2 &gt; AQA/CQA &gt; базовая карточка; локальное исключение сильнее общего.</t>
  </si>
  <si>
    <t xml:space="preserve">7.5.3.2.1, стр. 122.</t>
  </si>
  <si>
    <t xml:space="preserve">осмотр в тёмное время/помещении.</t>
  </si>
  <si>
    <t xml:space="preserve">удалить штраф к осмотру, вызванный временем суток или тёмным помещением.</t>
  </si>
  <si>
    <t xml:space="preserve">проверка выполняется без указанного штрафа.</t>
  </si>
  <si>
    <t xml:space="preserve">иные помехи сохраняются.</t>
  </si>
  <si>
    <t xml:space="preserve">7.5.3.3.1, стр. 122.</t>
  </si>
  <si>
    <t xml:space="preserve">механически значимая проверка обоняния в боевой сцене.</t>
  </si>
  <si>
    <t xml:space="preserve">запах может быть воспринят.</t>
  </si>
  <si>
    <t xml:space="preserve">добавить +15.</t>
  </si>
  <si>
    <t xml:space="preserve">модифицированный результат.</t>
  </si>
  <si>
    <t xml:space="preserve">чисто следовые/бытовые применения вне боевой сцены вне реестра.</t>
  </si>
  <si>
    <t xml:space="preserve">7.5.3.4.1, стр. 122.</t>
  </si>
  <si>
    <t xml:space="preserve">проверка слуха в боевой сцене.</t>
  </si>
  <si>
    <t xml:space="preserve">звук достижим.</t>
  </si>
  <si>
    <t xml:space="preserve">добавить +15 к слуху.</t>
  </si>
  <si>
    <t xml:space="preserve">+7 к распознаванию лжи исключено как социальное.</t>
  </si>
  <si>
    <t xml:space="preserve">7.5.3.5.1, стр. 122.</t>
  </si>
  <si>
    <t xml:space="preserve">пассивно — невозможность зрения; активно — объявление, цена 10 ОЭ и 1 действие.</t>
  </si>
  <si>
    <t xml:space="preserve">цель известна; в радиусе 100 м; препятствия звукопроницаемы.</t>
  </si>
  <si>
    <t xml:space="preserve">Нормативная база (действует во всей непротиворечащей части):
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</si>
  <si>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раскрывается информация заданной глубины.</t>
  </si>
  <si>
    <t xml:space="preserve">диапазоны накопительные; уточнение исправляет исходное «более 4» на 4–10.
Поздние дельты применяются по приоритету AQ3 &gt; AQ2 &gt; AQA/CQA &gt; базовая карточка; локальное исключение сильнее общего.</t>
  </si>
  <si>
    <t xml:space="preserve">пассивно — невозможность зрения; активно — объявление, цена 10 ОЭ и 1 действие.
Нормативная база (действует во всей непротиворечащей части):</t>
  </si>
  <si>
    <t xml:space="preserve">пассивно — невозможность зрения; активно — объявление, цена 10 ОЭ и 1 действие.
Базовые значения, текущие и максимальные HP/ОЭ не раскрываются, если способность не называет их отдельно.</t>
  </si>
  <si>
    <t xml:space="preserve">чистый R20 R.
Активно: R=1–3 — нет данных
R=4–10 — местоположение
R=11–17 — местоположение и все характеристики
R=18–20 — также виды симбионтов.</t>
  </si>
  <si>
    <t xml:space="preserve">7.5.3.6.1 и уточнение, стр. 122.</t>
  </si>
  <si>
    <t xml:space="preserve">проверка обнаружения.</t>
  </si>
  <si>
    <t xml:space="preserve">исключить из расчёта все модификаторы маскировки обнаруживаемой цели; саму проверку обнаружения сохранить.</t>
  </si>
  <si>
    <t xml:space="preserve">цель обнаруживается как находящаяся в открытом поле.</t>
  </si>
  <si>
    <t xml:space="preserve">не отменяет иные помехи наблюдателя.</t>
  </si>
  <si>
    <t xml:space="preserve">7.5.3.7.1, стр. 122.</t>
  </si>
  <si>
    <t xml:space="preserve">Профиль и линейное дерево Учителя</t>
  </si>
  <si>
    <t xml:space="preserve">maxOE=20×L; связанная W; max L=6; прямого влияния нет. Линейное дерево: Развивайся, ученик → Век живи — век учись → Практикуйтесь, ученики → Свети, ученик → Берегись невежд, ученик → Внимай, ученик.</t>
  </si>
  <si>
    <t xml:space="preserve">профиль и доступность.</t>
  </si>
  <si>
    <t xml:space="preserve">Трогр может поглотить Учителя.</t>
  </si>
  <si>
    <t xml:space="preserve">maxOE=20×L; связанная W; max L=6; прямого влияния нет.</t>
  </si>
  <si>
    <t xml:space="preserve">изменение L или состава симбионтов.</t>
  </si>
  <si>
    <t xml:space="preserve">Учитель активен.</t>
  </si>
  <si>
    <t xml:space="preserve">W_bonus=max(0,min(4L,20−W_base)); W=W_base+W_bonus. Если Учитель — единственный симбионт, I_bonus=max(0,min(4L,20−I_base)), I=I_base+I_bonus.</t>
  </si>
  <si>
    <t xml:space="preserve">производные W/I; при гибели/удалении вернуть исходные значения; при появлении другого симбионта убрать бонус I.</t>
  </si>
  <si>
    <t xml:space="preserve">способность только повышает характеристики до 20 и никогда не снижает исходное значение выше 20.</t>
  </si>
  <si>
    <t xml:space="preserve">W_bonus=max(0,min(4L,20−W_base))
W=W_base+W_bonus.
Если Учитель — единственный симбионт, I_bonus=max(0,min(4L,20−I_base)), I=I_base+I_bonus.</t>
  </si>
  <si>
    <t xml:space="preserve">7.5.4.2.1, стр. 124.</t>
  </si>
  <si>
    <t xml:space="preserve">мастер подтверждает каждый полный час словесной ролевой игры.</t>
  </si>
  <si>
    <t xml:space="preserve">Учитель присутствует; подтверждение не создаётся одной промоткой времени.</t>
  </si>
  <si>
    <t xml:space="preserve">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
Сохранить как отдельный пассивный источник XP; он не является symbiontXpEvent от D20 и не пополняет общий счётчик.</t>
  </si>
  <si>
    <t xml:space="preserve">выбранный симбионт получает 1 XP; событие журналируется.</t>
  </si>
  <si>
    <t xml:space="preserve">COMBAT/Q-SYM-085 имеет приоритет над автоматическим выводом из мирового времени.</t>
  </si>
  <si>
    <t xml:space="preserve">мастер подтверждает каждый полный час словесной ролевой игры.
После ручного подтверждения часа равновероятно выбрать один присутствующий симбионт, кроме Учителя, и начислить ему 1 XP.</t>
  </si>
  <si>
    <t xml:space="preserve">Q-SYM-085
Q-SYMBIONT-XP-001</t>
  </si>
  <si>
    <t xml:space="preserve">§7.5.4.3.1, стр. 124; COMBAT/Q-SYM-085.
Прямое авторское решение Q-SYMBIONT-XP-001 — опыт симбионтов за natural 20/1, 2026-07-30</t>
  </si>
  <si>
    <t xml:space="preserve">объявление; цена 60 ОЭ и 1 действие.</t>
  </si>
  <si>
    <t xml:space="preserve">ОЭ Учителя≥60.</t>
  </si>
  <si>
    <t xml:space="preserve">каждому прочему симбионту установить currentOE=maxOE.</t>
  </si>
  <si>
    <t xml:space="preserve">полное восстановление чужих ОЭ; ОЭ Учителя уменьшаются на 60.</t>
  </si>
  <si>
    <t xml:space="preserve">Учитель себя не восстанавливает.</t>
  </si>
  <si>
    <t xml:space="preserve">объявление; цена 60 ОЭ и 1 действие.
ОЭ Учителя≥60.
полное восстановление чужих ОЭ
ОЭ Учителя уменьшаются на 60.</t>
  </si>
  <si>
    <t xml:space="preserve">7.5.4.4.1, стр. 124.</t>
  </si>
  <si>
    <t xml:space="preserve">голая ладонь удерживается на голой коже цели 10 секунд/1 полный боевой ход; базовая цена 40 ОЭ.</t>
  </si>
  <si>
    <t xml:space="preserve">контакт не прерван; есть допустимые активные способности симбионтов носителя Учителя.</t>
  </si>
  <si>
    <t xml:space="preserve">Нормативная база (действует во всей непротиворечащей части):
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
Приоритетные авторские дельты (заменяют только прямо пересекающиеся ветви):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</si>
  <si>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следующая способность цели подменена; маркер расходован.</t>
  </si>
  <si>
    <t xml:space="preserve">пассивы, постоянные перестройки и способности без допустимой цели/анатомии исключаются.
Поздние дельты применяются по приоритету AQ3 &gt; AQ2 &gt; AQA/CQA &gt; базовая карточка; локальное исключение сильнее общего.</t>
  </si>
  <si>
    <t xml:space="preserve">голая ладонь удерживается на голой коже цели 10 секунд/1 полный боевой ход; базовая цена 40 ОЭ.
Нормативная база (действует во всей непротиворечащей части):
При триггере заявленное целью действие расходуется, но ОЭ её отменённой способности не списываются.</t>
  </si>
  <si>
    <t xml:space="preserve">голая ладонь удерживается на голой коже цели 10 секунд/1 полный боевой ход; базовая цена 40 ОЭ.
R20 активации; пул активных способностей; их цены/цели.
При R=1 полностью обнулить ОЭ всех симбионтов носителя Учителя.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t>
  </si>
  <si>
    <t xml:space="preserve">R20 активации; пул активных способностей; их цены/цели.
При R=1 полностью обнулить ОЭ всех симбионтов носителя Учителя.</t>
  </si>
  <si>
    <t xml:space="preserve">Q-SYM-023
Q-SYM-024</t>
  </si>
  <si>
    <t xml:space="preserve">7.5.4.5.1 и общее уточнение копирования, стр. 124.</t>
  </si>
  <si>
    <t xml:space="preserve">объявление; цена 20 ОЭ и 1 действие.</t>
  </si>
  <si>
    <t xml:space="preserve">ОЭ≥20.</t>
  </si>
  <si>
    <t xml:space="preserve">гарантированно обнаружить всех носителей Трогра в радиусе 5R метров, игнорируя любые препятствия.</t>
  </si>
  <si>
    <t xml:space="preserve">раскрыты позиции подходящих целей.</t>
  </si>
  <si>
    <t xml:space="preserve">препятствия не блокируют.</t>
  </si>
  <si>
    <t xml:space="preserve">объявление; цена 20 ОЭ и 1 действие.
ОЭ≥20.</t>
  </si>
  <si>
    <t xml:space="preserve">чистый R20 R.</t>
  </si>
  <si>
    <t xml:space="preserve">7.5.4.6.1, стр. 124.</t>
  </si>
  <si>
    <t xml:space="preserve">объявление копирования.</t>
  </si>
  <si>
    <t xml:space="preserve">цель допустимой расы/дальности и ранее применяла активную способность; копия разрешима.</t>
  </si>
  <si>
    <t xml:space="preserve">Нормативная база (действует во всей непротиворечащей части):
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
Приоритетные авторские дельты (заменяют только прямо пересекающиеся ветви):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</si>
  <si>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разрешена копия, Учитель отключён.</t>
  </si>
  <si>
    <t xml:space="preserve">пассив/постоянная перестройка/невозможная анатомия или цель исключают способность.
Поздние дельты применяются по приоритету AQ3 &gt; AQ2 &gt; AQA/CQA &gt; базовая карточка; локальное исключение сильнее общего.</t>
  </si>
  <si>
    <t xml:space="preserve">последняя активная способность цели, цена 60 ОЭ и цена оригинала.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t>
  </si>
  <si>
    <t xml:space="preserve">L=уровень Учителя, проверки — характеристиками его носителя; оплатить большую из цен (не сумму); затем отключить Учителя на сутки.</t>
  </si>
  <si>
    <t xml:space="preserve">Q-SYM-024
Q-SYM-025</t>
  </si>
  <si>
    <t xml:space="preserve">7.5.4.7.1 и уточнение, стр. 124.</t>
  </si>
  <si>
    <t xml:space="preserve">Профиль и линейное дерево Броненосца</t>
  </si>
  <si>
    <t xml:space="preserve">maxOE=50×L; связанные M,Z; max L=6; профильный стат-модификатор отсутствует. Линейно: Подкожный панцирь → Здоров как буйвол → Не вырубишь! → Не подчиняюсь! → Не сдвинешь! → Поднять щиты!.</t>
  </si>
  <si>
    <t xml:space="preserve">профиль/доступность.</t>
  </si>
  <si>
    <t xml:space="preserve">maxOE=50×L; связанные M,Z; max L=6; профильный стат-модификатор отсутствует.</t>
  </si>
  <si>
    <t xml:space="preserve">получение удара.</t>
  </si>
  <si>
    <t xml:space="preserve">Броненосец активен.</t>
  </si>
  <si>
    <t xml:space="preserve">добавить L к броне поражённой зоны, складывая с носимой бронёй.</t>
  </si>
  <si>
    <t xml:space="preserve">повышенный спасбросок/показатель брони.</t>
  </si>
  <si>
    <t xml:space="preserve">бонус не действует против кулаков, ног, кастетов и грубого оружия.</t>
  </si>
  <si>
    <t xml:space="preserve">7.5.5.2.1, стр. 126.</t>
  </si>
  <si>
    <t xml:space="preserve">изменение L/наличия симбионта.</t>
  </si>
  <si>
    <t xml:space="preserve">Z = Z_base + L; при гибели/удалении вернуть базовое.</t>
  </si>
  <si>
    <t xml:space="preserve">пересчитать Z и зависимые значения.</t>
  </si>
  <si>
    <t xml:space="preserve">7.5.5.3.1, стр. 126.</t>
  </si>
  <si>
    <t xml:space="preserve">эффект пытается оглушить.</t>
  </si>
  <si>
    <t xml:space="preserve">текущий HP&gt;50.</t>
  </si>
  <si>
    <t xml:space="preserve">отменить наложение оглушения.</t>
  </si>
  <si>
    <t xml:space="preserve">состояние не применяется.</t>
  </si>
  <si>
    <t xml:space="preserve">при HP≤50 иммунитета нет; иные формы потери сознания не названы.</t>
  </si>
  <si>
    <t xml:space="preserve">текущий HP&gt;50.
текущий HP, состояние.
при HP≤50 иммунитета нет; иные формы потери сознания не названы.</t>
  </si>
  <si>
    <t xml:space="preserve">7.5.5.4.1, стр. 126.</t>
  </si>
  <si>
    <t xml:space="preserve">проверка сопротивления ментальному воздействию или способности Пингвина.</t>
  </si>
  <si>
    <t xml:space="preserve">добавить +5.</t>
  </si>
  <si>
    <t xml:space="preserve">модифицированный результат сопротивления.</t>
  </si>
  <si>
    <t xml:space="preserve">прямой бонус.</t>
  </si>
  <si>
    <t xml:space="preserve">7.5.5.5.1, стр. 126.</t>
  </si>
  <si>
    <t xml:space="preserve">встречная проверка против попытки сдвинуть.</t>
  </si>
  <si>
    <t xml:space="preserve">модифицированная проверка.</t>
  </si>
  <si>
    <t xml:space="preserve">только попытки сдвинуть с места.</t>
  </si>
  <si>
    <t xml:space="preserve">7.5.5.6.1, стр. 126.</t>
  </si>
  <si>
    <t xml:space="preserve">объявление допустимого защитного действия; цена 150 ОЭ и одно защитное действие.</t>
  </si>
  <si>
    <t xml:space="preserve">против атаки вообще можно заявить защиту; обе руки доступны; ОЭ≥150.</t>
  </si>
  <si>
    <t xml:space="preserve">Нормативная база (действует во всей непротиворечащей части):
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
Приоритетные авторские дельты (заменяют только прямо пересекающиеся ветви):
[Q-SYM-026]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</si>
  <si>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атака отражена либо руки скованы.</t>
  </si>
  <si>
    <t xml:space="preserve">не работает против атак без права на защитное действие.
Поздние дельты применяются по приоритету AQ3 &gt; AQ2 &gt; AQA/CQA &gt; базовая карточка; локальное исключение сильнее общего.</t>
  </si>
  <si>
    <t xml:space="preserve">объявление допустимого защитного действия; цена 150 ОЭ и одно защитное действие.
Нормативная база (действует во всей непротиворечащей части):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
не работает против атак без права на защитное действие.</t>
  </si>
  <si>
    <t xml:space="preserve">объявление допустимого защитного действия; цена 150 ОЭ и одно защитное действие.
ОЭ≥150.</t>
  </si>
  <si>
    <t xml:space="preserve">чистый R20 активации.
R=2–3: защита не срабатывает.
R=1: сковать обе руки персонажа.</t>
  </si>
  <si>
    <t xml:space="preserve">7.5.5.7.1, стр. 126.</t>
  </si>
  <si>
    <t xml:space="preserve">Профиль и линейное дерево Дракона</t>
  </si>
  <si>
    <t xml:space="preserve">maxOE=30×L; связанные D,W; max L=6; M−=5, Z−=5. Линейно: Горючая слюна → Огнеупорная глотка → Зубы-огниво → Нагнетатель давления → Долгое горение → Огненный шар.</t>
  </si>
  <si>
    <t xml:space="preserve">maxOE=30×L; связанные D,W; max L=6
M−=5, Z−=5.</t>
  </si>
  <si>
    <t xml:space="preserve">поджигание слюны либо попадание покрытым горящей слюной оружием.</t>
  </si>
  <si>
    <t xml:space="preserve">слюна нанесена и продолжает гореть.</t>
  </si>
  <si>
    <t xml:space="preserve">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</si>
  <si>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создаётся/передаётся эффект горения.</t>
  </si>
  <si>
    <t xml:space="preserve">механика огня — п. 5.4.3.5; требование повреждения плоти не указано.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</si>
  <si>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слюна вырабатывается в L раз больше обычной; стартовое горение 3 минуты/3 хода.</t>
  </si>
  <si>
    <t xml:space="preserve">7.5.6.2.1, стр. 128.</t>
  </si>
  <si>
    <t xml:space="preserve">воздействие температуры пламени.</t>
  </si>
  <si>
    <t xml:space="preserve">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Приоритетные авторские дельты (заменяют только прямо пересекающиеся ветви):
[Q-SYM-028]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</si>
  <si>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локальный урон предотвращён в пределах времени.</t>
  </si>
  <si>
    <t xml:space="preserve">порядок накопления времени не определён.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</si>
  <si>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[Q-SYM-028] Четыре минуты/четыре боевых хода считаются отдельно для каждого непрерывного эпизода воздействия огня на рот и глотку.</t>
  </si>
  <si>
    <t xml:space="preserve">7.5.6.3.1, стр. 128.</t>
  </si>
  <si>
    <t xml:space="preserve">контакт зубов по воле носителя.</t>
  </si>
  <si>
    <t xml:space="preserve">слюна находится во рту.</t>
  </si>
  <si>
    <t xml:space="preserve">гарантированно зажечь слюну без проверки.</t>
  </si>
  <si>
    <t xml:space="preserve">слюна получает состояние «горит».</t>
  </si>
  <si>
    <t xml:space="preserve">складывается с «Подобное к подобному» Крысы; оба эффекта работают.</t>
  </si>
  <si>
    <t xml:space="preserve">7.5.6.4.1, стр. 128.</t>
  </si>
  <si>
    <t xml:space="preserve">есть горящая слюна; ОЭ≥30.</t>
  </si>
  <si>
    <t xml:space="preserve">Нормативная база (действует во всей непротиворечащей части):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</si>
  <si>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множественные эффекты горения либо потеря ресурса.</t>
  </si>
  <si>
    <t xml:space="preserve">обычный отдых и иные способы восстановления не запрещены текстом.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</si>
  <si>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</si>
  <si>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цена 30 ОЭ и 1 действие.
ОЭ≥30.
A=1: обнулить все ОЭ Дракона и запретить восстановление симбиотическим отваром 1 час.
множественные эффекты горения либо потеря ресурса.</t>
  </si>
  <si>
    <t xml:space="preserve">первый R20 A (активация/длина), для каждой цели отдельный R6 экипировки.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t>
  </si>
  <si>
    <t xml:space="preserve">Q-SYM-005
Q-SYM-029</t>
  </si>
  <si>
    <t xml:space="preserve">7.5.6.5.1, стр. 128.</t>
  </si>
  <si>
    <t xml:space="preserve">создание эффекта горения; в строке способности напечатана цена 30 ОЭ одновременно с пометкой «Пассивный эффект».</t>
  </si>
  <si>
    <t xml:space="preserve">способность доступна; момент проверки достаточности ОЭ не определён.</t>
  </si>
  <si>
    <t xml:space="preserve">Нормативная база (действует во всей непротиворечащей части):
заменить стартовую длительность на 6 ходов.
Приоритетные авторские дельты (заменяют только прямо пересекающиеся ветви):
[Q-SYM-077]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</si>
  <si>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более длительное горение.</t>
  </si>
  <si>
    <t xml:space="preserve">применяется только к слюне носителя этого Дракона; до ответа нельзя считать эффект бесплатным и постоянно включённым.
Поздние дельты применяются по приоритету AQ3 &gt; AQ2 &gt; AQA/CQA &gt; базовая карточка; локальное исключение сильнее общего.</t>
  </si>
  <si>
    <t xml:space="preserve">создание эффекта горения; в строке способности напечатана цена 30 ОЭ одновременно с пометкой «Пассивный эффект».
способность доступна; момент проверки достаточности ОЭ не определён.
базовая длительность 3; цена 30 ОЭ.
[Q-SYM-077] Строка «Стоимость: 30 ОЭ» считается опечаткой.</t>
  </si>
  <si>
    <t xml:space="preserve">7.5.6.6.1, стр. 128.</t>
  </si>
  <si>
    <t xml:space="preserve">ОЭ≥60; возможность поджечь слюну.</t>
  </si>
  <si>
    <t xml:space="preserve">Нормативная база (действует во всей непротиворечащей части):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
Приоритетные авторские дельты (заменяют только прямо пересекающиеся ветви):
[Q-SYM-030]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</si>
  <si>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чистый площадной урон и горение.</t>
  </si>
  <si>
    <t xml:space="preserve">шар взрывается о первое препятствие; чистый урон ничем не уменьшается.
Поздние дельты применяются по приоритету AQ3 &gt; AQ2 &gt; AQA/CQA &gt; базовая карточка; локальное исключение сильнее общего.</t>
  </si>
  <si>
    <t xml:space="preserve">объявление; цена 60 ОЭ и 1 действие.
Нормативная база (действует во всей непротиворечащей части):</t>
  </si>
  <si>
    <t xml:space="preserve">объявление; цена 60 ОЭ и 1 действие.
ОЭ≥60; возможность поджечь слюну.</t>
  </si>
  <si>
    <t xml:space="preserve">первый R20 A (активация/дальность), отдельный R12 R (радиус), отдельный R20 D (урон).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t>
  </si>
  <si>
    <t xml:space="preserve">7.5.6.7.1, стр. 128–129.</t>
  </si>
  <si>
    <t xml:space="preserve">Профиль и XOR-дерево Трогра</t>
  </si>
  <si>
    <t xml:space="preserve">базово один слот.</t>
  </si>
  <si>
    <t xml:space="preserve">maxOE=1000×L; связанные S,D,M; max L=6. Дерево: Трогровость(1) → Трогр крушить!(2) → WAAAGH!!!(3) → Мой дубина — твой башка!(4) → ЫЫЫ…(5) → XOR {Утолщённые кости(6)| Гениальная тупость(6)}.</t>
  </si>
  <si>
    <t xml:space="preserve">при покупке одного L6 второй навсегда заблокирован.</t>
  </si>
  <si>
    <t xml:space="preserve">особое повышение после поглощения Дельфина — SYM-076.</t>
  </si>
  <si>
    <t xml:space="preserve">maxOE=1000×L; связанные S,D,M; max L=6.</t>
  </si>
  <si>
    <t xml:space="preserve">Межсимбионтная хищность и подавление Трогра</t>
  </si>
  <si>
    <t xml:space="preserve">совместное нахождение в теле.</t>
  </si>
  <si>
    <t xml:space="preserve">оба симбионта присутствуют.</t>
  </si>
  <si>
    <t xml:space="preserve">Нормативная база (действует во всей непротиворечащей части):
Учитель и Дельфин подлежат поглощению; Советник не развивается, не получает XP и не проявляет себя; Пингвин затаивается и не проявляется, но продолжает получать XP; Трогр охотится на Хранителя. 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[Q-SYM-031] 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
[Q-SYM-073] При начале подавления один раз определяется бонус B=R20/4 с общим математическим округлением. Итоговый минимум I равен 1+B, а если Трогр поглотил Учителя — 4+B; минимум W при поглощённом Учителе остаётся равен 4. Важно: эти бонусы просто позволяют носителю трогра по мере прокачки трогра сохранить больше интеллекта.
Под Trogr: Adviser не является кандидатом progression; Penguin сохраняет право на progression и распределение.</t>
  </si>
  <si>
    <t xml:space="preserve">жертвы/подавленные симбионты и минимумы характеристик обновлены.</t>
  </si>
  <si>
    <t xml:space="preserve">конкретная процедура и момент поглощения/охоты не заданы.
Поздние дельты применяются по приоритету AQ3 &gt; AQ2 &gt; AQA/CQA &gt; базовая карточка; локальное исключение сильнее общего.
Локальное исключение Penguin сильнее общего правила отключённого симбионта CORE-104.</t>
  </si>
  <si>
    <t xml:space="preserve">[Q-SYM-031] 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t>
  </si>
  <si>
    <t xml:space="preserve">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[Q-SYM-073] При начале подавления один раз определяется бонус B=R20/4 с общим математическим округлением.</t>
  </si>
  <si>
    <t xml:space="preserve">Q-SYM-005
Q-SYM-031
Q-SYM-073
Q-SYMBIONT-XP-001</t>
  </si>
  <si>
    <t xml:space="preserve">7.5.7 и 7.5.7.2.1, стр. 129–130.
Прямое авторское решение Q-SYMBIONT-XP-001 — опыт симбионтов за natural 20/1, 2026-07-30</t>
  </si>
  <si>
    <t xml:space="preserve">изменение L или факт поглощения.</t>
  </si>
  <si>
    <t xml:space="preserve">Трогр активен.</t>
  </si>
  <si>
    <t xml:space="preserve">Нормативная база (действует во всей непротиворечащей части):
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Приоритетные авторские дельты (заменяют только прямо пересекающиеся ветви):
[Q-SYM-032]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</si>
  <si>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пересчитаны характеристики, maxHP, слоты и уровень.</t>
  </si>
  <si>
    <t xml:space="preserve">судьба способностей при принудительном L=5 не определена.
Поздние дельты применяются по приоритету AQ3 &gt; AQ2 &gt; AQA/CQA &gt; базовая карточка; локальное исключение сильнее общего.</t>
  </si>
  <si>
    <t xml:space="preserve">Опыт за это не начисляется и компенсация уже развитому Трогру не выдаётся.</t>
  </si>
  <si>
    <t xml:space="preserve">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судьба способностей при принудительном L=5 не определена.</t>
  </si>
  <si>
    <t xml:space="preserve">7.5.7.2.1, стр. 130.</t>
  </si>
  <si>
    <t xml:space="preserve">потеря HP во время текущей схватки.</t>
  </si>
  <si>
    <t xml:space="preserve">способность доступна и не отключена «ЫЫЫ…».</t>
  </si>
  <si>
    <t xml:space="preserve">Нормативная база (действует во всей непротиворечащей части):
бонус к S = floor(totalLostHP/10); сбросить в конце схватки.
Приоритетные авторские дельты (заменяют только прямо пересекающиеся ветви):
[Q-SYM-033]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</si>
  <si>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динамический бонус силы.</t>
  </si>
  <si>
    <t xml:space="preserve">лечение не описано как уменьшающее счётчик.
Поздние дельты применяются по приоритету AQ3 &gt; AQ2 &gt; AQA/CQA &gt; базовая карточка; локальное исключение сильнее общего.</t>
  </si>
  <si>
    <t xml:space="preserve">потеря HP во время текущей схватки.
суммарные потерянные HP в схватке.
[Q-SYM-033] Считается суммарное количество фактически потерянных HP за текущую схватку, включая повторную потерю восстановленных HP.</t>
  </si>
  <si>
    <t xml:space="preserve">бонус к S = floor(totalLostHP/10); сбросить в конце схватки.</t>
  </si>
  <si>
    <t xml:space="preserve">7.5.7.3.1, стр. 130.</t>
  </si>
  <si>
    <t xml:space="preserve">до оплаты currentOE≥2000.</t>
  </si>
  <si>
    <t xml:space="preserve">Нормативная база (действует во всей непротиворечащей части):
если A≤B, нет эффекта. Разница 1–8: глухота 30 минут/6 ходов. 9–18: глухота + «страх» (−1 действие в серии) на тот же срок. &gt;18: бессознательность 5 минут/1 ход.
Приоритетные авторские дельты (заменяют только прямо пересекающиеся ветви):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</si>
  <si>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состояние по диапазону.</t>
  </si>
  <si>
    <t xml:space="preserve">после поглощения Дельфина способность может использоваться для эхолокации (небоевое применение вне реестра).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</si>
  <si>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Разница 1–8: глухота 30 минут/6 ходов.
9–18: глухота + «страх» (−1 действие в серии) на тот же срок.
&gt;18: бессознательность 5 минут/1 ход.</t>
  </si>
  <si>
    <t xml:space="preserve">A=R20+10 Трогра, проверка M цели B, разница A−B.</t>
  </si>
  <si>
    <t xml:space="preserve">7.5.7.4.1, стр. 130.</t>
  </si>
  <si>
    <t xml:space="preserve">изучение способности.</t>
  </si>
  <si>
    <t xml:space="preserve">узел куплен.</t>
  </si>
  <si>
    <t xml:space="preserve">если навыка нет — выдать высокий уровень без занятия слота; если есть — повысить на 3, не выше абсолютного.</t>
  </si>
  <si>
    <t xml:space="preserve">навык изменён постоянно.</t>
  </si>
  <si>
    <t xml:space="preserve">при удалении Трогра уровень сохраняется — прямое постоянное последствие.</t>
  </si>
  <si>
    <t xml:space="preserve">7.5.7.5.1, стр. 130.</t>
  </si>
  <si>
    <t xml:space="preserve">Нормативная база (действует во всей непротиворечащей части):
если итог &lt;10, носитель не чувствует боль любой силы и отключает эффект «Трогр крушить!».
Приоритетные авторские дельты (заменяют только прямо пересекающиеся ветви):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</si>
  <si>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состояние нечувствительности к боли; бонус SYM-077 снят/заблокирован.</t>
  </si>
  <si>
    <t xml:space="preserve">длительность и механические последствия боли не заданы.
Поздние дельты применяются по приоритету AQ3 &gt; AQ2 &gt; AQA/CQA &gt; базовая карточка; локальное исключение сильнее общего.</t>
  </si>
  <si>
    <t xml:space="preserve">объявление; цена 20 ОЭ и 1 действие.
Нормативная база (действует во всей непротиворечащей части):</t>
  </si>
  <si>
    <t xml:space="preserve">7.5.7.6.1, стр. 130.</t>
  </si>
  <si>
    <t xml:space="preserve">спасбросок брони любой зоны.</t>
  </si>
  <si>
    <t xml:space="preserve">выбрана эта XOR-ветвь.</t>
  </si>
  <si>
    <t xml:space="preserve">добавить +4 к спасброску брони; сложить с носимыми доспехами.</t>
  </si>
  <si>
    <t xml:space="preserve">повышенная защита.</t>
  </si>
  <si>
    <t xml:space="preserve">исключает SYM-082.</t>
  </si>
  <si>
    <t xml:space="preserve">7.5.7.7.1, стр. 130.</t>
  </si>
  <si>
    <t xml:space="preserve">чистый результат проверки I равен 1.</t>
  </si>
  <si>
    <t xml:space="preserve">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
Ability-assigned SUCCESS grade сам по себе прогрессию не создаёт. Если исходный оригинальный D20 имел natural 1, CORE-230 всё равно создаёт базовое событие eventPoints=1 по rawFace; назначенная градация его не усиливает.</t>
  </si>
  <si>
    <t xml:space="preserve">Проверка считается критически успешной первой градации; в бою итог определяется CORE-229.</t>
  </si>
  <si>
    <t xml:space="preserve">Исключает SYM-081 и локально сильнее общего правила natural 1. Ability override не становится подтверждённым natural-20 критом и сам по себе не создаёт событие CORE-085 или SYM-021.
Без исходной natural 1/20 маршрут NEVER_PROGRESSION.</t>
  </si>
  <si>
    <t xml:space="preserve">7.5.7.7.2, стр. 131.
Прямое уточнение пользователя 2026-07-29 — боевой приоритет критов
Прямое авторское решение Q-SYMBIONT-XP-001 — опыт симбионтов за natural 20/1, 2026-07-30</t>
  </si>
  <si>
    <t xml:space="preserve">Профиль и OR-дерево Хранителя</t>
  </si>
  <si>
    <t xml:space="preserve">maxOE=100×L; связанные W,Z; max L=6. Дерево: Резервная копия(1) → OR {Парализующее жало(2) → Присоски и коготки(3) → Кромсатель(4) → Временное убежище(5)| Оценка тела(2) → Маскировка «Хамелеон»(3) → Крылья(4) → Попутчики(5)} → Кислотная пушка(6). OR не блокирует вторую ветвь; L6 требует любой L5.</t>
  </si>
  <si>
    <t xml:space="preserve">доступность узлов.</t>
  </si>
  <si>
    <t xml:space="preserve">Кромсатель меняет формулу ОЭ.</t>
  </si>
  <si>
    <t xml:space="preserve">maxOE=100×L; связанные W,Z; max L=6.
Кромсатель меняет формулу ОЭ.</t>
  </si>
  <si>
    <t xml:space="preserve">Резервная копия: выход и параметры вне тела</t>
  </si>
  <si>
    <t xml:space="preserve">смерть носителя.</t>
  </si>
  <si>
    <t xml:space="preserve">Хранитель жив.</t>
  </si>
  <si>
    <t xml:space="preserve">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t>
  </si>
  <si>
    <t xml:space="preserve">Хранитель становится самостоятельной боевой сущностью с таймером жизни.</t>
  </si>
  <si>
    <t xml:space="preserve">сознание/память прежнего носителя непрерывно актуализированы.</t>
  </si>
  <si>
    <t xml:space="preserve">L, сохранённая личность, текущие ОЭ.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t>
  </si>
  <si>
    <t xml:space="preserve">вывести Хранителя из тела; создать отдельного персонажа с HP=5L, каждой характеристикой =2L, сроком жизни вне тела L суток</t>
  </si>
  <si>
    <t xml:space="preserve">7.5.8.2.1, стр. 132.</t>
  </si>
  <si>
    <t xml:space="preserve">SYM-085</t>
  </si>
  <si>
    <t xml:space="preserve">Резервная копия: захват нового тела</t>
  </si>
  <si>
    <t xml:space="preserve">проникновение через рот/анус.</t>
  </si>
  <si>
    <t xml:space="preserve">цель допустимой расы; это не симбиотическое чудовище.</t>
  </si>
  <si>
    <t xml:space="preserve">Нормативная база (действует во всей непротиворечащей части):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Приоритетные авторские дельты (заменяют только прямо пересекающиеся ветви):
[Q-SYM-036]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</si>
  <si>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тело получает личность прежнего носителя и Хранителя в слоте.</t>
  </si>
  <si>
    <t xml:space="preserve">тело симбиотического чудовища нельзя захватить; его смерть убивает тело.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</si>
  <si>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[Q-SYM-036] Проникновение в добровольного, бессознательного или полностью обездвиженного Единого/Вольного занимает 1 действие.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</si>
  <si>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текущие ОЭ Хранителя; симбионты тела и их ОЭ; прежние I,W,C; физические характеристики тела.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</si>
  <si>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Q-SYM-036
Q-SYM-074</t>
  </si>
  <si>
    <t xml:space="preserve">ОЭ≥100; физический контакт/попадание.</t>
  </si>
  <si>
    <t xml:space="preserve">выполнить атаку; пробитие=R12; если броня пробита и R20+10&gt;Z_target, полностью обездвижить цель на 2 хода/2 минуты.</t>
  </si>
  <si>
    <t xml:space="preserve">все мышцы расслаблены, действия движения недоступны.</t>
  </si>
  <si>
    <t xml:space="preserve">яд не применён без пробития.</t>
  </si>
  <si>
    <t xml:space="preserve">объявление; цена 100 ОЭ и 1 действие.
выполнить атаку; пробитие=R12; если броня пробита и R20+10&gt;Z_target, полностью обездвижить цель на 2 хода/2 минуты.
все мышцы расслаблены, действия движения недоступны.</t>
  </si>
  <si>
    <t xml:space="preserve">объявление; цена 100 ОЭ и 1 действие.
ОЭ≥100; физический контакт/попадание.</t>
  </si>
  <si>
    <t xml:space="preserve">R12 пробития, отдельный R20 проверки, Z цели.
выполнить атаку; пробитие=R12; если броня пробита и R20+10&gt;Z_target, полностью обездвижить цель на 2 хода/2 минуты.</t>
  </si>
  <si>
    <t xml:space="preserve">7.5.8.3.1, стр. 132.</t>
  </si>
  <si>
    <t xml:space="preserve">Хранитель вне тела.</t>
  </si>
  <si>
    <t xml:space="preserve">Нормативная база (действует во всей непротиворечащей части):
R≥5: раскрыть S,D,M,Z цели; R=2–4: данных нет; R=1: дополнительно потерять 100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</si>
  <si>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информация раскрыта либо энергия потеряна.</t>
  </si>
  <si>
    <t xml:space="preserve">правило включено как часть механики выбора нового тела, а не социальная проверка.
Поздние дельты применяются по приоритету AQ3 &gt; AQ2 &gt; AQA/CQA &gt; базовая карточка; локальное исключение сильнее общего.</t>
  </si>
  <si>
    <t xml:space="preserve">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
правило включено как часть механики выбора нового тела, а не социальная проверка.</t>
  </si>
  <si>
    <t xml:space="preserve">объявление; цена 10 ОЭ и 1 действие.
R=1: дополнительно потерять 100 ОЭ.
[Q-SYM-009] При обязательной потере ОЭ текущий запас уменьшается не ниже 0; энергетический долг не создаётся.</t>
  </si>
  <si>
    <t xml:space="preserve">чистый R20.
R=2–4: данных нет
R=1: дополнительно потерять 100 ОЭ.</t>
  </si>
  <si>
    <t xml:space="preserve">7.5.8.3.2, стр. 132.</t>
  </si>
  <si>
    <t xml:space="preserve">перемещение.</t>
  </si>
  <si>
    <t xml:space="preserve">разрешить безопасное перемещение по любой поверхности в любой плоскости, включая стены и потолок.</t>
  </si>
  <si>
    <t xml:space="preserve">позиция изменяется без штрафа поверхности.</t>
  </si>
  <si>
    <t xml:space="preserve">скорость не изменена.</t>
  </si>
  <si>
    <t xml:space="preserve">7.5.8.4.1, стр. 132.</t>
  </si>
  <si>
    <t xml:space="preserve">Маскировка «Хамелеон» Хранителя</t>
  </si>
  <si>
    <t xml:space="preserve">замирание и объявление; цена 10 ОЭ и 1 действие.</t>
  </si>
  <si>
    <t xml:space="preserve">неподвижность.</t>
  </si>
  <si>
    <t xml:space="preserve">Нормативная база (действует во всей непротиворечащей части):
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</si>
  <si>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состояние маскировки либо потеря энергии.</t>
  </si>
  <si>
    <t xml:space="preserve">любое движение/другая способность прекращает.
Поздние дельты применяются по приоритету AQ3 &gt; AQ2 &gt; AQA/CQA &gt; базовая карточка; локальное исключение сильнее общего.</t>
  </si>
  <si>
    <t xml:space="preserve">замирание и 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</si>
  <si>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замирание и объявление; цена 10 ОЭ и 1 действие.
R=1: дополнительно потерять 200 ОЭ.
[Q-SYM-009] При обязательной потере ОЭ текущий запас уменьшается не ниже 0; энергетический долг не создаётся.</t>
  </si>
  <si>
    <t xml:space="preserve">чистый R20.
R=2–3: эффекта нет.
R=1: дополнительно потерять 200 ОЭ.</t>
  </si>
  <si>
    <t xml:space="preserve">7.5.8.5, стр. 132.</t>
  </si>
  <si>
    <t xml:space="preserve">изучение способности или изменение L.</t>
  </si>
  <si>
    <t xml:space="preserve">узел изучен.</t>
  </si>
  <si>
    <t xml:space="preserve">заменить формулу максимума на maxOE=200×L; текущий ОЭ не восстанавливать.</t>
  </si>
  <si>
    <t xml:space="preserve">максимум увеличен.</t>
  </si>
  <si>
    <t xml:space="preserve">SYM-009.</t>
  </si>
  <si>
    <t xml:space="preserve">7.5.8.6.1, стр. 132.</t>
  </si>
  <si>
    <t xml:space="preserve">Крылья Хранителя</t>
  </si>
  <si>
    <t xml:space="preserve">начало/продолжение полёта.</t>
  </si>
  <si>
    <t xml:space="preserve">ОЭ хватает на очередной интервал.</t>
  </si>
  <si>
    <t xml:space="preserve">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Приоритетные авторские дельты (заменяют только прямо пересекающиеся ветви):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Финальная приоритетная нормализация:
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</si>
  <si>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состояние полёта и модификаторы защиты.</t>
  </si>
  <si>
    <t xml:space="preserve">порядок запуска/оплаты не задан.
Поздние дельты применяются по приоритету AQ3 &gt; AQ2 &gt; AQA/CQA &gt; базовая карточка; локальное исключение сильнее общего.
Финальная 2D-семантика заменяет ветвь падения и поиска безопасной точки.</t>
  </si>
  <si>
    <t xml:space="preserve">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При любой причине состояние полёта снимается немедленно до новых действий.</t>
  </si>
  <si>
    <t xml:space="preserve">ОЭ хватает на очередной интервал.
за каждую минуту/боевой ход полёта списывать 20 ОЭ; в полёте добавить +10 к уклонению от ближней атаки и +20 от дальней.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</si>
  <si>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Q-QA-003
Q-SYM-037</t>
  </si>
  <si>
    <t xml:space="preserve">7.5.8.6.2, стр. 132.</t>
  </si>
  <si>
    <t xml:space="preserve">смерть исходного носителя, затем заселение.</t>
  </si>
  <si>
    <t xml:space="preserve">исходный носитель — Единый.</t>
  </si>
  <si>
    <t xml:space="preserve">Нормативная база (действует во всей непротиворечащей части):
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
Приоритетные авторские дельты (заменяют только прямо пересекающиеся ветви):
[Q-SYM-039]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t>
  </si>
  <si>
    <t xml:space="preserve">восстановлен набор либо материал удалён.</t>
  </si>
  <si>
    <t xml:space="preserve">только Хранитель Единого переносит материал.
Поздние дельты применяются по приоритету AQ3 &gt; AQ2 &gt; AQA/CQA &gt; базовая карточка; локальное исключение сильнее общего.</t>
  </si>
  <si>
    <t xml:space="preserve">генетический материал остальных симбионтов, их уровни; раса нового тела.
сохранить материал исходного набора.
При заселении Вольного материал потерять.
Хранитель не дублируется, текущие ОЭ новых симбионтов равны 0 и тем же отдыхом не восстанавливаются.
восстановлен набор либо материал удалён.</t>
  </si>
  <si>
    <t xml:space="preserve">7.5.8.7.2, стр. 133.</t>
  </si>
  <si>
    <t xml:space="preserve">цель ≤30 м; ОЭ≥30.</t>
  </si>
  <si>
    <t xml:space="preserve">Нормативная база (действует во всей непротиворечащей части):
A≥3: стандартная дальняя атака, пробитие=A, урон=D+L; A=2: нет эффекта; A=1: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</si>
  <si>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урон либо потеря энергии.</t>
  </si>
  <si>
    <t xml:space="preserve">максимальная дальность 30 м.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</si>
  <si>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</si>
  <si>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объявление; цена 30 ОЭ и 1 действие.
ОЭ≥30.
A=1: дополнительно потерять 200 ОЭ.
[Q-SYM-009] При обязательной потере ОЭ текущий запас уменьшается не ниже 0; энергетический долг не создаётся.</t>
  </si>
  <si>
    <t xml:space="preserve">первый R20 A (активация/пробитие), отдельный R20 D (урон).
A≥3: стандартная дальняя атака, пробитие=A, урон=D+L
A=2: нет эффекта
A=1: дополнительно потерять 200 ОЭ.</t>
  </si>
  <si>
    <t xml:space="preserve">7.5.8.8.1, стр. 133.</t>
  </si>
  <si>
    <t xml:space="preserve">Профиль и линейное дерево Советника</t>
  </si>
  <si>
    <t xml:space="preserve">maxOE=20×L; связанные I,W; max L=6. Линейно: Личность → Я здесь самый умный → Доступ к органам чувств → Принимаю управление → Система устойчивости → Дар мудрости.</t>
  </si>
  <si>
    <t xml:space="preserve">Трогр подавляет Советника по SYM-075.</t>
  </si>
  <si>
    <t xml:space="preserve">maxOE=20×L; связанные I,W; max L=6.</t>
  </si>
  <si>
    <t xml:space="preserve">Личность Советника</t>
  </si>
  <si>
    <t xml:space="preserve">создание персонажа/получение способности.</t>
  </si>
  <si>
    <t xml:space="preserve">способность уровня 1 считается изученной.</t>
  </si>
  <si>
    <t xml:space="preserve">Нормативная база (действует во всей непротиворечащей части):
определить собственные I=R20+8, затем W=отдельный R20+8; игрок выбирает отдельный набор навыков; число слотов рассчитывается по W Советника как у носителя.
Приоритетные авторские дельты (заменяют только прямо пересекающиеся ветви):
[Q-SYM-040] 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</si>
  <si>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создана отдельная сущность характеристик/навыков.</t>
  </si>
  <si>
    <t xml:space="preserve">в карточке указана стоимость 30 ОЭ, хотя способность пассивная и maxOE L1=20.
Поздние дельты применяются по приоритету AQ3 &gt; AQ2 &gt; AQA/CQA &gt; базовая карточка; локальное исключение сильнее общего.</t>
  </si>
  <si>
    <t xml:space="preserve">[Q-SYM-040] Строка «Стоимость: 30 ОЭ» считается опечаткой.
в карточке указана стоимость 30 ОЭ, хотя способность пассивная и maxOE L1=20.</t>
  </si>
  <si>
    <t xml:space="preserve">два последовательных чистых R20; правила слотов навыков.
определить собственные I=R20+8, затем W=отдельный R20+8; игрок выбирает отдельный набор навыков; число слотов рассчитывается по W Советника как у носителя.
в карточке указана стоимость 30 ОЭ, хотя способность пассивная и maxOE L1=20.</t>
  </si>
  <si>
    <t xml:space="preserve">7.5.9.2.1, стр. 135.</t>
  </si>
  <si>
    <t xml:space="preserve">изменение L.</t>
  </si>
  <si>
    <t xml:space="preserve">I_adviser=I_base+L.</t>
  </si>
  <si>
    <t xml:space="preserve">пересчитать I и производные.</t>
  </si>
  <si>
    <t xml:space="preserve">не изменяет I носителя.</t>
  </si>
  <si>
    <t xml:space="preserve">7.5.9.3.1, стр. 135.</t>
  </si>
  <si>
    <t xml:space="preserve">требуется осмотр/внимательность.</t>
  </si>
  <si>
    <t xml:space="preserve">органы чувств носителя функционируют.</t>
  </si>
  <si>
    <t xml:space="preserve">разрешить Советнику отдельную от носителя проверку восприятия.</t>
  </si>
  <si>
    <t xml:space="preserve">появляется независимый результат обнаружения.</t>
  </si>
  <si>
    <t xml:space="preserve">физический сенсор остаётся органом носителя.</t>
  </si>
  <si>
    <t xml:space="preserve">7.5.9.4.1, стр. 135.</t>
  </si>
  <si>
    <t xml:space="preserve">добровольная передача управления.</t>
  </si>
  <si>
    <t xml:space="preserve">Советник активен.</t>
  </si>
  <si>
    <t xml:space="preserve">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Приоритетные авторские дельты (заменяют только прямо пересекающиеся ветви):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</si>
  <si>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контроллер тела и набор навыков переключены.</t>
  </si>
  <si>
    <t xml:space="preserve">при нехватке ОЭ поведение не задано.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</si>
  <si>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t>
  </si>
  <si>
    <t xml:space="preserve">набор навыков обоих, ОЭ, время/ходы.
на время контроля заменить набор навыков тела на набор Советника; каждые 5 минут/1 боевой ход списывать 10 ОЭ.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Автоматическое управление от «Системы устойчивости» ОЭ не расходует и прекращается при возвращении ясного сознания носителя.
при нехватке ОЭ поведение не задано.</t>
  </si>
  <si>
    <t xml:space="preserve">7.5.9.5.1, стр. 135.</t>
  </si>
  <si>
    <t xml:space="preserve">носитель оглушён, уснул/потерял сознание, самоконтроль либо ментальный контроль.</t>
  </si>
  <si>
    <t xml:space="preserve">тело физически дееспособно; Советник активен.</t>
  </si>
  <si>
    <t xml:space="preserve">автоматически передать управление Советнику без расхода ОЭ до возвращения ясного сознания носителя.</t>
  </si>
  <si>
    <t xml:space="preserve">тело продолжает действовать под Советником.</t>
  </si>
  <si>
    <t xml:space="preserve">не действует при тяжёлом ранении, физическом параличе, разрушении нужных органов или полном обездвиживании.</t>
  </si>
  <si>
    <t xml:space="preserve">7.5.9.6.1 и уточнение, стр. 135.</t>
  </si>
  <si>
    <t xml:space="preserve">Советник по собственной воле соглашается; цена 100 ОЭ и 1 действие, если проверка в бою.</t>
  </si>
  <si>
    <t xml:space="preserve">Нормативная база (действует во всей непротиворечащей части):
передать интеллект Советника на одну проверку, затем отключить Советника на 12 часов.
Приоритетные авторские дельты (заменяют только прямо пересекающиеся ветви):
[Q-SYM-042]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</si>
  <si>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одна проверка изменена; Советник отключён.</t>
  </si>
  <si>
    <t xml:space="preserve">Советник может отказать.
Поздние дельты применяются по приоритету AQ3 &gt; AQ2 &gt; AQA/CQA &gt; базовая карточка; локальное исключение сильнее общего.</t>
  </si>
  <si>
    <t xml:space="preserve">Советник по собственной воле соглашается; цена 100 ОЭ и 1 действие, если проверка в бою.
Нормативная база (действует во всей непротиворечащей части):
передать интеллект Советника на одну проверку, затем отключить Советника на 12 часов.
Навык и остальные модификаторы используются у носителя; после проверки Советник отключается на 12 часов.</t>
  </si>
  <si>
    <t xml:space="preserve">Советник по собственной воле соглашается; цена 100 ОЭ и 1 действие, если проверка в бою.
ОЭ≥100.</t>
  </si>
  <si>
    <t xml:space="preserve">7.5.9.7.1, стр. 135.</t>
  </si>
  <si>
    <t xml:space="preserve">Профиль и линейное дерево Клеща</t>
  </si>
  <si>
    <t xml:space="preserve">maxOE=50×L; связанные S,D; max L=6. Линейно: Кровопийца → Вкус крови → Выстрел кровью → Выпустить когти → Гарпун → Я — сила.</t>
  </si>
  <si>
    <t xml:space="preserve">основная анатомия — правая рука.</t>
  </si>
  <si>
    <t xml:space="preserve">maxOE=50×L; связанные S,D; max L=6.</t>
  </si>
  <si>
    <t xml:space="preserve">рукопашная атака правой рукой.</t>
  </si>
  <si>
    <t xml:space="preserve">Клещ активен.</t>
  </si>
  <si>
    <t xml:space="preserve">Нормативная база (действует во всей непротиворечащей части):
добавить L к урону.
Приоритетные авторские дельты (заменяют только прямо пересекающиеся ветви):
[Q-SYM-043]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t>
  </si>
  <si>
    <t xml:space="preserve">повышенный урон.</t>
  </si>
  <si>
    <t xml:space="preserve">питание кровью вместо еды исключено как небоевое; охват оружейных атак неясен.
Поздние дельты применяются по приоритету AQ3 &gt; AQ2 &gt; AQA/CQA &gt; базовая карточка; локальное исключение сильнее общего.</t>
  </si>
  <si>
    <t xml:space="preserve">7.5.10.2.1, стр. 137.</t>
  </si>
  <si>
    <t xml:space="preserve">пасть контактирует с кровью цели.</t>
  </si>
  <si>
    <t xml:space="preserve">кровь принадлежит идентифицируемой цели.</t>
  </si>
  <si>
    <t xml:space="preserve">Нормативная база (действует во всей непротиворечащей части):
без проверки раскрыть расу, значения всех характеристик, навыки, виды и уровни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</si>
  <si>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информация помечается известной носителю.</t>
  </si>
  <si>
    <t xml:space="preserve">раскрытие текущих/базовых значений не уточнено.
Поздние дельты применяются по приоритету AQ3 &gt; AQ2 &gt; AQA/CQA &gt; базовая карточка; локальное исключение сильнее общего.</t>
  </si>
  <si>
    <t xml:space="preserve">Базовые значения, текущие и максимальные HP/ОЭ не раскрываются, если способность не называет их отдельно.</t>
  </si>
  <si>
    <t xml:space="preserve">7.5.10.3.1, стр. 137.</t>
  </si>
  <si>
    <t xml:space="preserve">цель в 5L м; ОЭ≥30.</t>
  </si>
  <si>
    <t xml:space="preserve">R≥3: стандартная дальняя атака, пробитие=R+L, урон=R+L одной проверкой. R=2: нет эффекта. R=1: Клещ отключён на 1 час/6 ходов.</t>
  </si>
  <si>
    <t xml:space="preserve">атака либо отключение.</t>
  </si>
  <si>
    <t xml:space="preserve">объявление; цена 30 ОЭ и 1 действие.
R=1: Клещ отключён на 1 час/6 ходов.</t>
  </si>
  <si>
    <t xml:space="preserve">один чистый R20 R.
R≥3: стандартная дальняя атака, пробитие=R+L, урон=R+L одной проверкой.
R=2: нет эффекта.
R=1: Клещ отключён на 1 час/6 ходов.</t>
  </si>
  <si>
    <t xml:space="preserve">7.5.10.4.1, стр. 137.</t>
  </si>
  <si>
    <t xml:space="preserve">объявление; цена 30 ОЭ; формирование занимает 1 минуту/1 ход.</t>
  </si>
  <si>
    <t xml:space="preserve">Нормативная база (действует во всей непротиворечащей части):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
Приоритетные авторские дельты (заменяют только прямо пересекающиеся ветви):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</si>
  <si>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рука экипирована/разэкипирована природным оружием.</t>
  </si>
  <si>
    <t xml:space="preserve">когти теряют свойства при гибели Клеща.
Поздние дельты применяются по приоритету AQ3 &gt; AQ2 &gt; AQA/CQA &gt; базовая карточка; локальное исключение сильнее общего.</t>
  </si>
  <si>
    <t xml:space="preserve">объявление; цена 30 ОЭ; формирование занимает 1 минуту/1 ход.
Нормативная база (действует во всей непротиворечащей части):
[Q-SYM-044] Выпускание когтей занимает одну полную минуту вне боя или весь боевой ход и стоит 30 ОЭ; дополнительное действие не добавляется.</t>
  </si>
  <si>
    <t xml:space="preserve">объявление; цена 30 ОЭ; формирование занимает 1 минуту/1 ход.
Разрешить втянуть когти без ОЭ.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</si>
  <si>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атака когтями, отдельные R20 урона/пробития, S,D, навык рукопашного боя.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t>
  </si>
  <si>
    <t xml:space="preserve">7.5.10.5.1, стр. 137.</t>
  </si>
  <si>
    <t xml:space="preserve">выстрел; цена 60 ОЭ и 1 действие; последующее сокращение — 1 действие.</t>
  </si>
  <si>
    <t xml:space="preserve">цель ≤L м; ОЭ≥60.</t>
  </si>
  <si>
    <t xml:space="preserve">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
Приоритетные авторские дельты (заменяют только прямо пересекающиеся ветви):
[Q-SYM-045]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</si>
  <si>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создаётся связь гарпуна и возможное перемещение.</t>
  </si>
  <si>
    <t xml:space="preserve">урон, пробитие, проверка сопротивления и геометрия не заданы.
Поздние дельты применяются по приоритету AQ3 &gt; AQ2 &gt; AQA/CQA &gt; базовая карточка; локальное исключение сильнее общего.</t>
  </si>
  <si>
    <t xml:space="preserve">выстрел; цена 60 ОЭ и 1 действие; последующее сокращение — 1 действие.
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t>
  </si>
  <si>
    <t xml:space="preserve">выстрел; цена 60 ОЭ и 1 действие; последующее сокращение — 1 действие.
ОЭ≥60.</t>
  </si>
  <si>
    <t xml:space="preserve">чистый R20 активации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Объект тяжелее S×L кг переместить нельзя.</t>
  </si>
  <si>
    <t xml:space="preserve">7.5.10.6.1, стр. 137.</t>
  </si>
  <si>
    <t xml:space="preserve">изменение L/наличия.</t>
  </si>
  <si>
    <t xml:space="preserve">S=S_base+L; при гибели/удалении вернуть базовую.</t>
  </si>
  <si>
    <t xml:space="preserve">пересчитать S.</t>
  </si>
  <si>
    <t xml:space="preserve">7.5.10.7.1, стр. 137.</t>
  </si>
  <si>
    <t xml:space="preserve">Профиль и линейное дерево Сверчка</t>
  </si>
  <si>
    <t xml:space="preserve">maxOE=50×L; связанные D,M; max L=6. Линейно: Ноги сверчка → Чувствительные усы → Заряженный прыжок → Маскировка под растение → Крылья → Активные пилы.</t>
  </si>
  <si>
    <t xml:space="preserve">maxOE=50×L; связанные D,M; max L=6.</t>
  </si>
  <si>
    <t xml:space="preserve">попадание по ноге или проверка прыжка.</t>
  </si>
  <si>
    <t xml:space="preserve">для защиты ноги добавить спасбросок R20, складывающийся с носимой бронёй; к прыжкам добавить +L.</t>
  </si>
  <si>
    <t xml:space="preserve">защита/прыжок усилены.</t>
  </si>
  <si>
    <t xml:space="preserve">R20 бросается при каждом соответствующем попадании.</t>
  </si>
  <si>
    <t xml:space="preserve">отдельный R20 брони, носимая броня, L.
для защиты ноги добавить спасбросок R20, складывающийся с носимой бронёй; к прыжкам добавить +L.
R20 бросается при каждом соответствующем попадании.</t>
  </si>
  <si>
    <t xml:space="preserve">7.5.11.2.1, стр. 139.</t>
  </si>
  <si>
    <t xml:space="preserve">проверка осмотра в боевой сцене.</t>
  </si>
  <si>
    <t xml:space="preserve">усы функционируют.</t>
  </si>
  <si>
    <t xml:space="preserve">добавить +5; электрические и поверхностные колебания доступны как сенсорные каналы.</t>
  </si>
  <si>
    <t xml:space="preserve">модифицированное обнаружение.</t>
  </si>
  <si>
    <t xml:space="preserve">отдельные числовые дальности чувств не заданы.</t>
  </si>
  <si>
    <t xml:space="preserve">7.5.11.3.1, стр. 139.</t>
  </si>
  <si>
    <t xml:space="preserve">объявление; цена 50 ОЭ и по умолчанию 1 действие.</t>
  </si>
  <si>
    <t xml:space="preserve">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Приоритетные авторские дельты (заменяют только прямо пересекающиеся ветви):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t>
  </si>
  <si>
    <t xml:space="preserve">позиция/дистанция изменена; разовый флаг использован.</t>
  </si>
  <si>
    <t xml:space="preserve">цена ОЭ и бросок при бесплатном сокращении не уточнены.
Поздние дельты применяются по приоритету AQ3 &gt; AQ2 &gt; AQA/CQA &gt; базовая карточка; локальное исключение сильнее общего.</t>
  </si>
  <si>
    <t xml:space="preserve">объявление; цена 50 ОЭ и по умолчанию 1 действие.
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</si>
  <si>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объявление; цена 50 ОЭ и по умолчанию 1 действие.
ОЭ≥50.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цена ОЭ и бросок при бесплатном сокращении не уточнены.</t>
  </si>
  <si>
    <t xml:space="preserve">чистый R20.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</si>
  <si>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7.5.11.4.1, стр. 139.</t>
  </si>
  <si>
    <t xml:space="preserve">фон/окружение — зелёные растения.</t>
  </si>
  <si>
    <t xml:space="preserve">добавить +5 к скрытности; снять эффект при движении или применении любой другой способности симбионта.</t>
  </si>
  <si>
    <t xml:space="preserve">состояние растительной маскировки.</t>
  </si>
  <si>
    <t xml:space="preserve">обычное действие без движения/симбионта прямо не снимает.</t>
  </si>
  <si>
    <t xml:space="preserve">объявление; цена 30 ОЭ и 1 действие.
обычное действие без движения/симбионта прямо не снимает.</t>
  </si>
  <si>
    <t xml:space="preserve">7.5.11.5.1, стр. 139.</t>
  </si>
  <si>
    <t xml:space="preserve">Крылья Сверчка</t>
  </si>
  <si>
    <t xml:space="preserve">после прыжка &gt;20 м объявить попытку; цена 60 ОЭ и 1 действие по умолчанию.</t>
  </si>
  <si>
    <t xml:space="preserve">прыжок выполнен Заряженным прыжком; ОЭ≥60.</t>
  </si>
  <si>
    <t xml:space="preserve">Нормативная база (действует во всей непротиворечащей части):
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
Приоритетные авторские дельты (заменяют только прямо пересекающиеся ветви):
[Q-SYM-047]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</si>
  <si>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удлинённый прыжок либо полёт.</t>
  </si>
  <si>
    <t xml:space="preserve">масса тела не входит в C.
Поздние дельты применяются по приоритету AQ3 &gt; AQ2 &gt; AQA/CQA &gt; базовая карточка; локальное исключение сильнее общего.</t>
  </si>
  <si>
    <t xml:space="preserve">после прыжка &gt;20 м объявить попытку; цена 60 ОЭ и 1 действие по умолчанию.
Нормативная база (действует во всей непротиворечащей части):
До посадки персонаж не совершает иных действий, кроме изменения направления.</t>
  </si>
  <si>
    <t xml:space="preserve">после прыжка &gt;20 м объявить попытку; цена 60 ОЭ и 1 действие по умолчанию.
ОЭ≥60.
[Q-SYM-047] После прыжка более чем на 20 м персонаж отдельно оплачивает 60 ОЭ и выполняет проверку «Крыльев».</t>
  </si>
  <si>
    <t xml:space="preserve">первый чистый R20 A; при A≤10 отдельный R20 multiplier
A≤10: увеличить дальность исходного прыжка в отдельный R20 раз.
A≥11: начать полёт; max дальность max(0,M×L−C) км; при 0 приземлиться после прыжка.</t>
  </si>
  <si>
    <t xml:space="preserve">7.5.11.6.1 и уточнение, стр. 139.</t>
  </si>
  <si>
    <t xml:space="preserve">атака ногой.</t>
  </si>
  <si>
    <t xml:space="preserve">на ногах нет носимой брони.</t>
  </si>
  <si>
    <t xml:space="preserve">считать ноги оружием; пробитие=R20+L; урон=отдельный R20+2L; S модифицирует урон, D — точность, рукопашный бой — общий; без навыка штраф не применять.</t>
  </si>
  <si>
    <t xml:space="preserve">разрешена оружейная атака ногой.</t>
  </si>
  <si>
    <t xml:space="preserve">носимая броня ног отключает оружейный статус.</t>
  </si>
  <si>
    <t xml:space="preserve">отдельные R20, L,S,D, навык рукопашного боя.
считать ноги оружием; пробитие=R20+L; урон=отдельный R20+2L</t>
  </si>
  <si>
    <t xml:space="preserve">7.5.11.7.1, стр. 139.</t>
  </si>
  <si>
    <t xml:space="preserve">Профиль и линейное дерево Паука</t>
  </si>
  <si>
    <t xml:space="preserve">один слот; две взрослые особи образуют один вид симбионта.</t>
  </si>
  <si>
    <t xml:space="preserve">maxOE=50×L; связанные D,W; max L=6. Линейно: Паутинные железы → Перемещение по паутине → Точка крепления → Выстрел паутиной → Ловчая сеть → Паучья ловкость.</t>
  </si>
  <si>
    <t xml:space="preserve">maxOE=50×L; связанные D,W; max L=6.</t>
  </si>
  <si>
    <t xml:space="preserve">производство/выпуск паутины.</t>
  </si>
  <si>
    <t xml:space="preserve">соответствующее запястье доступно.</t>
  </si>
  <si>
    <t xml:space="preserve">Нормативная база (действует во всей непротиворечащей части):
скорость каждой системы 10L см/с; одна нить выдерживает 20L кг; липкость 5L кг на 1 см² склеенной площади.
Приоритетные авторские дельты (заменяют только прямо пересекающиеся ветви):
[Q-SYM-048] Вне боя используется фактическая скорость 10×L см/с для каждой свободной ладони; за него каждая свободная ладонь производит L метров отдельной нити. Готовая паутина сохраняется как предмет. В бою эту способность заявить нельзя.</t>
  </si>
  <si>
    <t xml:space="preserve">создан отрезок паутины с параметрами.</t>
  </si>
  <si>
    <t xml:space="preserve">действия и хранение нити не заданы.
Поздние дельты применяются по приоритету AQ3 &gt; AQ2 &gt; AQA/CQA &gt; базовая карточка; локальное исключение сильнее общего.
[v1.4] Для EntityKind=CUSTOM_MONSTER команда недоступна: паутина Паука не производится ни как предмет, ни как MapObject. Боевые эффекты SYM-120/121 разрешаются отдельно и не создают сохраняемый лут.</t>
  </si>
  <si>
    <t xml:space="preserve">Нормативная база (действует во всей непротиворечащей части):
действия и хранение нити не заданы.</t>
  </si>
  <si>
    <t xml:space="preserve">[Q-SYM-048] Вне боя используется фактическая скорость 10×L см/с для каждой свободной ладони; за него каждая свободная ладонь производит L метров отдельной нити.</t>
  </si>
  <si>
    <t xml:space="preserve">Q-SYM-048
Q-PREDEV-010</t>
  </si>
  <si>
    <t xml:space="preserve">7.5.12.2.1, стр. 141.
Предразработочный QA и прямые ответы пользователя 2026-07-29</t>
  </si>
  <si>
    <t xml:space="preserve">перемещение по нити.</t>
  </si>
  <si>
    <t xml:space="preserve">паутина выдерживает нагрузку.</t>
  </si>
  <si>
    <t xml:space="preserve">разрешить безопасное движение по паутине в любых направлениях, независимо от создателя нити.</t>
  </si>
  <si>
    <t xml:space="preserve">позиция меняется без специального риска.</t>
  </si>
  <si>
    <t xml:space="preserve">предел нагрузки SYM-117.</t>
  </si>
  <si>
    <t xml:space="preserve">7.5.12.3.1, стр. 141.</t>
  </si>
  <si>
    <t xml:space="preserve">цель ≤L м; запястье доступно.</t>
  </si>
  <si>
    <t xml:space="preserve">Нормативная база (действует во всей непротиворечащей части):
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</si>
  <si>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закреплённая линия либо самозапутывание.</t>
  </si>
  <si>
    <t xml:space="preserve">сложность освобождения задаёт мастер.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</si>
  <si>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Отсоединение нити от запястья занимает 1 минуту/1 действие.
Носитель отсоединяет нить за 1 действие; цель освобождается за 1 действие и успешную проверку R20+S против 15+L.</t>
  </si>
  <si>
    <t xml:space="preserve">чистый R20 активации, точность.
R=2: нет эффекта.
R=1: носитель запутан, −5 ко всем проверкам до освобождения.
Носитель отсоединяет нить за 1 действие; цель освобождается за 1 действие и успешную проверку R20+S против 15+L.</t>
  </si>
  <si>
    <t xml:space="preserve">7.5.12.5.1, стр. 141.</t>
  </si>
  <si>
    <t xml:space="preserve">оба запястья не закрыты; ОЭ≥50.</t>
  </si>
  <si>
    <t xml:space="preserve">Нормативная база (действует во всей непротиворечащей части):
R≥3: выстрелить сетью 2×2 м; при попадании цель получает −5 ко всем проверкам до освобождения. R=2: нет эффекта. R=1: руки носителя скованы на 20 минут/4 хода.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</si>
  <si>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цель/носитель опутаны.</t>
  </si>
  <si>
    <t xml:space="preserve">дальность и сложность освобождения не заданы.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</si>
  <si>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R=1: руки носителя скованы на 20 минут/4 хода.
Носитель отсоединяет нить за 1 действие; цель освобождается за 1 действие и успешную проверку R20+S против 15+L.</t>
  </si>
  <si>
    <t xml:space="preserve">чистый R20 активации, точность.
R≥3: выстрелить сетью 2×2 м; при попадании цель получает −5 ко всем проверкам до освобождения.
R=2: нет эффекта.
R=1: руки носителя скованы на 20 минут/4 хода.
Носитель отсоединяет нить за 1 действие; цель освобождается за 1 действие и успешную проверку R20+S против 15+L.</t>
  </si>
  <si>
    <t xml:space="preserve">7.5.12.6.1, стр. 141.</t>
  </si>
  <si>
    <t xml:space="preserve">D=D_base+L; при гибели/удалении вернуть базовую.</t>
  </si>
  <si>
    <t xml:space="preserve">пересчитать D.</t>
  </si>
  <si>
    <t xml:space="preserve">7.5.12.7.1, стр. 141.</t>
  </si>
  <si>
    <t xml:space="preserve">Профиль и линейное дерево Хамелеона</t>
  </si>
  <si>
    <t xml:space="preserve">maxOE=60×L; связанные D,I; max L=6. Линейно: Статическая маскировка → Атака из засады → Двойной фокус внимания → Динамическая маскировка → Сокрытие оружия → Внешняя фотосеть.</t>
  </si>
  <si>
    <t xml:space="preserve">Сова подавляет Двойной фокус.</t>
  </si>
  <si>
    <t xml:space="preserve">maxOE=60×L; связанные D,I; max L=6.</t>
  </si>
  <si>
    <t xml:space="preserve">носитель замирает и объявляет; цена 10 ОЭ и 1 действие.</t>
  </si>
  <si>
    <t xml:space="preserve">после смены одежды/брони прошёл 1 час прорастания хромоцветов.</t>
  </si>
  <si>
    <t xml:space="preserve">Нормативная база (действует во всей непротиворечащей части):
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</si>
  <si>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маскировка либо негативный окрас.</t>
  </si>
  <si>
    <t xml:space="preserve">не складывается с динамической.
Поздние дельты применяются по приоритету AQ3 &gt; AQ2 &gt; AQA/CQA &gt; базовая карточка; локальное исключение сильнее общего.</t>
  </si>
  <si>
    <t xml:space="preserve">носитель замирает и объявляет; цена 10 ОЭ и 1 действие.
после смены одежды/брони прошёл 1 час прорастания хромоцветов.
Нормативная база (действует во всей непротиворечащей части):
R=1: на 1 час окрас мухомора, −5 к скрытности и C-проверкам.</t>
  </si>
  <si>
    <t xml:space="preserve">чистый R20; размер предмета в руках.
R=2: нет эффекта.
R=1: на 1 час окрас мухомора, −5 к скрытности и C-проверкам.</t>
  </si>
  <si>
    <t xml:space="preserve">7.5.13.2.1, стр. 143.</t>
  </si>
  <si>
    <t xml:space="preserve">любая атака из состояния маскировки.</t>
  </si>
  <si>
    <t xml:space="preserve">цель не видит атакующего.</t>
  </si>
  <si>
    <t xml:space="preserve">Нормативная база (действует во всей непротиворечащей части):
добавить +L к меткости.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</si>
  <si>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модифицированная атака.</t>
  </si>
  <si>
    <t xml:space="preserve">дальнейшая видимость после атаки не определена.
Поздние дельты применяются по приоритету AQ3 &gt; AQ2 &gt; AQA/CQA &gt; базовая карточка; локальное исключение сильнее общего.</t>
  </si>
  <si>
    <t xml:space="preserve">7.5.13.3.1, стр. 143.</t>
  </si>
  <si>
    <t xml:space="preserve">проверка осмотра.</t>
  </si>
  <si>
    <t xml:space="preserve">у носителя нет действующей Совы с «Безупречным зрением».</t>
  </si>
  <si>
    <t xml:space="preserve">Нормативная база (действует во всей непротиворечащей части):
добавить +L.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</si>
  <si>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модифицированный осмотр.</t>
  </si>
  <si>
    <t xml:space="preserve">при Сове бонус и физические изменения полностью отсутствуют.
Поздние дельты применяются по приоритету AQ3 &gt; AQ2 &gt; AQA/CQA &gt; базовая карточка; локальное исключение сильнее общего.</t>
  </si>
  <si>
    <t xml:space="preserve">7.5.13.4.1, стр. 143; 7.5.3.2.1, стр. 122.</t>
  </si>
  <si>
    <t xml:space="preserve">после смены одежды/брони прошёл 1 час.</t>
  </si>
  <si>
    <t xml:space="preserve">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t>
  </si>
  <si>
    <t xml:space="preserve">длительная маскировка либо негативный окрас.</t>
  </si>
  <si>
    <t xml:space="preserve">не складывается со статической.</t>
  </si>
  <si>
    <t xml:space="preserve">объявление; цена 60 ОЭ и 1 действие.
после смены одежды/брони прошёл 1 час.
R≥4: на 3R минут проверки обнаружения получают −2L, движение не снимает; крупный предмет в руках делит штраф пополам.
R=1: на 1 час окрас мухомора с движущимися пятнами, −10 к скрытности и C-проверкам.</t>
  </si>
  <si>
    <t xml:space="preserve">один чистый R20 R (активация/длительность), L, предмет в руках.
R=2–3: нет эффекта.
R=1: на 1 час окрас мухомора с движущимися пятнами, −10 к скрытности и C-проверкам.</t>
  </si>
  <si>
    <t xml:space="preserve">7.5.13.5.1, стр. 143.</t>
  </si>
  <si>
    <t xml:space="preserve">расчёт статической/динамической маскировки.</t>
  </si>
  <si>
    <t xml:space="preserve">не применять штраф/деление эффекта за крупные предметы; распространять маскировку на любые удерживаемые объекты.</t>
  </si>
  <si>
    <t xml:space="preserve">полный модификатор маскировки.</t>
  </si>
  <si>
    <t xml:space="preserve">предмет должен удерживаться.</t>
  </si>
  <si>
    <t xml:space="preserve">7.5.13.6.1, стр. 143.</t>
  </si>
  <si>
    <t xml:space="preserve">объявление; цена 300 ОЭ и 1 действие.</t>
  </si>
  <si>
    <t xml:space="preserve">ОЭ≥300.</t>
  </si>
  <si>
    <t xml:space="preserve">Нормативная база (действует во всей непротиворечащей части):
дать всем живым объектам в радиусе 4 м +L к скрытности.
Приоритетные авторские дельты (заменяют только прямо пересекающиеся ветви):
[Q-SYM-052]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</si>
  <si>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площадной бонус.</t>
  </si>
  <si>
    <t xml:space="preserve">длительность, движение области, включение носителя и сложение не заданы.
Поздние дельты применяются по приоритету AQ3 &gt; AQ2 &gt; AQA/CQA &gt; базовая карточка; локальное исключение сильнее общего.</t>
  </si>
  <si>
    <t xml:space="preserve">объявление; цена 300 ОЭ и 1 действие.
Нормативная база (действует во всей непротиворечащей части):</t>
  </si>
  <si>
    <t xml:space="preserve">объявление; цена 300 ОЭ и 1 действие.
ОЭ≥300.</t>
  </si>
  <si>
    <t xml:space="preserve">7.5.13.7.1, стр. 143.</t>
  </si>
  <si>
    <t xml:space="preserve">Профиль и линейное дерево Пингвина</t>
  </si>
  <si>
    <t xml:space="preserve">maxOE=20×L; связанные C,W; max L=7. Линейно: Ми-ми-ми → Oh nice! → Чёрно-белый страх → Чёрно-белая ярость → Чёрно-белый контроль → Чёрно-белое смещение → Чёрно-белое доминирование.</t>
  </si>
  <si>
    <t xml:space="preserve">при Трогре Пингвин не проявляет никаких эффектов, но продолжает получать XP.
Penguin сохраняет progression eligibility под подавлением Trogr согласно SYM-075.</t>
  </si>
  <si>
    <t xml:space="preserve">maxOE=20×L; связанные C,W; max L=7.</t>
  </si>
  <si>
    <t xml:space="preserve">7.5.14–7.5.14.1, стр. 144 (дерево прочитано визуально).
Прямое авторское решение Q-SYMBIONT-XP-001 — опыт симбионтов за natural 20/1, 2026-07-30</t>
  </si>
  <si>
    <t xml:space="preserve">Базовый режим феромонов</t>
  </si>
  <si>
    <t xml:space="preserve">команда сменить тип феромонов.</t>
  </si>
  <si>
    <t xml:space="preserve">изучено больше одного типа; Пингвин не подавлен.</t>
  </si>
  <si>
    <t xml:space="preserve">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</si>
  <si>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по завершении новый тип становится активным.</t>
  </si>
  <si>
    <t xml:space="preserve">социальные модификаторы типов 1–3 вне реестра; контроль уровня 5 расширяет режим.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</si>
  <si>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</si>
  <si>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7.5.14.2.1–7.5.14.4.1, стр. 145.</t>
  </si>
  <si>
    <t xml:space="preserve">цель в радиусе L м; Пингвин активен.</t>
  </si>
  <si>
    <t xml:space="preserve">Нормативная база (действует во всей непротиворечащей части):
R≥4: цель получает +L S и +L D на R/5 минут/ходов. R=2–3: нет эффекта. R=1: цель в течение 1 хода пытается убить носителя Пингвина.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</si>
  <si>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временный бафф либо принуждение.</t>
  </si>
  <si>
    <t xml:space="preserve">сопротивление цели не указано.
Поздние дельты применяются по приоритету AQ3 &gt; AQ2 &gt; AQA/CQA &gt; базовая карточка; локальное исключение сильнее общего.</t>
  </si>
  <si>
    <t xml:space="preserve">объявление; цена 20 ОЭ и 1 действие.
Нормативная база (действует во всей непротиворечащей части):
R≥4: цель получает +L S и +L D на R/5 минут/ходов.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</si>
  <si>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один чистый R20 R.
R=2–3: нет эффекта.
R=1: цель в течение 1 хода пытается убить носителя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</si>
  <si>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Q-SYM-005
Q-SYM-011
Q-SYM-054</t>
  </si>
  <si>
    <t xml:space="preserve">7.5.14.5.1, стр. 145.</t>
  </si>
  <si>
    <t xml:space="preserve">выбор режима.</t>
  </si>
  <si>
    <t xml:space="preserve">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</si>
  <si>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активный набор из 0–2 типов.</t>
  </si>
  <si>
    <t xml:space="preserve">повторное включение/смена следует базовому таймеру, если не решено иначе.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</si>
  <si>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</si>
  <si>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7.5.14.6.1, стр. 146.</t>
  </si>
  <si>
    <t xml:space="preserve">объявление; явная цена ОЭ отсутствует, поэтому 0 ОЭ и 1 действие.</t>
  </si>
  <si>
    <t xml:space="preserve">Пингвин активен.</t>
  </si>
  <si>
    <t xml:space="preserve">Нормативная база (действует во всей непротиворечащей части):
A≥3: на A/4 минут/ходов увеличить радиус феромонов и дальность способностей на B метров. A=2: нет эффекта. A=1: запретить выработку феромонов на 3 часа.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</si>
  <si>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временный бонус радиуса либо отключение.</t>
  </si>
  <si>
    <t xml:space="preserve">округление не задано.
Поздние дельты применяются по приоритету AQ3 &gt; AQ2 &gt; AQA/CQA &gt; базовая карточка; локальное исключение сильнее общего.</t>
  </si>
  <si>
    <t xml:space="preserve">объявление; явная цена ОЭ отсутствует, поэтому 0 ОЭ и 1 действие.
Нормативная база (действует во всей непротиворечащей части):
A≥3: на A/4 минут/ходов увеличить радиус феромонов и дальность способностей на B метров.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</si>
  <si>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первый R20 A (активация/длительность), отдельный R20 B (прибавка радиуса).
A=2: нет эффекта.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</si>
  <si>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7.5.14.7.1, стр. 146.</t>
  </si>
  <si>
    <t xml:space="preserve">ОЭ≥60.</t>
  </si>
  <si>
    <t xml:space="preserve">Нормативная база (действует во всей непротиворечащей части):
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</si>
  <si>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множитель эффектов либо L−1.</t>
  </si>
  <si>
    <t xml:space="preserve">при потере до L6 сама способность становится недоступна по общему правилу.
Поздние дельты применяются по приоритету AQ3 &gt; AQ2 &gt; AQA/CQA &gt; базовая карточка; локальное исключение сильнее общего.</t>
  </si>
  <si>
    <t xml:space="preserve">объявление; цена 60 ОЭ и 1 действие.
Нормативная база (действует во всей непротиворечащей части):
R≥3: на R/4 минут/ходов удвоить только числовые бонусы и штрафы эффектов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</si>
  <si>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цена 60 ОЭ и 1 действие.
ОЭ≥60.
Не удваивать радиус, длительность, стоимость, число целей и собственный множитель.
Узел самого высокого утраченного уровня помечается утраченным и становится недоступным; ранее потраченный на него опыт не возвращается.</t>
  </si>
  <si>
    <t xml:space="preserve">один чистый R20 R.
R=2: нет эффекта.
R=1: Пингвин теряет один уровень.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</si>
  <si>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Q-SYM-005
Q-SYM-055</t>
  </si>
  <si>
    <t xml:space="preserve">7.5.14.8.1 и уточнение, стр. 146.</t>
  </si>
  <si>
    <t xml:space="preserve">Профиль и линейное дерево Угря</t>
  </si>
  <si>
    <t xml:space="preserve">maxOE=60×L; связанные D,I; max L=6. Линейно: Контактный шокер → Проводник → Электрическая дуга → Шаровая молния → Молния → Цепная молния.</t>
  </si>
  <si>
    <t xml:space="preserve">объявить одновременно с рукопашной атакой; цена 30 ОЭ (без отдельного действия сверх атаки).</t>
  </si>
  <si>
    <t xml:space="preserve">Нормативная база (действует во всей непротиворечащей части):
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
Приоритетные авторские дельты (заменяют только прямо пересекающиеся ветви):
[Q-SYM-056] 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</si>
  <si>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урон/контроль цели или носителя.</t>
  </si>
  <si>
    <t xml:space="preserve">способность срабатывает несмотря на промах.
Поздние дельты применяются по приоритету AQ3 &gt; AQ2 &gt; AQA/CQA &gt; базовая карточка; локальное исключение сильнее общего.</t>
  </si>
  <si>
    <t xml:space="preserve">объявить одновременно с рукопашной атакой; цена 30 ОЭ (без отдельного действия сверх атаки).
Нормативная база (действует во всей непротиворечащей части):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t>
  </si>
  <si>
    <t xml:space="preserve">объявить одновременно с рукопашной атакой; цена 30 ОЭ (без отдельного действия сверх атаки).
ОЭ≥30.</t>
  </si>
  <si>
    <t xml:space="preserve">первый R20 A в пакете 2A (активация/урон/пороги), отдельный R20 B обратного урона; результат меткости.
A=1: носитель теряет сознание на 10 минут/2 хода, получает 30 урона, все его симбионты отключаются на тот же срок.
[Q-SYM-056] При промахе носитель получает и отдельный обратный урон R20 и все.</t>
  </si>
  <si>
    <t xml:space="preserve">7.5.15.2.1 и уточнение, стр. 148.</t>
  </si>
  <si>
    <t xml:space="preserve">ближняя атака достигла цели и пробила броню.</t>
  </si>
  <si>
    <t xml:space="preserve">оружие цельнометаллическое.</t>
  </si>
  <si>
    <t xml:space="preserve">добавить +L к урону.</t>
  </si>
  <si>
    <t xml:space="preserve">добавленная часть не учитывается при проверке инициации травмы.</t>
  </si>
  <si>
    <t xml:space="preserve">7.5.15.3.1, стр. 148.</t>
  </si>
  <si>
    <t xml:space="preserve">активация; затем начало каждого собственного хода.</t>
  </si>
  <si>
    <t xml:space="preserve">доступно 30 ОЭ и 10 HP на интервал.</t>
  </si>
  <si>
    <t xml:space="preserve">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
Приоритетные авторские дельты (заменяют только прямо пересекающиеся ветви):
[Q-SYM-057]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</si>
  <si>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поддерживаемое оружие, атака/блок, ресурсные тики.</t>
  </si>
  <si>
    <t xml:space="preserve">прекращение только в ход носителя.
Поздние дельты применяются по приоритету AQ3 &gt; AQ2 &gt; AQA/CQA &gt; базовая карточка; локальное исключение сильнее общего.</t>
  </si>
  <si>
    <t xml:space="preserve">R20 A урона; защитные действия; при блоке отдельный R20.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</si>
  <si>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доступно 30 ОЭ и 10 HP на интервал.
в начале каждого хода до действий списать 30 ОЭ и 10 HP.
Дуга существует до добровольного прекращения в свой ход (0 действий) или исчерпания ОЭ.
[Q-SYM-057] В начале хода атомарно проверяются 30 ОЭ и 10 HP.
Если ОЭ меньше 30 или HP меньше 10, дуга прекращается до оплаты и ничего не списывается.</t>
  </si>
  <si>
    <t xml:space="preserve">R20 A урона; защитные действия; при блоке отдельный R20.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t>
  </si>
  <si>
    <t xml:space="preserve">7.5.15.4.1, стр. 148.</t>
  </si>
  <si>
    <t xml:space="preserve">после двух полностью поддержанных предшествующих ходов дуги; в ход запуска.</t>
  </si>
  <si>
    <t xml:space="preserve">дуга активна; оплатить очередное поддержание и 30 ОЭ способности; 1 действие.</t>
  </si>
  <si>
    <t xml:space="preserve">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t>
  </si>
  <si>
    <t xml:space="preserve">урон и контроль; дуга снята.</t>
  </si>
  <si>
    <t xml:space="preserve">два предшествующих хода должны быть полными.</t>
  </si>
  <si>
    <t xml:space="preserve">1 действие.</t>
  </si>
  <si>
    <t xml:space="preserve">дуга активна; оплатить очередное поддержание и 30 ОЭ способности</t>
  </si>
  <si>
    <t xml:space="preserve">один чистый R20 A.
A=1 → специальное последствие носителю: сознание/30 урона/симбионты по SYM-137.</t>
  </si>
  <si>
    <t xml:space="preserve">7.5.15.5.1 и уточнение, стр. 148–149.</t>
  </si>
  <si>
    <t xml:space="preserve">при активной дуге сомкнуть ладони; оплатить поддержание и 100 ОЭ; 1 действие.</t>
  </si>
  <si>
    <t xml:space="preserve">дуга активна; ресурсов хватает.</t>
  </si>
  <si>
    <t xml:space="preserve">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t>
  </si>
  <si>
    <t xml:space="preserve">самоповреждение, дальний урон/контроль, снятие дуги.</t>
  </si>
  <si>
    <t xml:space="preserve">Контактный шокер отдельно не оплачивается, его обычный обратный урон не применяется; пороги относятся к первому R20, второй — только урон.</t>
  </si>
  <si>
    <t xml:space="preserve">при активной дуге сомкнуть ладони; оплатить поддержание и 100 ОЭ
дуга активна; ресурсов хватает.</t>
  </si>
  <si>
    <t xml:space="preserve">первый R20 A (активация, самоповреждение, пороги/единица), отдельный R20 D (урон цели).
A=1 → носитель дополнительно теряет сознание на 2 хода/10 мин, получает 30 урона, все его симбионты отключаются на тот же срок.
Контактный шокер отдельно не оплачивается, его обычный обратный урон не применяется; пороги относятся к первому R20, второй — только урон.</t>
  </si>
  <si>
    <t xml:space="preserve">7.5.15.6.1 и уточнение, стр. 149.</t>
  </si>
  <si>
    <t xml:space="preserve">объявление; цена 200 ОЭ; подготовка 1 минута/1 ход; в начале следующего круга до всех ходов — разрешение.</t>
  </si>
  <si>
    <t xml:space="preserve">ОЭ≥200; подготовка завершена.</t>
  </si>
  <si>
    <t xml:space="preserve">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
Приоритетные авторские дельты (заменяют только прямо пересекающиеся ветви):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</si>
  <si>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носитель тяжело ранен; цепь целей получает эффекты.</t>
  </si>
  <si>
    <t xml:space="preserve">способность разрешается до ходов всех персонажей.
Поздние дельты применяются по приоритету AQ3 &gt; AQ2 &gt; AQA/CQA &gt; базовая карточка; локальное исключение сильнее общего.</t>
  </si>
  <si>
    <t xml:space="preserve">объявление; цена 200 ОЭ; подготовка 1 минута/1 ход; в начале следующего круга до всех ходов — разрешение.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Каждое попадание: 99 урона, гарантированное оглушение 3 хода и отключение всех симбионтов цели на 1 час.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</si>
  <si>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объявление; цена 200 ОЭ; подготовка 1 минута/1 ход; в начале следующего круга до всех ходов — разрешение.
ОЭ≥200; подготовка завершена.
в момент разрешения израсходовать все имеющиеся HP, отключить все симбионты носителя на 1 час, перевести носителя в тяжёлое ранение.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</si>
  <si>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радиус 3L м, R6 числа перескоков, список целей.
Выбрать случайную первую цель в радиусе; затем выполнить R6 перескоков в «другую» случайную цель.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t>
  </si>
  <si>
    <t xml:space="preserve">7.5.15.7.1, стр. 149.</t>
  </si>
  <si>
    <t xml:space="preserve">Профиль и линейное дерево Жабы</t>
  </si>
  <si>
    <t xml:space="preserve">maxOE=40×L; связанные M,Z; max L=7; Z+=5. Линейно: Иммунитет к ядам → Оптимизация метаболизма → Я — то, что я ем → Язык жабы → На, держи → Живучесть жабы → Амфибиоморфная асфиксия.</t>
  </si>
  <si>
    <t xml:space="preserve">подавляет Тайпана по SYM-038.</t>
  </si>
  <si>
    <t xml:space="preserve">maxOE=40×L; связанные M,Z; max L=7
Z+=5.</t>
  </si>
  <si>
    <t xml:space="preserve">применение урона/контроля от яда или отвара.</t>
  </si>
  <si>
    <t xml:space="preserve">Жаба активна.</t>
  </si>
  <si>
    <t xml:space="preserve">отменить урон от яда; отменить эффекты контроля, вызванные ядами или отварами, включая обезболивание.</t>
  </si>
  <si>
    <t xml:space="preserve">урон/контроль не применяется.</t>
  </si>
  <si>
    <t xml:space="preserve">иные не-контролирующие эффекты отваров прямо не отменены.</t>
  </si>
  <si>
    <t xml:space="preserve">7.5.16.2.1, стр. 151.</t>
  </si>
  <si>
    <t xml:space="preserve">выбор количества жертвуемых пунктов; цена 10 ОЭ за пункт и 1 действие по умолчанию.</t>
  </si>
  <si>
    <t xml:space="preserve">жертвуются S,D,M,I; ни одна не опустится ниже 1; ОЭ хватает на всю цену.</t>
  </si>
  <si>
    <t xml:space="preserve">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t>
  </si>
  <si>
    <t xml:space="preserve">временные модификаторы и лимиты выживания; затем атомарное восстановление.</t>
  </si>
  <si>
    <t xml:space="preserve">полноценность сна для восстановления пользы по SYM-007 отдельно не требуется текстом, но длительность 4 часа обязательна.</t>
  </si>
  <si>
    <t xml:space="preserve">выбор количества жертвуемых пунктов; цена 10 ОЭ за пункт и 1 действие по умолчанию.
временно снизить выбранные характеристики на N; за каждый пункт добавить +5 часов существования без еды и сна и +10 минут без кислорода.
Вернуть все пункты только после совместного выполнения: доступ к кислороду восстановлен, плотная еда принята, завершены 4 часа сна.
полноценность сна для восстановления пользы по SYM-007 отдельно не требуется текстом, но длительность 4 часа обязательна.</t>
  </si>
  <si>
    <t xml:space="preserve">выбор количества жертвуемых пунктов; цена 10 ОЭ за пункт и 1 действие по умолчанию.
ОЭ хватает на всю цену.</t>
  </si>
  <si>
    <t xml:space="preserve">7.5.16.3.1 и уточнение, стр. 151.</t>
  </si>
  <si>
    <t xml:space="preserve">рукопашная атака языком.</t>
  </si>
  <si>
    <t xml:space="preserve">яд есть в крови; цель ≤L м; кончик касается кожи/тонкой одежды.</t>
  </si>
  <si>
    <t xml:space="preserve">Нормативная база (действует во всей непротиворечащей части):
при успешном касании доставить текущий яд; язык нельзя захватить.
Приоритетные авторские дельты (заменяют только прямо пересекающиеся ветви):
[Q-SYM-059] В Windows-приложении мы не обрабатываем этот эффект</t>
  </si>
  <si>
    <t xml:space="preserve">яд применён к цели.</t>
  </si>
  <si>
    <t xml:space="preserve">толстая/герметичная защита препятствует контакту; захват языка автоматически неуспешен.
Поздние дельты применяются по приоритету AQ3 &gt; AQ2 &gt; AQA/CQA &gt; базовая карточка; локальное исключение сильнее общего.</t>
  </si>
  <si>
    <t xml:space="preserve">7.5.16.5.1, стр. 151.</t>
  </si>
  <si>
    <t xml:space="preserve">сознательный контакт ладонью с кожей; в бою — успешная рукопашная проверка.</t>
  </si>
  <si>
    <t xml:space="preserve">открытая кожа цели; держатель решил выделить вещество.</t>
  </si>
  <si>
    <t xml:space="preserve">отключить всех симбионтов цели на 5 минут/1 ход.</t>
  </si>
  <si>
    <t xml:space="preserve">симбионты цели disabled до таймера.</t>
  </si>
  <si>
    <t xml:space="preserve">можно касаться без активации железы; дополнительное действие/ОЭ не тратится.</t>
  </si>
  <si>
    <t xml:space="preserve">отключить всех симбионтов цели на 5 минут/1 ход.
можно касаться без активации железы; дополнительное действие/ОЭ не тратится.</t>
  </si>
  <si>
    <t xml:space="preserve">7.5.16.6.1, стр. 151.</t>
  </si>
  <si>
    <t xml:space="preserve">maxHP +=10L; при гибели/удалении убрать бонус и ограничить текущий HP новым максимумом по общему правилу.</t>
  </si>
  <si>
    <t xml:space="preserve">пересчитать maxHP.</t>
  </si>
  <si>
    <t xml:space="preserve">7.5.16.7.1, стр. 151.</t>
  </si>
  <si>
    <t xml:space="preserve">активировать одновременно с атакой языком; цена 140 ОЭ, без дополнительного действия.</t>
  </si>
  <si>
    <t xml:space="preserve">ОЭ≥140.</t>
  </si>
  <si>
    <t xml:space="preserve">при успешном попадании и пробитии поставить таймер; по истечении сравнить результаты. Если R20+5 &gt; checkM_target, цель теряет сознание на 5 минут/1 ход.</t>
  </si>
  <si>
    <t xml:space="preserve">отложенная встречная проверка и бессознательность.</t>
  </si>
  <si>
    <t xml:space="preserve">иммунитет Жабы к ядам отменяет эффект; иных способов нейтрализации не описано.</t>
  </si>
  <si>
    <t xml:space="preserve">активировать одновременно с атакой языком; цена 140 ОЭ, без дополнительного действия.
R6 пробития; через 10 минут/3 хода R20+5 держателя и проверка M цели.
Если R20+5 &gt; checkM_target, цель теряет сознание на 5 минут/1 ход.</t>
  </si>
  <si>
    <t xml:space="preserve">активировать одновременно с атакой языком; цена 140 ОЭ, без дополнительного действия.
ОЭ≥140.</t>
  </si>
  <si>
    <t xml:space="preserve">R6 пробития; через 10 минут/3 хода R20+5 держателя и проверка M цели.
Если R20+5 &gt; checkM_target, цель теряет сознание на 5 минут/1 ход.</t>
  </si>
  <si>
    <t xml:space="preserve">7.5.16.8.1, стр. 151.</t>
  </si>
  <si>
    <t xml:space="preserve">Профиль и OR-дерево Крысы</t>
  </si>
  <si>
    <t xml:space="preserve">maxOE=50×L; связанные D,C,I; max L=7. Дерево: Самостоятельность(1) → Я буду твоими глазами(2) → Ловкость крысы(3) → OR {Переносчик заразы(4) → Подобное к подобному(5) → Крысиные коммуникации(6)| Первый среди равных(4) → Крысиный король(5) → Ретранслятор(6)} → Тотальное крысятничество(7). OR не блокирует вторую ветвь; L7 требует любой L6.</t>
  </si>
  <si>
    <t xml:space="preserve">доступность узлов; социальные L6 слева и L7 остаются узлами развития, но их эффекты не исполняются реестром.</t>
  </si>
  <si>
    <t xml:space="preserve">maxOE=50×L; связанные D,C,I; max L=7.</t>
  </si>
  <si>
    <t xml:space="preserve">Самостоятельность: выход и боевой субъект</t>
  </si>
  <si>
    <t xml:space="preserve">в ход носителя команда выйти через рот; цена 1 боевое действие носителя.</t>
  </si>
  <si>
    <t xml:space="preserve">Крыса в теле; закончился период восстановления вылазки.</t>
  </si>
  <si>
    <t xml:space="preserve">Нормативная база (действует во всей непротиворечащей части):
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
Приоритетные авторские дельты (заменяют только прямо пересекающиеся ветви):
[Q-SYM-060]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</si>
  <si>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отдельная позиция/инициатива Крысы.</t>
  </si>
  <si>
    <t xml:space="preserve">после возвращения до следующей вылазки ждать 11−L часов.
Поздние дельты применяются по приоритету AQ3 &gt; AQ2 &gt; AQA/CQA &gt; базовая карточка; локальное исключение сильнее общего.</t>
  </si>
  <si>
    <t xml:space="preserve">в ход носителя команда выйти через рот; цена 1 боевое действие носителя.
L, текущий бой, действия носителя.
Нормативная база (действует во всей непротиворечащей части):
создать отдельного персонажа: каждая характеристика 2L, HP=10L, максимальная автономность L часов.
В бою немедленно бросить чистую инициативу для следующего хода; в текущий момент Крыса может действовать, расходуя оставшиеся действия носителя.</t>
  </si>
  <si>
    <t xml:space="preserve">в ход носителя команда выйти через рот; цена 1 боевое действие носителя.
создать отдельного персонажа: каждая характеристика 2L, HP=10L, максимальная автономность L часов.</t>
  </si>
  <si>
    <t xml:space="preserve">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t>
  </si>
  <si>
    <t xml:space="preserve">Q-SYM-060
Q-PREDEV-003</t>
  </si>
  <si>
    <t xml:space="preserve">7.5.17.2.1, стр. 153.
Предразработочный QA и прямые ответы пользователя 2026-07-29</t>
  </si>
  <si>
    <t xml:space="preserve">SYM-153</t>
  </si>
  <si>
    <t xml:space="preserve">Самостоятельность: гибель и перерождение</t>
  </si>
  <si>
    <t xml:space="preserve">смерть Крысы вне тела.</t>
  </si>
  <si>
    <t xml:space="preserve">носитель жив.</t>
  </si>
  <si>
    <t xml:space="preserve">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</si>
  <si>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Крыса возвращена в тело.</t>
  </si>
  <si>
    <t xml:space="preserve">уровень не ниже 1.</t>
  </si>
  <si>
    <t xml:space="preserve">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t>
  </si>
  <si>
    <t xml:space="preserve">Иначе через 24 часа переродить с L=max(1,L−2); способности выше L сохранить изученными, но заблокировать.</t>
  </si>
  <si>
    <t xml:space="preserve">7.5.17.2.1 и уточнение, стр. 153.
Предразработочный QA и прямые ответы пользователя 2026-07-29</t>
  </si>
  <si>
    <t xml:space="preserve">получение Крысой сенсорной информации.</t>
  </si>
  <si>
    <t xml:space="preserve">ментальная связь с носителем сохраняется.</t>
  </si>
  <si>
    <t xml:space="preserve">Нормативная база (действует во всей непротиворечащей части):
немедленно сделать информацию доступной носителю.
Приоритетные авторские дельты (заменяют только прямо пересекающиеся ветви):
[Q-SYM-061] Не ограничена</t>
  </si>
  <si>
    <t xml:space="preserve">общая видимость знаний/целей.</t>
  </si>
  <si>
    <t xml:space="preserve">дальность базовой связи не указана, кроме автономного срока.
Поздние дельты применяются по приоритету AQ3 &gt; AQ2 &gt; AQA/CQA &gt; базовая карточка; локальное исключение сильнее общего.</t>
  </si>
  <si>
    <t xml:space="preserve">7.5.17.3.1, стр. 153.</t>
  </si>
  <si>
    <t xml:space="preserve">добавить бонус 2L; итоговая D Крысы при отсутствии иных модификаторов =4L.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</si>
  <si>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пересчитать D/инициативу/атаки.</t>
  </si>
  <si>
    <t xml:space="preserve">бонус относится к симбионту, не носителю.</t>
  </si>
  <si>
    <t xml:space="preserve">базовая D=2L.
добавить бонус 2L; итоговая D Крысы при отсутствии иных модификаторов =4L.</t>
  </si>
  <si>
    <t xml:space="preserve">7.5.17.4.1, стр. 153.
Предразработочный QA и прямые ответы пользователя 2026-07-29</t>
  </si>
  <si>
    <t xml:space="preserve">расчёт урона укуса.</t>
  </si>
  <si>
    <t xml:space="preserve">добавить +L к урону укуса.</t>
  </si>
  <si>
    <t xml:space="preserve">название не создаёт болезни без отдельного текста.</t>
  </si>
  <si>
    <t xml:space="preserve">7.5.17.5.1, стр. 153.</t>
  </si>
  <si>
    <t xml:space="preserve">Первый среди равных: стая</t>
  </si>
  <si>
    <t xml:space="preserve">Крыса победила вожака сообщества в радиусе 200 м и заняла место; затем вступает в бой.</t>
  </si>
  <si>
    <t xml:space="preserve">статус вожака активен; до 30 крыс включены в единицу.</t>
  </si>
  <si>
    <t xml:space="preserve">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</si>
  <si>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динамическая групповая сущность.</t>
  </si>
  <si>
    <t xml:space="preserve">с Крысиным королём порог 60%; при возвращении Крысы в тело статус обычно утрачен.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</si>
  <si>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t>
  </si>
  <si>
    <t xml:space="preserve">одна единица: S=D=M=HP=N (N≤30), I=1,C=1,W=10,Z=10; брони и активной защиты нет; одна чистая инициатива и одно боевое действие.
Каждая потеря 1 HP удаляет 1 крысу и сразу уменьшает S,D,M,HP.
Текущее N уменьшается с каждой потерянной единицей HP и используется для характеристик и урона</t>
  </si>
  <si>
    <t xml:space="preserve">одна единица: S=D=M=HP=N (N≤30), I=1,C=1,W=10,Z=10; брони и активной защиты нет; одна чистая инициатива и одно боевое действие.
Укус: точность R20+D, пробитие 0, урон R6+N/5.
Без Крысиного короля стая начинает бегство, когда суммарные потери достигают ceil(0,30×N0), с Крысиным королём — ceil(0,60×N0).</t>
  </si>
  <si>
    <t xml:space="preserve">Q-SYM-062
Q-PREDEV-003</t>
  </si>
  <si>
    <t xml:space="preserve">7.5.17.5.2 и уточнение, стр. 153.
Предразработочный QA и прямые ответы пользователя 2026-07-29</t>
  </si>
  <si>
    <t xml:space="preserve">укус, пока Крыса находится в теле.</t>
  </si>
  <si>
    <t xml:space="preserve">прямой урон R20+L, пробитие L; считать рукопашной атакой; разрешить как опцию после захвата в борьбе.</t>
  </si>
  <si>
    <t xml:space="preserve">атака природным оружием.</t>
  </si>
  <si>
    <t xml:space="preserve">складывается с «Зубами-огнивом» Дракона; оба эффекта работают.</t>
  </si>
  <si>
    <t xml:space="preserve">R20, L, обычная рукопашная точность.
прямой урон R20+L, пробитие L; считать рукопашной атакой; разрешить как опцию после захвата в борьбе.</t>
  </si>
  <si>
    <t xml:space="preserve">7.5.17.6.1, стр. 154.</t>
  </si>
  <si>
    <t xml:space="preserve">проверка порога потерь.</t>
  </si>
  <si>
    <t xml:space="preserve">Нормативная база (действует во всей непротиворечащей части):
заменить порог отступления 30% на 60% исходного состава.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</si>
  <si>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стая продолжает бой до нового порога.</t>
  </si>
  <si>
    <t xml:space="preserve">Ретранслятор отменяет отступление из-за любых потерь в свой период.
Поздние дельты применяются по приоритету AQ3 &gt; AQ2 &gt; AQA/CQA &gt; базовая карточка; локальное исключение сильнее общего.</t>
  </si>
  <si>
    <t xml:space="preserve">Текущее N уменьшается с каждой потерянной единицей HP и используется для характеристик и урона</t>
  </si>
  <si>
    <t xml:space="preserve">Без Крысиного короля стая начинает бегство, когда суммарные потери достигают ceil(0,30×N0), с Крысиным королём — ceil(0,60×N0).</t>
  </si>
  <si>
    <t xml:space="preserve">7.5.17.6.2, стр. 154.
Предразработочный QA и прямые ответы пользователя 2026-07-29</t>
  </si>
  <si>
    <t xml:space="preserve">Крыса возвращается в тело.</t>
  </si>
  <si>
    <t xml:space="preserve">Крыса была вожаком стаи.</t>
  </si>
  <si>
    <t xml:space="preserve">сохранить контроль за носителем на сутки; стая выполняет приказ невзирая на любые потери; по окончании стая неизбежно разбегается.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</si>
  <si>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статус вожака временно переносится носителю.</t>
  </si>
  <si>
    <t xml:space="preserve">в период действия пороги отступления не применяются.</t>
  </si>
  <si>
    <t xml:space="preserve">таймер 24 часа.
в период действия пороги отступления не применяются.</t>
  </si>
  <si>
    <t xml:space="preserve">7.5.17.7.2, стр. 154.
Предразработочный QA и прямые ответы пользователя 2026-07-29</t>
  </si>
  <si>
    <t xml:space="preserve">Профиль и линейное дерево Дельфина</t>
  </si>
  <si>
    <t xml:space="preserve">maxOE=30×L; связанные I,W; max L=6. Линейно: Трансцендентность → Эхолокация → Море — второй дом → Ментальный компас → Абсолютная память → Мирный воин.</t>
  </si>
  <si>
    <t xml:space="preserve">профиль/доступность; Абсолютная память остаётся обязательным узлом, хотя её эффект вне реестра.</t>
  </si>
  <si>
    <t xml:space="preserve">Трогр поглощает Дельфина.</t>
  </si>
  <si>
    <t xml:space="preserve">maxOE=30×L; связанные I,W; max L=6.</t>
  </si>
  <si>
    <t xml:space="preserve">Дельфин активен.</t>
  </si>
  <si>
    <t xml:space="preserve">повысить I на 5L, но не выше 30; при удалении/гибели вернуть исходное.</t>
  </si>
  <si>
    <t xml:space="preserve">пересчитать I.</t>
  </si>
  <si>
    <t xml:space="preserve">7.5.18.2.1, стр. 156.</t>
  </si>
  <si>
    <t xml:space="preserve">речевой аппарат функционирует.</t>
  </si>
  <si>
    <t xml:space="preserve">Нормативная база (действует во всей непротиворечащей части):
если объект под водой — гарантированно получить план местности/объектов; иначе успех, если R20 &gt; 12−L.
Приоритетные авторские дельты (заменяют только прямо пересекающиеся ветви):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</si>
  <si>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раскрывается пространственный план в направлении.</t>
  </si>
  <si>
    <t xml:space="preserve">дальность/сектор не заданы.
Поздние дельты применяются по приоритету AQ3 &gt; AQ2 &gt; AQA/CQA &gt; базовая карточка; локальное исключение сильнее общего.</t>
  </si>
  <si>
    <t xml:space="preserve">чистый R20, L, среда.
если объект под водой — гарантированно получить план местности/объектов; иначе успех, если R20 &gt; 12−L.</t>
  </si>
  <si>
    <t xml:space="preserve">7.5.18.3.1, стр. 156.</t>
  </si>
  <si>
    <t xml:space="preserve">задержка дыхания или проверка плавания, включая бой в воде.</t>
  </si>
  <si>
    <t xml:space="preserve">добавить 30 минут к максимальной задержке дыхания; +10 к плаванию.</t>
  </si>
  <si>
    <t xml:space="preserve">увеличенный лимит и результат движения.</t>
  </si>
  <si>
    <t xml:space="preserve">чисто маршрутные применения вне реестра.</t>
  </si>
  <si>
    <t xml:space="preserve">7.5.18.4.1, стр. 156.</t>
  </si>
  <si>
    <t xml:space="preserve">Ментальный компас: боевая часть</t>
  </si>
  <si>
    <t xml:space="preserve">проверка сопротивления ментальному воздействию.</t>
  </si>
  <si>
    <t xml:space="preserve">добавить +10; при успешной защите гарантированно раскрыть источник и его местоположение.</t>
  </si>
  <si>
    <t xml:space="preserve">повышенная защита и раскрытая позиция.</t>
  </si>
  <si>
    <t xml:space="preserve">бонусы маршрута/поиска пути исключены как небоевые.</t>
  </si>
  <si>
    <t xml:space="preserve">7.5.18.5.1, стр. 156.</t>
  </si>
  <si>
    <t xml:space="preserve">Мирный воин: исполняемая часть</t>
  </si>
  <si>
    <t xml:space="preserve">проверка сопротивления харизме либо пересчёт слотов.</t>
  </si>
  <si>
    <t xml:space="preserve">добавить +5 к любой проверке сопротивления харизме; добавить 5 слотов навыков.</t>
  </si>
  <si>
    <t xml:space="preserve">модифицированная проверка и вместимость навыков.</t>
  </si>
  <si>
    <t xml:space="preserve">+5 к обучению в ролях учителя/ученика исключено как небоевое.</t>
  </si>
  <si>
    <t xml:space="preserve">7.5.18.7.1, стр. 156.</t>
  </si>
  <si>
    <t xml:space="preserve">Профиль и линейное дерево Богомола</t>
  </si>
  <si>
    <t xml:space="preserve">maxOE=40×L; связанные S,D; max L=6; D+=5. Линейно: Зазубренные клинки → Каменная статуя → Молниеносная реакция → Каннибализм → Инстинкт убийцы → Веерная защита.</t>
  </si>
  <si>
    <t xml:space="preserve">Линейно: Зазубренные клинки → Каменная статуя → Молниеносная реакция → Каннибализм → Инстинкт убийцы → Веерная защита.</t>
  </si>
  <si>
    <t xml:space="preserve">maxOE=40×L; связанные S,D; max L=6
D+=5.</t>
  </si>
  <si>
    <t xml:space="preserve">складывание клинков (20 секунд/2 действия), затем атака.</t>
  </si>
  <si>
    <t xml:space="preserve">клинок находится в боевом состоянии.</t>
  </si>
  <si>
    <t xml:space="preserve">Нормативная база (действует во всей непротиворечащей части):
при каждой новой атаке бросить один R; защита цели получает штраф L; урон=R+L+S_mod, пробитие=R+L; точность модифицирует D; общий модификатор — фехтование.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t>
  </si>
  <si>
    <t xml:space="preserve">вооружённое состояние и атака.</t>
  </si>
  <si>
    <t xml:space="preserve">наручи могут быть подогнаны без помех.
Поздние дельты применяются по приоритету AQ3 &gt; AQ2 &gt; AQA/CQA &gt; базовая карточка; локальное исключение сильнее общего.</t>
  </si>
  <si>
    <t xml:space="preserve">складывание клинков (20 секунд/2 действия), затем атака.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t>
  </si>
  <si>
    <t xml:space="preserve">один общий R20 R на конкретную атаку, L, S, D, фехтование.
при каждой новой атаке бросить один R; защита цели получает штраф L; урон=R+L+S_mod, пробитие=R+L; точность модифицирует D; общий модификатор — фехтование.</t>
  </si>
  <si>
    <t xml:space="preserve">7.5.19.2.1, стр. 158.</t>
  </si>
  <si>
    <t xml:space="preserve">вход; цена 20 ОЭ и 1 действие; выход — 1 действие.</t>
  </si>
  <si>
    <t xml:space="preserve">Нормативная база (действует во всей непротиворечащей части):
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
Приоритетные авторские дельты (заменяют только прямо пересекающиеся ветви):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</si>
  <si>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состояние статуи и заморозка таймеров тика.</t>
  </si>
  <si>
    <t xml:space="preserve">метаболические небоевые эффекты не автоматизируются здесь.
Поздние дельты применяются по приоритету AQ3 &gt; AQ2 &gt; AQA/CQA &gt; базовая карточка; локальное исключение сильнее общего.</t>
  </si>
  <si>
    <t xml:space="preserve">вход; цена 20 ОЭ и 1 действие; выход — 1 действие.
Нормативная база (действует во всей непротиворечащей части):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Выйти из состояния можно только в свой ход за 1 боевое действие.</t>
  </si>
  <si>
    <t xml:space="preserve">вход; цена 20 ОЭ и 1 действие; выход — 1 действие.
ОЭ≥20.</t>
  </si>
  <si>
    <t xml:space="preserve">7.5.19.3.1 и уточнение, стр. 158.</t>
  </si>
  <si>
    <t xml:space="preserve">реакция на неожиданное нападение либо уклонение.</t>
  </si>
  <si>
    <t xml:space="preserve">добавить +L к реакции при неожиданном нападении на носителя/группу и +L к уклонению.</t>
  </si>
  <si>
    <t xml:space="preserve">модифицированные проверки.</t>
  </si>
  <si>
    <t xml:space="preserve">реакция на неожиданное нападение либо уклонение.
добавить +L к реакции при неожиданном нападении на носителя/группу и +L к уклонению.</t>
  </si>
  <si>
    <t xml:space="preserve">7.5.19.4.1, стр. 158.</t>
  </si>
  <si>
    <t xml:space="preserve">носитель впивается зубами в мозг цели; цена 60 ОЭ и 1 действие по умолчанию.</t>
  </si>
  <si>
    <t xml:space="preserve">физический доступ к мозгу живой цели.</t>
  </si>
  <si>
    <t xml:space="preserve">Нормативная база (действует во всей непротиворечащей части):
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
Приоритетные авторские дельты (заменяют только прямо пересекающиеся ветви):
[Q-SYM-066]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</si>
  <si>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полное восстановление и результат диапазона.</t>
  </si>
  <si>
    <t xml:space="preserve">цена списывается до полного восстановления.
Поздние дельты применяются по приоритету AQ3 &gt; AQ2 &gt; AQA/CQA &gt; базовая карточка; локальное исключение сильнее общего.</t>
  </si>
  <si>
    <t xml:space="preserve">носитель впивается зубами в мозг цели; цена 60 ОЭ и 1 действие по умолчанию.
Нормативная база (действует во всей непротиворечащей части):
Затем: A=1 → D носителя=1 на R12 часов</t>
  </si>
  <si>
    <t xml:space="preserve">носитель впивается зубами в мозг цели; цена 60 ОЭ и 1 действие по умолчанию.
сначала полностью восстановить HP носителя и ОЭ Богомола.
цена списывается до полного восстановления.</t>
  </si>
  <si>
    <t xml:space="preserve">чистый R20 A; при A=1 отдельный R12; при 11–17 навыки/слоты; при 18–20 случайная характеристика и lifetimeCount.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t>
  </si>
  <si>
    <t xml:space="preserve">7.5.19.5.1, стр. 158.</t>
  </si>
  <si>
    <t xml:space="preserve">пересчёт слотов; атака клинками.</t>
  </si>
  <si>
    <t xml:space="preserve">способность доступна; оба клинка в боевом состоянии.</t>
  </si>
  <si>
    <t xml:space="preserve">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</si>
  <si>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слоты и пакет двух атак.</t>
  </si>
  <si>
    <t xml:space="preserve">каждая атака имеет отдельные броски/пробитие.
Поздние дельты применяются по приоритету AQ3 &gt; AQ2 &gt; AQA/CQA &gt; базовая карточка; локальное исключение сильнее общего.</t>
  </si>
  <si>
    <t xml:space="preserve">L, одно боевое действие.
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t>
  </si>
  <si>
    <t xml:space="preserve">7.5.19.6.1, стр. 158.</t>
  </si>
  <si>
    <t xml:space="preserve">объявление стойки; цена 40 ОЭ и 3 действия; затем первое враждебное действие/перемещение каждого противника до конца круга.</t>
  </si>
  <si>
    <t xml:space="preserve">≥3 действия; оба клинка пригодны; враг в радиусе атаки.</t>
  </si>
  <si>
    <t xml:space="preserve">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</si>
  <si>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реакция отмечена на цель, действие прервано, атаки разрешены.</t>
  </si>
  <si>
    <t xml:space="preserve">максимум один триггер на противника за круг.
Поздние дельты применяются по приоритету AQ3 &gt; AQ2 &gt; AQA/CQA &gt; базовая карточка; локальное исключение сильнее общего.</t>
  </si>
  <si>
    <t xml:space="preserve">объявление стойки; цена 40 ОЭ и 3 действия; затем первое враждебное действие/перемещение каждого противника до конца круга.
≥3 действия; оба клинка пригодны; враг в радиусе атаки.
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t>
  </si>
  <si>
    <t xml:space="preserve">7.5.19.7.1 и уточнение, стр. 159.</t>
  </si>
  <si>
    <t xml:space="preserve">Профиль и линейное дерево Скунса</t>
  </si>
  <si>
    <t xml:space="preserve">получение/развитие/экипировка.</t>
  </si>
  <si>
    <t xml:space="preserve">maxOE=50×L; связанные D,M; max L=6; C−=10, кроме времени, когда носитель одет в герметичный «Нэйт». Линейно: Анальная железа → Подладонные железы → Вонючее облако → Навесной выстрел → Миномёт → Шквальный огонь.</t>
  </si>
  <si>
    <t xml:space="preserve">профиль/доступность и динамический C.</t>
  </si>
  <si>
    <t xml:space="preserve">исключение зависит от фактической герметичности костюма.</t>
  </si>
  <si>
    <t xml:space="preserve">maxOE=50×L; связанные D,M; max L=6
C−=10, кроме времени, когда носитель одет в герметичный «Нэйт».</t>
  </si>
  <si>
    <t xml:space="preserve">выпускное отверстие не закрыто; цель ≤L+3 м.</t>
  </si>
  <si>
    <t xml:space="preserve">Нормативная база (действует во всей непротиворечащей части):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
Приоритетные авторские дельты (заменяют только прямо пересекающиеся ветви):
[Q-SYM-067]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</si>
  <si>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набор дебаффов/урон/тушение либо постоянный до бани штраф носителя.</t>
  </si>
  <si>
    <t xml:space="preserve">диапазон 17+ не говорит о добавлении нижних диапазонов, поэтому они не добавлены.
Поздние дельты применяются по приоритету AQ3 &gt; AQ2 &gt; AQA/CQA &gt; базовая карточка; локальное исключение сильнее общего.</t>
  </si>
  <si>
    <t xml:space="preserve">объявление; цена 20 ОЭ и 1 действие.
Нормативная база (действует во всей непротиворечащей части):
A=4–5: цель до конца боя получает −1 боевое действие каждый ход.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</si>
  <si>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один чистый R20 A (активация/диапазон); при 6–11 отдельный R4 P.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</si>
  <si>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7.5.20.2.1, стр. 161.</t>
  </si>
  <si>
    <t xml:space="preserve">применение через запястье.</t>
  </si>
  <si>
    <t xml:space="preserve">железа доступна.</t>
  </si>
  <si>
    <t xml:space="preserve">Нормативная база (действует во всей непротиворечащей части):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Приоритетные авторские дельты (заменяют только прямо пересекающиеся ветви):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</si>
  <si>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ослабленный эффект таблицы.</t>
  </si>
  <si>
    <t xml:space="preserve">стоимость, дальность и естественная 1 не уточнены.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</si>
  <si>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t>
  </si>
  <si>
    <t xml:space="preserve">[Q-SYM-068]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стоимость, дальность и естественная 1 не уточнены.</t>
  </si>
  <si>
    <t xml:space="preserve">R20; обычное математическое округление.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</si>
  <si>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7.5.20.3.1 и уточнение, стр. 161.</t>
  </si>
  <si>
    <t xml:space="preserve">объявление; цена 40 ОЭ и 1 действие.</t>
  </si>
  <si>
    <t xml:space="preserve">ОЭ≥40.</t>
  </si>
  <si>
    <t xml:space="preserve">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
Приоритетные авторские дельты (заменяют только прямо пересекающиеся ветви):
[Q-SYM-069]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</si>
  <si>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объект области, динамический состав/дебаффы/таймеры огня.</t>
  </si>
  <si>
    <t xml:space="preserve">носители Скунса иммунны только к снижению M; штраф обнаружения исключения не имеет.
Поздние дельты применяются по приоритету AQ3 &gt; AQ2 &gt; AQA/CQA &gt; базовая карточка; локальное исключение сильнее общего.</t>
  </si>
  <si>
    <t xml:space="preserve">объявление; цена 40 ОЭ и 1 действие.
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
Источник пламени, непрерывно находящийся внутри, гаснет через 2 минуты/2 хода.</t>
  </si>
  <si>
    <t xml:space="preserve">объявление; цена 40 ОЭ и 1 действие.
ОЭ≥40.</t>
  </si>
  <si>
    <t xml:space="preserve">независимые R4 длительности, R20 радиуса, R20 снижения M; позиции/время внутри; неопределённый anchorMode области.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t>
  </si>
  <si>
    <t xml:space="preserve">7.5.20.4.1 и уточнение, стр. 161.</t>
  </si>
  <si>
    <t xml:space="preserve">выпускное отверстие свободно.</t>
  </si>
  <si>
    <t xml:space="preserve">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t>
  </si>
  <si>
    <t xml:space="preserve">отдельные дебаффы по целям.</t>
  </si>
  <si>
    <t xml:space="preserve">трактовка активационной единицы вложенного эффекта не задана.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</si>
  <si>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t>
  </si>
  <si>
    <t xml:space="preserve">объявление; цена 50 ОЭ и 1 действие.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Порог активации 4+, цена 20 ОЭ и самопоражение натуральной 1 не наследуются; результат 1 считается обычным диапазоном 1–5 для поражённой цели.</t>
  </si>
  <si>
    <t xml:space="preserve">R20 дальности, отдельный R12 радиуса, режим «с места/на бегу», для каждой цели отдельный бросок эффекта Анальной железы.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t>
  </si>
  <si>
    <t xml:space="preserve">7.5.20.5.1, стр. 161–162.</t>
  </si>
  <si>
    <t xml:space="preserve">объявление; цена 50 ОЭ и 1 действие; можно на бегу.</t>
  </si>
  <si>
    <t xml:space="preserve">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</si>
  <si>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набор объектов-ловушек с таймерами и одноразовым/неуказанным контактом.</t>
  </si>
  <si>
    <t xml:space="preserve">«незаметность (10+L)×2 (чистая проверка)» не содержит дайса; дальность/раскладка и расходование мины не заданы.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</si>
  <si>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можно на бегу.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t>
  </si>
  <si>
    <t xml:space="preserve">объявление; цена 50 ОЭ и 1 действие; можно на бегу.
Порог активации 4+, цена 20 ОЭ и самопоражение натуральной 1 не наследуются; результат 1 считается обычным диапазоном 1–5 для поражённой цели.</t>
  </si>
  <si>
    <t xml:space="preserve">R4 количества; формула незаметности (10+L)×2
R20 срока; места установки.
создать R4 укоренившихся активных мин, каждая активна R20 минут; при контакте живого существа применить эффект Анальной железы.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«незаметность (10+L)×2 (чистая проверка)» не содержит дайса; дальность/раскладка и расходование мины не заданы.</t>
  </si>
  <si>
    <t xml:space="preserve">Q-SYM-070
Q-SYM-071</t>
  </si>
  <si>
    <t xml:space="preserve">7.5.20.6.1, стр. 162.</t>
  </si>
  <si>
    <t xml:space="preserve">объявление при ≥3 действиях; общая цена 200 ОЭ.</t>
  </si>
  <si>
    <t xml:space="preserve">ОЭ≥200; выпускное отверстие свободно.</t>
  </si>
  <si>
    <t xml:space="preserve">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
[Q-SYM-072]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</si>
  <si>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создаётся частично подготовленное действие либо пакет снарядов.</t>
  </si>
  <si>
    <t xml:space="preserve">упоминание 200 ОЭ в первом действии — момент единственного списания, не вторая цена.
Поздние дельты применяются по приоритету AQ3 &gt; AQ2 &gt; AQA/CQA &gt; базовая карточка; локальное исключение сильнее общего.</t>
  </si>
  <si>
    <t xml:space="preserve">объявление при ≥3 действиях; общая цена 200 ОЭ.
действие 1 — один R20 A; действие 2 — отдельный R20 B; действие 3 — выбор типа и отдельный R20 C.
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t>
  </si>
  <si>
    <t xml:space="preserve">объявление при ≥3 действиях; общая цена 200 ОЭ.
ОЭ≥200; выпускное отверстие свободно.
действие 1: единожды списать 200 ОЭ и задать max удаление центра A² м.
Можно прервать после любого действия без возврата ОЭ.
Порог активации 4+, цена 20 ОЭ и самопоражение натуральной 1 не наследуются; результат 1 считается обычным диапазоном 1–5 для поражённой цели.</t>
  </si>
  <si>
    <t xml:space="preserve">действие 1 — один R20 A; действие 2 — отдельный R20 B; действие 3 — выбор типа и отдельный R20 C.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t>
  </si>
  <si>
    <t xml:space="preserve">Q-SYM-070
Q-SYM-071
Q-SYM-072</t>
  </si>
  <si>
    <t xml:space="preserve">7.5.20.7.1 и уточнение, стр. 162.</t>
  </si>
  <si>
    <t xml:space="preserve">SYM-181</t>
  </si>
  <si>
    <t xml:space="preserve">Переключение типа яда Тайпана</t>
  </si>
  <si>
    <t xml:space="preserve">игрок выбирает другой изученный тип яда.</t>
  </si>
  <si>
    <t xml:space="preserve">есть как минимум два изученных типа; Тайпан не подавлен Жабой.</t>
  </si>
  <si>
    <t xml:space="preserve">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t>
  </si>
  <si>
    <t xml:space="preserve">по завершении activePoisonType заменён новым; способности доставки используют тип, превалирующий в момент объявления.</t>
  </si>
  <si>
    <t xml:space="preserve">во время подавления яд не вырабатывается.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</si>
  <si>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</si>
  <si>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Q-SYM-076</t>
  </si>
  <si>
    <t xml:space="preserve">7.5.2.2.1, 7.5.2.5.1, 7.5.2.8.1, стр. 119–120.</t>
  </si>
  <si>
    <t xml:space="preserve">SYM-183</t>
  </si>
  <si>
    <t xml:space="preserve">Нанесение активного яда на предмет или пищу</t>
  </si>
  <si>
    <t xml:space="preserve">игрок выбирает команду нанесения текущего активного яда вне боя.</t>
  </si>
  <si>
    <t xml:space="preserve">Тайпан активен; выбранный вид яда уже действует в крови; цель допустима по профильному правилу.</t>
  </si>
  <si>
    <t xml:space="preserve">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</si>
  <si>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предмет или пища получает ссылку на вид яда и профиль его применения.</t>
  </si>
  <si>
    <t xml:space="preserve">Смена вида яда разрешается по SYM-181; до завершения перехода активным остаётся прежний тип. Прямые параметры профиля имеют приоритет.</t>
  </si>
  <si>
    <t xml:space="preserve">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</si>
  <si>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§7.5.2.2.1, §7.5.2.5.1, §7.5.2.8.1, стр. 119–120; ROUND2/Q-APP-002.</t>
  </si>
  <si>
    <t xml:space="preserve">SYM-184</t>
  </si>
  <si>
    <t xml:space="preserve">Совместное действие маскировок Хамелеона</t>
  </si>
  <si>
    <t xml:space="preserve">Обе маскировки одновременно имеют неистёкший срок.</t>
  </si>
  <si>
    <t xml:space="preserve">Каждая маскировка отдельно удовлетворяет своим условиям.</t>
  </si>
  <si>
    <t xml:space="preserve">Оба экземпляра сохраняют собственный срок и условия прекращения, но численно действует только наибольший по модулю применимый штраф к обнаружению после учёта крупного предмета и иных прямых условий. Значения не суммируются. Когда сильнейший эффект прекращается, второй начинает действовать автоматически, если его срок и предусловия ещё сохранены.</t>
  </si>
  <si>
    <t xml:space="preserve">Численно действует один, наибольший по модулю применимый штраф.</t>
  </si>
  <si>
    <t xml:space="preserve">Специальное правило относительно CORE-080.</t>
  </si>
  <si>
    <t xml:space="preserve">Q-QA-008</t>
  </si>
  <si>
    <t xml:space="preserve">Q-QA-008; финальный авторский ответ</t>
  </si>
  <si>
    <t xml:space="preserve">SYM-185</t>
  </si>
  <si>
    <t xml:space="preserve">Единое постоянное наследие Трогра</t>
  </si>
  <si>
    <t xml:space="preserve">Трогр развивается, удаляется или добавляется повторно.</t>
  </si>
  <si>
    <t xml:space="preserve">У персонажа есть либо создаётся наследие Трогра.</t>
  </si>
  <si>
    <t xml:space="preserve">Во-первых, не Трогра, а Трогра. Используй только такой вариант склонения. Для персонажа хранится одно наследие Трогра, раздельно по каждому постоянному правилу. Новый Трогр не прибавляет свой вклад поверх наследия: действует более сильное достигнутое значение, а при дальнейшем развитии записывается только разница до нового максимума. При удалении наследие обновляется до фактически достигнутого значения, а не складывается новым слоем. Уже выданное постоянное повышение навыка SYM-079 повторно не выдаётся; подавление других симбионтов остаётся только активным эффектом текущего Трогра.</t>
  </si>
  <si>
    <t xml:space="preserve">Повторное добавление не создаёт накопления одних и тех же постоянных выгод.</t>
  </si>
  <si>
    <t xml:space="preserve">Непостоянные бонусы, броня, maxHP, способности и подавление в наследие не входят.</t>
  </si>
  <si>
    <t xml:space="preserve">Q-QA-009</t>
  </si>
  <si>
    <t xml:space="preserve">Q-QA-009; финальный авторский ответ</t>
  </si>
  <si>
    <t xml:space="preserve">CORE-075</t>
  </si>
  <si>
    <t xml:space="preserve">Встречная проверка и равенство</t>
  </si>
  <si>
    <t xml:space="preserve">действие требует превысить результат цели.</t>
  </si>
  <si>
    <t xml:space="preserve">цель может и желает выполнять встречную проверку.</t>
  </si>
  <si>
    <t xml:space="preserve">Вне боевой ситуации изменение по-прежнему происходит только при строгом initiatorTotal&gt;opponentTotal; равенство сохраняет положение. В боевой встречной проверке сначала применить CORE-229. Порядок: (1) единственный подтверждённый критический успех выигрывает текущую проверку независимо от итогов и критического провала другой стороны; (2) при двух критических успехах сравниваются только градации; (3) при равных положительных градациях без нового броска пересчитать оба ordinaryTotal из исходных снимков так, как если бы rawFace каждой стороны был равен 20, criticalGrade=0 и подтверждения не было, затем применить строгое сравнение, причём равенство сохраняет защиту/status quo; (4) если положительных критов нет, проверка с подтверждённым критическим провалом автоматически провалена; при критическом провале обеих сторон обе проверки провалены и инициирующее изменение не происходит; (5) если подтверждённых критов нет, применяется обычное строгое сравнение. DefenseChoice=NONE разрешается по CORE-217.
Прогрессия определяется отдельно по собственной грани участника до выбора победителя; проигрыш встречной проверки событие не отменяет.</t>
  </si>
  <si>
    <t xml:space="preserve">winner=INITIATOR|OPPONENT|STATUS_QUO, resolutionMode, ordinaryTotals, criticalGrades.</t>
  </si>
  <si>
    <t xml:space="preserve">конкретное правило может задать фиксированную сложность/автоматический успех.
Локальный прямой автоматический исход конкретной способности сильнее общего порядка; SYM-066 отражает допустимую атаку независимо от её критичности.</t>
  </si>
  <si>
    <t xml:space="preserve">equalPositiveGrade: replayRoll=false; comparisonFaceInitiator=20; comparisonFaceOpponent=20; затем initiatorTotal&gt;opponentTotal.</t>
  </si>
  <si>
    <t xml:space="preserve">Q-PREDEV-002
Q-COMBAT-CRIT-001
Q-SYMBIONT-XP-001</t>
  </si>
  <si>
    <t xml:space="preserve">§5.1, стр. 86; §5.4.6, стр. 102.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</si>
  <si>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CORE-082</t>
  </si>
  <si>
    <t xml:space="preserve">Инициация критической проверки</t>
  </si>
  <si>
    <t xml:space="preserve">В бою: натуральная 20 или натуральная 1 на допускающей критичность проверке — до математического определения успеха. Вне боя: натуральная 20 при обычном успехе либо натуральная 1 при обычном провале.</t>
  </si>
  <si>
    <t xml:space="preserve">Это заранее назначенная значимая проверка действия, атаки, защиты или сопротивления с allowCritical=true. Для боевого override дополнительно combat.active=true.</t>
  </si>
  <si>
    <t xml:space="preserve">Если combat.active=true, allowCritical=true и rawFace=20, запустить положительную цепочку CORE-083 до математического сравнения; если rawFace=1 — отрицательную цепочку CORE-084. Предварительный ordinaryTotal не блокирует подтверждение. Если первая проверка подтверждения не прошла, criticalGrade=0 и натуральная 20/1 разрешается обычной математикой. Вне боевой ситуации сохраняется прежний порядок: подтверждение запускается только для натуральной 20 на уже успешной обычной проверке или натуральной 1 на уже проваленной. Безопасное бессмысленное повторение не считается проверкой. В базовой MONSTER_ATTACK критичность относится только к accuracy-R20.
Натуральная 20 и натуральная 1 оригинального D20 передаются в CORE-230 независимо от подтверждения; подтверждение только определяет eventPoints исходного броска.</t>
  </si>
  <si>
    <t xml:space="preserve">criticalPolarity=SUCCESS|FAILURE|NONE, criticalGrade=0..5, confirmed=true|false либо обычный исход.
confirmationRoll не создаёт самостоятельного symbiontXpEvent.</t>
  </si>
  <si>
    <t xml:space="preserve">Не применяется к урону, пробитию, броне, лечению, длительности, количеству, зоне, инициативе и случайным таблицам; специальный эффект способности на чистой 1/20 действует независимо; создание характеристик имеет исключение CORE-163, случайное получение симбиотического чудовища — CORE-170. SYM-082 является локальным ability override.
NO_DIRECT_BUT_POOL не запускает цепочку критичности и при rawFace 1/20 создаёт 1 балл.</t>
  </si>
  <si>
    <t xml:space="preserve">это проверка действия, атаки, защиты или сопротивления, назначенная мастером до броска и имеющая риск/последствия.</t>
  </si>
  <si>
    <t xml:space="preserve">combat.active: rawFace=20 → confirmSuccessChain; rawFace=1 → confirmFailureChain; trigger не зависит от ordinaryTotal. grade=0 → ordinary resolution.</t>
  </si>
  <si>
    <t xml:space="preserve">Q-ENEMY-B7
Q-COMBAT-CRIT-001
Q-SYMBIONT-XP-001</t>
  </si>
  <si>
    <t xml:space="preserve">§5.2, стр. 87–88.
Прямое уточнение пользователя 2026-07-28 — шаблоны врагов v1.3
Прямое уточнение пользователя 2026-07-29 — боевой приоритет критов
Прямое авторское решение Q-SYMBIONT-XP-001 — опыт симбионтов за natural 20/1, 2026-07-30</t>
  </si>
  <si>
    <t xml:space="preserve">CORE-083</t>
  </si>
  <si>
    <t xml:space="preserve">Критический успех</t>
  </si>
  <si>
    <t xml:space="preserve">CORE-082.</t>
  </si>
  <si>
    <t xml:space="preserve">В бою — допускающая критичность проверка с natural 20 независимо от ordinaryTotal; вне боя — ordinary outcome уже успешен.</t>
  </si>
  <si>
    <t xml:space="preserve">Первый независимый R20 подтверждения 15–20 даёт Crit; каждый следующий подряд 15–20 повышает градацию: Double, Triple, Ultra, максимум Rampage; первый результат вне 15–20 завершает цепь. Неподтверждённая 20 получает grade=0 и остаётся обычным результатом. В бою подтверждённый positive grade передаётся CORE-229 и автоматически успешно разрешает только текущую проверку, если ему не противостоит подтверждённый критический успех другой стороны.
Градация 1..5 назначает eventPoints исходному originRollId; сами подтверждающие броски маршрутизируются NEVER_PROGRESSION.</t>
  </si>
  <si>
    <t xml:space="preserve">confirmed=true, criticalPolarity=SUCCESS, grade=1..5; в бою finalCheckSuccess определяется CORE-229.
Один progression event на исходный D20.</t>
  </si>
  <si>
    <t xml:space="preserve">Автоматический успех относится только к текущей проверке: он не отменяет законность цели, дистанцию, оплату действия/ОЭ/боеприпаса, пробитие, броню, урон и иные независимые этапы. Локальное прямое исключение способности сильнее.</t>
  </si>
  <si>
    <t xml:space="preserve">последовательность независимых R20 подтверждения.</t>
  </si>
  <si>
    <t xml:space="preserve">§5.2–5.2.1, стр. 87–88.
Прямое уточнение пользователя 2026-07-29 — боевой приоритет критов
Прямое авторское решение Q-SYMBIONT-XP-001 — опыт симбионтов за natural 20/1, 2026-07-30</t>
  </si>
  <si>
    <t xml:space="preserve">CORE-084</t>
  </si>
  <si>
    <t xml:space="preserve">Критический провал</t>
  </si>
  <si>
    <t xml:space="preserve">В бою — допускающая критичность проверка с natural 1 независимо от ordinaryTotal; вне боя — ordinary outcome уже провален.</t>
  </si>
  <si>
    <t xml:space="preserve">Первый независимый R20 подтверждения 1–5 даёт Crit; каждый следующий подряд 1–5 повышает градацию до Rampage; первый выход из диапазона завершает цепь. Неподтверждённая 1 получает grade=0 и остаётся обычным результатом. В бою подтверждённый negative grade передаётся CORE-229 и автоматически проваливает только текущую проверку независимо от ordinaryTotal. Если обе стороны встречной проверки получили подтверждённый критический провал, обе проверки провалены и инициирующее изменение не происходит.
Градация 1..5 назначает eventPoints исходному originRollId; сами подтверждающие броски маршрутизируются NEVER_PROGRESSION.</t>
  </si>
  <si>
    <t xml:space="preserve">confirmed=true, criticalPolarity=FAILURE, grade=1..5; в бою finalCheckSuccess=false.
Один progression event на исходный D20.</t>
  </si>
  <si>
    <t xml:space="preserve">Автоматический провал не возвращает уже списанные ресурсы и не отменяет специальные последствия natural 1. SYM-082 может локально заменить свою natural 1 на положительный Crit первой градации.</t>
  </si>
  <si>
    <t xml:space="preserve">последовательность R20.</t>
  </si>
  <si>
    <t xml:space="preserve">CORE-125</t>
  </si>
  <si>
    <t xml:space="preserve">Единый конвейер атаки</t>
  </si>
  <si>
    <t xml:space="preserve">объявление атаки.</t>
  </si>
  <si>
    <t xml:space="preserve">команда допустима и ресурсы доступны.</t>
  </si>
  <si>
    <t xml:space="preserve">Нормативная база (действует во всей непротиворечащей части):
1) объявить всё до бросков; 2) атомарно списать действие, ОЭ, боеприпас и расходники; 3) если нужна активация — проверить; 4) точность должна строго превысить одну выбранную защиту живой цели/сложность неживой; 5) при попадании Pr должен строго превысить броню; 6) определить урон, сопротивления, HP; 7) после фактического урона ровно один раз проверить травму, тяжёлое ранение и прочие последствия. Провал этапа прекращает следующие; ресурсы не возвращаются.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убрать ветку сложности неживой цели; неживой объект недопустим как combat target
До бросков зафиксировать активную версию профиля оружия. Требования, дальность, accuracyBonus, damageDefinition и penetrationDefinition читаются из этого снимка; мастерский patch экземпляра имеет приоритет над шаблонным значением. Результаты runtime-бросков сохраняются только в AttackResolution/боевом журнале.
[v1.3] Источник снимка выбирается по категории: WEAPON_ATTACK фиксирует WeaponProfileVersion; MONSTER_ATTACK — MonsterAttackProfileVersion; SYMBIONT_ATTACK — правило способности. Результаты Runtime хранятся только в AttackResolution и журнале.
[v1.4] Контроллер цели выбирает ровно одну доступную защиту. При отсутствии доступных защит применяется CORE-217. Этап пробития разрешается по CORE-226: NO_LAYERS пропускает любой Pr, включая 0; при PRESENT требуется строго Pr&gt;totalArmor.
[Боевой приоритет критов] На каждом допускающем критичность этапе проверки после броска, но до числового сравнения применить CORE-229. Его результат завершает только текущую проверку/этап. Даже автоматическое попадание не пропускает отдельные этапы пробития, брони, урона и последствий; уже списанные действия, ОЭ, боеприпасы и расходники не возвращаются.
ATTACK/CHECK допускает прямой маршрут при значимой проверке и связанном активном симбионте; событие принадлежит бросившему персонажу и не зависит от победы.</t>
  </si>
  <si>
    <t xml:space="preserve">журнал этапов и конечное состояние.</t>
  </si>
  <si>
    <t xml:space="preserve">прямой урон/игнорирование брони и конкретные последствия провала.
Поздние дельты применяются по приоритету AQ3 &gt; AQ2 &gt; AQA/CQA &gt; базовая карточка; локальное исключение сильнее общего.
CORE-229 не делает критическими runtime-броски урона, пробития и брони; частное прямое защитное исключение, включая SYM-066, сильнее.</t>
  </si>
  <si>
    <t xml:space="preserve">Нормативная база (действует во всей непротиворечащей части):
2) атомарно списать действие, ОЭ, боеприпас и расходники</t>
  </si>
  <si>
    <t xml:space="preserve">команда допустима и ресурсы доступны.
цель, тип, предмет/способность, зона, цена, боеприпас/ОЭ.
2) атомарно списать действие, ОЭ, боеприпас и расходники
6) определить урон, сопротивления, HP
Провал этапа прекращает следующие; ресурсы не возвращаются.</t>
  </si>
  <si>
    <t xml:space="preserve">Q-ENEMY-B5
Q-ENEMY-B6
Q-PREDEV-002
Q-PREDEV-018
Q-COMBAT-CRIT-001
Q-SYMBIONT-XP-001</t>
  </si>
  <si>
    <t xml:space="preserve">§5.4.5.5.3, уточнение стр. 102; §5.4.6–5.4.7, стр. 102–103.
Прямое уточнение пользователя 2026-07-28
Прямое уточнение пользователя 2026-07-28 — шаблоны врагов v1.3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</si>
  <si>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CORE-145</t>
  </si>
  <si>
    <t xml:space="preserve">Защита от стрельбы и дальних способностей</t>
  </si>
  <si>
    <t xml:space="preserve">по цели идёт стрельба/дальняя способность.</t>
  </si>
  <si>
    <t xml:space="preserve">цель способна на активную защиту.</t>
  </si>
  <si>
    <t xml:space="preserve">уклонение: нужен I≥6, R20+D+Молниеносная реакция−10+mods, безлимитно за круг. Блок при щите: R20+(S+D)/2+Владение щитом+Солдат+щитБонус−8+mods, безлимитно; успех при defense≥accuracy.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</si>
  <si>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промах либо CORE-018.
criticalResolution выбранной защиты и исход текущего этапа атаки.</t>
  </si>
  <si>
    <t xml:space="preserve">одна защита на атаку.
Не путать количественный бросок с отдельной значимой проверкой действия.</t>
  </si>
  <si>
    <t xml:space="preserve">уклонение: нужен I≥6, R20+D+Молниеносная реакция−10+mods, безлимитно за круг.</t>
  </si>
  <si>
    <t xml:space="preserve">уклонение: нужен I≥6, R20+D+Молниеносная реакция−10+mods, безлимитно за круг.
Блок при щите: R20+(S+D)/2+Владение щитом+Солдат+щитБонус−8+mods, безлимитно; успех при defense≥accuracy.</t>
  </si>
  <si>
    <t xml:space="preserve">§5.4.6.1, стр. 103.
Прямое уточнение пользователя 2026-07-29 — боевой приоритет критов
Прямое авторское решение Q-SYMBIONT-XP-001 — опыт симбионтов за natural 20/1, 2026-07-30</t>
  </si>
  <si>
    <t xml:space="preserve">CORE-146</t>
  </si>
  <si>
    <t xml:space="preserve">Уклонение и блок в ближнем бою</t>
  </si>
  <si>
    <t xml:space="preserve">атака.</t>
  </si>
  <si>
    <t xml:space="preserve">активная защита разрешена.</t>
  </si>
  <si>
    <t xml:space="preserve">уклонение: I≥3, R20+D+Молниеносная реакция−4+mods, безлимитно. Блок: R20+(S+D)/2+appropriateSkill+mods−3; без щита skill=Рукопашный бой, при успехе сначала обычное пробитие носимой брони, а если пробита — конечный урон /2 с округлением; со щитом skill=Владение щитом плюс Солдат, урон получает щит; безлимитно.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</si>
  <si>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промах/половина урона/износ щита.
criticalResolution выбранной защиты и исход текущего этапа атаки.</t>
  </si>
  <si>
    <t xml:space="preserve">окружение CORE-091.
Не путать количественный бросок с отдельной значимой проверкой действия.</t>
  </si>
  <si>
    <t xml:space="preserve">уклонение: I≥3, R20+D+Молниеносная реакция−4+mods, безлимитно.</t>
  </si>
  <si>
    <t xml:space="preserve">уклонение: I≥3, R20+D+Молниеносная реакция−4+mods, безлимитно.
Блок: R20+(S+D)/2+appropriateSkill+mods−3; без щита skill=Рукопашный бой, при успехе сначала обычное пробитие носимой брони, а если пробита — конечный урон /2 с округлением; со щитом skill=Владение щитом плюс Солдат, урон получает щит; безлимитно.</t>
  </si>
  <si>
    <t xml:space="preserve">§5.4.6.2, стр. 103.
Прямое уточнение пользователя 2026-07-29 — боевой приоритет критов
Прямое авторское решение Q-SYMBIONT-XP-001 — опыт симбионтов за natural 20/1, 2026-07-30</t>
  </si>
  <si>
    <t xml:space="preserve">CORE-149</t>
  </si>
  <si>
    <t xml:space="preserve">Защита от метания и бросания</t>
  </si>
  <si>
    <t xml:space="preserve">соответствующая атака.</t>
  </si>
  <si>
    <t xml:space="preserve">активная защита возможна.</t>
  </si>
  <si>
    <t xml:space="preserve">уклонение I≥4, R20+D+Молниеносная реакция−4+mods, безлимитно; блок R20+(S+D)/2+appropriateSkill−3+mods, безлимитно; без щита при успехе обычная броня, затем половина прошедшего урона; со щитом урон щиту.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</si>
  <si>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защита.
criticalResolution выбранной защиты и исход текущего этапа атаки.</t>
  </si>
  <si>
    <t xml:space="preserve">уклонение I≥4, R20+D+Молниеносная реакция−4+mods, безлимитно; блок R20+(S+D)/2+appropriateSkill−3+mods, безлимитно; без щита при успехе обычная броня, затем половина прошедшего урона; со щитом урон щиту.</t>
  </si>
  <si>
    <t xml:space="preserve">§5.4.6.3, стр. 103.
Прямое уточнение пользователя 2026-07-29 — боевой приоритет критов
Прямое авторское решение Q-SYMBIONT-XP-001 — опыт симбионтов за natural 20/1, 2026-07-30</t>
  </si>
  <si>
    <t xml:space="preserve">CORE-208</t>
  </si>
  <si>
    <t xml:space="preserve">Разрешение базовой атаки монстра</t>
  </si>
  <si>
    <t xml:space="preserve">Мастер объявляет базовую MONSTER_ATTACK.</t>
  </si>
  <si>
    <t xml:space="preserve">Монстр может действовать; есть 1 боевое действие; цель допустима.</t>
  </si>
  <si>
    <t xml:space="preserve">После объявления и атомарного списания 1 действия точность = R20 + D + ситуационные модификаторы. При попадании пробитие = resolve(penetrationDefinition); после успешного пробития урон = S + resolve(additionalDamageDefinition). Навыковые, классовые и оружейные бонусы не применяются; штрафа за отсутствие «Рукопашного боя» нет. Категория не является оружием или рукопашным боем, но имеет тег ближней атаки, поэтому обычные защиты ближнего боя действуют. Критические 1/20 применяются только к accuracy-R20.
[v1.4] Контроллер цели выбирает ровно одну доступную защиту. При отсутствии доступных защит применяется CORE-217. Этап пробития разрешается по CORE-226: NO_LAYERS пропускает любой Pr, включая 0; при PRESENT требуется строго Pr&gt;totalArmor.
[Боевой приоритет критов] Только accuracy-R20 базовой MONSTER_ATTACK проходит CORE-082–084/229 до сравнения с выбранной защитой или DefenseChoice=NONE. Подтверждённый положительный крит может автоматически пройти этап попадания, отрицательный — автоматически проваливает его. Runtime урона, пробития и природной брони не участвуют.
NPC, SentientEnemy, канонические и произвольные монстры имеют actorType≠PLAYER_CHARACTER и всегда маршрутизируются NEVER_PROGRESSION.</t>
  </si>
  <si>
    <t xml:space="preserve">Применён общий CORE-125 с monster-specific формулами и последствиями.</t>
  </si>
  <si>
    <t xml:space="preserve">Runtime урона, пробития и брони критами не являются; специальные эффекты/защиты сохраняют приоритет.
Автоматический успех accuracy не означает автоматического пробития или урона.
Не создавать symbiontXpProgressPoints, unallocatedSymbiontXp или XP симбионтов системному противнику.</t>
  </si>
  <si>
    <t xml:space="preserve">1 боевое действие.</t>
  </si>
  <si>
    <t xml:space="preserve">accuracy=R20+D+situational; penetration=resolve(definition); damage=S+resolve(additionalDamageDefinition).</t>
  </si>
  <si>
    <t xml:space="preserve">Q-ENEMY-B6
Q-ENEMY-B7
Q-PREDEV-002
Q-PREDEV-018
Q-COMBAT-CRIT-001
Q-SYMBIONT-XP-001</t>
  </si>
  <si>
    <t xml:space="preserve">Прямое уточнение пользователя 2026-07-28 — шаблоны врагов v1.3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</si>
  <si>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CORE-230</t>
  </si>
  <si>
    <t xml:space="preserve">Маршрутизация события опыта симбионтов</t>
  </si>
  <si>
    <t xml:space="preserve">Разрешён original D20 персонажа игрока с server-validated rawFace=1|20 в COMBAT или PEACE.</t>
  </si>
  <si>
    <t xml:space="preserve">actorType=PLAYER_CHARACTER; dieType=D20; isOriginalRoll=true; originRollId задан; ручной или автоматический источник валиден.</t>
  </si>
  <si>
    <t xml:space="preserve">1) CORE-233 проверяет idempotency. 2) NEVER_PROGRESSION: не игрок, не original, confirmation/substitution, RANDOM_TABLE/creation, ненатуральный итог или ability-assigned grade без natural face. 3) eventPoints: natural 1/20=1; подтверждённая grade 1..5 заменяет базовую единицу; ability-assigned grade не усиливает. 4) NO_DIRECT_BUT_POOL всегда даёт 1 point. 5) Для значимой direct-eligible проверки построить уникальные active candidates по реально использованным modifierStatCodes; есть кандидаты — DIRECT_SYMBIONT, нет — CHARACTER_PROGRESS_COUNTER. 6) Незначимая direct-eligible проверка — NEVER. Маршруты взаимоисключающие.</t>
  </si>
  <si>
    <t xml:space="preserve">symbiontXpEvent с progressionRoute, eventPoints, selectedSymbiontInstanceId и processingStatus=PENDING; далее SYM-021 или CORE-231.</t>
  </si>
  <si>
    <t xml:space="preserve">NO_DIRECT_BUT_POOL={DAMAGE,PENETRATION,ARMOR,INITIATIVE,HEALING_AMOUNT,DURATION,RADIUS,ZONE_SIZE,QUANTITY,TARGET_COUNT}. NEVER включает confirmation, RANDOM_TABLE, creation, equal-grade substitution, duplicate и формульный 1/20. Проигрыш встречной проверки событие не отменяет.</t>
  </si>
  <si>
    <t xml:space="preserve">Не создаёт действия и не меняет время.</t>
  </si>
  <si>
    <t xml:space="preserve">Не создаёт расхода.</t>
  </si>
  <si>
    <t xml:space="preserve">eventPoints=confirmedGrade∈1..5 ? confirmedGrade : 1; только rawFace∈{1,20}.</t>
  </si>
  <si>
    <t xml:space="preserve">Прямое авторское решение Q-SYMBIONT-XP-001 — опыт симбионтов за natural 20/1, 2026-07-30</t>
  </si>
  <si>
    <t xml:space="preserve">CORE-231</t>
  </si>
  <si>
    <t xml:space="preserve">Конвертация баллов общего счётчика</t>
  </si>
  <si>
    <t xml:space="preserve">CORE-230 вернул CHARACTER_PROGRESS_COUNTER с eventPoints&gt;0.</t>
  </si>
  <si>
    <t xml:space="preserve">0≤symbiontXpProgressPoints≤2; unallocatedSymbiontXp≥0; событие не обработано.</t>
  </si>
  <si>
    <t xml:space="preserve">Атомарно: total=oldProgressPoints+eventPoints; gained=floor(total/3); unallocatedSymbiontXp=oldUnallocatedXP+gained; symbiontXpProgressPoints=total mod 3; status=APPLIED_COUNTER.</t>
  </si>
  <si>
    <t xml:space="preserve">Остаток 0..2 и любое неотрицательное число нераспределённых XP сохраняются постоянно.</t>
  </si>
  <si>
    <t xml:space="preserve">CORE-007 не удваивает points или gained. Отсутствие симбионтов не очищает состояние.</t>
  </si>
  <si>
    <t xml:space="preserve">Автоматически, без действия.</t>
  </si>
  <si>
    <t xml:space="preserve">Нет.</t>
  </si>
  <si>
    <t xml:space="preserve">gained=INT((old+eventPoints)/3); remainder=MOD(old+eventPoints,3).</t>
  </si>
  <si>
    <t xml:space="preserve">CORE-232</t>
  </si>
  <si>
    <t xml:space="preserve">Распределение неназначенного опыта симбионтов</t>
  </si>
  <si>
    <t xml:space="preserve">Команда ALLOCATE_UNASSIGNED_SYMBIONT_XP.</t>
  </si>
  <si>
    <t xml:space="preserve">unallocatedSymbiontXp≥amount≥1; экземпляр принадлежит персонажу, активен и допустим локальными правилами.</t>
  </si>
  <si>
    <t xml:space="preserve">В одной транзакции уменьшить unallocatedSymbiontXp на amount и начислить выбранному симбионту baseXP=amount. Для Вольного CORE-007 даёт finalXP=amount×2 один раз. Игрок может не распределять и копить XP без ограничения.</t>
  </si>
  <si>
    <t xml:space="preserve">unallocatedSymbiontXp уменьшен; XP выбранного симбионта увеличен; audit awardSource=ALLOCATED_UNASSIGNED.</t>
  </si>
  <si>
    <t xml:space="preserve">При отсутствии симбионтов команда недоступна, состояние сохраняется. Taipan/Adviser под запретом не кандидаты; Penguin под Trogr допустим; SYM-055 не является этой командой.</t>
  </si>
  <si>
    <t xml:space="preserve">Служебная мирная команда, не боевое действие.</t>
  </si>
  <si>
    <t xml:space="preserve">Только выбранное число unallocatedSymbiontXp.</t>
  </si>
  <si>
    <t xml:space="preserve">finalXP=amount×(Free?2:1).</t>
  </si>
  <si>
    <t xml:space="preserve">CORE-233</t>
  </si>
  <si>
    <t xml:space="preserve">Дедупликация события опыта по originRollId</t>
  </si>
  <si>
    <t xml:space="preserve">Перед созданием или применением события CORE-230/231/SYM-021.</t>
  </si>
  <si>
    <t xml:space="preserve">originRollId непуст; actorCharacterId и eventType заданы.</t>
  </si>
  <si>
    <t xml:space="preserve">Первое валидное событие получает PENDING и затем один terminal status. Повтор того же ключа получает IGNORED_DUPLICATE и не меняет состояние. REJECTED_INVALID применяется к некорректным данным.</t>
  </si>
  <si>
    <t xml:space="preserve">Допустимые статусы: PENDING, APPLIED_DIRECT, APPLIED_COUNTER, IGNORED_NEVER, IGNORED_DUPLICATE, REJECTED_INVALID.</t>
  </si>
  <si>
    <t xml:space="preserve">Не дедуплицировать отдельный CHARACTERISTIC_PROGRESS CORE-085 тем же eventType; два независимых D20 имеют разные originRollId.</t>
  </si>
  <si>
    <t xml:space="preserve">max(symbiontXpEvent per originRollId)=1.</t>
  </si>
  <si>
    <t xml:space="preserve">Неизменяемое прямое начисление XP мастером</t>
  </si>
  <si>
    <t xml:space="preserve">GM_GRANT_SYMBIONT_XP с конкретным персонажем и xpEligible симбионтом.</t>
  </si>
  <si>
    <t xml:space="preserve">baseXP integer&gt;=1; reason required; awardId unique.</t>
  </si>
  <si>
    <t xml:space="preserve">finalXP=baseXP×(FREE?2:1); только symbiont.xp; counters и 3→1 не используются; commit immutable.</t>
  </si>
  <si>
    <t xml:space="preserve">XP и append-only receipt.</t>
  </si>
  <si>
    <t xml:space="preserve">Нет rollback/delete/negative/compensating operations.</t>
  </si>
  <si>
    <t xml:space="preserve">Служебная команда на safe boundary.</t>
  </si>
  <si>
    <t xml:space="preserve">Нет расхода общего счётчика.</t>
  </si>
  <si>
    <t xml:space="preserve">finalXP=baseXP×multiplier.</t>
  </si>
  <si>
    <t xml:space="preserve">Прямое решение пользователя 2026-08-01.</t>
  </si>
  <si>
    <t xml:space="preserve">AQA-044</t>
  </si>
  <si>
    <t xml:space="preserve">Генератор группы противников</t>
  </si>
  <si>
    <t xml:space="preserve">GENERATE_ENEMY_GROUP в настройке боя.</t>
  </si>
  <si>
    <t xml:space="preserve">Стабильный снимок активной группы игроков; current GM; auditable seed.</t>
  </si>
  <si>
    <t xml:space="preserve">Случайный 80..150%; targetTotal от суммы семи характеристик; ориентир среднего 80; все семь характеристик каждого врага случайны и &lt;=35; sentient+monster; preview before accept.</t>
  </si>
  <si>
    <t xml:space="preserve">Preview либо атомарно принятая группа runtime instances.</t>
  </si>
  <si>
    <t xml:space="preserve">Без combat AI, auto-target, template mutation и hidden clamp.</t>
  </si>
  <si>
    <t xml:space="preserve">Только COMBAT_SETUP.</t>
  </si>
  <si>
    <t xml:space="preserve">Нет игрового ресурса.</t>
  </si>
  <si>
    <t xml:space="preserve">targetTotal=round(partyStatTotal*percent/100).</t>
  </si>
  <si>
    <t xml:space="preserve">Q-ENEMY-B14</t>
  </si>
  <si>
    <t xml:space="preserve">Прямое подтверждение сохранённого требования 2026-08-01.</t>
  </si>
  <si>
    <t xml:space="preserve">Runtime-справочники</t>
  </si>
  <si>
    <t xml:space="preserve">Канонические коды, labels, aliases и границы namespace.</t>
  </si>
  <si>
    <t xml:space="preserve">Dictionary</t>
  </si>
  <si>
    <t xml:space="preserve">Code</t>
  </si>
  <si>
    <t xml:space="preserve">LabelRU</t>
  </si>
  <si>
    <t xml:space="preserve">Meaning</t>
  </si>
  <si>
    <t xml:space="preserve">RuleRef / Note</t>
  </si>
  <si>
    <t xml:space="preserve">Канонический код</t>
  </si>
  <si>
    <t xml:space="preserve">Игровая раса</t>
  </si>
  <si>
    <t xml:space="preserve">PureClass</t>
  </si>
  <si>
    <t xml:space="preserve">Класс Чистого</t>
  </si>
  <si>
    <t xml:space="preserve">SymbiontSpecies</t>
  </si>
  <si>
    <t xml:space="preserve">SymbiontSpeciesAlias</t>
  </si>
  <si>
    <t xml:space="preserve">ADVISOR</t>
  </si>
  <si>
    <t xml:space="preserve">Deprecated compatibility alias → ADVISER</t>
  </si>
  <si>
    <t xml:space="preserve">AbilityContext</t>
  </si>
  <si>
    <t xml:space="preserve">Боевая ситуация</t>
  </si>
  <si>
    <t xml:space="preserve">Боевой контекст; CORE-229 applies</t>
  </si>
  <si>
    <t xml:space="preserve">Мирная ситуация</t>
  </si>
  <si>
    <t xml:space="preserve">Мирный контекст; combat-only critical semantics do not apply</t>
  </si>
  <si>
    <t xml:space="preserve">Автоматизируется</t>
  </si>
  <si>
    <t xml:space="preserve">Executable behavior present</t>
  </si>
  <si>
    <t xml:space="preserve">Только узел дерева</t>
  </si>
  <si>
    <t xml:space="preserve">No executable behavior in this registry</t>
  </si>
  <si>
    <t xml:space="preserve">Готовая паутина</t>
  </si>
  <si>
    <t xml:space="preserve">Service-generated object; not ItemTypeID</t>
  </si>
  <si>
    <t xml:space="preserve">Не объединять автоматически</t>
  </si>
  <si>
    <t xml:space="preserve">Каждая активация создаёт отдельный экземпляр</t>
  </si>
  <si>
    <t xml:space="preserve">StatLayer</t>
  </si>
  <si>
    <t xml:space="preserve">Базовые</t>
  </si>
  <si>
    <t xml:space="preserve">Результат создания</t>
  </si>
  <si>
    <t xml:space="preserve">До симбионтов</t>
  </si>
  <si>
    <t xml:space="preserve">base + race + class</t>
  </si>
  <si>
    <t xml:space="preserve">Эффективные</t>
  </si>
  <si>
    <t xml:space="preserve">После активных постоянных эффектов</t>
  </si>
  <si>
    <t xml:space="preserve">С экипировкой</t>
  </si>
  <si>
    <t xml:space="preserve">После модификаторов экипировки</t>
  </si>
  <si>
    <t xml:space="preserve">ProgressionRoute</t>
  </si>
  <si>
    <t xml:space="preserve">DIRECT_SYMBIONT</t>
  </si>
  <si>
    <t xml:space="preserve">Равновероятно выбрать ровно один подходящий symbiontInstanceId; xp += eventPoints×race.directXpMultiplier.</t>
  </si>
  <si>
    <t xml:space="preserve">SYM-021; CORE-007; USR-2026-07-30-XP-001</t>
  </si>
  <si>
    <t xml:space="preserve">CHARACTER_PROGRESS_COUNTER</t>
  </si>
  <si>
    <t xml:space="preserve">symbiontXpProgressPoints += eventPoints; каждые 3 атомарно конвертируются в 1 unallocatedSymbiontXp, остаток 0..2.</t>
  </si>
  <si>
    <t xml:space="preserve">SYM-021; CORE-085; USR-2026-07-30-XP-001</t>
  </si>
  <si>
    <t xml:space="preserve">NEVER_PROGRESSION</t>
  </si>
  <si>
    <t xml:space="preserve">XP и баллы не изменяются; причина и processingStatus журналируются. Повтор originRollId имеет статус IGNORED_DUPLICATE.</t>
  </si>
  <si>
    <t xml:space="preserve">CORE-229; SYM-021; USR-2026-07-30-XP-001</t>
  </si>
  <si>
    <t xml:space="preserve">XpRollClass</t>
  </si>
  <si>
    <t xml:space="preserve">DIRECT_ELIGIBLE</t>
  </si>
  <si>
    <t xml:space="preserve">Прямой XP возможен</t>
  </si>
  <si>
    <t xml:space="preserve">Значимая проверка с LinkedStatCode; при отсутствии кандидата — counter.</t>
  </si>
  <si>
    <t xml:space="preserve">NO_DIRECT_BUT_POOL</t>
  </si>
  <si>
    <t xml:space="preserve">Только общий счётчик</t>
  </si>
  <si>
    <t xml:space="preserve">Прямой XP запрещён; natural 1/20 даёт баллы.</t>
  </si>
  <si>
    <t xml:space="preserve">Нет прогрессии</t>
  </si>
  <si>
    <t xml:space="preserve">Ни XP, ни баллов.</t>
  </si>
  <si>
    <t xml:space="preserve">RollSource</t>
  </si>
  <si>
    <t xml:space="preserve">AUTO</t>
  </si>
  <si>
    <t xml:space="preserve">Автоматический бросок</t>
  </si>
  <si>
    <t xml:space="preserve">Сервер генерирует rawFace.</t>
  </si>
  <si>
    <t xml:space="preserve">CORE-229; USR-2026-07-30-XP-001</t>
  </si>
  <si>
    <t xml:space="preserve">MANUAL</t>
  </si>
  <si>
    <t xml:space="preserve">Ручной ввод</t>
  </si>
  <si>
    <t xml:space="preserve">Пользователь вводит rawFace; сервер валидирует идентично AUTO.</t>
  </si>
  <si>
    <t xml:space="preserve">XpActorType</t>
  </si>
  <si>
    <t xml:space="preserve">PLAYER_CHARACTER</t>
  </si>
  <si>
    <t xml:space="preserve">Допускает прогрессию.</t>
  </si>
  <si>
    <t xml:space="preserve">NPC</t>
  </si>
  <si>
    <t xml:space="preserve">NO_XP_PROGRESSION.</t>
  </si>
  <si>
    <t xml:space="preserve">CANONICAL_MONSTER</t>
  </si>
  <si>
    <t xml:space="preserve">CUSTOM_MONSTER</t>
  </si>
  <si>
    <t xml:space="preserve">SYSTEM_SENTIENT_ENEMY</t>
  </si>
  <si>
    <t xml:space="preserve">CriticalSource</t>
  </si>
  <si>
    <t xml:space="preserve">NATURAL_FACE</t>
  </si>
  <si>
    <t xml:space="preserve">Источник critical state.</t>
  </si>
  <si>
    <t xml:space="preserve">CONFIRMATION_CHAIN</t>
  </si>
  <si>
    <t xml:space="preserve">ABILITY_OVERRIDE</t>
  </si>
  <si>
    <t xml:space="preserve">EQUAL_GRADE_SUBSTITUTION</t>
  </si>
  <si>
    <t xml:space="preserve">CriticalPolarity</t>
  </si>
  <si>
    <t xml:space="preserve">SUCCESS</t>
  </si>
  <si>
    <t xml:space="preserve">Полярность; SUCCESS и FAILURE используют одинаковую шкалу eventPoints.</t>
  </si>
  <si>
    <t xml:space="preserve">CORE-083; CORE-084; USR-2026-07-30-XP-001</t>
  </si>
  <si>
    <t xml:space="preserve">FAILURE</t>
  </si>
  <si>
    <t xml:space="preserve">XpProcessingStatus</t>
  </si>
  <si>
    <t xml:space="preserve">PENDING</t>
  </si>
  <si>
    <t xml:space="preserve">Статус обработки SymbiontXpEvent.</t>
  </si>
  <si>
    <t xml:space="preserve">APPLIED_DIRECT</t>
  </si>
  <si>
    <t xml:space="preserve">APPLIED_COUNTER</t>
  </si>
  <si>
    <t xml:space="preserve">IGNORED_NEVER</t>
  </si>
  <si>
    <t xml:space="preserve">IGNORED_DUPLICATE</t>
  </si>
  <si>
    <t xml:space="preserve">REJECTED_INVALID</t>
  </si>
  <si>
    <t xml:space="preserve">XpEligibility</t>
  </si>
  <si>
    <t xml:space="preserve">ELIGIBLE</t>
  </si>
  <si>
    <t xml:space="preserve">XP разрешён</t>
  </si>
  <si>
    <t xml:space="preserve">effectsEnabled может отличаться.</t>
  </si>
  <si>
    <t xml:space="preserve">INELIGIBLE</t>
  </si>
  <si>
    <t xml:space="preserve">XP запрещён</t>
  </si>
  <si>
    <t xml:space="preserve">Локальная suppression policy сильнее общего правила.</t>
  </si>
  <si>
    <t xml:space="preserve">XpRollKind</t>
  </si>
  <si>
    <t xml:space="preserve">SIGNIFICANT_CHECK</t>
  </si>
  <si>
    <t xml:space="preserve">CORE-073; CORE-082; SYM-021; USR-2026-07-30-XP-001</t>
  </si>
  <si>
    <t xml:space="preserve">DAMAGE</t>
  </si>
  <si>
    <t xml:space="preserve">SYM-021; CORE-229; USR-2026-07-30-XP-001</t>
  </si>
  <si>
    <t xml:space="preserve">PENETRATION</t>
  </si>
  <si>
    <t xml:space="preserve">ARMOR</t>
  </si>
  <si>
    <t xml:space="preserve">INITIATIVE</t>
  </si>
  <si>
    <t xml:space="preserve">HEALING_AMOUNT</t>
  </si>
  <si>
    <t xml:space="preserve">DURATION</t>
  </si>
  <si>
    <t xml:space="preserve">RADIUS</t>
  </si>
  <si>
    <t xml:space="preserve">ZONE_SIZE</t>
  </si>
  <si>
    <t xml:space="preserve">QUANTITY</t>
  </si>
  <si>
    <t xml:space="preserve">TARGET_COUNT</t>
  </si>
  <si>
    <t xml:space="preserve">RANDOM_TABLE</t>
  </si>
  <si>
    <t xml:space="preserve">XpNeverSource</t>
  </si>
  <si>
    <t xml:space="preserve">rollKind=RANDOM_TABLE</t>
  </si>
  <si>
    <t xml:space="preserve">CRITICAL_CONFIRMATION</t>
  </si>
  <si>
    <t xml:space="preserve">isConfirmationRoll=true</t>
  </si>
  <si>
    <t xml:space="preserve">ABILITY_ASSIGNED_CRITICAL_WITHOUT_NATURAL_FACE</t>
  </si>
  <si>
    <t xml:space="preserve">criticalSource=ABILITY_OVERRIDE и rawFace∉{1,20}</t>
  </si>
  <si>
    <t xml:space="preserve">SYM_082_ABILITY_OVERRIDE_WITHOUT_NATURAL_FACE</t>
  </si>
  <si>
    <t xml:space="preserve">criticalSource=ABILITY_OVERRIDE; sourceRuleId=SYM-082; нет natural 1/20</t>
  </si>
  <si>
    <t xml:space="preserve">SYM-082; SYM-021; USR-2026-07-30-XP-001</t>
  </si>
  <si>
    <t xml:space="preserve">isEqualGradeSubstitution=true</t>
  </si>
  <si>
    <t xml:space="preserve">DUPLICATE_ORIGIN_ROLL</t>
  </si>
  <si>
    <t xml:space="preserve">unique(actorCharacterId,originRollId) уже обработан</t>
  </si>
  <si>
    <t xml:space="preserve">FORMULA_RESULT_WITHOUT_NATURAL_FACE</t>
  </si>
  <si>
    <t xml:space="preserve">итог формулы равен 1/20, но rawFace∉{1,20}</t>
  </si>
  <si>
    <t xml:space="preserve">NON_D20_ROLL</t>
  </si>
  <si>
    <t xml:space="preserve">dieType&lt;&gt;D20 либо формула не содержит оригинального D20</t>
  </si>
  <si>
    <t xml:space="preserve">CheckKind</t>
  </si>
  <si>
    <t xml:space="preserve">ACTION</t>
  </si>
  <si>
    <t xml:space="preserve">Тип значимой/служебной проверки.</t>
  </si>
  <si>
    <t xml:space="preserve">CORE-073; CORE-229; USR-2026-07-30-XP-001</t>
  </si>
  <si>
    <t xml:space="preserve">ATTACK</t>
  </si>
  <si>
    <t xml:space="preserve">DEFENSE</t>
  </si>
  <si>
    <t xml:space="preserve">RESISTANCE</t>
  </si>
  <si>
    <t xml:space="preserve">MEDICAL_CHECK</t>
  </si>
  <si>
    <t xml:space="preserve">OTHER</t>
  </si>
  <si>
    <t xml:space="preserve">DieType</t>
  </si>
  <si>
    <t xml:space="preserve">D20</t>
  </si>
  <si>
    <t xml:space="preserve">Единственный тип дайса, создающий XP event.</t>
  </si>
  <si>
    <t xml:space="preserve">Стандартный XP</t>
  </si>
  <si>
    <t xml:space="preserve">direct/allocated multiplier=1.</t>
  </si>
  <si>
    <t xml:space="preserve">XP Вольного ×2</t>
  </si>
  <si>
    <t xml:space="preserve">direct/allocated multiplier=2; points multiplier=1.</t>
  </si>
  <si>
    <t xml:space="preserve">CORE-007; USR-2026-07-30-XP-001</t>
  </si>
  <si>
    <t xml:space="preserve">Источники, приоритет и хэши</t>
  </si>
  <si>
    <t xml:space="preserve">Хэши прежней линии сохранены как provenance. Поведение v1.1 задаётся прямым решением USR-2026-07-30-XP-001; совместимость исполнения — только по tuple Rules v1.6 | Character-Skills-Symbionts v1.1 | Items v1.5_with_icons | Bestiary v1.3 | Sentient v1.2.</t>
  </si>
  <si>
    <t xml:space="preserve">Source ID</t>
  </si>
  <si>
    <t xml:space="preserve">Файл</t>
  </si>
  <si>
    <t xml:space="preserve">Роль</t>
  </si>
  <si>
    <t xml:space="preserve">Приоритет</t>
  </si>
  <si>
    <t xml:space="preserve">Использование</t>
  </si>
  <si>
    <t xml:space="preserve">SHA-256</t>
  </si>
  <si>
    <t xml:space="preserve">Версия / статус</t>
  </si>
  <si>
    <t xml:space="preserve">SRC-RULES-1.5</t>
  </si>
  <si>
    <t xml:space="preserve">Symbiosis_V7_Executable_Rules_Registry_v1.5.xlsx</t>
  </si>
  <si>
    <t xml:space="preserve">PRIMARY_NORMATIVE</t>
  </si>
  <si>
    <t xml:space="preserve">Характеристики, создание, навыки, симбионты, боевое и runtime-поведение</t>
  </si>
  <si>
    <t xml:space="preserve">20564071c6948331585b118c018c279c3005f107468ecd74e921beac1b3f9096</t>
  </si>
  <si>
    <t xml:space="preserve">v1.5 / approved</t>
  </si>
  <si>
    <t xml:space="preserve">VERIFIED</t>
  </si>
  <si>
    <t xml:space="preserve">SRC-ITEMS-1.4</t>
  </si>
  <si>
    <t xml:space="preserve">Symbiosis_V7_Item_Registry_v1.4_with_icons.xlsx</t>
  </si>
  <si>
    <t xml:space="preserve">Граница ItemTypeID; предметные ссылки; отсутствие WEB_ITEM в каталоге</t>
  </si>
  <si>
    <t xml:space="preserve">678bdb4393cb434f296139dfcaf2c2c8ebb8b5bb2a6dc09263f7549a14481806</t>
  </si>
  <si>
    <t xml:space="preserve">v1.4_with_icons / approved</t>
  </si>
  <si>
    <t xml:space="preserve">SRC-BESTIARY-1.2</t>
  </si>
  <si>
    <t xml:space="preserve">Symbiosis_V7_Canonical_Bestiary_Registry_v1.2.xlsx</t>
  </si>
  <si>
    <t xml:space="preserve">Граница канонических монстров и симбиотических вариантов</t>
  </si>
  <si>
    <t xml:space="preserve">0957d70c0405da3d8c08d4bb9c684802097564613a22fdb634046949db30e7d0</t>
  </si>
  <si>
    <t xml:space="preserve">v1.2 / approved</t>
  </si>
  <si>
    <t xml:space="preserve">SRC-SENTIENT-1.1</t>
  </si>
  <si>
    <t xml:space="preserve">Symbiosis_V7_Default_Sentient_Enemy_Registry_v1.1.xlsx</t>
  </si>
  <si>
    <t xml:space="preserve">Существующие SkillKey, SpeciesKey, 44 payload и 175 learnedNodeRefs</t>
  </si>
  <si>
    <t xml:space="preserve">18117d0d6baefd023c80b3e25b6c0011d873428c6f651f46596f2744127057a0</t>
  </si>
  <si>
    <t xml:space="preserve">v1.1 / approved</t>
  </si>
  <si>
    <t xml:space="preserve">SRC-QA-1.0</t>
  </si>
  <si>
    <t xml:space="preserve">Symbiosis_V7_All_Questions_and_Answers_Registry_v1.0.xlsx</t>
  </si>
  <si>
    <t xml:space="preserve">SECONDARY_CONTEXT</t>
  </si>
  <si>
    <t xml:space="preserve">Решения об автоматизации и мирных командах</t>
  </si>
  <si>
    <t xml:space="preserve">dd1afe86a73895f96576e278e4f747d2fee79f5a09904c46962e43005bab332a</t>
  </si>
  <si>
    <t xml:space="preserve">v1.0 / lower priority</t>
  </si>
  <si>
    <t xml:space="preserve">SRC-RULEBOOK-FALLBACK</t>
  </si>
  <si>
    <t xml:space="preserve">Symbiosis_V7_print_final (2).pdf</t>
  </si>
  <si>
    <t xml:space="preserve">FALLBACK_ONLY</t>
  </si>
  <si>
    <t xml:space="preserve">Только если пяти вышестоящих источников недостаточно; не переопределяет их</t>
  </si>
  <si>
    <t xml:space="preserve">19fd32d2e6e5ffdaddac0ded70c6585067bce1b70b30c6d1d42e824044122989</t>
  </si>
  <si>
    <t xml:space="preserve">approved fallback</t>
  </si>
  <si>
    <t xml:space="preserve">SRC-BASELINE-MANIFEST-1.0</t>
  </si>
  <si>
    <t xml:space="preserve">Symbiosis_V7_Development_Baseline_Manifest_v1.0.xlsx</t>
  </si>
  <si>
    <t xml:space="preserve">INTEGRATION_TARGET</t>
  </si>
  <si>
    <t xml:space="preserve">v1.0 не изменяется; новый реестр предназначен для будущего Manifest v1.1</t>
  </si>
  <si>
    <t xml:space="preserve">92a0d19c72ecbcdf1aab8b7a2a068a194b32179190913660cad6d7cab122a506</t>
  </si>
  <si>
    <t xml:space="preserve">v1.0 / immutable approved baseline</t>
  </si>
  <si>
    <t xml:space="preserve">Прямые ответы пользователя в текущем диалоге</t>
  </si>
  <si>
    <t xml:space="preserve">AUTHORITATIVE_LOCAL_OVERRIDE</t>
  </si>
  <si>
    <t xml:space="preserve">SYM-117/WEB_ITEM: мгновенно, один предмет, без времени/объёма/массы/нагрузки</t>
  </si>
  <si>
    <t xml:space="preserve">2026-07-30 / applied</t>
  </si>
  <si>
    <t xml:space="preserve">USR-2026-07-30-XP-001</t>
  </si>
  <si>
    <t xml:space="preserve">Прямое авторское решение в задании на baseline v1.1</t>
  </si>
  <si>
    <t xml:space="preserve">Натуральные 1/20, обе полярности, общий счётчик, распределение, roll/source policies, player-only boundary</t>
  </si>
  <si>
    <t xml:space="preserve">Канонические runtime-payload v1.2</t>
  </si>
  <si>
    <t xml:space="preserve">1 142 исходных payload сохраняют builtAgainst tuple v1.1. Новые строки 1 143–1 144 — forward-compatible extension tuple v1.2; mixed-version equality не требуется.</t>
  </si>
  <si>
    <t xml:space="preserve">EntityKind</t>
  </si>
  <si>
    <t xml:space="preserve">EntityID</t>
  </si>
  <si>
    <t xml:space="preserve">DisplayName</t>
  </si>
  <si>
    <t xml:space="preserve">Payload JSON</t>
  </si>
  <si>
    <t xml:space="preserve">Payload SHA-256</t>
  </si>
  <si>
    <t xml:space="preserve">DependencyTuple</t>
  </si>
  <si>
    <t xml:space="preserve">QA</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</si>
  <si>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1.","domain":"BASE_CHARACTERISTIC","effectiveMin":1,"idUnique":1,"nameRu":"Сила","order":1,"ruleIds":["CORE-073","CORE-078","CORE-079","CORE-160","CORE-197"],"source":"Rules v1.5; при внутреннем конфликте — более специфичная карточка правила","statCode":"S"}</t>
  </si>
  <si>
    <t xml:space="preserve">ff6622d03d4b9c5f4d82763de1bdaff6f3599099d6ee24ce9741e61d9203b800</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</si>
  <si>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1.","domain":"BASE_CHARACTERISTIC","effectiveMin":1,"idUnique":1,"nameRu":"Ловкость","order":2,"ruleIds":["CORE-073","CORE-078","CORE-079","CORE-160","CORE-197"],"source":"Rules v1.5; при внутреннем конфликте — более специфичная карточка правила","statCode":"D"}</t>
  </si>
  <si>
    <t xml:space="preserve">3a0fe03cd62a09952dd70dc8850e9276e202d6243dd64a358b041b922b409366</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</si>
  <si>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 The higher-priority Rules!Справочники C140 explicitly says «Метаболизм». The lower-priority fallback PDF uses «Выносливость (M)», so the Rules value prevails under the user's stated source-priority rule.","domain":"BASE_CHARACTERISTIC","effectiveMin":1,"idUnique":1,"nameRu":"Метаболизм","order":3,"ruleIds":["CORE-073","CORE-078","CORE-079","CORE-160","CORE-197"],"source":"Rules v1.5; при внутреннем конфликте — более специфичная карточка правила","statCode":"M"}</t>
  </si>
  <si>
    <t xml:space="preserve">0e889cf99dd097308b526b9fbc1830ed1f5d13a031e6ecaba7f3493b75520990</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</si>
  <si>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 Rules!Справочники C141 says «Знания», but CORE-031, CORE-117, CORE-119 and Q-CORE-008 consistently use Z as «Здоровье»; the approved fallback PDF explicitly uses «Здоровье (Z)».","domain":"BASE_CHARACTERISTIC","effectiveMin":1,"idUnique":1,"nameRu":"Здоровье","order":4,"ruleIds":["CORE-031","CORE-073","CORE-078","CORE-079","CORE-160","CORE-197"],"source":"Rules v1.5; при внутреннем конфликте — более специфичная карточка правила","statCode":"Z"}</t>
  </si>
  <si>
    <t xml:space="preserve">f57c0593c328000b3aff863ce1bbaa0ecf895d2a07009afd6a819e00f04685b2</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</si>
  <si>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1.","domain":"BASE_CHARACTERISTIC","effectiveMin":1,"idUnique":1,"nameRu":"Интеллект","order":5,"ruleIds":["CORE-073","CORE-078","CORE-079","CORE-160","CORE-197"],"source":"Rules v1.5; при внутреннем конфликте — более специфичная карточка правила","statCode":"I"}</t>
  </si>
  <si>
    <t xml:space="preserve">68508d03d94d89fad1e903c8364b023d217b231afeeddde6c8bc4e61070b0cca</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</si>
  <si>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 Rules!Справочники C143 says «Воля», but the higher-priority CORE-081 card is titled «Слоты навыков от Мудрости» and the approved fallback PDF explicitly uses «Мудрость (W)» on physical page 105.","domain":"BASE_CHARACTERISTIC","effectiveMin":1,"idUnique":1,"nameRu":"Мудрость","order":6,"ruleIds":["CORE-073","CORE-078","CORE-079","CORE-081","CORE-160","CORE-197"],"source":"Rules v1.5; при внутреннем конфликте — более специфичная карточка правила","statCode":"W"}</t>
  </si>
  <si>
    <t xml:space="preserve">24607bf6fd7b3c7dd00afe0bb4bc4333209b696afced4b00198b875bf37827ed</t>
  </si>
  <si>
    <t xml:space="preserve">{"baseMax":20,"baseMin":1,"cap35Scope":"SENTIENT_BASE_ONLY","description":"Игрок: базовое значение 1..20. Мыслящий противник: базовое значение 1..35. Постоянные и временные изменения применяются послойно; итог не ниже 1.","domain":"BASE_CHARACTERISTIC","effectiveMin":1,"idUnique":1,"nameRu":"Харизма","order":7,"ruleIds":["CORE-073","CORE-078","CORE-079","CORE-160","CORE-197"],"source":"Rules v1.5; при внутреннем конфликте — более специфичная карточка правила","statCode":"C"}</t>
  </si>
  <si>
    <t xml:space="preserve">4e60e263a6bf663cafadc008be4269f369d899b2289fafee585771d31af462a2</t>
  </si>
  <si>
    <t xml:space="preserve">{"allocationXpMultiplier":1,"baseSymbiontSlots":0,"classPolicy":"REQUIRED_PURE_CLASS","counterPointMultiplier":1,"creationRuleIds":["CORE-008","CORE-009","CORE-010","CORE-013"],"directXpMultiplier":1,"grantedSkillRefs":"","idUnique":1,"nameRu":"Чистый","raceCode":"PURE","source":"Rules Registry v1.5","statModifierProfileId":"RACE-MOD-PURE","status":"ACTIVE","symbiontXpPolicy":"STANDARD_XP_AWARD","symbioticMonsterAllowed":false}</t>
  </si>
  <si>
    <t xml:space="preserve">51c5e17eb47d016d39d35b92c6c1baf443633765f40ade8a3edf818218e0f1d3</t>
  </si>
  <si>
    <t xml:space="preserve">{"allocationXpMultiplier":2,"baseSymbiontSlots":1,"classPolicy":"NO_CLASS","counterPointMultiplier":1,"creationRuleIds":["CORE-006","CORE-007"],"directXpMultiplier":2,"grantedSkillRefs":"","idUnique":1,"nameRu":"Вольный","raceCode":"FREE","source":"Rules Registry v1.5","statModifierProfileId":"RACE-MOD-FREE","status":"ACTIVE","symbiontXpPolicy":"XP_AWARD_X2","symbioticMonsterAllowed":false}</t>
  </si>
  <si>
    <t xml:space="preserve">7a2cc30ff7edbe114c911df74df5c7e3cb6acd37b1960d5487903991b1efbdb9</t>
  </si>
  <si>
    <t xml:space="preserve">{"allocationXpMultiplier":1,"baseSymbiontSlots":4,"classPolicy":"NO_CLASS","counterPointMultiplier":1,"creationRuleIds":["CORE-001","CORE-004","CORE-005"],"directXpMultiplier":1,"grantedSkillRefs":"FOLLOWING_PAIN","idUnique":1,"nameRu":"Единый","raceCode":"UNITED","source":"Rules Registry v1.5","statModifierProfileId":"RACE-MOD-UNITED","status":"ACTIVE","symbiontXpPolicy":"STANDARD_XP_AWARD","symbioticMonsterAllowed":true}</t>
  </si>
  <si>
    <t xml:space="preserve">b1737778fe2ea93494dea564ff7129a5b0ab5d3edeb9e593a8d1c641c5bc1cf6</t>
  </si>
  <si>
    <t xml:space="preserve">{"classCode":"SEEKER","contextModifierRefs":"CLASS-MOD-SEEKER-C-VS-PURE; CLASS-MOD-SEEKER-C-VS-UNITED","idUnique":1,"mandatorySkillKey":"PURE_SEEKER","mandatorySkillSlotCost":1,"nameRu":"Искатель","raceCode":"PURE","ruleIds":["CORE-009"],"source":"Rules Registry v1.5","statModifierProfileId":"CLASS-MOD-SEEKER","status":"ACTIVE"}</t>
  </si>
  <si>
    <t xml:space="preserve">528616cf4e8a4d1890ca47a158e5c02c1a569d7ce5524c87183a751e637e675a</t>
  </si>
  <si>
    <t xml:space="preserve">{"classCode":"STALKER","contextModifierRefs":"CLASS-MOD-STALKER-C-VS-PURE; CLASS-MOD-STALKER-C-VS-UNITED","idUnique":1,"mandatorySkillKey":"PURE_STALKER","mandatorySkillSlotCost":1,"nameRu":"Сталкер","raceCode":"PURE","ruleIds":["CORE-010"],"source":"Rules Registry v1.5","statModifierProfileId":"CLASS-MOD-STALKER","status":"ACTIVE"}</t>
  </si>
  <si>
    <t xml:space="preserve">57ad7d374bb1a4566d44d799714d21dc15102f6bc4bf25166dc1883383e5b11c</t>
  </si>
  <si>
    <t xml:space="preserve">{"classCode":"SOLDIER","contextModifierRefs":"CLASS-MOD-SOLDIER-C-VS-PURE; CLASS-MOD-SOLDIER-C-VS-UNITED","idUnique":1,"mandatorySkillKey":"PURE_SOLDIER","mandatorySkillSlotCost":1,"nameRu":"Солдат","raceCode":"PURE","ruleIds":["CORE-013"],"source":"Rules Registry v1.5","statModifierProfileId":"CLASS-MOD-SOLDIER","status":"ACTIVE"}</t>
  </si>
  <si>
    <t xml:space="preserve">f20f0c4b11db3cc68acd206728ae03ded8de9de2b6981357e26e8b4510d9ab6e</t>
  </si>
  <si>
    <t xml:space="preserve">SKILL</t>
  </si>
  <si>
    <t xml:space="preserve">{"bonusDomain":"Удары руками/ногами, блок без щита","category":"SELECTABLE_GENERAL","checkTags":"UNARMED","idUnique":1,"mandatoryClass":"","mandatoryRace":"","maxBonus":"NO_RULED_UPPER_LIMIT","missingSkillPenalty":-5,"nameRu":"Рукопашный бой","ownerScopeAllowed":"PLAYER_HOST; SENTIENT_HOST; ADVISER_IF_GRANTED","ruleIds":["CORE-165","CORE-167"],"skillId":"SKL-001","skillKey":"UNARMED","slotCostMode":"BONUS_LEVEL_FORMULA_CORE-165","sourceQuestionIds":["Q-CORE-024","Q-CORE-051"],"status":"ACTIVE"}</t>
  </si>
  <si>
    <t xml:space="preserve">44461e3239844be6c6b0281f045a38d4d545350d99144de65f0590e6dd883428</t>
  </si>
  <si>
    <t xml:space="preserve">{"bonusDomain":"Борцовские приёмы","category":"SELECTABLE_GENERAL","checkTags":"GRAPPLING","idUnique":1,"mandatoryClass":"","mandatoryRace":"","maxBonus":"NO_RULED_UPPER_LIMIT","missingSkillPenalty":-5,"nameRu":"Борьба","ownerScopeAllowed":"PLAYER_HOST; SENTIENT_HOST; ADVISER_IF_GRANTED","ruleIds":["CORE-165","CORE-167"],"skillId":"SKL-002","skillKey":"GRAPPLING","slotCostMode":"BONUS_LEVEL_FORMULA_CORE-165","sourceQuestionIds":["Q-CORE-024","Q-CORE-051"],"status":"ACTIVE"}</t>
  </si>
  <si>
    <t xml:space="preserve">721fa00a3cf955420b5033c64cbbcb343f3b5bb7cf4bb1aa2943ad28ac7551cf</t>
  </si>
  <si>
    <t xml:space="preserve">{"bonusDomain":"Метание оружия","category":"SELECTABLE_GENERAL","checkTags":"WEAPON_THROWING","idUnique":1,"mandatoryClass":"","mandatoryRace":"","maxBonus":"NO_RULED_UPPER_LIMIT","missingSkillPenalty":-3,"nameRu":"Метание","ownerScopeAllowed":"PLAYER_HOST; SENTIENT_HOST; ADVISER_IF_GRANTED","ruleIds":["CORE-165","CORE-167"],"skillId":"SKL-003","skillKey":"WEAPON_THROWING","slotCostMode":"BONUS_LEVEL_FORMULA_CORE-165","sourceQuestionIds":["Q-CORE-024","Q-CORE-051"],"status":"ACTIVE"}</t>
  </si>
  <si>
    <t xml:space="preserve">a728b2de1092fd445b16ae162558b90ab355e559c7d8637e84f5ddee3dc4cad2</t>
  </si>
  <si>
    <t xml:space="preserve">{"bonusDomain":"Бросание предметов","category":"SELECTABLE_GENERAL","checkTags":"OBJECT_THROWING","idUnique":1,"mandatoryClass":"","mandatoryRace":"","maxBonus":"NO_RULED_UPPER_LIMIT","missingSkillPenalty":-2,"nameRu":"Бросание","ownerScopeAllowed":"PLAYER_HOST; SENTIENT_HOST; ADVISER_IF_GRANTED","ruleIds":["CORE-165","CORE-167"],"skillId":"SKL-004","skillKey":"OBJECT_THROWING","slotCostMode":"BONUS_LEVEL_FORMULA_CORE-165","sourceQuestionIds":["Q-CORE-024","Q-CORE-051"],"status":"ACTIVE"}</t>
  </si>
  <si>
    <t xml:space="preserve">c0683c077ea779e66cd2a4c3e9d7841b4ece635f2cc9770402a4e250bcde0903</t>
  </si>
  <si>
    <t xml:space="preserve">{"bonusDomain":"Точность атак «Стрельба»","category":"SELECTABLE_GENERAL","checkTags":"SHOOTING","idUnique":1,"mandatoryClass":"","mandatoryRace":"","maxBonus":"NO_RULED_UPPER_LIMIT","missingSkillPenalty":null,"nameRu":"Стрельба","ownerScopeAllowed":"PLAYER_HOST; SENTIENT_HOST; ADVISER_IF_GRANTED","ruleIds":["CORE-165","CORE-167"],"skillId":"SKL-005","skillKey":"SHOOTING","slotCostMode":"BONUS_LEVEL_FORMULA_CORE-165","sourceQuestionIds":["Q-CORE-024","Q-CORE-051"],"status":"ACTIVE"}</t>
  </si>
  <si>
    <t xml:space="preserve">75187f531b9fd3aea62e01eebd71c69f2e223b411039e6300ca8f6295b205d46</t>
  </si>
  <si>
    <t xml:space="preserve">{"bonusDomain":"Точность лука","category":"SELECTABLE_GENERAL","checkTags":"ARCHERY","idUnique":1,"mandatoryClass":"","mandatoryRace":"","maxBonus":"NO_RULED_UPPER_LIMIT","missingSkillPenalty":-5,"nameRu":"Стрельба из лука","ownerScopeAllowed":"PLAYER_HOST; SENTIENT_HOST; ADVISER_IF_GRANTED","ruleIds":["CORE-165","CORE-167"],"skillId":"SKL-006","skillKey":"ARCHERY","slotCostMode":"BONUS_LEVEL_FORMULA_CORE-165","sourceQuestionIds":["Q-CORE-024","Q-CORE-051"],"status":"ACTIVE"}</t>
  </si>
  <si>
    <t xml:space="preserve">be74cf10c33d0319930e42d4c4212d37485815adb1ea267d71e83ba0be2d0b15</t>
  </si>
  <si>
    <t xml:space="preserve">{"bonusDomain":"Урон/точность грубого оружия и тяжёлых подручных средств","category":"SELECTABLE_GENERAL","checkTags":"GROSS","idUnique":1,"mandatoryClass":"","mandatoryRace":"","maxBonus":"NO_RULED_UPPER_LIMIT","missingSkillPenalty":-3,"nameRu":"Владение грубым оружием","ownerScopeAllowed":"PLAYER_HOST; SENTIENT_HOST; ADVISER_IF_GRANTED","ruleIds":["CORE-165","CORE-167"],"skillId":"SKL-007","skillKey":"GROSS","slotCostMode":"BONUS_LEVEL_FORMULA_CORE-165","sourceQuestionIds":["Q-CORE-024","Q-CORE-051"],"status":"ACTIVE"}</t>
  </si>
  <si>
    <t xml:space="preserve">433571971c681609babc696d99f0d5f6b20a5ab8d8e93c909dafbee0f82023fd</t>
  </si>
  <si>
    <t xml:space="preserve">{"bonusDomain":"Урон/точность длинного клинкового, парирование","category":"SELECTABLE_GENERAL","checkTags":"FENCING","idUnique":1,"mandatoryClass":"","mandatoryRace":"","maxBonus":"NO_RULED_UPPER_LIMIT","missingSkillPenalty":-5,"nameRu":"Фехтование","ownerScopeAllowed":"PLAYER_HOST; SENTIENT_HOST; ADVISER_IF_GRANTED","ruleIds":["CORE-165","CORE-167"],"skillId":"SKL-008","skillKey":"FENCING","slotCostMode":"BONUS_LEVEL_FORMULA_CORE-165","sourceQuestionIds":["Q-CORE-024","Q-CORE-051"],"status":"ACTIVE"}</t>
  </si>
  <si>
    <t xml:space="preserve">bddf45d66c917d16d107f77f5b1a7800855320eadd423099bdc46452d716341e</t>
  </si>
  <si>
    <t xml:space="preserve">{"bonusDomain":"Урон/точность копья","category":"SELECTABLE_GENERAL","checkTags":"SPEAR","idUnique":1,"mandatoryClass":"","mandatoryRace":"","maxBonus":"NO_RULED_UPPER_LIMIT","missingSkillPenalty":-2,"nameRu":"Владение копьём","ownerScopeAllowed":"PLAYER_HOST; SENTIENT_HOST; ADVISER_IF_GRANTED","ruleIds":["CORE-165","CORE-167"],"skillId":"SKL-009","skillKey":"SPEAR","slotCostMode":"BONUS_LEVEL_FORMULA_CORE-165","sourceQuestionIds":["Q-CORE-024","Q-CORE-051"],"status":"ACTIVE"}</t>
  </si>
  <si>
    <t xml:space="preserve">78c41d5d46c008b8bcf06d881de016b12c322aaeea5e02f0e7e783d01705f17d</t>
  </si>
  <si>
    <t xml:space="preserve">{"bonusDomain":"Урон/точность короткого клинкового, его метание, сходные предметы","category":"SELECTABLE_GENERAL","checkTags":"SHORT","idUnique":1,"mandatoryClass":"","mandatoryRace":"","maxBonus":"NO_RULED_UPPER_LIMIT","missingSkillPenalty":-5,"nameRu":"Владение коротким оружием","ownerScopeAllowed":"PLAYER_HOST; SENTIENT_HOST; ADVISER_IF_GRANTED","ruleIds":["CORE-165","CORE-167"],"skillId":"SKL-010","skillKey":"SHORT","slotCostMode":"BONUS_LEVEL_FORMULA_CORE-165","sourceQuestionIds":["Q-CORE-024","Q-CORE-051"],"status":"ACTIVE"}</t>
  </si>
  <si>
    <t xml:space="preserve">1155f9f43940de89fd996f8597f5cc5a5d3e69be4b6b508a9dd669b36bbf7191</t>
  </si>
  <si>
    <t xml:space="preserve">{"bonusDomain":"Урон/точность топоров","category":"SELECTABLE_GENERAL","checkTags":"AXES","idUnique":1,"mandatoryClass":"","mandatoryRace":"","maxBonus":"NO_RULED_UPPER_LIMIT","missingSkillPenalty":-5,"nameRu":"Владение топорами","ownerScopeAllowed":"PLAYER_HOST; SENTIENT_HOST; ADVISER_IF_GRANTED","ruleIds":["CORE-165","CORE-167"],"skillId":"SKL-011","skillKey":"AXES","slotCostMode":"BONUS_LEVEL_FORMULA_CORE-165","sourceQuestionIds":["Q-CORE-024","Q-CORE-051"],"status":"ACTIVE"}</t>
  </si>
  <si>
    <t xml:space="preserve">988e22beb70553ecb7871da205ff0e6466aaeb3d14e8dab454772d6c10ca5439</t>
  </si>
  <si>
    <t xml:space="preserve">{"bonusDomain":"Урон/точность щитом и блок щитом","category":"SELECTABLE_GENERAL","checkTags":"SHIELD","idUnique":1,"mandatoryClass":"","mandatoryRace":"","maxBonus":"NO_RULED_UPPER_LIMIT","missingSkillPenalty":-5,"nameRu":"Владение щитом","ownerScopeAllowed":"PLAYER_HOST; SENTIENT_HOST; ADVISER_IF_GRANTED","ruleIds":["CORE-165","CORE-167"],"skillId":"SKL-012","skillKey":"SHIELD","slotCostMode":"BONUS_LEVEL_FORMULA_CORE-165","sourceQuestionIds":["Q-CORE-024","Q-CORE-051"],"status":"ACTIVE"}</t>
  </si>
  <si>
    <t xml:space="preserve">0462b01c508e763e82e020770710d595fb526a98b3bbc07e2f1ee45f60be7d3a</t>
  </si>
  <si>
    <t xml:space="preserve">{"bonusDomain":"Управление скакуном; небоевое разрешение исключено","category":"SELECTABLE_GENERAL","checkTags":"RIDING","idUnique":1,"mandatoryClass":"","mandatoryRace":"","maxBonus":"NO_RULED_UPPER_LIMIT","missingSkillPenalty":-5,"nameRu":"Наездник","ownerScopeAllowed":"PLAYER_HOST; SENTIENT_HOST; ADVISER_IF_GRANTED","ruleIds":["CORE-165","CORE-167"],"skillId":"SKL-013","skillKey":"RIDING","slotCostMode":"BONUS_LEVEL_FORMULA_CORE-165","sourceQuestionIds":["Q-CORE-024","Q-CORE-051"],"status":"ACTIVE"}</t>
  </si>
  <si>
    <t xml:space="preserve">ec494f12274a52999a66797035ac9e577e02b43dfb3e0ef93152c3f79389223a</t>
  </si>
  <si>
    <t xml:space="preserve">{"bonusDomain":"Маскировка, сокрытие, схроны, скрытые перемещения; разрешение исключено","category":"SELECTABLE_GENERAL","checkTags":"STEALTH","idUnique":1,"mandatoryClass":"","mandatoryRace":"","maxBonus":"NO_RULED_UPPER_LIMIT","missingSkillPenalty":null,"nameRu":"Скрытность","ownerScopeAllowed":"PLAYER_HOST; SENTIENT_HOST; ADVISER_IF_GRANTED","ruleIds":["CORE-165","CORE-167"],"skillId":"SKL-014","skillKey":"STEALTH","slotCostMode":"BONUS_LEVEL_FORMULA_CORE-165","sourceQuestionIds":["Q-CORE-024","Q-CORE-051"],"status":"ACTIVE"}</t>
  </si>
  <si>
    <t xml:space="preserve">743a21ff499696fb36058cc8a0593e9a23e6e7e3ed1db424b964a44e7960471f</t>
  </si>
  <si>
    <t xml:space="preserve">{"bonusDomain":"Кражи, замки, обыск, городская маскировка; разрешение исключено","category":"SELECTABLE_GENERAL","checkTags":"THIEVERY","idUnique":1,"mandatoryClass":"","mandatoryRace":"","maxBonus":"NO_RULED_UPPER_LIMIT","missingSkillPenalty":null,"nameRu":"Вор","ownerScopeAllowed":"PLAYER_HOST; SENTIENT_HOST; ADVISER_IF_GRANTED","ruleIds":["CORE-165","CORE-167"],"skillId":"SKL-015","skillKey":"THIEVERY","slotCostMode":"BONUS_LEVEL_FORMULA_CORE-165","sourceQuestionIds":["Q-CORE-024","Q-CORE-051"],"status":"ACTIVE"}</t>
  </si>
  <si>
    <t xml:space="preserve">8e4f9e1c8170c63ec830ff2e250aa94262f24b514ef0ccdf8d86630bc6f2c29e</t>
  </si>
  <si>
    <t xml:space="preserve">{"bonusDomain":"Лазание, прыжки, кувырки, сложные маршруты, паркур","category":"SELECTABLE_GENERAL","checkTags":"ACROBATICS","idUnique":1,"mandatoryClass":"","mandatoryRace":"","maxBonus":"NO_RULED_UPPER_LIMIT","missingSkillPenalty":null,"nameRu":"Акробатика","ownerScopeAllowed":"PLAYER_HOST; SENTIENT_HOST; ADVISER_IF_GRANTED","ruleIds":["CORE-165","CORE-167"],"skillId":"SKL-016","skillKey":"ACROBATICS","slotCostMode":"BONUS_LEVEL_FORMULA_CORE-165","sourceQuestionIds":["Q-CORE-024","Q-CORE-051"],"status":"ACTIVE"}</t>
  </si>
  <si>
    <t xml:space="preserve">948c2dc9d1552611f625cda64488a8170ece6170a703d3cfdf2a5cea69562856</t>
  </si>
  <si>
    <t xml:space="preserve">{"bonusDomain":"Маршрут/путь/картина вслепую; разрешение исключено","category":"SELECTABLE_GENERAL","checkTags":"ORIENTATION","idUnique":1,"mandatoryClass":"","mandatoryRace":"","maxBonus":"NO_RULED_UPPER_LIMIT","missingSkillPenalty":null,"nameRu":"Ориентирование","ownerScopeAllowed":"PLAYER_HOST; SENTIENT_HOST; ADVISER_IF_GRANTED","ruleIds":["CORE-165","CORE-167"],"skillId":"SKL-017","skillKey":"ORIENTATION","slotCostMode":"BONUS_LEVEL_FORMULA_CORE-165","sourceQuestionIds":["Q-CORE-024","Q-CORE-051"],"status":"ACTIVE"}</t>
  </si>
  <si>
    <t xml:space="preserve">fdfc252f36691c8795bf9715b4f36c5b68d51059d85439b9a1d3be9ef7982f11</t>
  </si>
  <si>
    <t xml:space="preserve">{"bonusDomain":"Обучение навыку; разрешение исключено","category":"SELECTABLE_GENERAL","checkTags":"LEARNING","idUnique":1,"mandatoryClass":"","mandatoryRace":"","maxBonus":"NO_RULED_UPPER_LIMIT","missingSkillPenalty":null,"nameRu":"Ученик","ownerScopeAllowed":"PLAYER_HOST; SENTIENT_HOST; ADVISER_IF_GRANTED","ruleIds":["CORE-165","CORE-167"],"skillId":"SKL-018","skillKey":"LEARNING","slotCostMode":"BONUS_LEVEL_FORMULA_CORE-165","sourceQuestionIds":["Q-CORE-024","Q-CORE-051"],"status":"ACTIVE"}</t>
  </si>
  <si>
    <t xml:space="preserve">74880ea1ccab1073fab2eba9b7f0843fee14e0c8647cfd09d854b7900e1cf8ce</t>
  </si>
  <si>
    <t xml:space="preserve">{"bonusDomain":"Обучение/объяснение; разрешение исключено","category":"SELECTABLE_GENERAL","checkTags":"TEACHING","idUnique":1,"mandatoryClass":"","mandatoryRace":"","maxBonus":"NO_RULED_UPPER_LIMIT","missingSkillPenalty":null,"nameRu":"Учитель","ownerScopeAllowed":"PLAYER_HOST; SENTIENT_HOST; ADVISER_IF_GRANTED","ruleIds":["CORE-165","CORE-167"],"skillId":"SKL-019","skillKey":"TEACHING","slotCostMode":"BONUS_LEVEL_FORMULA_CORE-165","sourceQuestionIds":["Q-CORE-024","Q-CORE-051"],"status":"ACTIVE"}</t>
  </si>
  <si>
    <t xml:space="preserve">2b3cc2826996740e9089ec985ea23dbf99d4a3f3e094a1e504603e03642f9b38</t>
  </si>
  <si>
    <t xml:space="preserve">{"bonusDomain":"Можно выбрать и хранить; создание предметов приложением не исполняется","category":"SELECTABLE_GENERAL","checkTags":"CRAFT","idUnique":1,"mandatoryClass":"","mandatoryRace":"","maxBonus":"NO_RULED_UPPER_LIMIT","missingSkillPenalty":-5,"nameRu":"Крафт","ownerScopeAllowed":"PLAYER_HOST; SENTIENT_HOST; ADVISER_IF_GRANTED","ruleIds":["CORE-165","CORE-167"],"skillId":"SKL-020","skillKey":"CRAFT","slotCostMode":"BONUS_LEVEL_FORMULA_CORE-165","sourceQuestionIds":["Q-CORE-024","Q-CORE-051"],"status":"ACTIVE"}</t>
  </si>
  <si>
    <t xml:space="preserve">64ba78456633b5b39246479f013e915accd1be4d44846f3ef0e8e43bba3e1646</t>
  </si>
  <si>
    <t xml:space="preserve">{"bonusDomain":"Ремонт","category":"SELECTABLE_GENERAL","checkTags":"REPAIR","idUnique":1,"mandatoryClass":"","mandatoryRace":"","maxBonus":"NO_RULED_UPPER_LIMIT","missingSkillPenalty":-5,"nameRu":"Ремонт","ownerScopeAllowed":"PLAYER_HOST; SENTIENT_HOST; ADVISER_IF_GRANTED","ruleIds":["CORE-165","CORE-167"],"skillId":"SKL-021","skillKey":"REPAIR","slotCostMode":"BONUS_LEVEL_FORMULA_CORE-165","sourceQuestionIds":["Q-CORE-024","Q-CORE-051"],"status":"ACTIVE"}</t>
  </si>
  <si>
    <t xml:space="preserve">ec223fc784cb2d2c1899955f367cdf64a1c69e641452ff92db396b2dee73b11c</t>
  </si>
  <si>
    <t xml:space="preserve">{"bonusDomain":"Следы/направление/обнаружение; небоевое разрешение исключено","category":"SELECTABLE_GENERAL","checkTags":"TRACKING","idUnique":1,"mandatoryClass":"","mandatoryRace":"","maxBonus":"NO_RULED_UPPER_LIMIT","missingSkillPenalty":null,"nameRu":"Выслеживание","ownerScopeAllowed":"PLAYER_HOST; SENTIENT_HOST; ADVISER_IF_GRANTED","ruleIds":["CORE-165","CORE-167"],"skillId":"SKL-022","skillKey":"TRACKING","slotCostMode":"BONUS_LEVEL_FORMULA_CORE-165","sourceQuestionIds":["Q-CORE-024","Q-CORE-051"],"status":"ACTIVE"}</t>
  </si>
  <si>
    <t xml:space="preserve">70aec10948b6216c5d30eeeda3bcabb356eecddcf2d9ec4092a2662c67f9c560</t>
  </si>
  <si>
    <t xml:space="preserve">{"bonusDomain":"Сбор информации, обнаружение, память; небоевое разрешение исключено","category":"SELECTABLE_GENERAL","checkTags":"AWARENESS","idUnique":1,"mandatoryClass":"","mandatoryRace":"","maxBonus":"NO_RULED_UPPER_LIMIT","missingSkillPenalty":null,"nameRu":"Внимательность","ownerScopeAllowed":"PLAYER_HOST; SENTIENT_HOST; ADVISER_IF_GRANTED","ruleIds":["CORE-165","CORE-167"],"skillId":"SKL-023","skillKey":"AWARENESS","slotCostMode":"BONUS_LEVEL_FORMULA_CORE-165","sourceQuestionIds":["Q-CORE-024","Q-CORE-051"],"status":"ACTIVE"}</t>
  </si>
  <si>
    <t xml:space="preserve">529c60bcbbc84a9b263d36cb8bef8a3ddbc4c533d6d88b9a37febba9dc952745</t>
  </si>
  <si>
    <t xml:space="preserve">{"bonusDomain":"Анализ, упреждающий удар; социальное сопротивление исключено","category":"SELECTABLE_GENERAL","checkTags":"ANALYTICAL_THINKING","idUnique":1,"mandatoryClass":"","mandatoryRace":"","maxBonus":"NO_RULED_UPPER_LIMIT","missingSkillPenalty":null,"nameRu":"Аналитическое мышление","ownerScopeAllowed":"PLAYER_HOST; SENTIENT_HOST; ADVISER_IF_GRANTED","ruleIds":["CORE-165","CORE-167"],"skillId":"SKL-024","skillKey":"ANALYTICAL_THINKING","slotCostMode":"BONUS_LEVEL_FORMULA_CORE-165","sourceQuestionIds":["Q-CORE-024","Q-CORE-051"],"status":"ACTIVE"}</t>
  </si>
  <si>
    <t xml:space="preserve">973313e3e5c84a9dcb187c1feec35846481a274a4cb67fb243880b2f43a8ef7b</t>
  </si>
  <si>
    <t xml:space="preserve">{"bonusDomain":"Новое/улучшение/новое применение; разрешение исключено","category":"SELECTABLE_GENERAL","checkTags":"INVENTION","idUnique":1,"mandatoryClass":"","mandatoryRace":"","maxBonus":"NO_RULED_UPPER_LIMIT","missingSkillPenalty":null,"nameRu":"Изобретательство","ownerScopeAllowed":"PLAYER_HOST; SENTIENT_HOST; ADVISER_IF_GRANTED","ruleIds":["CORE-165","CORE-167"],"skillId":"SKL-025","skillKey":"INVENTION","slotCostMode":"BONUS_LEVEL_FORMULA_CORE-165","sourceQuestionIds":["Q-CORE-024","Q-CORE-051"],"status":"ACTIVE"}</t>
  </si>
  <si>
    <t xml:space="preserve">36e2c299ad0a410aa10a3e898ad56e8f7a9fd12353ea5eafcea37cec1a24973b</t>
  </si>
  <si>
    <t xml:space="preserve">{"bonusDomain":"Грамотность; Единый/Вольный с W&lt;8 без навыка неграмотен","category":"SELECTABLE_GENERAL","checkTags":"LITERACY","idUnique":1,"mandatoryClass":"","mandatoryRace":"","maxBonus":"NO_RULED_UPPER_LIMIT","missingSkillPenalty":null,"nameRu":"Письмо и чтение","ownerScopeAllowed":"PLAYER_HOST; SENTIENT_HOST; ADVISER_IF_GRANTED","ruleIds":["CORE-165","CORE-167"],"skillId":"SKL-026","skillKey":"LITERACY","slotCostMode":"BONUS_LEVEL_FORMULA_CORE-165","sourceQuestionIds":["Q-CORE-024","Q-CORE-051"],"status":"ACTIVE"}</t>
  </si>
  <si>
    <t xml:space="preserve">3b72d67ba43c4629ad046a5189355079ed7c6a467b9b54cbcc29139997320802</t>
  </si>
  <si>
    <t xml:space="preserve">{"bonusDomain":"Социальное; разрешение исключено","category":"SELECTABLE_GENERAL","checkTags":"SEDUCTION","idUnique":1,"mandatoryClass":"","mandatoryRace":"","maxBonus":"NO_RULED_UPPER_LIMIT","missingSkillPenalty":null,"nameRu":"Соблазнение","ownerScopeAllowed":"PLAYER_HOST; SENTIENT_HOST; ADVISER_IF_GRANTED","ruleIds":["CORE-165","CORE-167"],"skillId":"SKL-027","skillKey":"SEDUCTION","slotCostMode":"BONUS_LEVEL_FORMULA_CORE-165","sourceQuestionIds":["Q-CORE-024","Q-CORE-051"],"status":"ACTIVE"}</t>
  </si>
  <si>
    <t xml:space="preserve">36adadd7fb5d6fcee75878884453fd1a743b160cd04b6dc32e8d69fd89725aec</t>
  </si>
  <si>
    <t xml:space="preserve">{"bonusDomain":"Социальное; разрешение исключено","category":"SELECTABLE_GENERAL","checkTags":"DECEPTION","idUnique":1,"mandatoryClass":"","mandatoryRace":"","maxBonus":"NO_RULED_UPPER_LIMIT","missingSkillPenalty":null,"nameRu":"Обман","ownerScopeAllowed":"PLAYER_HOST; SENTIENT_HOST; ADVISER_IF_GRANTED","ruleIds":["CORE-165","CORE-167"],"skillId":"SKL-028","skillKey":"DECEPTION","slotCostMode":"BONUS_LEVEL_FORMULA_CORE-165","sourceQuestionIds":["Q-CORE-024","Q-CORE-051"],"status":"ACTIVE"}</t>
  </si>
  <si>
    <t xml:space="preserve">d6321b460fe69728ab79867d3e1dc4a972824382075108c1ad6ea075ae8c199d</t>
  </si>
  <si>
    <t xml:space="preserve">{"bonusDomain":"Социальное; разрешение исключено","category":"SELECTABLE_GENERAL","checkTags":"ACTING","idUnique":1,"mandatoryClass":"","mandatoryRace":"","maxBonus":"NO_RULED_UPPER_LIMIT","missingSkillPenalty":null,"nameRu":"Актёрское мастерство","ownerScopeAllowed":"PLAYER_HOST; SENTIENT_HOST; ADVISER_IF_GRANTED","ruleIds":["CORE-165","CORE-167"],"skillId":"SKL-029","skillKey":"ACTING","slotCostMode":"BONUS_LEVEL_FORMULA_CORE-165","sourceQuestionIds":["Q-CORE-024","Q-CORE-051"],"status":"ACTIVE"}</t>
  </si>
  <si>
    <t xml:space="preserve">4961a53ca8f919e0a07a1809f10240500cb74335a74a8ae237122bdfd8fda132</t>
  </si>
  <si>
    <t xml:space="preserve">{"bonusDomain":"Социальное; разрешение исключено","category":"SELECTABLE_GENERAL","checkTags":"BARGAINING","idUnique":1,"mandatoryClass":"","mandatoryRace":"","maxBonus":"NO_RULED_UPPER_LIMIT","missingSkillPenalty":null,"nameRu":"Торг","ownerScopeAllowed":"PLAYER_HOST; SENTIENT_HOST; ADVISER_IF_GRANTED","ruleIds":["CORE-165","CORE-167"],"skillId":"SKL-030","skillKey":"BARGAINING","slotCostMode":"BONUS_LEVEL_FORMULA_CORE-165","sourceQuestionIds":["Q-CORE-024","Q-CORE-051"],"status":"ACTIVE"}</t>
  </si>
  <si>
    <t xml:space="preserve">716fed727d4732afb4c69dae8e5262d34a8699eff50dbcb87360fca226459789</t>
  </si>
  <si>
    <t xml:space="preserve">{"bonusDomain":"Запугивание/допрос/пытки/связывание; разрешение исключено","category":"SELECTABLE_GENERAL","checkTags":"EXECUTIONER","idUnique":1,"mandatoryClass":"","mandatoryRace":"","maxBonus":"NO_RULED_UPPER_LIMIT","missingSkillPenalty":null,"nameRu":"Палач","ownerScopeAllowed":"PLAYER_HOST; SENTIENT_HOST; ADVISER_IF_GRANTED","ruleIds":["CORE-165","CORE-167"],"skillId":"SKL-031","skillKey":"EXECUTIONER","slotCostMode":"BONUS_LEVEL_FORMULA_CORE-165","sourceQuestionIds":["Q-CORE-024","Q-CORE-051"],"status":"ACTIVE"}</t>
  </si>
  <si>
    <t xml:space="preserve">aee72b45dd6f34b45c756defb0004c3c0bec1180301d0a0ae998097ff56ca5b5</t>
  </si>
  <si>
    <t xml:space="preserve">{"bonusDomain":"Небоевые действия/маскировка; разрешение исключено","category":"SELECTABLE_GENERAL","checkTags":"WILDERNESS_SURVIVAL","idUnique":1,"mandatoryClass":"","mandatoryRace":"","maxBonus":"NO_RULED_UPPER_LIMIT","missingSkillPenalty":null,"nameRu":"Выживание в дикой природе","ownerScopeAllowed":"PLAYER_HOST; SENTIENT_HOST; ADVISER_IF_GRANTED","ruleIds":["CORE-165","CORE-167"],"skillId":"SKL-032","skillKey":"WILDERNESS_SURVIVAL","slotCostMode":"BONUS_LEVEL_FORMULA_CORE-165","sourceQuestionIds":["Q-CORE-024","Q-CORE-051"],"status":"ACTIVE"}</t>
  </si>
  <si>
    <t xml:space="preserve">7572ad1906ab24541d7b497f9e8d7961e95d10089a163e6ec92b9369bd4c0fa9</t>
  </si>
  <si>
    <t xml:space="preserve">{"bonusDomain":"Реакция на нападение и уклонение","category":"SELECTABLE_GENERAL","checkTags":"LIGHTNING_REACTION","idUnique":1,"mandatoryClass":"","mandatoryRace":"","maxBonus":"NO_RULED_UPPER_LIMIT","missingSkillPenalty":null,"nameRu":"Молниеносная реакция","ownerScopeAllowed":"PLAYER_HOST; SENTIENT_HOST; ADVISER_IF_GRANTED","ruleIds":["CORE-165","CORE-167"],"skillId":"SKL-033","skillKey":"LIGHTNING_REACTION","slotCostMode":"BONUS_LEVEL_FORMULA_CORE-165","sourceQuestionIds":["Q-CORE-024","Q-CORE-051"],"status":"ACTIVE"}</t>
  </si>
  <si>
    <t xml:space="preserve">6575a202d26c9430d54514f9599d31b963a304cea74997dadb007da7065500a3</t>
  </si>
  <si>
    <t xml:space="preserve">{"bonusDomain":"Сложная техника; небоевое разрешение исключено","category":"SELECTABLE_GENERAL","checkTags":"VEHICLE_OPERATION","idUnique":1,"mandatoryClass":"","mandatoryRace":"","maxBonus":"NO_RULED_UPPER_LIMIT","missingSkillPenalty":null,"nameRu":"Управление техникой","ownerScopeAllowed":"PLAYER_HOST; SENTIENT_HOST; ADVISER_IF_GRANTED","ruleIds":["CORE-165","CORE-167"],"skillId":"SKL-034","skillKey":"VEHICLE_OPERATION","slotCostMode":"BONUS_LEVEL_FORMULA_CORE-165","sourceQuestionIds":["Q-CORE-024","Q-CORE-051"],"status":"ACTIVE"}</t>
  </si>
  <si>
    <t xml:space="preserve">c0c6e6c99f45654d59a6119eada7f438053fc1750efe275b412c708a839d1ee6</t>
  </si>
  <si>
    <t xml:space="preserve">{"bonusDomain":"Сопротивление болезням и ядам","category":"SELECTABLE_GENERAL","checkTags":"HEALTHY_LIFESTYLE","idUnique":1,"mandatoryClass":"","mandatoryRace":"","maxBonus":"NO_RULED_UPPER_LIMIT","missingSkillPenalty":null,"nameRu":"Здоровый образ жизни","ownerScopeAllowed":"PLAYER_HOST; SENTIENT_HOST; ADVISER_IF_GRANTED","ruleIds":["CORE-165","CORE-167"],"skillId":"SKL-035","skillKey":"HEALTHY_LIFESTYLE","slotCostMode":"BONUS_LEVEL_FORMULA_CORE-165","sourceQuestionIds":["Q-CORE-024","Q-CORE-051"],"status":"ACTIVE"}</t>
  </si>
  <si>
    <t xml:space="preserve">4d37e045b8cca513da9b13da9a2e8ceb22de106e6de56366fee09cbc31eeafde</t>
  </si>
  <si>
    <t xml:space="preserve">{"bonusDomain":"Вытягивание сведений/ложь; абсолютный убирает -10; социальное разрешение исключено","category":"SELECTABLE_GENERAL","checkTags":"INSIGHT","idUnique":1,"mandatoryClass":"","mandatoryRace":"","maxBonus":"NO_RULED_UPPER_LIMIT","missingSkillPenalty":null,"nameRu":"Проницательность","ownerScopeAllowed":"PLAYER_HOST; SENTIENT_HOST; ADVISER_IF_GRANTED","ruleIds":["CORE-165","CORE-167"],"skillId":"SKL-036","skillKey":"INSIGHT","slotCostMode":"BONUS_LEVEL_FORMULA_CORE-165","sourceQuestionIds":["Q-CORE-024","Q-CORE-051"],"status":"ACTIVE"}</t>
  </si>
  <si>
    <t xml:space="preserve">32beb83c73a6cae04306fad1d09482125e3a697f1d2191839324ad8f7a10d793</t>
  </si>
  <si>
    <t xml:space="preserve">{"bonusDomain":"Пища/ингредиенты; разрешение исключено","category":"SELECTABLE_GENERAL","checkTags":"COOKING","idUnique":1,"mandatoryClass":"","mandatoryRace":"","maxBonus":"NO_RULED_UPPER_LIMIT","missingSkillPenalty":null,"nameRu":"Кулинария","ownerScopeAllowed":"PLAYER_HOST; SENTIENT_HOST; ADVISER_IF_GRANTED","ruleIds":["CORE-165","CORE-167"],"skillId":"SKL-037","skillKey":"COOKING","slotCostMode":"BONUS_LEVEL_FORMULA_CORE-165","sourceQuestionIds":["Q-CORE-024","Q-CORE-051"],"status":"ACTIVE"}</t>
  </si>
  <si>
    <t xml:space="preserve">62f59c7aa6afec01aceae069b4116fe9ff3c465478fd47af171f39798868d872</t>
  </si>
  <si>
    <t xml:space="preserve">{"bonusDomain":"Медицинские манипуляции; Искатель исключён из штрафа отсутствия","category":"SELECTABLE_GENERAL","checkTags":"MEDIC","idUnique":1,"mandatoryClass":"","mandatoryRace":"","maxBonus":"NO_RULED_UPPER_LIMIT","missingSkillPenalty":-10,"nameRu":"Медик","ownerScopeAllowed":"PLAYER_HOST; SENTIENT_HOST; ADVISER_IF_GRANTED","ruleIds":["CORE-165","CORE-167"],"skillId":"SKL-038","skillKey":"MEDIC","slotCostMode":"BONUS_LEVEL_FORMULA_CORE-165","sourceQuestionIds":["Q-CORE-024","Q-CORE-051"],"status":"ACTIVE"}</t>
  </si>
  <si>
    <t xml:space="preserve">d98d589603268f377ea934bee12fd09f3dc00641e97106c9f489eb4ece0f7d79</t>
  </si>
  <si>
    <t xml:space="preserve">{"bonusDomain":"Вспоминание фактов; разрешение исключено","category":"SELECTABLE_GENERAL","checkTags":"ERUDITION","idUnique":1,"mandatoryClass":"","mandatoryRace":"","maxBonus":"NO_RULED_UPPER_LIMIT","missingSkillPenalty":null,"nameRu":"Эрудиция","ownerScopeAllowed":"PLAYER_HOST; SENTIENT_HOST; ADVISER_IF_GRANTED","ruleIds":["CORE-165","CORE-167"],"skillId":"SKL-039","skillKey":"ERUDITION","slotCostMode":"BONUS_LEVEL_FORMULA_CORE-165","sourceQuestionIds":["Q-CORE-024","Q-CORE-051"],"status":"ACTIVE"}</t>
  </si>
  <si>
    <t xml:space="preserve">1fea509d76b57f399a1e09fef47797f3d5d617962ce0d73e4f1da5edfb71c695</t>
  </si>
  <si>
    <t xml:space="preserve">{"bonusDomain":"Дополнительный модификатор изобретательства/крафта только при основном навыке","category":"SELECTABLE_GENERAL","checkTags":"NATURAL_SCIENCE","idUnique":1,"mandatoryClass":"","mandatoryRace":"","maxBonus":"NO_RULED_UPPER_LIMIT","missingSkillPenalty":null,"nameRu":"Естественнонаучные знания","ownerScopeAllowed":"PLAYER_HOST; SENTIENT_HOST; ADVISER_IF_GRANTED","ruleIds":["CORE-165","CORE-167"],"skillId":"SKL-040","skillKey":"NATURAL_SCIENCE","slotCostMode":"BONUS_LEVEL_FORMULA_CORE-165","sourceQuestionIds":["Q-CORE-024","Q-CORE-051"],"status":"ACTIVE"}</t>
  </si>
  <si>
    <t xml:space="preserve">d6ab5618b0b07788c09b354d9edbf0c9b0314bd4ef39db5d08dd2720037496c6</t>
  </si>
  <si>
    <t xml:space="preserve">{"bonusDomain":"Дополнительный модификатор сопротивления опьянению; разрешение исключено","category":"SELECTABLE_GENERAL","checkTags":"VETERAN_DRINKER","idUnique":1,"mandatoryClass":"","mandatoryRace":"","maxBonus":"NO_RULED_UPPER_LIMIT","missingSkillPenalty":null,"nameRu":"Алкоголик со стажем","ownerScopeAllowed":"PLAYER_HOST; SENTIENT_HOST; ADVISER_IF_GRANTED","ruleIds":["CORE-165","CORE-167"],"skillId":"SKL-041","skillKey":"VETERAN_DRINKER","slotCostMode":"BONUS_LEVEL_FORMULA_CORE-165","sourceQuestionIds":["Q-CORE-024","Q-CORE-051"],"status":"ACTIVE"}</t>
  </si>
  <si>
    <t xml:space="preserve">6258800f5f9d2e98f324e15c24ec9ef041e7af3393548412e7bf59dbf22968d4</t>
  </si>
  <si>
    <t xml:space="preserve">{"bonusDomain":"Resistance to torture and self-control while burning.","category":"FIXED_RACE_PASSIVE","checkTags":"FOLLOWING_PAIN","idUnique":1,"mandatoryClass":"","mandatoryRace":"UNITED","maxBonus":15,"missingSkillPenalty":null,"nameRu":"Идущий вслед за болью","ownerScopeAllowed":"PLAYER_HOST; SENTIENT_HOST","ruleIds":["CORE-004"],"skillId":"SKL-042","skillKey":"FOLLOWING_PAIN","slotCostMode":"FIXED_0","sourceQuestionIds":[],"status":"ACTIVE"}</t>
  </si>
  <si>
    <t xml:space="preserve">3097d6a990b70968a927be3307576529034e14589a46f4e3744fc2cd3e333458</t>
  </si>
  <si>
    <t xml:space="preserve">{"bonusDomain":"Study, pattern finding, craft, repair, invention, first aid, medical manipulation, wilderness survival and preemptive strike. Craft is stored but its creation action is not automated.","category":"FIXED_CLASS_PASSIVE","checkTags":"PURE_SEEKER","idUnique":1,"mandatoryClass":"SEEKER","mandatoryRace":"PURE","maxBonus":5,"missingSkillPenalty":null,"nameRu":"Искатель Последнего Рассвета","ownerScopeAllowed":"PLAYER_HOST; SENTIENT_HOST","ruleIds":["CORE-009"],"skillId":"SKL-043","skillKey":"PURE_SEEKER","slotCostMode":"FIXED_1","sourceQuestionIds":[],"status":"ACTIVE"}</t>
  </si>
  <si>
    <t xml:space="preserve">cd21a311e56a325e3d3734e3b1ff88d63ea052073729d2ca28a9ad22c32d47ea</t>
  </si>
  <si>
    <t xml:space="preserve">{"bonusDomain":"Route finding, tracking, detection, stealth, survival, inspection, lightning reaction, dodge and escape; no proficiency penalty for listed Pure weapons and Cesmor.","category":"FIXED_CLASS_PASSIVE","checkTags":"PURE_STALKER","idUnique":1,"mandatoryClass":"STALKER","mandatoryRace":"PURE","maxBonus":4,"missingSkillPenalty":null,"nameRu":"Сталкер Последнего Рассвета","ownerScopeAllowed":"PLAYER_HOST; SENTIENT_HOST","ruleIds":["CORE-010"],"skillId":"SKL-044","skillKey":"PURE_STALKER","slotCostMode":"FIXED_1","sourceQuestionIds":[],"status":"ACTIVE"}</t>
  </si>
  <si>
    <t xml:space="preserve">cf0b1623fb4185ad866e914763bd8a35edd2810c335e56b367f7798947b234be</t>
  </si>
  <si>
    <t xml:space="preserve">{"bonusDomain":"Accuracy of unarmed attacks, grappling, one-/hand-and-a-half sword attacks, blocking and shield attacks; listed equipment proficiency; free melee-target switch.","category":"FIXED_CLASS_PASSIVE","checkTags":"PURE_SOLDIER","idUnique":1,"mandatoryClass":"SOLDIER","mandatoryRace":"PURE","maxBonus":3,"missingSkillPenalty":null,"nameRu":"Солдат Последнего Рассвета","ownerScopeAllowed":"PLAYER_HOST; SENTIENT_HOST","ruleIds":["CORE-013"],"skillId":"SKL-045","skillKey":"PURE_SOLDIER","slotCostMode":"FIXED_1","sourceQuestionIds":[],"status":"ACTIVE"}</t>
  </si>
  <si>
    <t xml:space="preserve">25e55a237f3f41e5a41b8b3381bdc732f6f87cd250d89b1a97dfb2078fb3eb5a</t>
  </si>
  <si>
    <t xml:space="preserve">SKILL_REQUIREMENT</t>
  </si>
  <si>
    <t xml:space="preserve">{"beforeSymbiontBonuses":true,"evaluationStage":"SKILL_STAGE_PRE_SYMBIONT","idUnique":1,"minValue":9,"requirementId":"REQ-UNARMED-S","requirementSetId":"REQSET-UNARMED-CREATION","ruleId":"CORE-167","skillKey":"UNARMED","sourceQuestionId":"Q-CORE-024","statCode":"S"}</t>
  </si>
  <si>
    <t xml:space="preserve">bf47c85c376bedae609cacac78fff3f499168d67263864c05e601a8b52e435d8</t>
  </si>
  <si>
    <t xml:space="preserve">{"beforeSymbiontBonuses":true,"evaluationStage":"SKILL_STAGE_PRE_SYMBIONT","idUnique":1,"minValue":11,"requirementId":"REQ-UNARMED-D","requirementSetId":"REQSET-UNARMED-CREATION","ruleId":"CORE-167","skillKey":"UNARMED","sourceQuestionId":"Q-CORE-024","statCode":"D"}</t>
  </si>
  <si>
    <t xml:space="preserve">691cca230082d7af73feaf8ad1e324be541f46b93574f02a499fa5dc8c0f1bad</t>
  </si>
  <si>
    <t xml:space="preserve">{"beforeSymbiontBonuses":true,"evaluationStage":"SKILL_STAGE_PRE_SYMBIONT","idUnique":1,"minValue":11,"requirementId":"REQ-GRAPPLING-S","requirementSetId":"REQSET-GRAPPLING-CREATION","ruleId":"CORE-167","skillKey":"GRAPPLING","sourceQuestionId":"Q-CORE-024","statCode":"S"}</t>
  </si>
  <si>
    <t xml:space="preserve">e14cfdaa17e177613b5a0d7455324d5efc682270c2f938a09396d8e326b6a37a</t>
  </si>
  <si>
    <t xml:space="preserve">{"beforeSymbiontBonuses":true,"evaluationStage":"SKILL_STAGE_PRE_SYMBIONT","idUnique":1,"minValue":9,"requirementId":"REQ-GRAPPLING-D","requirementSetId":"REQSET-GRAPPLING-CREATION","ruleId":"CORE-167","skillKey":"GRAPPLING","sourceQuestionId":"Q-CORE-024","statCode":"D"}</t>
  </si>
  <si>
    <t xml:space="preserve">0d5989304f3015b802925683ab3da449c5a1eebeb52efb180a74c42ec2f0f528</t>
  </si>
  <si>
    <t xml:space="preserve">{"beforeSymbiontBonuses":true,"evaluationStage":"SKILL_STAGE_PRE_SYMBIONT","idUnique":1,"minValue":4,"requirementId":"REQ-GRAPPLING-I","requirementSetId":"REQSET-GRAPPLING-CREATION","ruleId":"CORE-167","skillKey":"GRAPPLING","sourceQuestionId":"Q-CORE-024","statCode":"I"}</t>
  </si>
  <si>
    <t xml:space="preserve">b34362068a238d1232d6f07318a4d2a25e98dfd80d5ef37b6e6327299b468715</t>
  </si>
  <si>
    <t xml:space="preserve">{"beforeSymbiontBonuses":true,"evaluationStage":"SKILL_STAGE_PRE_SYMBIONT","idUnique":1,"minValue":5,"requirementId":"REQ-WEAPON_THROWING-S","requirementSetId":"REQSET-WEAPON_THROWING-CREATION","ruleId":"CORE-167","skillKey":"WEAPON_THROWING","sourceQuestionId":"Q-CORE-024","statCode":"S"}</t>
  </si>
  <si>
    <t xml:space="preserve">421d36fefe93cdfb28093d5bc548bbbf69d1bb0adc72db1eec33cc7ab4079573</t>
  </si>
  <si>
    <t xml:space="preserve">{"beforeSymbiontBonuses":true,"evaluationStage":"SKILL_STAGE_PRE_SYMBIONT","idUnique":1,"minValue":11,"requirementId":"REQ-WEAPON_THROWING-D","requirementSetId":"REQSET-WEAPON_THROWING-CREATION","ruleId":"CORE-167","skillKey":"WEAPON_THROWING","sourceQuestionId":"Q-CORE-024","statCode":"D"}</t>
  </si>
  <si>
    <t xml:space="preserve">a949e62c674bd1ce594ccf576ab13668a32f7fffc080e88e31d4290415273ddc</t>
  </si>
  <si>
    <t xml:space="preserve">{"beforeSymbiontBonuses":true,"evaluationStage":"SKILL_STAGE_PRE_SYMBIONT","idUnique":1,"minValue":5,"requirementId":"REQ-WEAPON_THROWING-I","requirementSetId":"REQSET-WEAPON_THROWING-CREATION","ruleId":"CORE-167","skillKey":"WEAPON_THROWING","sourceQuestionId":"Q-CORE-024","statCode":"I"}</t>
  </si>
  <si>
    <t xml:space="preserve">844f1b09e56d2a1830b0a7b589b37f7a9c5d76748631ad0b0b4b22b377cff936</t>
  </si>
  <si>
    <t xml:space="preserve">{"beforeSymbiontBonuses":true,"evaluationStage":"SKILL_STAGE_PRE_SYMBIONT","idUnique":1,"minValue":11,"requirementId":"REQ-OBJECT_THROWING-S","requirementSetId":"REQSET-OBJECT_THROWING-CREATION","ruleId":"CORE-167","skillKey":"OBJECT_THROWING","sourceQuestionId":"Q-CORE-024","statCode":"S"}</t>
  </si>
  <si>
    <t xml:space="preserve">67530b6b46ba93c87483577087146acb00a8d7d2eb90ac97a73f1bea188fec39</t>
  </si>
  <si>
    <t xml:space="preserve">{"beforeSymbiontBonuses":true,"evaluationStage":"SKILL_STAGE_PRE_SYMBIONT","idUnique":1,"minValue":5,"requirementId":"REQ-OBJECT_THROWING-D","requirementSetId":"REQSET-OBJECT_THROWING-CREATION","ruleId":"CORE-167","skillKey":"OBJECT_THROWING","sourceQuestionId":"Q-CORE-024","statCode":"D"}</t>
  </si>
  <si>
    <t xml:space="preserve">144ffe499063d222d2fd7d37490928b844d2128aed258af02c2769afe08af5b9</t>
  </si>
  <si>
    <t xml:space="preserve">{"beforeSymbiontBonuses":true,"evaluationStage":"SKILL_STAGE_PRE_SYMBIONT","idUnique":1,"minValue":5,"requirementId":"REQ-SHOOTING-S","requirementSetId":"REQSET-SHOOTING-CREATION","ruleId":"CORE-167","skillKey":"SHOOTING","sourceQuestionId":"Q-CORE-024","statCode":"S"}</t>
  </si>
  <si>
    <t xml:space="preserve">8fbf1905add07dd5c859142040bd7798392b34b3c9dd99703e64a4c0d4d4556f</t>
  </si>
  <si>
    <t xml:space="preserve">{"beforeSymbiontBonuses":true,"evaluationStage":"SKILL_STAGE_PRE_SYMBIONT","idUnique":1,"minValue":6,"requirementId":"REQ-SHOOTING-D","requirementSetId":"REQSET-SHOOTING-CREATION","ruleId":"CORE-167","skillKey":"SHOOTING","sourceQuestionId":"Q-CORE-024","statCode":"D"}</t>
  </si>
  <si>
    <t xml:space="preserve">12d98d7c8126f28afc557dc572be2e3f3c0d1290784bacf2cfe004df6020583d</t>
  </si>
  <si>
    <t xml:space="preserve">{"beforeSymbiontBonuses":true,"evaluationStage":"SKILL_STAGE_PRE_SYMBIONT","idUnique":1,"minValue":4,"requirementId":"REQ-SHOOTING-I","requirementSetId":"REQSET-SHOOTING-CREATION","ruleId":"CORE-167","skillKey":"SHOOTING","sourceQuestionId":"Q-CORE-024","statCode":"I"}</t>
  </si>
  <si>
    <t xml:space="preserve">6f1e75b28bd47774bcac8c0560adb1f42cf049d0203963615c7d7017d9807488</t>
  </si>
  <si>
    <t xml:space="preserve">{"beforeSymbiontBonuses":true,"evaluationStage":"SKILL_STAGE_PRE_SYMBIONT","idUnique":1,"minValue":8,"requirementId":"REQ-ARCHERY-S","requirementSetId":"REQSET-ARCHERY-CREATION","ruleId":"CORE-167","skillKey":"ARCHERY","sourceQuestionId":"Q-CORE-024","statCode":"S"}</t>
  </si>
  <si>
    <t xml:space="preserve">0dba9a913f646f13271e39d0bda2f082015fb1de038473404af61761744fa36e</t>
  </si>
  <si>
    <t xml:space="preserve">{"beforeSymbiontBonuses":true,"evaluationStage":"SKILL_STAGE_PRE_SYMBIONT","idUnique":1,"minValue":12,"requirementId":"REQ-ARCHERY-D","requirementSetId":"REQSET-ARCHERY-CREATION","ruleId":"CORE-167","skillKey":"ARCHERY","sourceQuestionId":"Q-CORE-024","statCode":"D"}</t>
  </si>
  <si>
    <t xml:space="preserve">885029946a0c730f95ff6c90869fcb5932a1cede52fe7ec0b74a71b463ba4f24</t>
  </si>
  <si>
    <t xml:space="preserve">{"beforeSymbiontBonuses":true,"evaluationStage":"SKILL_STAGE_PRE_SYMBIONT","idUnique":1,"minValue":5,"requirementId":"REQ-ARCHERY-I","requirementSetId":"REQSET-ARCHERY-CREATION","ruleId":"CORE-167","skillKey":"ARCHERY","sourceQuestionId":"Q-CORE-024","statCode":"I"}</t>
  </si>
  <si>
    <t xml:space="preserve">80e7ce3dae6dc87aacf85c31b677f7a117e14a97a71fd17549634396931bd8b4</t>
  </si>
  <si>
    <t xml:space="preserve">{"beforeSymbiontBonuses":true,"evaluationStage":"SKILL_STAGE_PRE_SYMBIONT","idUnique":1,"minValue":14,"requirementId":"REQ-GROSS-S","requirementSetId":"REQSET-GROSS-CREATION","ruleId":"CORE-167","skillKey":"GROSS","sourceQuestionId":"Q-CORE-024","statCode":"S"}</t>
  </si>
  <si>
    <t xml:space="preserve">f56d9fc81fa0baeef695289124aecdecde76e58315b44e5a601659ae986cae4c</t>
  </si>
  <si>
    <t xml:space="preserve">{"beforeSymbiontBonuses":true,"evaluationStage":"SKILL_STAGE_PRE_SYMBIONT","idUnique":1,"minValue":6,"requirementId":"REQ-GROSS-D","requirementSetId":"REQSET-GROSS-CREATION","ruleId":"CORE-167","skillKey":"GROSS","sourceQuestionId":"Q-CORE-024","statCode":"D"}</t>
  </si>
  <si>
    <t xml:space="preserve">a71ed640b919024785062e34efcbe4cfa2d990eec41b8af957d9231c429694ec</t>
  </si>
  <si>
    <t xml:space="preserve">{"beforeSymbiontBonuses":true,"evaluationStage":"SKILL_STAGE_PRE_SYMBIONT","idUnique":1,"minValue":10,"requirementId":"REQ-FENCING-S","requirementSetId":"REQSET-FENCING-CREATION","ruleId":"CORE-167","skillKey":"FENCING","sourceQuestionId":"Q-CORE-024","statCode":"S"}</t>
  </si>
  <si>
    <t xml:space="preserve">e91d6b70a046926757bdb2e92c04b0d754f2b5ec54f1a9bd1a4f393dc7cd08bf</t>
  </si>
  <si>
    <t xml:space="preserve">{"beforeSymbiontBonuses":true,"evaluationStage":"SKILL_STAGE_PRE_SYMBIONT","idUnique":1,"minValue":10,"requirementId":"REQ-FENCING-D","requirementSetId":"REQSET-FENCING-CREATION","ruleId":"CORE-167","skillKey":"FENCING","sourceQuestionId":"Q-CORE-024","statCode":"D"}</t>
  </si>
  <si>
    <t xml:space="preserve">7b23ba3fd98b953c63f1bbffeccec1b59cc8a1e250bcf7d454fa7b6962eb620e</t>
  </si>
  <si>
    <t xml:space="preserve">{"beforeSymbiontBonuses":true,"evaluationStage":"SKILL_STAGE_PRE_SYMBIONT","idUnique":1,"minValue":3,"requirementId":"REQ-FENCING-I","requirementSetId":"REQSET-FENCING-CREATION","ruleId":"CORE-167","skillKey":"FENCING","sourceQuestionId":"Q-CORE-024","statCode":"I"}</t>
  </si>
  <si>
    <t xml:space="preserve">faa13a77a419631e572e839795b0a4cd25b91dc66a57427e917be5e842446856</t>
  </si>
  <si>
    <t xml:space="preserve">{"beforeSymbiontBonuses":true,"evaluationStage":"SKILL_STAGE_PRE_SYMBIONT","idUnique":1,"minValue":10,"requirementId":"REQ-SPEAR-S","requirementSetId":"REQSET-SPEAR-CREATION","ruleId":"CORE-167","skillKey":"SPEAR","sourceQuestionId":"Q-CORE-024","statCode":"S"}</t>
  </si>
  <si>
    <t xml:space="preserve">87b1a0f5d2f2d24bcdeeb68f57c17de136898a3513af5c63e3eb88f7bce8c77d</t>
  </si>
  <si>
    <t xml:space="preserve">{"beforeSymbiontBonuses":true,"evaluationStage":"SKILL_STAGE_PRE_SYMBIONT","idUnique":1,"minValue":10,"requirementId":"REQ-SPEAR-D","requirementSetId":"REQSET-SPEAR-CREATION","ruleId":"CORE-167","skillKey":"SPEAR","sourceQuestionId":"Q-CORE-024","statCode":"D"}</t>
  </si>
  <si>
    <t xml:space="preserve">64ad48f7c846cf409f08b48c4ad200b1d2cb6c31e02485ddeb5d01a58e1cc30e</t>
  </si>
  <si>
    <t xml:space="preserve">{"beforeSymbiontBonuses":true,"evaluationStage":"SKILL_STAGE_PRE_SYMBIONT","idUnique":1,"minValue":6,"requirementId":"REQ-SHORT-S","requirementSetId":"REQSET-SHORT-CREATION","ruleId":"CORE-167","skillKey":"SHORT","sourceQuestionId":"Q-CORE-024","statCode":"S"}</t>
  </si>
  <si>
    <t xml:space="preserve">f35c6b4d2c3c44399f16e141c6b621f51410a44bd9785b8ad9b51aad075f6c0e</t>
  </si>
  <si>
    <t xml:space="preserve">{"beforeSymbiontBonuses":true,"evaluationStage":"SKILL_STAGE_PRE_SYMBIONT","idUnique":1,"minValue":12,"requirementId":"REQ-SHORT-D","requirementSetId":"REQSET-SHORT-CREATION","ruleId":"CORE-167","skillKey":"SHORT","sourceQuestionId":"Q-CORE-024","statCode":"D"}</t>
  </si>
  <si>
    <t xml:space="preserve">de9616637f9503645bc3e9f1b5f58dee87024c5721d5bad360e0ce6d44fa48ef</t>
  </si>
  <si>
    <t xml:space="preserve">{"beforeSymbiontBonuses":true,"evaluationStage":"SKILL_STAGE_PRE_SYMBIONT","idUnique":1,"minValue":3,"requirementId":"REQ-SHORT-I","requirementSetId":"REQSET-SHORT-CREATION","ruleId":"CORE-167","skillKey":"SHORT","sourceQuestionId":"Q-CORE-024","statCode":"I"}</t>
  </si>
  <si>
    <t xml:space="preserve">03880a764bee30f500e421d7c7ce89209567dfb39022da1691d4a94df3d32218</t>
  </si>
  <si>
    <t xml:space="preserve">{"beforeSymbiontBonuses":true,"evaluationStage":"SKILL_STAGE_PRE_SYMBIONT","idUnique":1,"minValue":12,"requirementId":"REQ-AXES-S","requirementSetId":"REQSET-AXES-CREATION","ruleId":"CORE-167","skillKey":"AXES","sourceQuestionId":"Q-CORE-024","statCode":"S"}</t>
  </si>
  <si>
    <t xml:space="preserve">db3155e769dfcac821472bf89a99da5cc7349580ef5fb3cd9b2d7d266aec856a</t>
  </si>
  <si>
    <t xml:space="preserve">{"beforeSymbiontBonuses":true,"evaluationStage":"SKILL_STAGE_PRE_SYMBIONT","idUnique":1,"minValue":10,"requirementId":"REQ-AXES-D","requirementSetId":"REQSET-AXES-CREATION","ruleId":"CORE-167","skillKey":"AXES","sourceQuestionId":"Q-CORE-024","statCode":"D"}</t>
  </si>
  <si>
    <t xml:space="preserve">82b3203a840f277c60c0e71878eebd74c688361d2fb9f6e5d805acf7f6c7427b</t>
  </si>
  <si>
    <t xml:space="preserve">{"beforeSymbiontBonuses":true,"evaluationStage":"SKILL_STAGE_PRE_SYMBIONT","idUnique":1,"minValue":2,"requirementId":"REQ-AXES-I","requirementSetId":"REQSET-AXES-CREATION","ruleId":"CORE-167","skillKey":"AXES","sourceQuestionId":"Q-CORE-024","statCode":"I"}</t>
  </si>
  <si>
    <t xml:space="preserve">f5f1f80cb7a96fe2b4bf48f95985629b3cbac9e964bfbcafe906f4d7f40f7660</t>
  </si>
  <si>
    <t xml:space="preserve">{"beforeSymbiontBonuses":true,"evaluationStage":"SKILL_STAGE_PRE_SYMBIONT","idUnique":1,"minValue":10,"requirementId":"REQ-SHIELD-S","requirementSetId":"REQSET-SHIELD-CREATION","ruleId":"CORE-167","skillKey":"SHIELD","sourceQuestionId":"Q-CORE-024","statCode":"S"}</t>
  </si>
  <si>
    <t xml:space="preserve">76be1e06d778ee7656dce993606a3d34a15832bfc226ea07c7f56e5bb0fa14f9</t>
  </si>
  <si>
    <t xml:space="preserve">{"beforeSymbiontBonuses":true,"evaluationStage":"SKILL_STAGE_PRE_SYMBIONT","idUnique":1,"minValue":8,"requirementId":"REQ-SHIELD-D","requirementSetId":"REQSET-SHIELD-CREATION","ruleId":"CORE-167","skillKey":"SHIELD","sourceQuestionId":"Q-CORE-024","statCode":"D"}</t>
  </si>
  <si>
    <t xml:space="preserve">1fd078906af11177f86a68275946ba636c9937fb4050c44908569150baf856d7</t>
  </si>
  <si>
    <t xml:space="preserve">{"beforeSymbiontBonuses":true,"evaluationStage":"SKILL_STAGE_PRE_SYMBIONT","idUnique":1,"minValue":2,"requirementId":"REQ-SHIELD-I","requirementSetId":"REQSET-SHIELD-CREATION","ruleId":"CORE-167","skillKey":"SHIELD","sourceQuestionId":"Q-CORE-024","statCode":"I"}</t>
  </si>
  <si>
    <t xml:space="preserve">9594bcc694ff71c9c4899453f4073fca56a5330a7bafcc5283b9518bc80f9fea</t>
  </si>
  <si>
    <t xml:space="preserve">{"beforeSymbiontBonuses":true,"evaluationStage":"SKILL_STAGE_PRE_SYMBIONT","idUnique":1,"minValue":4,"requirementId":"REQ-RIDING-S","requirementSetId":"REQSET-RIDING-CREATION","ruleId":"CORE-167","skillKey":"RIDING","sourceQuestionId":"Q-CORE-024","statCode":"S"}</t>
  </si>
  <si>
    <t xml:space="preserve">2940f800db8764d3b26ba31da6e846db3fe7de19f696504e5b5354ffaaf6e1f1</t>
  </si>
  <si>
    <t xml:space="preserve">{"beforeSymbiontBonuses":true,"evaluationStage":"SKILL_STAGE_PRE_SYMBIONT","idUnique":1,"minValue":5,"requirementId":"REQ-RIDING-D","requirementSetId":"REQSET-RIDING-CREATION","ruleId":"CORE-167","skillKey":"RIDING","sourceQuestionId":"Q-CORE-024","statCode":"D"}</t>
  </si>
  <si>
    <t xml:space="preserve">ffb319d0c78e678ee8b0a8d1f18edfb55aa1eee162eb8928aaa4f40d16773fe2</t>
  </si>
  <si>
    <t xml:space="preserve">{"beforeSymbiontBonuses":true,"evaluationStage":"SKILL_STAGE_PRE_SYMBIONT","idUnique":1,"minValue":5,"requirementId":"REQ-RIDING-I","requirementSetId":"REQSET-RIDING-CREATION","ruleId":"CORE-167","skillKey":"RIDING","sourceQuestionId":"Q-CORE-024","statCode":"I"}</t>
  </si>
  <si>
    <t xml:space="preserve">6e7e08f53765e9e87d203792792d3835c723f31d6b73b87f71955aa365b61c39</t>
  </si>
  <si>
    <t xml:space="preserve">{"beforeSymbiontBonuses":true,"evaluationStage":"SKILL_STAGE_PRE_SYMBIONT","idUnique":1,"minValue":12,"requirementId":"REQ-STEALTH-D","requirementSetId":"REQSET-STEALTH-CREATION","ruleId":"CORE-167","skillKey":"STEALTH","sourceQuestionId":"Q-CORE-024","statCode":"D"}</t>
  </si>
  <si>
    <t xml:space="preserve">bdae522bbea4d02aedd098e068c58b787f0ef627a4d43f99bbdbe3f866cf25df</t>
  </si>
  <si>
    <t xml:space="preserve">{"beforeSymbiontBonuses":true,"evaluationStage":"SKILL_STAGE_PRE_SYMBIONT","idUnique":1,"minValue":5,"requirementId":"REQ-STEALTH-I","requirementSetId":"REQSET-STEALTH-CREATION","ruleId":"CORE-167","skillKey":"STEALTH","sourceQuestionId":"Q-CORE-024","statCode":"I"}</t>
  </si>
  <si>
    <t xml:space="preserve">7f7c12084e0042c88bf70e23d2c6ab0966c3474857d55d1b9f57ee910a171634</t>
  </si>
  <si>
    <t xml:space="preserve">{"beforeSymbiontBonuses":true,"evaluationStage":"SKILL_STAGE_PRE_SYMBIONT","idUnique":1,"minValue":13,"requirementId":"REQ-THIEVERY-D","requirementSetId":"REQSET-THIEVERY-CREATION","ruleId":"CORE-167","skillKey":"THIEVERY","sourceQuestionId":"Q-CORE-024","statCode":"D"}</t>
  </si>
  <si>
    <t xml:space="preserve">0236588a3c43f0f4f52247a59a2313f0cfe11319e74f8d81cb0ae59895efb583</t>
  </si>
  <si>
    <t xml:space="preserve">{"beforeSymbiontBonuses":true,"evaluationStage":"SKILL_STAGE_PRE_SYMBIONT","idUnique":1,"minValue":8,"requirementId":"REQ-THIEVERY-I","requirementSetId":"REQSET-THIEVERY-CREATION","ruleId":"CORE-167","skillKey":"THIEVERY","sourceQuestionId":"Q-CORE-024","statCode":"I"}</t>
  </si>
  <si>
    <t xml:space="preserve">a9600912b3001a9f6e6fd37096bc674a35566e5f2602c45c59bcd4b040a78056</t>
  </si>
  <si>
    <t xml:space="preserve">{"beforeSymbiontBonuses":true,"evaluationStage":"SKILL_STAGE_PRE_SYMBIONT","idUnique":1,"minValue":14,"requirementId":"REQ-ACROBATICS-D","requirementSetId":"REQSET-ACROBATICS-CREATION","ruleId":"CORE-167","skillKey":"ACROBATICS","sourceQuestionId":"Q-CORE-024","statCode":"D"}</t>
  </si>
  <si>
    <t xml:space="preserve">f7ef1abf69f5e9748ecafbedf506eb89972e1a75575698b9b911e44595c24f47</t>
  </si>
  <si>
    <t xml:space="preserve">{"beforeSymbiontBonuses":true,"evaluationStage":"SKILL_STAGE_PRE_SYMBIONT","idUnique":1,"minValue":11,"requirementId":"REQ-ORIENTATION-I","requirementSetId":"REQSET-ORIENTATION-CREATION","ruleId":"CORE-167","skillKey":"ORIENTATION","sourceQuestionId":"Q-CORE-024","statCode":"I"}</t>
  </si>
  <si>
    <t xml:space="preserve">485500f703de0c4791af8a597b8fd7ee32b7d4ddb911c055816e4086e664e78b</t>
  </si>
  <si>
    <t xml:space="preserve">{"beforeSymbiontBonuses":true,"evaluationStage":"SKILL_STAGE_PRE_SYMBIONT","idUnique":1,"minValue":12,"requirementId":"REQ-LEARNING-I","requirementSetId":"REQSET-LEARNING-CREATION","ruleId":"CORE-167","skillKey":"LEARNING","sourceQuestionId":"Q-CORE-024","statCode":"I"}</t>
  </si>
  <si>
    <t xml:space="preserve">edc00afcaee6a57008d2bdf6203643371e5fe08df18753f4108b1aaa3967e598</t>
  </si>
  <si>
    <t xml:space="preserve">{"beforeSymbiontBonuses":true,"evaluationStage":"SKILL_STAGE_PRE_SYMBIONT","idUnique":1,"minValue":13,"requirementId":"REQ-TEACHING-I","requirementSetId":"REQSET-TEACHING-CREATION","ruleId":"CORE-167","skillKey":"TEACHING","sourceQuestionId":"Q-CORE-024","statCode":"I"}</t>
  </si>
  <si>
    <t xml:space="preserve">614fb9cce66dcfde77ddeb08691c23df2d2642b7d3146e433d69e3a466b09f86</t>
  </si>
  <si>
    <t xml:space="preserve">{"beforeSymbiontBonuses":true,"evaluationStage":"SKILL_STAGE_PRE_SYMBIONT","idUnique":1,"minValue":10,"requirementId":"REQ-TEACHING-C","requirementSetId":"REQSET-TEACHING-CREATION","ruleId":"CORE-167","skillKey":"TEACHING","sourceQuestionId":"Q-CORE-024","statCode":"C"}</t>
  </si>
  <si>
    <t xml:space="preserve">f6021ed98e3453cff2d78623f55ad6fdebfeff215e13066cf502d6361010f2fa</t>
  </si>
  <si>
    <t xml:space="preserve">{"beforeSymbiontBonuses":true,"evaluationStage":"SKILL_STAGE_PRE_SYMBIONT","idUnique":1,"minValue":12,"requirementId":"REQ-CRAFT-I","requirementSetId":"REQSET-CRAFT-CREATION","ruleId":"CORE-167","skillKey":"CRAFT","sourceQuestionId":"Q-CORE-024","statCode":"I"}</t>
  </si>
  <si>
    <t xml:space="preserve">dd78300d7ead827c14d314c8839b02de900f1246424476a64b9206324566dadc</t>
  </si>
  <si>
    <t xml:space="preserve">{"beforeSymbiontBonuses":true,"evaluationStage":"SKILL_STAGE_PRE_SYMBIONT","idUnique":1,"minValue":14,"requirementId":"REQ-CRAFT-W","requirementSetId":"REQSET-CRAFT-CREATION","ruleId":"CORE-167","skillKey":"CRAFT","sourceQuestionId":"Q-CORE-024","statCode":"W"}</t>
  </si>
  <si>
    <t xml:space="preserve">be55af9bff1a950ed9393c5b41a9d8ea55daa0ed70ba499414f8222acea7cd39</t>
  </si>
  <si>
    <t xml:space="preserve">{"beforeSymbiontBonuses":true,"evaluationStage":"SKILL_STAGE_PRE_SYMBIONT","idUnique":1,"minValue":10,"requirementId":"REQ-REPAIR-I","requirementSetId":"REQSET-REPAIR-CREATION","ruleId":"CORE-167","skillKey":"REPAIR","sourceQuestionId":"Q-CORE-024","statCode":"I"}</t>
  </si>
  <si>
    <t xml:space="preserve">b5b7931b949536bcc770c7c72ffb0ba7a40d38e061a9bb97616c7bb86ae6129a</t>
  </si>
  <si>
    <t xml:space="preserve">{"beforeSymbiontBonuses":true,"evaluationStage":"SKILL_STAGE_PRE_SYMBIONT","idUnique":1,"minValue":12,"requirementId":"REQ-REPAIR-W","requirementSetId":"REQSET-REPAIR-CREATION","ruleId":"CORE-167","skillKey":"REPAIR","sourceQuestionId":"Q-CORE-024","statCode":"W"}</t>
  </si>
  <si>
    <t xml:space="preserve">8379117620098c867bb93a3bc2809ec0ebec2cf525fab0dd318e4db558a1c082</t>
  </si>
  <si>
    <t xml:space="preserve">{"beforeSymbiontBonuses":true,"evaluationStage":"SKILL_STAGE_PRE_SYMBIONT","idUnique":1,"minValue":9,"requirementId":"REQ-TRACKING-I","requirementSetId":"REQSET-TRACKING-CREATION","ruleId":"CORE-167","skillKey":"TRACKING","sourceQuestionId":"Q-CORE-024","statCode":"I"}</t>
  </si>
  <si>
    <t xml:space="preserve">ac3baf0019395e091f204e87de3ecdc6cac3d970f59e9200d214ccde708057f7</t>
  </si>
  <si>
    <t xml:space="preserve">{"beforeSymbiontBonuses":true,"evaluationStage":"SKILL_STAGE_PRE_SYMBIONT","idUnique":1,"minValue":11,"requirementId":"REQ-TRACKING-W","requirementSetId":"REQSET-TRACKING-CREATION","ruleId":"CORE-167","skillKey":"TRACKING","sourceQuestionId":"Q-CORE-024","statCode":"W"}</t>
  </si>
  <si>
    <t xml:space="preserve">057a1da4ab96dea9b09d0bc1a73b04846acd306eae2a27c94bd2c1da20b1488e</t>
  </si>
  <si>
    <t xml:space="preserve">{"beforeSymbiontBonuses":true,"evaluationStage":"SKILL_STAGE_PRE_SYMBIONT","idUnique":1,"minValue":16,"requirementId":"REQ-AWARENESS-W","requirementSetId":"REQSET-AWARENESS-CREATION","ruleId":"CORE-167","skillKey":"AWARENESS","sourceQuestionId":"Q-CORE-024","statCode":"W"}</t>
  </si>
  <si>
    <t xml:space="preserve">940be86fbb86a6704c9fbfce07de5b1765f19dd064738e1a0b206c7f6fc1f2d8</t>
  </si>
  <si>
    <t xml:space="preserve">{"beforeSymbiontBonuses":true,"evaluationStage":"SKILL_STAGE_PRE_SYMBIONT","idUnique":1,"minValue":16,"requirementId":"REQ-ANALYTICAL_THINKING-I","requirementSetId":"REQSET-ANALYTICAL_THINKING-CREATION","ruleId":"CORE-167","skillKey":"ANALYTICAL_THINKING","sourceQuestionId":"Q-CORE-024","statCode":"I"}</t>
  </si>
  <si>
    <t xml:space="preserve">43721209da76c61790b025bf29952c7ff8e74b42cc905512efde3f490f72960a</t>
  </si>
  <si>
    <t xml:space="preserve">{"beforeSymbiontBonuses":true,"evaluationStage":"SKILL_STAGE_PRE_SYMBIONT","idUnique":1,"minValue":18,"requirementId":"REQ-INVENTION-I","requirementSetId":"REQSET-INVENTION-CREATION","ruleId":"CORE-167","skillKey":"INVENTION","sourceQuestionId":"Q-CORE-024","statCode":"I"}</t>
  </si>
  <si>
    <t xml:space="preserve">3e377fa8ac945a32bb0f8679b8c7548229468484a39946241612af7f8fd7363e</t>
  </si>
  <si>
    <t xml:space="preserve">{"beforeSymbiontBonuses":true,"evaluationStage":"SKILL_STAGE_PRE_SYMBIONT","idUnique":1,"minValue":10,"requirementId":"REQ-LITERACY-I","requirementSetId":"REQSET-LITERACY-CREATION","ruleId":"CORE-167","skillKey":"LITERACY","sourceQuestionId":"Q-CORE-024","statCode":"I"}</t>
  </si>
  <si>
    <t xml:space="preserve">e53007401d8e01f996d3127f0298d42b201ad4558239fe23a3d898ab78577df5</t>
  </si>
  <si>
    <t xml:space="preserve">{"beforeSymbiontBonuses":true,"evaluationStage":"SKILL_STAGE_PRE_SYMBIONT","idUnique":1,"minValue":8,"requirementId":"REQ-LITERACY-W","requirementSetId":"REQSET-LITERACY-CREATION","ruleId":"CORE-167","skillKey":"LITERACY","sourceQuestionId":"Q-CORE-024","statCode":"W"}</t>
  </si>
  <si>
    <t xml:space="preserve">fb0eed92d4564709a6b801f526afb025ed839634fe1104dc5bbb7126d521546a</t>
  </si>
  <si>
    <t xml:space="preserve">{"beforeSymbiontBonuses":true,"evaluationStage":"SKILL_STAGE_PRE_SYMBIONT","idUnique":1,"minValue":13,"requirementId":"REQ-SEDUCTION-C","requirementSetId":"REQSET-SEDUCTION-CREATION","ruleId":"CORE-167","skillKey":"SEDUCTION","sourceQuestionId":"Q-CORE-024","statCode":"C"}</t>
  </si>
  <si>
    <t xml:space="preserve">7d2453979ae6148e31af95f7fc85a70a27c33db60e754e78a6daff16732abd99</t>
  </si>
  <si>
    <t xml:space="preserve">{"beforeSymbiontBonuses":true,"evaluationStage":"SKILL_STAGE_PRE_SYMBIONT","idUnique":1,"minValue":11,"requirementId":"REQ-DECEPTION-C","requirementSetId":"REQSET-DECEPTION-CREATION","ruleId":"CORE-167","skillKey":"DECEPTION","sourceQuestionId":"Q-CORE-024","statCode":"C"}</t>
  </si>
  <si>
    <t xml:space="preserve">bbcdea9087898158e9edd6054295f18c601d76e7b95fd4d92223f48f3e114489</t>
  </si>
  <si>
    <t xml:space="preserve">{"beforeSymbiontBonuses":true,"evaluationStage":"SKILL_STAGE_PRE_SYMBIONT","idUnique":1,"minValue":14,"requirementId":"REQ-ACTING-C","requirementSetId":"REQSET-ACTING-CREATION","ruleId":"CORE-167","skillKey":"ACTING","sourceQuestionId":"Q-CORE-024","statCode":"C"}</t>
  </si>
  <si>
    <t xml:space="preserve">bfeaa63e3f888107f4be5700fa2423b1cf543f31365b17296d611749aa2365a1</t>
  </si>
  <si>
    <t xml:space="preserve">{"beforeSymbiontBonuses":true,"evaluationStage":"SKILL_STAGE_PRE_SYMBIONT","idUnique":1,"minValue":11,"requirementId":"REQ-BARGAINING-C","requirementSetId":"REQSET-BARGAINING-CREATION","ruleId":"CORE-167","skillKey":"BARGAINING","sourceQuestionId":"Q-CORE-024","statCode":"C"}</t>
  </si>
  <si>
    <t xml:space="preserve">2ba5c9682e956e38deddc62913eae670df78f6cdc3ebc1528488c7e52c93677e</t>
  </si>
  <si>
    <t xml:space="preserve">{"beforeSymbiontBonuses":true,"evaluationStage":"SKILL_STAGE_PRE_SYMBIONT","idUnique":1,"minValue":10,"requirementId":"REQ-BARGAINING-I","requirementSetId":"REQSET-BARGAINING-CREATION","ruleId":"CORE-167","skillKey":"BARGAINING","sourceQuestionId":"Q-CORE-024","statCode":"I"}</t>
  </si>
  <si>
    <t xml:space="preserve">c5017760d2c89c3e78b5fd006932abe0d675cded62d2a1648a9ab5aaa1459274</t>
  </si>
  <si>
    <t xml:space="preserve">{"beforeSymbiontBonuses":true,"evaluationStage":"SKILL_STAGE_PRE_SYMBIONT","idUnique":1,"minValue":11,"requirementId":"REQ-EXECUTIONER-C","requirementSetId":"REQSET-EXECUTIONER-CREATION","ruleId":"CORE-167","skillKey":"EXECUTIONER","sourceQuestionId":"Q-CORE-024","statCode":"C"}</t>
  </si>
  <si>
    <t xml:space="preserve">0f38ed46693a152963b0cdaf788511bba9155beb92394fdeacb498633cbdf2c8</t>
  </si>
  <si>
    <t xml:space="preserve">{"beforeSymbiontBonuses":true,"evaluationStage":"SKILL_STAGE_PRE_SYMBIONT","idUnique":1,"minValue":6,"requirementId":"REQ-EXECUTIONER-S","requirementSetId":"REQSET-EXECUTIONER-CREATION","ruleId":"CORE-167","skillKey":"EXECUTIONER","sourceQuestionId":"Q-CORE-024","statCode":"S"}</t>
  </si>
  <si>
    <t xml:space="preserve">bc4a7fe2760454f58c1fa674c409def908785a798b4ea4850ce9d0dda183afdd</t>
  </si>
  <si>
    <t xml:space="preserve">{"beforeSymbiontBonuses":true,"evaluationStage":"SKILL_STAGE_PRE_SYMBIONT","idUnique":1,"minValue":10,"requirementId":"REQ-WILDERNESS_SURVIVAL-I","requirementSetId":"REQSET-WILDERNESS_SURVIVAL-CREATION","ruleId":"CORE-167","skillKey":"WILDERNESS_SURVIVAL","sourceQuestionId":"Q-CORE-024","statCode":"I"}</t>
  </si>
  <si>
    <t xml:space="preserve">3a4fc4999235368bf65c6159e121a891903fd9abcb7fcaa45ec14b84dfe98804</t>
  </si>
  <si>
    <t xml:space="preserve">{"beforeSymbiontBonuses":true,"evaluationStage":"SKILL_STAGE_PRE_SYMBIONT","idUnique":1,"minValue":12,"requirementId":"REQ-WILDERNESS_SURVIVAL-W","requirementSetId":"REQSET-WILDERNESS_SURVIVAL-CREATION","ruleId":"CORE-167","skillKey":"WILDERNESS_SURVIVAL","sourceQuestionId":"Q-CORE-024","statCode":"W"}</t>
  </si>
  <si>
    <t xml:space="preserve">f2d5685c67fd03879044dcb3195338a847d336f7c0bb1a4c66da5cdf2ea629f5</t>
  </si>
  <si>
    <t xml:space="preserve">{"beforeSymbiontBonuses":true,"evaluationStage":"SKILL_STAGE_PRE_SYMBIONT","idUnique":1,"minValue":8,"requirementId":"REQ-WILDERNESS_SURVIVAL-S","requirementSetId":"REQSET-WILDERNESS_SURVIVAL-CREATION","ruleId":"CORE-167","skillKey":"WILDERNESS_SURVIVAL","sourceQuestionId":"Q-CORE-024","statCode":"S"}</t>
  </si>
  <si>
    <t xml:space="preserve">9fef151881a916bd15fa976c4e97caacc514ec116bf367db0a1977d20873fc7e</t>
  </si>
  <si>
    <t xml:space="preserve">{"beforeSymbiontBonuses":true,"evaluationStage":"SKILL_STAGE_PRE_SYMBIONT","idUnique":1,"minValue":8,"requirementId":"REQ-WILDERNESS_SURVIVAL-D","requirementSetId":"REQSET-WILDERNESS_SURVIVAL-CREATION","ruleId":"CORE-167","skillKey":"WILDERNESS_SURVIVAL","sourceQuestionId":"Q-CORE-024","statCode":"D"}</t>
  </si>
  <si>
    <t xml:space="preserve">a21ac957d644f20edfc3ece21fb71369c2f85f7906be35ff0246e2f0b2334cb0</t>
  </si>
  <si>
    <t xml:space="preserve">{"beforeSymbiontBonuses":true,"evaluationStage":"SKILL_STAGE_PRE_SYMBIONT","idUnique":1,"minValue":16,"requirementId":"REQ-LIGHTNING_REACTION-D","requirementSetId":"REQSET-LIGHTNING_REACTION-CREATION","ruleId":"CORE-167","skillKey":"LIGHTNING_REACTION","sourceQuestionId":"Q-CORE-024","statCode":"D"}</t>
  </si>
  <si>
    <t xml:space="preserve">2db81932865e947ded91e9bcc8b7ed1e6b17dcc4ce8e3bfb64059d3e2dce1677</t>
  </si>
  <si>
    <t xml:space="preserve">{"beforeSymbiontBonuses":true,"evaluationStage":"SKILL_STAGE_PRE_SYMBIONT","idUnique":1,"minValue":14,"requirementId":"REQ-LIGHTNING_REACTION-I","requirementSetId":"REQSET-LIGHTNING_REACTION-CREATION","ruleId":"CORE-167","skillKey":"LIGHTNING_REACTION","sourceQuestionId":"Q-CORE-024","statCode":"I"}</t>
  </si>
  <si>
    <t xml:space="preserve">1f0e8a30110f6331c1c4a46c1cff8ee0766360eb4abd527acf45b528eb3037f0</t>
  </si>
  <si>
    <t xml:space="preserve">{"beforeSymbiontBonuses":true,"evaluationStage":"SKILL_STAGE_PRE_SYMBIONT","idUnique":1,"minValue":14,"requirementId":"REQ-LIGHTNING_REACTION-W","requirementSetId":"REQSET-LIGHTNING_REACTION-CREATION","ruleId":"CORE-167","skillKey":"LIGHTNING_REACTION","sourceQuestionId":"Q-CORE-024","statCode":"W"}</t>
  </si>
  <si>
    <t xml:space="preserve">c5ff5fe0a47ecb9f8dd922679c8935b2a1af0fed173196331a46cfc74515aa82</t>
  </si>
  <si>
    <t xml:space="preserve">{"beforeSymbiontBonuses":true,"evaluationStage":"SKILL_STAGE_PRE_SYMBIONT","idUnique":1,"minValue":18,"requirementId":"REQ-VEHICLE_OPERATION-I","requirementSetId":"REQSET-VEHICLE_OPERATION-CREATION","ruleId":"CORE-167","skillKey":"VEHICLE_OPERATION","sourceQuestionId":"Q-CORE-024","statCode":"I"}</t>
  </si>
  <si>
    <t xml:space="preserve">79830529a1e92794d9d6dd70794a71469e7c8265d5f522a890c5b8ef96223264</t>
  </si>
  <si>
    <t xml:space="preserve">{"beforeSymbiontBonuses":true,"evaluationStage":"SKILL_STAGE_PRE_SYMBIONT","idUnique":1,"minValue":16,"requirementId":"REQ-VEHICLE_OPERATION-W","requirementSetId":"REQSET-VEHICLE_OPERATION-CREATION","ruleId":"CORE-167","skillKey":"VEHICLE_OPERATION","sourceQuestionId":"Q-CORE-024","statCode":"W"}</t>
  </si>
  <si>
    <t xml:space="preserve">47784f636a409919f34ad10440880588e79b18035c52296b1281bcdcc8822a5d</t>
  </si>
  <si>
    <t xml:space="preserve">{"beforeSymbiontBonuses":true,"evaluationStage":"SKILL_STAGE_PRE_SYMBIONT","idUnique":1,"minValue":14,"requirementId":"REQ-HEALTHY_LIFESTYLE-Z","requirementSetId":"REQSET-HEALTHY_LIFESTYLE-CREATION","ruleId":"CORE-167","skillKey":"HEALTHY_LIFESTYLE","sourceQuestionId":"Q-CORE-024","statCode":"Z"}</t>
  </si>
  <si>
    <t xml:space="preserve">fcf9e8284249202fafa9c475fe13b7eac58a9d280a46a6677ca3edabfd32b437</t>
  </si>
  <si>
    <t xml:space="preserve">{"beforeSymbiontBonuses":true,"evaluationStage":"SKILL_STAGE_PRE_SYMBIONT","idUnique":1,"minValue":8,"requirementId":"REQ-HEALTHY_LIFESTYLE-I","requirementSetId":"REQSET-HEALTHY_LIFESTYLE-CREATION","ruleId":"CORE-167","skillKey":"HEALTHY_LIFESTYLE","sourceQuestionId":"Q-CORE-024","statCode":"I"}</t>
  </si>
  <si>
    <t xml:space="preserve">4200e71cce47d864737bfe0f99067ee0d6f8419620c25d320b6524694dd935b4</t>
  </si>
  <si>
    <t xml:space="preserve">{"beforeSymbiontBonuses":true,"evaluationStage":"SKILL_STAGE_PRE_SYMBIONT","idUnique":1,"minValue":8,"requirementId":"REQ-HEALTHY_LIFESTYLE-W","requirementSetId":"REQSET-HEALTHY_LIFESTYLE-CREATION","ruleId":"CORE-167","skillKey":"HEALTHY_LIFESTYLE","sourceQuestionId":"Q-CORE-024","statCode":"W"}</t>
  </si>
  <si>
    <t xml:space="preserve">55a29f21783b0234315f5019c04d9bc76c572f2126937d54769c86d03dc842a5</t>
  </si>
  <si>
    <t xml:space="preserve">{"beforeSymbiontBonuses":true,"evaluationStage":"SKILL_STAGE_PRE_SYMBIONT","idUnique":1,"minValue":15,"requirementId":"REQ-INSIGHT-C","requirementSetId":"REQSET-INSIGHT-CREATION","ruleId":"CORE-167","skillKey":"INSIGHT","sourceQuestionId":"Q-CORE-024","statCode":"C"}</t>
  </si>
  <si>
    <t xml:space="preserve">5c610bb964c6a53737e8fd0cde5325a1570cfea106bbfa25a8217e00ac213156</t>
  </si>
  <si>
    <t xml:space="preserve">{"beforeSymbiontBonuses":true,"evaluationStage":"SKILL_STAGE_PRE_SYMBIONT","idUnique":1,"minValue":15,"requirementId":"REQ-INSIGHT-I","requirementSetId":"REQSET-INSIGHT-CREATION","ruleId":"CORE-167","skillKey":"INSIGHT","sourceQuestionId":"Q-CORE-024","statCode":"I"}</t>
  </si>
  <si>
    <t xml:space="preserve">2ec36c36d9132ec939070876affecf90c730eb8575287580d1de2cef371bd1d0</t>
  </si>
  <si>
    <t xml:space="preserve">{"beforeSymbiontBonuses":true,"evaluationStage":"SKILL_STAGE_PRE_SYMBIONT","idUnique":1,"minValue":7,"requirementId":"REQ-COOKING-W","requirementSetId":"REQSET-COOKING-CREATION","ruleId":"CORE-167","skillKey":"COOKING","sourceQuestionId":"Q-CORE-024","statCode":"W"}</t>
  </si>
  <si>
    <t xml:space="preserve">7da92d6909689468b0edaad3b74943ccaadea8f46afad35e7b1c0995d14434d6</t>
  </si>
  <si>
    <t xml:space="preserve">{"beforeSymbiontBonuses":true,"evaluationStage":"SKILL_STAGE_PRE_SYMBIONT","idUnique":1,"minValue":14,"requirementId":"REQ-MEDIC-I","requirementSetId":"REQSET-MEDIC-CREATION","ruleId":"CORE-167","skillKey":"MEDIC","sourceQuestionId":"Q-CORE-024","statCode":"I"}</t>
  </si>
  <si>
    <t xml:space="preserve">8d63c160f1e5b0468f6c4163a7c56a073a03ad73d6606de817006f71bce7b185</t>
  </si>
  <si>
    <t xml:space="preserve">{"beforeSymbiontBonuses":true,"evaluationStage":"SKILL_STAGE_PRE_SYMBIONT","idUnique":1,"minValue":12,"requirementId":"REQ-MEDIC-W","requirementSetId":"REQSET-MEDIC-CREATION","ruleId":"CORE-167","skillKey":"MEDIC","sourceQuestionId":"Q-CORE-024","statCode":"W"}</t>
  </si>
  <si>
    <t xml:space="preserve">68a1eec9a2b48866bd4844ef13323e6e592b480ba6385fe8f6e802e2f1fadd67</t>
  </si>
  <si>
    <t xml:space="preserve">{"beforeSymbiontBonuses":true,"evaluationStage":"SKILL_STAGE_PRE_SYMBIONT","idUnique":1,"minValue":10,"requirementId":"REQ-ERUDITION-I","requirementSetId":"REQSET-ERUDITION-CREATION","ruleId":"CORE-167","skillKey":"ERUDITION","sourceQuestionId":"Q-CORE-024","statCode":"I"}</t>
  </si>
  <si>
    <t xml:space="preserve">8f534f4346edecdccd4bef0739744cff8cecaddcf760d0461a86d729aace78ef</t>
  </si>
  <si>
    <t xml:space="preserve">{"beforeSymbiontBonuses":true,"evaluationStage":"SKILL_STAGE_PRE_SYMBIONT","idUnique":1,"minValue":12,"requirementId":"REQ-ERUDITION-W","requirementSetId":"REQSET-ERUDITION-CREATION","ruleId":"CORE-167","skillKey":"ERUDITION","sourceQuestionId":"Q-CORE-024","statCode":"W"}</t>
  </si>
  <si>
    <t xml:space="preserve">aa1533410101f6c526b95c6e85009f561d789cf85910062fde2ee28bf0cc539b</t>
  </si>
  <si>
    <t xml:space="preserve">{"beforeSymbiontBonuses":true,"evaluationStage":"SKILL_STAGE_PRE_SYMBIONT","idUnique":1,"minValue":14,"requirementId":"REQ-NATURAL_SCIENCE-I","requirementSetId":"REQSET-NATURAL_SCIENCE-CREATION","ruleId":"CORE-167","skillKey":"NATURAL_SCIENCE","sourceQuestionId":"Q-CORE-024","statCode":"I"}</t>
  </si>
  <si>
    <t xml:space="preserve">2f34783e9932b86cd4a9658b98c712d6bf856d778180aae507bc67c54b8d09d6</t>
  </si>
  <si>
    <t xml:space="preserve">{"beforeSymbiontBonuses":true,"evaluationStage":"SKILL_STAGE_PRE_SYMBIONT","idUnique":1,"minValue":10,"requirementId":"REQ-NATURAL_SCIENCE-W","requirementSetId":"REQSET-NATURAL_SCIENCE-CREATION","ruleId":"CORE-167","skillKey":"NATURAL_SCIENCE","sourceQuestionId":"Q-CORE-024","statCode":"W"}</t>
  </si>
  <si>
    <t xml:space="preserve">8271146e35f72e72c9e480e74952bfa1ba100c9012246e106c8b171637c60601</t>
  </si>
  <si>
    <t xml:space="preserve">{"beforeSymbiontBonuses":true,"evaluationStage":"SKILL_STAGE_PRE_SYMBIONT","idUnique":1,"minValue":8,"requirementId":"REQ-VETERAN_DRINKER-Z","requirementSetId":"REQSET-VETERAN_DRINKER-CREATION","ruleId":"CORE-167","skillKey":"VETERAN_DRINKER","sourceQuestionId":"Q-CORE-024","statCode":"Z"}</t>
  </si>
  <si>
    <t xml:space="preserve">ba4906caf8efe3b3e1368922f8d1d613a8ae3b5226a6a065cbac20b27ad82d71</t>
  </si>
  <si>
    <t xml:space="preserve">CHARACTER_MODIFIER</t>
  </si>
  <si>
    <t xml:space="preserve">{"applicationStage":"SKILL_STAGE","contextPredicate":"creationMode=MANUAL","idUnique":1,"modifierId":"MOD-RACE-FREE-MANUAL-S","operation":"ADD","ruleIds":["CORE-006"],"sourceId":"FREE","sourceType":"RACE","stackPolicy":"ADD_ONCE_PER_SOURCE","targetCode":"S","targetKind":"STAT","value":-2}</t>
  </si>
  <si>
    <t xml:space="preserve">de4dfec4bba1d29159167a3086fae5ea637da4fc1915591973bf126e7559a743</t>
  </si>
  <si>
    <t xml:space="preserve">{"applicationStage":"SKILL_STAGE","contextPredicate":"creationMode=MANUAL","idUnique":1,"modifierId":"MOD-RACE-FREE-MANUAL-M","operation":"ADD","ruleIds":["CORE-006"],"sourceId":"FREE","sourceType":"RACE","stackPolicy":"ADD_ONCE_PER_SOURCE","targetCode":"M","targetKind":"STAT","value":-2}</t>
  </si>
  <si>
    <t xml:space="preserve">93de0807c871d855dc40b573b98b73e6635db710ad8fc0485fb3917f4f788846</t>
  </si>
  <si>
    <t xml:space="preserve">{"applicationStage":"SKILL_STAGE","contextPredicate":"creationMode=MANUAL","idUnique":1,"modifierId":"MOD-RACE-FREE-MANUAL-Z","operation":"ADD","ruleIds":["CORE-006"],"sourceId":"FREE","sourceType":"RACE","stackPolicy":"ADD_ONCE_PER_SOURCE","targetCode":"Z","targetKind":"STAT","value":-2}</t>
  </si>
  <si>
    <t xml:space="preserve">c97347388377cb1fab412c8faf0180bf42d15f5b2b69f8baf1f248e5fe3d48c0</t>
  </si>
  <si>
    <t xml:space="preserve">{"applicationStage":"SKILL_STAGE","contextPredicate":"creationMode=RANDOM","idUnique":1,"modifierId":"MOD-RACE-UNITED-RANDOM-S","operation":"ADD","ruleIds":["CORE-001"],"sourceId":"UNITED","sourceType":"RACE","stackPolicy":"ADD_ONCE_PER_SOURCE","targetCode":"S","targetKind":"STAT","value":-3}</t>
  </si>
  <si>
    <t xml:space="preserve">a8347885ea5faea17f7f3bf1ed168b7521c7f0b9a6d7b82c470db618cb192eaa</t>
  </si>
  <si>
    <t xml:space="preserve">{"applicationStage":"SKILL_STAGE","contextPredicate":"creationMode=RANDOM","idUnique":1,"modifierId":"MOD-RACE-UNITED-RANDOM-M","operation":"ADD","ruleIds":["CORE-001"],"sourceId":"UNITED","sourceType":"RACE","stackPolicy":"ADD_ONCE_PER_SOURCE","targetCode":"M","targetKind":"STAT","value":-6}</t>
  </si>
  <si>
    <t xml:space="preserve">f68a865397cf699b6a56a3a6bd8b22977b50582595b348ebc051301405691ecc</t>
  </si>
  <si>
    <t xml:space="preserve">{"applicationStage":"SKILL_STAGE","contextPredicate":"creationMode=RANDOM","idUnique":1,"modifierId":"MOD-RACE-UNITED-RANDOM-Z","operation":"ADD","ruleIds":["CORE-001"],"sourceId":"UNITED","sourceType":"RACE","stackPolicy":"ADD_ONCE_PER_SOURCE","targetCode":"Z","targetKind":"STAT","value":-6}</t>
  </si>
  <si>
    <t xml:space="preserve">7c843f426f0d1a37912e099f5b978d2996d50c64e0d3b4322637d9b9fe23bbe9</t>
  </si>
  <si>
    <t xml:space="preserve">{"applicationStage":"SKILL_STAGE","contextPredicate":"creationMode=MANUAL","idUnique":1,"modifierId":"MOD-RACE-UNITED-MANUAL-S","operation":"ADD","ruleIds":["CORE-001"],"sourceId":"UNITED","sourceType":"RACE","stackPolicy":"ADD_ONCE_PER_SOURCE","targetCode":"S","targetKind":"STAT","value":-7}</t>
  </si>
  <si>
    <t xml:space="preserve">41084842c0243ee38dc7d66c6ca3494aed1768fa614ce63eca98b9063ac8b40f</t>
  </si>
  <si>
    <t xml:space="preserve">{"applicationStage":"SKILL_STAGE","contextPredicate":"creationMode=MANUAL","idUnique":1,"modifierId":"MOD-RACE-UNITED-MANUAL-M","operation":"ADD","ruleIds":["CORE-001"],"sourceId":"UNITED","sourceType":"RACE","stackPolicy":"ADD_ONCE_PER_SOURCE","targetCode":"M","targetKind":"STAT","value":-10}</t>
  </si>
  <si>
    <t xml:space="preserve">a54c8a6aa2a626367940d086f923f25d408be5ace4e7d73535982a9ebc28eb57</t>
  </si>
  <si>
    <t xml:space="preserve">{"applicationStage":"SKILL_STAGE","contextPredicate":"creationMode=MANUAL","idUnique":1,"modifierId":"MOD-RACE-UNITED-MANUAL-Z","operation":"ADD","ruleIds":["CORE-001"],"sourceId":"UNITED","sourceType":"RACE","stackPolicy":"ADD_ONCE_PER_SOURCE","targetCode":"Z","targetKind":"STAT","value":-10}</t>
  </si>
  <si>
    <t xml:space="preserve">1ad9653f030ee4b6b6fb9153fcfd198c8a536c2bfa9061ec4c10fc620940068d</t>
  </si>
  <si>
    <t xml:space="preserve">{"applicationStage":"CHECK_CONTEXT","contextPredicate":"socialTargetRace=UNITED","idUnique":1,"modifierId":"MOD-RACE-UNITED-C-VS-UNITED","operation":"ADD","ruleIds":["CORE-001"],"sourceId":"UNITED","sourceType":"RACE","stackPolicy":"MOST_SPECIFIC_CONTEXT","targetCode":"C","targetKind":"STAT","value":5}</t>
  </si>
  <si>
    <t xml:space="preserve">6431036c3abbc9ca4e1f76b2eebc1b4826464d345ae63ec91f3b10e894dafb1f</t>
  </si>
  <si>
    <t xml:space="preserve">{"applicationStage":"CHECK_CONTEXT","contextPredicate":"socialTargetRace=PURE","idUnique":1,"modifierId":"MOD-RACE-UNITED-C-VS-PURE","operation":"ADD","ruleIds":["CORE-001"],"sourceId":"UNITED","sourceType":"RACE","stackPolicy":"MOST_SPECIFIC_CONTEXT","targetCode":"C","targetKind":"STAT","value":-15}</t>
  </si>
  <si>
    <t xml:space="preserve">0ff119a0ae671b7b270c92dc86f59e4c73e8c4845b7411b7d125a83598e2558e</t>
  </si>
  <si>
    <t xml:space="preserve">{"applicationStage":"SKILL_STAGE","contextPredicate":"ownerRace=PURE","idUnique":1,"modifierId":"MOD-CLASS-SEEKER-S","operation":"ADD","ruleIds":["CORE-009"],"sourceId":"SEEKER","sourceType":"PURE_CLASS","stackPolicy":"ADD_ONCE_PER_SOURCE","targetCode":"S","targetKind":"STAT","value":2}</t>
  </si>
  <si>
    <t xml:space="preserve">76c92ac0c5876e729d8c5da88c15c521aa9e9c3e49361a7be7d592e2d5cf3ca3</t>
  </si>
  <si>
    <t xml:space="preserve">{"applicationStage":"SKILL_STAGE","contextPredicate":"ownerRace=PURE","idUnique":1,"modifierId":"MOD-CLASS-SEEKER-D","operation":"ADD","ruleIds":["CORE-009"],"sourceId":"SEEKER","sourceType":"PURE_CLASS","stackPolicy":"ADD_ONCE_PER_SOURCE","targetCode":"D","targetKind":"STAT","value":2}</t>
  </si>
  <si>
    <t xml:space="preserve">9bb2d46025fd63e581c0a8b05cd820e6376c44381dd04bafe582a86c42b34c3f</t>
  </si>
  <si>
    <t xml:space="preserve">{"applicationStage":"SKILL_STAGE","contextPredicate":"ownerRace=PURE","idUnique":1,"modifierId":"MOD-CLASS-SEEKER-Z","operation":"ADD","ruleIds":["CORE-009"],"sourceId":"SEEKER","sourceType":"PURE_CLASS","stackPolicy":"ADD_ONCE_PER_SOURCE","targetCode":"Z","targetKind":"STAT","value":5}</t>
  </si>
  <si>
    <t xml:space="preserve">5ac7492c8b4b683b73fa5b7386d95247eeb0754938a065cfd7125350915be7bc</t>
  </si>
  <si>
    <t xml:space="preserve">{"applicationStage":"SKILL_STAGE","contextPredicate":"ownerRace=PURE","idUnique":1,"modifierId":"MOD-CLASS-SEEKER-I","operation":"ADD","ruleIds":["CORE-009"],"sourceId":"SEEKER","sourceType":"PURE_CLASS","stackPolicy":"ADD_ONCE_PER_SOURCE","targetCode":"I","targetKind":"STAT","value":7}</t>
  </si>
  <si>
    <t xml:space="preserve">a8648d5feb80f086cfcd54364b0251fbfd71bfe2601ea09e362daf7a4276a420</t>
  </si>
  <si>
    <t xml:space="preserve">{"applicationStage":"CHECK_CONTEXT","contextPredicate":"socialTargetRace=PURE","idUnique":1,"modifierId":"MOD-CLASS-SEEKER-C-VS-PURE","operation":"ADD","ruleIds":["CORE-009"],"sourceId":"SEEKER","sourceType":"PURE_CLASS","stackPolicy":"MOST_SPECIFIC_CONTEXT","targetCode":"C","targetKind":"STAT","value":5}</t>
  </si>
  <si>
    <t xml:space="preserve">afbdce38a40ca73e49bb92e3520c48c52a512d0cf9014837931b207a7a2f066a</t>
  </si>
  <si>
    <t xml:space="preserve">{"applicationStage":"CHECK_CONTEXT","contextPredicate":"socialTargetRace=UNITED","idUnique":1,"modifierId":"MOD-CLASS-SEEKER-C-VS-UNITED","operation":"ADD","ruleIds":["CORE-009"],"sourceId":"SEEKER","sourceType":"PURE_CLASS","stackPolicy":"MOST_SPECIFIC_CONTEXT","targetCode":"C","targetKind":"STAT","value":-15}</t>
  </si>
  <si>
    <t xml:space="preserve">6a89d0c9f2e009a61322e2eef2b4f4afd0190cf517d67a78829389849572a751</t>
  </si>
  <si>
    <t xml:space="preserve">{"applicationStage":"SKILL_STAGE","contextPredicate":"ownerRace=PURE","idUnique":1,"modifierId":"MOD-CLASS-STALKER-S","operation":"ADD","ruleIds":["CORE-010"],"sourceId":"STALKER","sourceType":"PURE_CLASS","stackPolicy":"ADD_ONCE_PER_SOURCE","targetCode":"S","targetKind":"STAT","value":2}</t>
  </si>
  <si>
    <t xml:space="preserve">9896cf4b69593295d2cc61f17d8e26f1c25c7bc17ce616994adae712082efe4d</t>
  </si>
  <si>
    <t xml:space="preserve">{"applicationStage":"SKILL_STAGE","contextPredicate":"ownerRace=PURE","idUnique":1,"modifierId":"MOD-CLASS-STALKER-D","operation":"ADD","ruleIds":["CORE-010"],"sourceId":"STALKER","sourceType":"PURE_CLASS","stackPolicy":"ADD_ONCE_PER_SOURCE","targetCode":"D","targetKind":"STAT","value":5}</t>
  </si>
  <si>
    <t xml:space="preserve">fbbd6ea1691c930f639303552812aa488fa176edcb35a4584c54585819b99628</t>
  </si>
  <si>
    <t xml:space="preserve">{"applicationStage":"SKILL_STAGE","contextPredicate":"ownerRace=PURE","idUnique":1,"modifierId":"MOD-CLASS-STALKER-M","operation":"ADD","ruleIds":["CORE-010"],"sourceId":"STALKER","sourceType":"PURE_CLASS","stackPolicy":"ADD_ONCE_PER_SOURCE","targetCode":"M","targetKind":"STAT","value":5}</t>
  </si>
  <si>
    <t xml:space="preserve">bec1e3852f9aef2a9c7982ed6024b3710015af4e38c1e85fcaaff13aa989e7ae</t>
  </si>
  <si>
    <t xml:space="preserve">{"applicationStage":"SKILL_STAGE","contextPredicate":"ownerRace=PURE","idUnique":1,"modifierId":"MOD-CLASS-STALKER-Z","operation":"ADD","ruleIds":["CORE-010"],"sourceId":"STALKER","sourceType":"PURE_CLASS","stackPolicy":"ADD_ONCE_PER_SOURCE","targetCode":"Z","targetKind":"STAT","value":5}</t>
  </si>
  <si>
    <t xml:space="preserve">8dc33642c3ff06d91e1bd4bc21c9ce38fb018cd6950315c0c5995b35b79fe71a</t>
  </si>
  <si>
    <t xml:space="preserve">{"applicationStage":"CHECK_CONTEXT","contextPredicate":"socialTargetRace=PURE","idUnique":1,"modifierId":"MOD-CLASS-STALKER-C-VS-PURE","operation":"ADD","ruleIds":["CORE-010"],"sourceId":"STALKER","sourceType":"PURE_CLASS","stackPolicy":"MOST_SPECIFIC_CONTEXT","targetCode":"C","targetKind":"STAT","value":5}</t>
  </si>
  <si>
    <t xml:space="preserve">9df935389b53afac6de302deaaddec302759c470ee4b080863260bb3dd46d501</t>
  </si>
  <si>
    <t xml:space="preserve">{"applicationStage":"CHECK_CONTEXT","contextPredicate":"socialTargetRace=UNITED","idUnique":1,"modifierId":"MOD-CLASS-STALKER-C-VS-UNITED","operation":"ADD","ruleIds":["CORE-010"],"sourceId":"STALKER","sourceType":"PURE_CLASS","stackPolicy":"MOST_SPECIFIC_CONTEXT","targetCode":"C","targetKind":"STAT","value":-10}</t>
  </si>
  <si>
    <t xml:space="preserve">557a5b64aea419e73261ee6a9dacb792aa327e655c57158abec1d2dd2c0c1abd</t>
  </si>
  <si>
    <t xml:space="preserve">{"applicationStage":"SKILL_STAGE","contextPredicate":"ownerRace=PURE","idUnique":1,"modifierId":"MOD-CLASS-SOLDIER-S","operation":"ADD","ruleIds":["CORE-013"],"sourceId":"SOLDIER","sourceType":"PURE_CLASS","stackPolicy":"ADD_ONCE_PER_SOURCE","targetCode":"S","targetKind":"STAT","value":5}</t>
  </si>
  <si>
    <t xml:space="preserve">05696aaaf7a9dc9fdb56606d4eb10d41c2e5bcbb56041dc99d2e65baa872449e</t>
  </si>
  <si>
    <t xml:space="preserve">{"applicationStage":"SKILL_STAGE","contextPredicate":"ownerRace=PURE","idUnique":1,"modifierId":"MOD-CLASS-SOLDIER-D","operation":"ADD","ruleIds":["CORE-013"],"sourceId":"SOLDIER","sourceType":"PURE_CLASS","stackPolicy":"ADD_ONCE_PER_SOURCE","targetCode":"D","targetKind":"STAT","value":2}</t>
  </si>
  <si>
    <t xml:space="preserve">f20f80b5bd35ddd83a5629ab9795b9add97f45b3ae51c213f6af67acbfd3c6d3</t>
  </si>
  <si>
    <t xml:space="preserve">{"applicationStage":"SKILL_STAGE","contextPredicate":"ownerRace=PURE","idUnique":1,"modifierId":"MOD-CLASS-SOLDIER-M","operation":"ADD","ruleIds":["CORE-013"],"sourceId":"SOLDIER","sourceType":"PURE_CLASS","stackPolicy":"ADD_ONCE_PER_SOURCE","targetCode":"M","targetKind":"STAT","value":5}</t>
  </si>
  <si>
    <t xml:space="preserve">89276b5b088a7accf7559dcd80f2c0b13ac2ca39141de190027b784f76780a46</t>
  </si>
  <si>
    <t xml:space="preserve">{"applicationStage":"SKILL_STAGE","contextPredicate":"ownerRace=PURE","idUnique":1,"modifierId":"MOD-CLASS-SOLDIER-Z","operation":"ADD","ruleIds":["CORE-013"],"sourceId":"SOLDIER","sourceType":"PURE_CLASS","stackPolicy":"ADD_ONCE_PER_SOURCE","targetCode":"Z","targetKind":"STAT","value":5}</t>
  </si>
  <si>
    <t xml:space="preserve">facd36fa83d4763f6fe48af0766e0c3f7c9e1552316e9e8f13a8f6ed044e1f31</t>
  </si>
  <si>
    <t xml:space="preserve">{"applicationStage":"CHECK_CONTEXT","contextPredicate":"socialTargetRace=PURE","idUnique":1,"modifierId":"MOD-CLASS-SOLDIER-C-VS-PURE","operation":"ADD","ruleIds":["CORE-013"],"sourceId":"SOLDIER","sourceType":"PURE_CLASS","stackPolicy":"MOST_SPECIFIC_CONTEXT","targetCode":"C","targetKind":"STAT","value":5}</t>
  </si>
  <si>
    <t xml:space="preserve">711f1d3dd483dfe84a0433593cc87f23640a267f890fb5e9cec4d6bd2305e61b</t>
  </si>
  <si>
    <t xml:space="preserve">{"applicationStage":"CHECK_CONTEXT","contextPredicate":"socialTargetRace=UNITED","idUnique":1,"modifierId":"MOD-CLASS-SOLDIER-C-VS-UNITED","operation":"ADD","ruleIds":["CORE-013"],"sourceId":"SOLDIER","sourceType":"PURE_CLASS","stackPolicy":"MOST_SPECIFIC_CONTEXT","targetCode":"C","targetKind":"STAT","value":-20}</t>
  </si>
  <si>
    <t xml:space="preserve">c6edb94abd3797abf627ff1bcfdd90df0808a11525d31c42499cc38b9fe02f34</t>
  </si>
  <si>
    <t xml:space="preserve">{"applicationStage":"EFFECTIVE_STATS","contextPredicate":"symbiontActive=true","idUnique":1,"modifierId":"MOD-SYMBIONT-TAIPAN-Z","operation":"ADD","ruleIds":["SYM-037"],"sourceId":"TAIPAN","sourceType":"SYMBIONT_PROFILE","stackPolicy":"ADD_ONCE_PER_ACTIVE_SPECIES","targetCode":"Z","targetKind":"STAT","value":-5}</t>
  </si>
  <si>
    <t xml:space="preserve">bb31d9611c7c49d62317275d891e9d3e509ce2336cfee8049625ebbfe81c5175</t>
  </si>
  <si>
    <t xml:space="preserve">{"applicationStage":"EFFECTIVE_STATS","contextPredicate":"symbiontActive=true","idUnique":1,"modifierId":"MOD-SYMBIONT-OWL-W","operation":"ADD","ruleIds":["SYM-046"],"sourceId":"OWL","sourceType":"SYMBIONT_PROFILE","stackPolicy":"ADD_ONCE_PER_ACTIVE_SPECIES","targetCode":"W","targetKind":"STAT","value":5}</t>
  </si>
  <si>
    <t xml:space="preserve">3f99b839a723f51e1f2f2ece00f626ce00e516b78e020be9cb0bc7de38ed3f2f</t>
  </si>
  <si>
    <t xml:space="preserve">{"applicationStage":"EFFECTIVE_STATS","contextPredicate":"symbiontActive=true","idUnique":1,"modifierId":"MOD-SYMBIONT-DRAGON-M","operation":"ADD","ruleIds":["SYM-067"],"sourceId":"DRAGON","sourceType":"SYMBIONT_PROFILE","stackPolicy":"ADD_ONCE_PER_ACTIVE_SPECIES","targetCode":"M","targetKind":"STAT","value":-5}</t>
  </si>
  <si>
    <t xml:space="preserve">015ea41925c8066695af16fb2679329a9a5ff727fa9a0450cfbbc3d74a3aa33d</t>
  </si>
  <si>
    <t xml:space="preserve">{"applicationStage":"EFFECTIVE_STATS","contextPredicate":"symbiontActive=true","idUnique":1,"modifierId":"MOD-SYMBIONT-DRAGON-Z","operation":"ADD","ruleIds":["SYM-067"],"sourceId":"DRAGON","sourceType":"SYMBIONT_PROFILE","stackPolicy":"ADD_ONCE_PER_ACTIVE_SPECIES","targetCode":"Z","targetKind":"STAT","value":-5}</t>
  </si>
  <si>
    <t xml:space="preserve">7e1798399541797bc7e8b218f634f872d0dabe9a074468931447f55f22fca0d8</t>
  </si>
  <si>
    <t xml:space="preserve">{"applicationStage":"EFFECTIVE_STATS","contextPredicate":"symbiontActive=true","idUnique":1,"modifierId":"MOD-SYMBIONT-TOAD-Z","operation":"ADD","ruleIds":["SYM-143"],"sourceId":"TOAD","sourceType":"SYMBIONT_PROFILE","stackPolicy":"ADD_ONCE_PER_ACTIVE_SPECIES","targetCode":"Z","targetKind":"STAT","value":5}</t>
  </si>
  <si>
    <t xml:space="preserve">3c6e09c75df490e8ec9c9bad963f153ccde5afd7ecd69112daf261ade35a9d58</t>
  </si>
  <si>
    <t xml:space="preserve">{"applicationStage":"EFFECTIVE_STATS","contextPredicate":"symbiontActive=true","idUnique":1,"modifierId":"MOD-SYMBIONT-MANTIS-D","operation":"ADD","ruleIds":["SYM-167"],"sourceId":"MANTIS","sourceType":"SYMBIONT_PROFILE","stackPolicy":"ADD_ONCE_PER_ACTIVE_SPECIES","targetCode":"D","targetKind":"STAT","value":5}</t>
  </si>
  <si>
    <t xml:space="preserve">028e45b47e6f413be593186be803bfda3a831da70247f38c85eb9efbaac1ea76</t>
  </si>
  <si>
    <t xml:space="preserve">{"applicationStage":"EFFECTIVE_STATS","contextPredicate":"symbiontActive=true AND NOT equippedHermeticNate","idUnique":1,"modifierId":"MOD-SYMBIONT-SKUNK-C","operation":"ADD","ruleIds":["SYM-174"],"sourceId":"SKUNK","sourceType":"SYMBIONT_PROFILE","stackPolicy":"ADD_ONCE_PER_ACTIVE_SPECIES","targetCode":"C","targetKind":"STAT","value":-10}</t>
  </si>
  <si>
    <t xml:space="preserve">2e3bb20d48db9a1b4c6af4f6fef25b7334370ac897eeccee30fea8a7312585ea</t>
  </si>
  <si>
    <t xml:space="preserve">{"applicationStage":"EFFECTIVE_STATS","contextPredicate":"symbiontActive=true","idUnique":1,"modifierId":"MOD-SYMBIONT-CHIMERA-S","operation":"ADD","ruleIds":["MON-002"],"sourceId":"CHIMERA","sourceType":"SYMBIONT_PROFILE","stackPolicy":"ADD_ONCE_PER_ACTIVE_SPECIES","targetCode":"S","targetKind":"STAT","value":5}</t>
  </si>
  <si>
    <t xml:space="preserve">ecc19c3eed0d68c37648a53d2c4e7f46bb3ca592a5802c77eb885d4888fe2e2f</t>
  </si>
  <si>
    <t xml:space="preserve">{"applicationStage":"EFFECTIVE_STATS","contextPredicate":"symbiontActive=true","idUnique":1,"modifierId":"MOD-SYMBIONT-CHIMERA-M","operation":"ADD","ruleIds":["MON-002"],"sourceId":"CHIMERA","sourceType":"SYMBIONT_PROFILE","stackPolicy":"ADD_ONCE_PER_ACTIVE_SPECIES","targetCode":"M","targetKind":"STAT","value":10}</t>
  </si>
  <si>
    <t xml:space="preserve">0a94a6cc5ccf45e7c4590d1b7c9574614cdc58ec6d6f5c08d1e77a90250d2c58</t>
  </si>
  <si>
    <t xml:space="preserve">{"applicationStage":"EFFECTIVE_STATS","contextPredicate":"symbiontActive=true","idUnique":1,"modifierId":"MOD-SYMBIONT-PUPPETEER-C","operation":"ADD","ruleIds":["MON-025"],"sourceId":"PUPPETEER","sourceType":"SYMBIONT_PROFILE","stackPolicy":"ADD_ONCE_PER_ACTIVE_SPECIES","targetCode":"C","targetKind":"STAT","value":10}</t>
  </si>
  <si>
    <t xml:space="preserve">0e12514bb77a293429d624df89ecad8290e9d9ad9f4a40f8538032a75c6ff9d8</t>
  </si>
  <si>
    <t xml:space="preserve">{"applicationStage":"EFFECTIVE_STATS","contextPredicate":"symbiontActive=true","idUnique":1,"modifierId":"MOD-SYMBIONT-PLAGUE_DOCTOR-S","operation":"ADD","ruleIds":["MON-040"],"sourceId":"PLAGUE_DOCTOR","sourceType":"SYMBIONT_PROFILE","stackPolicy":"ADD_ONCE_PER_ACTIVE_SPECIES","targetCode":"S","targetKind":"STAT","value":-5}</t>
  </si>
  <si>
    <t xml:space="preserve">6e178cd10e6983a58209c73c9a46b106574863800d12a46d235795401320711f</t>
  </si>
  <si>
    <t xml:space="preserve">{"applicationStage":"EFFECTIVE_STATS","contextPredicate":"symbiontActive=true","idUnique":1,"modifierId":"MOD-SYMBIONT-PLAGUE_DOCTOR-D","operation":"ADD","ruleIds":["MON-040"],"sourceId":"PLAGUE_DOCTOR","sourceType":"SYMBIONT_PROFILE","stackPolicy":"ADD_ONCE_PER_ACTIVE_SPECIES","targetCode":"D","targetKind":"STAT","value":-5}</t>
  </si>
  <si>
    <t xml:space="preserve">3aa53ea23ed60211eeda31ac042f74b5bd8517f2fdc65ad6c2a000e0cf8bd6b8</t>
  </si>
  <si>
    <t xml:space="preserve">{"applicationStage":"EFFECTIVE_STATS","contextPredicate":"symbiontActive=true","idUnique":1,"modifierId":"MOD-SYMBIONT-PLAGUE_DOCTOR-M","operation":"ADD","ruleIds":["MON-040"],"sourceId":"PLAGUE_DOCTOR","sourceType":"SYMBIONT_PROFILE","stackPolicy":"ADD_ONCE_PER_ACTIVE_SPECIES","targetCode":"M","targetKind":"STAT","value":-5}</t>
  </si>
  <si>
    <t xml:space="preserve">03779e2a8c15f2ce1fafbd12c875d58553868070055f87e67fb631750bdea5e9</t>
  </si>
  <si>
    <t xml:space="preserve">{"applicationStage":"EFFECTIVE_STATS","contextPredicate":"symbiontActive=true","idUnique":1,"modifierId":"MOD-SYMBIONT-PLAGUE_DOCTOR-I","operation":"ADD","ruleIds":["MON-040"],"sourceId":"PLAGUE_DOCTOR","sourceType":"SYMBIONT_PROFILE","stackPolicy":"ADD_ONCE_PER_ACTIVE_SPECIES","targetCode":"I","targetKind":"STAT","value":10}</t>
  </si>
  <si>
    <t xml:space="preserve">614979b3d380bc78050f550a209cc68bbf402bd41514b691d272e26648aa04f2</t>
  </si>
  <si>
    <t xml:space="preserve">{"additionalSlotPolicy":"NONE","allowedRaceCodes":["FREE","UNITED"],"branchPolicy":"XOR+OR","idUnique":1,"linkedStatCodes":["I"],"maxL":6,"monsterProfileId":"","nameRu":"Ткач","oeMultiplier":50,"oePolicy":"baseMaxOE=50×L; currentOE clamped to max; new instance full except transplant=0","profileRuleId":"SYM-026","ruleIds":"SYM-026; SYM-009; SYM-020; SYM-021; SYM-022; SYM-024","slotCost":1,"source":"7.5.1–7.5.1.1, стр. 115 (дерево прочитано визуально).","speciesKey":"WEAVER","status":"ACTIVE","symbiontKind":"ORDINARY","xpPolicy":"SYM-021_AWARD; SYM-022_NODE_COST_EQUALS_NODE_LEVEL"}</t>
  </si>
  <si>
    <t xml:space="preserve">57720879c68a25758ee354960c7572438601bdf70ca598e2686d811efdde9218</t>
  </si>
  <si>
    <t xml:space="preserve">{"additionalSlotPolicy":"NONE","allowedRaceCodes":["FREE","UNITED"],"branchPolicy":"LINEAR_OR_EXPLICIT_PARENTS","idUnique":1,"linkedStatCodes":["D","W"],"maxL":7,"monsterProfileId":"","nameRu":"Тайпан","oeMultiplier":50,"oePolicy":"baseMaxOE=50×L; currentOE clamped to max; new instance full except transplant=0","profileRuleId":"SYM-037","ruleIds":"SYM-037; SYM-009; SYM-020; SYM-021; SYM-022; SYM-024","slotCost":1,"source":"7.5.2–7.5.2.1, стр. 118 (дерево прочитано визуально).","speciesKey":"TAIPAN","status":"ACTIVE","symbiontKind":"ORDINARY","xpPolicy":"SYM-021_AWARD; SYM-022_NODE_COST_EQUALS_NODE_LEVEL"}</t>
  </si>
  <si>
    <t xml:space="preserve">180aa297b0d6e42dcc7ddb821e47669e61d205ad7e3217fcb35a90352f4ebc3e</t>
  </si>
  <si>
    <t xml:space="preserve">{"additionalSlotPolicy":"NONE","allowedRaceCodes":["FREE","UNITED"],"branchPolicy":"LINEAR_OR_EXPLICIT_PARENTS","idUnique":1,"linkedStatCodes":["W"],"maxL":6,"monsterProfileId":"","nameRu":"Сова","oeMultiplier":10,"oePolicy":"baseMaxOE=10×L; currentOE clamped to max; new instance full except transplant=0","profileRuleId":"SYM-046","ruleIds":"SYM-046; SYM-009; SYM-020; SYM-021; SYM-022; SYM-024","slotCost":1,"source":"7.5.3–7.5.3.1, стр. 121 (дерево прочитано визуально).","speciesKey":"OWL","status":"ACTIVE","symbiontKind":"ORDINARY","xpPolicy":"SYM-021_AWARD; SYM-022_NODE_COST_EQUALS_NODE_LEVEL"}</t>
  </si>
  <si>
    <t xml:space="preserve">e3a2e1e5e6052cc377cb99cd0fde078ee655c923116e1a9e674be094902bed2c</t>
  </si>
  <si>
    <t xml:space="preserve">{"additionalSlotPolicy":"NONE","allowedRaceCodes":["FREE","UNITED"],"branchPolicy":"LINEAR_OR_EXPLICIT_PARENTS","idUnique":1,"linkedStatCodes":["W"],"maxL":6,"monsterProfileId":"","nameRu":"Учитель","oeMultiplier":20,"oePolicy":"baseMaxOE=20×L; currentOE clamped to max; new instance full except transplant=0","profileRuleId":"SYM-053","ruleIds":"SYM-053; SYM-009; SYM-020; SYM-021; SYM-022; SYM-024","slotCost":1,"source":"7.5.4–7.5.4.1, стр. 123 (дерево прочитано визуально).","speciesKey":"TEACHER","status":"ACTIVE","symbiontKind":"ORDINARY","xpPolicy":"SYM-021_AWARD; SYM-022_NODE_COST_EQUALS_NODE_LEVEL"}</t>
  </si>
  <si>
    <t xml:space="preserve">86116d42bf699d41314592ad62cebd2075db22a48f5e52749d3937376671dfb8</t>
  </si>
  <si>
    <t xml:space="preserve">{"additionalSlotPolicy":"NONE","allowedRaceCodes":["FREE","UNITED"],"branchPolicy":"LINEAR_OR_EXPLICIT_PARENTS","idUnique":1,"linkedStatCodes":["M","Z"],"maxL":6,"monsterProfileId":"","nameRu":"Броненосец","oeMultiplier":50,"oePolicy":"baseMaxOE=50×L; currentOE clamped to max; new instance full except transplant=0","profileRuleId":"SYM-060","ruleIds":"SYM-060; SYM-009; SYM-020; SYM-021; SYM-022; SYM-024","slotCost":1,"source":"7.5.5–7.5.5.1, стр. 125 (дерево прочитано визуально).","speciesKey":"ARMADILLO","status":"ACTIVE","symbiontKind":"ORDINARY","xpPolicy":"SYM-021_AWARD; SYM-022_NODE_COST_EQUALS_NODE_LEVEL"}</t>
  </si>
  <si>
    <t xml:space="preserve">ae74ec353a8e7e3f5eeaec0e26939ef37ace7be75b84900158944de5e16abcff</t>
  </si>
  <si>
    <t xml:space="preserve">{"additionalSlotPolicy":"NONE","allowedRaceCodes":["FREE","UNITED"],"branchPolicy":"LINEAR_OR_EXPLICIT_PARENTS","idUnique":1,"linkedStatCodes":["D","W"],"maxL":6,"monsterProfileId":"","nameRu":"Дракон","oeMultiplier":30,"oePolicy":"baseMaxOE=30×L; currentOE clamped to max; new instance full except transplant=0","profileRuleId":"SYM-067","ruleIds":"SYM-067; SYM-009; SYM-020; SYM-021; SYM-022; SYM-024","slotCost":1,"source":"7.5.6–7.5.6.1, стр. 127 (дерево прочитано визуально).","speciesKey":"DRAGON","status":"ACTIVE","symbiontKind":"ORDINARY","xpPolicy":"SYM-021_AWARD; SYM-022_NODE_COST_EQUALS_NODE_LEVEL"}</t>
  </si>
  <si>
    <t xml:space="preserve">8ea47e09574d3a5ac4cf39070f7f63ae49fe2eada7be0773f405a80857ebb0ec</t>
  </si>
  <si>
    <t xml:space="preserve">{"additionalSlotPolicy":"NONE","allowedRaceCodes":["FREE","UNITED"],"branchPolicy":"XOR","idUnique":1,"linkedStatCodes":["S","D","M"],"maxL":6,"monsterProfileId":"","nameRu":"Трогр","oeMultiplier":1000,"oePolicy":"baseMaxOE=1000×L; currentOE clamped to max; new instance full except transplant=0","profileRuleId":"SYM-074","ruleIds":"SYM-074; SYM-009; SYM-020; SYM-021; SYM-022; SYM-024","slotCost":1,"source":"7.5.7–7.5.7.1, стр. 129 (дерево прочитано визуально).","speciesKey":"TROGR","status":"ACTIVE","symbiontKind":"ORDINARY","xpPolicy":"SYM-021_AWARD; SYM-022_NODE_COST_EQUALS_NODE_LEVEL"}</t>
  </si>
  <si>
    <t xml:space="preserve">4a9b7c8d17964d0f4bbd7cfcfbb91b1501d06d66f3643f17dd76aac5294a2313</t>
  </si>
  <si>
    <t xml:space="preserve">{"additionalSlotPolicy":"NONE","allowedRaceCodes":["FREE","UNITED"],"branchPolicy":"OR","idUnique":1,"linkedStatCodes":["Z","W"],"maxL":6,"monsterProfileId":"","nameRu":"Хранитель","oeMultiplier":100,"oePolicy":"baseMaxOE=100×L; currentOE clamped to max; new instance full except transplant=0; Кромсатель заменяет формулу на 200×L","profileRuleId":"SYM-083","ruleIds":"SYM-083; SYM-009; SYM-020; SYM-021; SYM-022; SYM-024","slotCost":1,"source":"7.5.8–7.5.8.1, стр. 131 (дерево прочитано визуально).","speciesKey":"KEEPER","status":"ACTIVE","symbiontKind":"ORDINARY","xpPolicy":"SYM-021_AWARD; SYM-022_NODE_COST_EQUALS_NODE_LEVEL"}</t>
  </si>
  <si>
    <t xml:space="preserve">1c0808a7237ca7fda74f9cfbaeaacab7365c3fdac1e30895b82436dc42ee8ce5</t>
  </si>
  <si>
    <t xml:space="preserve">{"additionalSlotPolicy":"NONE","allowedRaceCodes":["FREE","UNITED"],"branchPolicy":"LINEAR_OR_EXPLICIT_PARENTS","idUnique":1,"linkedStatCodes":["I","W"],"maxL":6,"monsterProfileId":"","nameRu":"Советник","oeMultiplier":20,"oePolicy":"baseMaxOE=20×L; currentOE clamped to max; new instance full except transplant=0","profileRuleId":"SYM-095","ruleIds":"SYM-095; SYM-009; SYM-020; SYM-021; SYM-022; SYM-024","slotCost":1,"source":"7.5.9–7.5.9.1, стр. 134 (дерево прочитано визуально).","speciesKey":"ADVISER","status":"ACTIVE","symbiontKind":"ORDINARY","xpPolicy":"SYM-021_AWARD; SYM-022_NODE_COST_EQUALS_NODE_LEVEL"}</t>
  </si>
  <si>
    <t xml:space="preserve">2c52072daaead498baa4856bd55fe7be93be5fd7c5d4280280b145b7883b6078</t>
  </si>
  <si>
    <t xml:space="preserve">{"additionalSlotPolicy":"NONE","allowedRaceCodes":["FREE","UNITED"],"branchPolicy":"LINEAR_OR_EXPLICIT_PARENTS","idUnique":1,"linkedStatCodes":["S","D"],"maxL":6,"monsterProfileId":"","nameRu":"Клещ","oeMultiplier":50,"oePolicy":"baseMaxOE=50×L; currentOE clamped to max; new instance full except transplant=0","profileRuleId":"SYM-102","ruleIds":"SYM-102; SYM-009; SYM-020; SYM-021; SYM-022; SYM-024","slotCost":1,"source":"7.5.10–7.5.10.1, стр. 136 (дерево прочитано визуально).","speciesKey":"TICK","status":"ACTIVE","symbiontKind":"ORDINARY","xpPolicy":"SYM-021_AWARD; SYM-022_NODE_COST_EQUALS_NODE_LEVEL"}</t>
  </si>
  <si>
    <t xml:space="preserve">7868dc09128d86e7bf2f235743003539e21d67f964b88821d76111493e4f3a46</t>
  </si>
  <si>
    <t xml:space="preserve">{"additionalSlotPolicy":"NONE","allowedRaceCodes":["FREE","UNITED"],"branchPolicy":"LINEAR_OR_EXPLICIT_PARENTS","idUnique":1,"linkedStatCodes":["D","M"],"maxL":6,"monsterProfileId":"","nameRu":"Сверчок","oeMultiplier":50,"oePolicy":"baseMaxOE=50×L; currentOE clamped to max; new instance full except transplant=0","profileRuleId":"SYM-109","ruleIds":"SYM-109; SYM-009; SYM-020; SYM-021; SYM-022; SYM-024","slotCost":1,"source":"7.5.11–7.5.11.1, стр. 138 (дерево прочитано визуально).","speciesKey":"CRICKET","status":"ACTIVE","symbiontKind":"ORDINARY","xpPolicy":"SYM-021_AWARD; SYM-022_NODE_COST_EQUALS_NODE_LEVEL"}</t>
  </si>
  <si>
    <t xml:space="preserve">e4c26a5b6c0b319afa34683ed3586b5df19bbea802fc50d2163cdd153d02f901</t>
  </si>
  <si>
    <t xml:space="preserve">{"additionalSlotPolicy":"NONE","allowedRaceCodes":["FREE","UNITED"],"branchPolicy":"LINEAR_OR_EXPLICIT_PARENTS","idUnique":1,"linkedStatCodes":["D","W"],"maxL":6,"monsterProfileId":"","nameRu":"Паук","oeMultiplier":50,"oePolicy":"baseMaxOE=50×L; currentOE clamped to max; new instance full except transplant=0","profileRuleId":"SYM-116","ruleIds":"SYM-116; SYM-009; SYM-020; SYM-021; SYM-022; SYM-024","slotCost":1,"source":"7.5.12–7.5.12.1, стр. 140 (дерево прочитано визуально).","speciesKey":"SPIDER","status":"ACTIVE","symbiontKind":"ORDINARY","xpPolicy":"SYM-021_AWARD; SYM-022_NODE_COST_EQUALS_NODE_LEVEL"}</t>
  </si>
  <si>
    <t xml:space="preserve">2711e8f159d723dfafa01dca763e0b55f13774f4dce34283491aa282476e3c94</t>
  </si>
  <si>
    <t xml:space="preserve">{"additionalSlotPolicy":"NONE","allowedRaceCodes":["FREE","UNITED"],"branchPolicy":"LINEAR_OR_EXPLICIT_PARENTS","idUnique":1,"linkedStatCodes":["D","I"],"maxL":6,"monsterProfileId":"","nameRu":"Хамелеон","oeMultiplier":60,"oePolicy":"baseMaxOE=60×L; currentOE clamped to max; new instance full except transplant=0","profileRuleId":"SYM-123","ruleIds":"SYM-123; SYM-009; SYM-020; SYM-021; SYM-022; SYM-024","slotCost":1,"source":"7.5.13–7.5.13.1, стр. 142 (дерево прочитано визуально).","speciesKey":"CHAMELEON","status":"ACTIVE","symbiontKind":"ORDINARY","xpPolicy":"SYM-021_AWARD; SYM-022_NODE_COST_EQUALS_NODE_LEVEL"}</t>
  </si>
  <si>
    <t xml:space="preserve">c715829272365a9ab3a6b22ae84f813a90052c149b1dcb7f262a5748d19e52ab</t>
  </si>
  <si>
    <t xml:space="preserve">{"additionalSlotPolicy":"NONE","allowedRaceCodes":["FREE","UNITED"],"branchPolicy":"LINEAR_OR_EXPLICIT_PARENTS","idUnique":1,"linkedStatCodes":["W","C"],"maxL":7,"monsterProfileId":"","nameRu":"Пингвин","oeMultiplier":20,"oePolicy":"baseMaxOE=20×L; currentOE clamped to max; new instance full except transplant=0","profileRuleId":"SYM-130","ruleIds":"SYM-130; SYM-009; SYM-020; SYM-021; SYM-022; SYM-024","slotCost":1,"source":"7.5.14–7.5.14.1, стр. 144 (дерево прочитано визуально).","speciesKey":"PENGUIN","status":"ACTIVE","symbiontKind":"ORDINARY","xpPolicy":"SYM-021_AWARD; SYM-022_NODE_COST_EQUALS_NODE_LEVEL"}</t>
  </si>
  <si>
    <t xml:space="preserve">3ce33094895a659159c4d0a615cf275984561fe84a656b0d4d99a1cfd0e9feea</t>
  </si>
  <si>
    <t xml:space="preserve">{"additionalSlotPolicy":"NONE","allowedRaceCodes":["FREE","UNITED"],"branchPolicy":"LINEAR_OR_EXPLICIT_PARENTS","idUnique":1,"linkedStatCodes":["D","I"],"maxL":6,"monsterProfileId":"","nameRu":"Угорь","oeMultiplier":60,"oePolicy":"baseMaxOE=60×L; currentOE clamped to max; new instance full except transplant=0","profileRuleId":"SYM-136","ruleIds":"SYM-136; SYM-009; SYM-020; SYM-021; SYM-022; SYM-024","slotCost":1,"source":"7.5.15–7.5.15.1, стр. 147 (дерево прочитано визуально).","speciesKey":"EEL","status":"ACTIVE","symbiontKind":"ORDINARY","xpPolicy":"SYM-021_AWARD; SYM-022_NODE_COST_EQUALS_NODE_LEVEL"}</t>
  </si>
  <si>
    <t xml:space="preserve">2789057517f863cfd75c151093b6907182f43a8c057b40fd2987fd301bfcbdf2</t>
  </si>
  <si>
    <t xml:space="preserve">{"additionalSlotPolicy":"NONE","allowedRaceCodes":["FREE","UNITED"],"branchPolicy":"LINEAR_OR_EXPLICIT_PARENTS","idUnique":1,"linkedStatCodes":["M","Z"],"maxL":7,"monsterProfileId":"","nameRu":"Жаба","oeMultiplier":40,"oePolicy":"baseMaxOE=40×L; currentOE clamped to max; new instance full except transplant=0","profileRuleId":"SYM-143","ruleIds":"SYM-143; SYM-009; SYM-020; SYM-021; SYM-022; SYM-024","slotCost":1,"source":"7.5.16–7.5.16.1, стр. 150 (дерево прочитано визуально).","speciesKey":"TOAD","status":"ACTIVE","symbiontKind":"ORDINARY","xpPolicy":"SYM-021_AWARD; SYM-022_NODE_COST_EQUALS_NODE_LEVEL"}</t>
  </si>
  <si>
    <t xml:space="preserve">88497835b0f3dd83034ccb5ab3ba816f9efeaafa7f6ed10f28afcbf0c42424dc</t>
  </si>
  <si>
    <t xml:space="preserve">{"additionalSlotPolicy":"NONE","allowedRaceCodes":["FREE","UNITED"],"branchPolicy":"OR","idUnique":1,"linkedStatCodes":["D","I","C"],"maxL":7,"monsterProfileId":"","nameRu":"Крыса","oeMultiplier":50,"oePolicy":"baseMaxOE=50×L; currentOE clamped to max; new instance full except transplant=0","profileRuleId":"SYM-151","ruleIds":"SYM-151; SYM-009; SYM-020; SYM-021; SYM-022; SYM-024","slotCost":1,"source":"7.5.17–7.5.17.1, стр. 152 (дерево прочитано визуально).","speciesKey":"RAT","status":"ACTIVE","symbiontKind":"ORDINARY","xpPolicy":"SYM-021_AWARD; SYM-022_NODE_COST_EQUALS_NODE_LEVEL"}</t>
  </si>
  <si>
    <t xml:space="preserve">c899c3ab5424cf5e4059db3595f50a85033235a45c528cf47595e72fab3db895</t>
  </si>
  <si>
    <t xml:space="preserve">{"additionalSlotPolicy":"NONE","allowedRaceCodes":["FREE","UNITED"],"branchPolicy":"LINEAR_OR_EXPLICIT_PARENTS","idUnique":1,"linkedStatCodes":["I","W"],"maxL":6,"monsterProfileId":"","nameRu":"Дельфин","oeMultiplier":30,"oePolicy":"baseMaxOE=30×L; currentOE clamped to max; new instance full except transplant=0","profileRuleId":"SYM-161","ruleIds":"SYM-161; SYM-009; SYM-020; SYM-021; SYM-022; SYM-024","slotCost":1,"source":"7.5.18–7.5.18.1, стр. 155 (дерево прочитано визуально).","speciesKey":"DOLPHIN","status":"ACTIVE","symbiontKind":"ORDINARY","xpPolicy":"SYM-021_AWARD; SYM-022_NODE_COST_EQUALS_NODE_LEVEL"}</t>
  </si>
  <si>
    <t xml:space="preserve">6ab87b2e1f8dfbb42223292dd0d71b78bcc9bffcdb8d70bbea41af94c15f203b</t>
  </si>
  <si>
    <t xml:space="preserve">{"additionalSlotPolicy":"NONE","allowedRaceCodes":["FREE","UNITED"],"branchPolicy":"LINEAR_OR_EXPLICIT_PARENTS","idUnique":1,"linkedStatCodes":["S","D"],"maxL":6,"monsterProfileId":"","nameRu":"Богомол","oeMultiplier":40,"oePolicy":"baseMaxOE=40×L; currentOE clamped to max; new instance full except transplant=0","profileRuleId":"SYM-167","ruleIds":"SYM-167; SYM-009; SYM-020; SYM-021; SYM-022; SYM-024","slotCost":1,"source":"7.5.19–7.5.19.1, стр. 157 (дерево прочитано визуально).","speciesKey":"MANTIS","status":"ACTIVE","symbiontKind":"ORDINARY","xpPolicy":"SYM-021_AWARD; SYM-022_NODE_COST_EQUALS_NODE_LEVEL"}</t>
  </si>
  <si>
    <t xml:space="preserve">dc4d061724de07dc61535324e367fe7dddca69abbc7cbf46a3251fab0dff34fe</t>
  </si>
  <si>
    <t xml:space="preserve">{"additionalSlotPolicy":"NONE","allowedRaceCodes":["FREE","UNITED"],"branchPolicy":"LINEAR_OR_EXPLICIT_PARENTS","idUnique":1,"linkedStatCodes":["D","M"],"maxL":6,"monsterProfileId":"","nameRu":"Скунс","oeMultiplier":50,"oePolicy":"baseMaxOE=50×L; currentOE clamped to max; new instance full except transplant=0","profileRuleId":"SYM-174","ruleIds":"SYM-174; SYM-009; SYM-020; SYM-021; SYM-022; SYM-024","slotCost":1,"source":"7.5.20–7.5.20.1, стр. 160 (дерево прочитано визуально).","speciesKey":"SKUNK","status":"ACTIVE","symbiontKind":"ORDINARY","xpPolicy":"SYM-021_AWARD; SYM-022_NODE_COST_EQUALS_NODE_LEVEL"}</t>
  </si>
  <si>
    <t xml:space="preserve">b2f5c520d53f2e606d4e075feef891b5bd70315a2ce76124edc009d98c787895</t>
  </si>
  <si>
    <t xml:space="preserve">{"additionalSlotPolicy":"ONLY_CONFIRMED_DEVOURING; initial extraSlots=0; explicit devouringHistory; max +3","allowedRaceCodes":["UNITED"],"branchPolicy":"LINEAR_OR_EXPLICIT_PARENTS","idUnique":1,"linkedStatCodes":["S","D","Z"],"maxL":6,"monsterProfileId":"MON-002","nameRu":"Химера","oeMultiplier":400,"oePolicy":"baseMaxOE=400×L; currentOE clamped to max; new instance full except transplant=0","profileRuleId":"MON-002","ruleIds":"MON-002; SYM-009; SYM-020; SYM-021; SYM-022; SYM-024","slotCost":4,"source":"§7.6.1, печ. стр. 163.","speciesKey":"CHIMERA","status":"ACTIVE","symbiontKind":"SYMBIOTIC_MONSTER","xpPolicy":"SYM-021_AWARD; SYM-022_NODE_COST_EQUALS_NODE_LEVEL"}</t>
  </si>
  <si>
    <t xml:space="preserve">94c9bf427b8293cc9a39321bbb13607b44b737d31e78107f2a63e7f413025b1e</t>
  </si>
  <si>
    <t xml:space="preserve">{"additionalSlotPolicy":"ORDINARY_ADDITIONAL_SYMBIONTS_FORBIDDEN","allowedRaceCodes":["UNITED"],"branchPolicy":"LINEAR_OR_EXPLICIT_PARENTS","idUnique":1,"linkedStatCodes":["I","W","C"],"maxL":6,"monsterProfileId":"MON-025","nameRu":"Кукловод","oeMultiplier":400,"oePolicy":"baseMaxOE=400×L; currentOE clamped to max; new instance full except transplant=0","profileRuleId":"MON-025","ruleIds":"MON-025; SYM-009; SYM-020; SYM-021; SYM-022; SYM-024","slotCost":4,"source":"§7.6.2, печ. стр. 167.","speciesKey":"PUPPETEER","status":"ACTIVE","symbiontKind":"SYMBIOTIC_MONSTER","xpPolicy":"SYM-021_AWARD; SYM-022_NODE_COST_EQUALS_NODE_LEVEL"}</t>
  </si>
  <si>
    <t xml:space="preserve">77f968021e6509141e9c10155b82959c74438c281fe15082a8002825c588b5a9</t>
  </si>
  <si>
    <t xml:space="preserve">{"additionalSlotPolicy":"ORDINARY_ADDITIONAL_SYMBIONTS_FORBIDDEN","allowedRaceCodes":["UNITED"],"branchPolicy":"XOR","idUnique":1,"linkedStatCodes":["Z","I","W"],"maxL":8,"monsterProfileId":"MON-040","nameRu":"Чумной доктор","oeMultiplier":400,"oePolicy":"baseMaxOE=400×L; currentOE clamped to max; new instance full except transplant=0","profileRuleId":"MON-040","ruleIds":"MON-040; SYM-009; SYM-020; SYM-021; SYM-022; SYM-024","slotCost":4,"source":"§7.6.3, печ. стр. 170.","speciesKey":"PLAGUE_DOCTOR","status":"ACTIVE","symbiontKind":"SYMBIOTIC_MONSTER","xpPolicy":"SYM-021_AWARD; SYM-022_NODE_COST_EQUALS_NODE_LEVEL"}</t>
  </si>
  <si>
    <t xml:space="preserve">20498200cc87576e4511a4f856add8f10a18730bd7b6f936b9a9aa24df563702</t>
  </si>
  <si>
    <t xml:space="preserve">SYMBIONT_LEVEL</t>
  </si>
  <si>
    <t xml:space="preserve">WEAVER L1</t>
  </si>
  <si>
    <t xml:space="preserve">{"idUnique":1,"level":1,"levelProfileId":"LVL-WEAVER-1","maxOE":50,"nodeUnlockCount":1,"requiredPriorLevel":null,"ruleIds":"SYM-026; SYM-009; SYM-020; SYM-022; SYM-024","speciesKey":"WEAVER","xpThreshold":0}</t>
  </si>
  <si>
    <t xml:space="preserve">bcc7e4ca9b0c6bd617b879b32e2e3554b83b72e534d7dd9e13fec90e6a66f85a</t>
  </si>
  <si>
    <t xml:space="preserve">WEAVER L2</t>
  </si>
  <si>
    <t xml:space="preserve">{"idUnique":1,"level":2,"levelProfileId":"LVL-WEAVER-2","maxOE":100,"nodeUnlockCount":2,"requiredPriorLevel":1,"ruleIds":"SYM-026; SYM-009; SYM-020; SYM-022; SYM-024","speciesKey":"WEAVER","xpThreshold":2}</t>
  </si>
  <si>
    <t xml:space="preserve">4655421eea533a7a95993307877532affa25d918f40c0c8bb3acf2586520492c</t>
  </si>
  <si>
    <t xml:space="preserve">WEAVER L3</t>
  </si>
  <si>
    <t xml:space="preserve">{"idUnique":1,"level":3,"levelProfileId":"LVL-WEAVER-3","maxOE":150,"nodeUnlockCount":2,"requiredPriorLevel":2,"ruleIds":"SYM-026; SYM-009; SYM-020; SYM-022; SYM-024","speciesKey":"WEAVER","xpThreshold":3}</t>
  </si>
  <si>
    <t xml:space="preserve">facce7beec4df47ba1757031274949eedef8d5d8d93c88543a9554ef10f5d887</t>
  </si>
  <si>
    <t xml:space="preserve">WEAVER L4</t>
  </si>
  <si>
    <t xml:space="preserve">{"idUnique":1,"level":4,"levelProfileId":"LVL-WEAVER-4","maxOE":200,"nodeUnlockCount":2,"requiredPriorLevel":3,"ruleIds":"SYM-026; SYM-009; SYM-020; SYM-022; SYM-024","speciesKey":"WEAVER","xpThreshold":4}</t>
  </si>
  <si>
    <t xml:space="preserve">bb66f673b8358be47917a4c6c411f6158a5994a9b63e4cfc9e5d5f82e2788931</t>
  </si>
  <si>
    <t xml:space="preserve">WEAVER L5</t>
  </si>
  <si>
    <t xml:space="preserve">{"idUnique":1,"level":5,"levelProfileId":"LVL-WEAVER-5","maxOE":250,"nodeUnlockCount":2,"requiredPriorLevel":4,"ruleIds":"SYM-026; SYM-009; SYM-020; SYM-022; SYM-024","speciesKey":"WEAVER","xpThreshold":5}</t>
  </si>
  <si>
    <t xml:space="preserve">a37af4e64a4cfc3f0db801d87c468383b83d16a967def1fba92145df1593b11c</t>
  </si>
  <si>
    <t xml:space="preserve">WEAVER L6</t>
  </si>
  <si>
    <t xml:space="preserve">{"idUnique":1,"level":6,"levelProfileId":"LVL-WEAVER-6","maxOE":300,"nodeUnlockCount":1,"requiredPriorLevel":5,"ruleIds":"SYM-026; SYM-009; SYM-020; SYM-022; SYM-024","speciesKey":"WEAVER","xpThreshold":6}</t>
  </si>
  <si>
    <t xml:space="preserve">61ef0c19d0026a11c437e41aeeeefa9e4de11e82f8f2204756fab0406521be02</t>
  </si>
  <si>
    <t xml:space="preserve">TAIPAN L1</t>
  </si>
  <si>
    <t xml:space="preserve">{"idUnique":1,"level":1,"levelProfileId":"LVL-TAIPAN-1","maxOE":50,"nodeUnlockCount":1,"requiredPriorLevel":null,"ruleIds":"SYM-037; SYM-009; SYM-020; SYM-022; SYM-024","speciesKey":"TAIPAN","xpThreshold":0}</t>
  </si>
  <si>
    <t xml:space="preserve">2e891576515d6abbdc18adcf3d796b0b5b43b5b56cfb40853ef10310e7095075</t>
  </si>
  <si>
    <t xml:space="preserve">TAIPAN L2</t>
  </si>
  <si>
    <t xml:space="preserve">{"idUnique":1,"level":2,"levelProfileId":"LVL-TAIPAN-2","maxOE":100,"nodeUnlockCount":1,"requiredPriorLevel":1,"ruleIds":"SYM-037; SYM-009; SYM-020; SYM-022; SYM-024","speciesKey":"TAIPAN","xpThreshold":2}</t>
  </si>
  <si>
    <t xml:space="preserve">0eb6e055b9d9915879534d359dc60c474a778e5c86db28b08a46280e6e8789d3</t>
  </si>
  <si>
    <t xml:space="preserve">TAIPAN L3</t>
  </si>
  <si>
    <t xml:space="preserve">{"idUnique":1,"level":3,"levelProfileId":"LVL-TAIPAN-3","maxOE":150,"nodeUnlockCount":1,"requiredPriorLevel":2,"ruleIds":"SYM-037; SYM-009; SYM-020; SYM-022; SYM-024","speciesKey":"TAIPAN","xpThreshold":3}</t>
  </si>
  <si>
    <t xml:space="preserve">604d24170340e193a893eb45c47b46a45f5f15e704db8abab93701195dd68e70</t>
  </si>
  <si>
    <t xml:space="preserve">TAIPAN L4</t>
  </si>
  <si>
    <t xml:space="preserve">{"idUnique":1,"level":4,"levelProfileId":"LVL-TAIPAN-4","maxOE":200,"nodeUnlockCount":1,"requiredPriorLevel":3,"ruleIds":"SYM-037; SYM-009; SYM-020; SYM-022; SYM-024","speciesKey":"TAIPAN","xpThreshold":4}</t>
  </si>
  <si>
    <t xml:space="preserve">c4d00a054188ea4b40be76211ff86b6267cb1150867417d4f9ca92aaaf06f709</t>
  </si>
  <si>
    <t xml:space="preserve">TAIPAN L5</t>
  </si>
  <si>
    <t xml:space="preserve">{"idUnique":1,"level":5,"levelProfileId":"LVL-TAIPAN-5","maxOE":250,"nodeUnlockCount":1,"requiredPriorLevel":4,"ruleIds":"SYM-037; SYM-009; SYM-020; SYM-022; SYM-024","speciesKey":"TAIPAN","xpThreshold":5}</t>
  </si>
  <si>
    <t xml:space="preserve">377488dc67d6a729749b8c07e75c090d0c4b4f9cddab51f7f43789efa97aa8ff</t>
  </si>
  <si>
    <t xml:space="preserve">TAIPAN L6</t>
  </si>
  <si>
    <t xml:space="preserve">{"idUnique":1,"level":6,"levelProfileId":"LVL-TAIPAN-6","maxOE":300,"nodeUnlockCount":1,"requiredPriorLevel":5,"ruleIds":"SYM-037; SYM-009; SYM-020; SYM-022; SYM-024","speciesKey":"TAIPAN","xpThreshold":6}</t>
  </si>
  <si>
    <t xml:space="preserve">234b8661340169fe68e4c5ade7ef25653f4f229cf5a64f209f0bf33d1fa19f1a</t>
  </si>
  <si>
    <t xml:space="preserve">TAIPAN L7</t>
  </si>
  <si>
    <t xml:space="preserve">{"idUnique":1,"level":7,"levelProfileId":"LVL-TAIPAN-7","maxOE":350,"nodeUnlockCount":1,"requiredPriorLevel":6,"ruleIds":"SYM-037; SYM-009; SYM-020; SYM-022; SYM-024","speciesKey":"TAIPAN","xpThreshold":7}</t>
  </si>
  <si>
    <t xml:space="preserve">378eeb4867ce2012280e467cfe1c2238dd0930706e55a535cd63423bf9cf0684</t>
  </si>
  <si>
    <t xml:space="preserve">OWL L1</t>
  </si>
  <si>
    <t xml:space="preserve">{"idUnique":1,"level":1,"levelProfileId":"LVL-OWL-1","maxOE":10,"nodeUnlockCount":1,"requiredPriorLevel":null,"ruleIds":"SYM-046; SYM-009; SYM-020; SYM-022; SYM-024","speciesKey":"OWL","xpThreshold":0}</t>
  </si>
  <si>
    <t xml:space="preserve">d14e4fae05518c19fd7557b1c239cb2e9bd374bb813e7c0182171bfdd687820c</t>
  </si>
  <si>
    <t xml:space="preserve">OWL L2</t>
  </si>
  <si>
    <t xml:space="preserve">{"idUnique":1,"level":2,"levelProfileId":"LVL-OWL-2","maxOE":20,"nodeUnlockCount":1,"requiredPriorLevel":1,"ruleIds":"SYM-046; SYM-009; SYM-020; SYM-022; SYM-024","speciesKey":"OWL","xpThreshold":2}</t>
  </si>
  <si>
    <t xml:space="preserve">bda4896deea232b7ff227752ee2e7d55fdeca1ad0e46de6e8e183912e0059ede</t>
  </si>
  <si>
    <t xml:space="preserve">OWL L3</t>
  </si>
  <si>
    <t xml:space="preserve">{"idUnique":1,"level":3,"levelProfileId":"LVL-OWL-3","maxOE":30,"nodeUnlockCount":1,"requiredPriorLevel":2,"ruleIds":"SYM-046; SYM-009; SYM-020; SYM-022; SYM-024","speciesKey":"OWL","xpThreshold":3}</t>
  </si>
  <si>
    <t xml:space="preserve">aef205e65e08820645734818b885667baab5e29e932b166fd98e25884ecb2b79</t>
  </si>
  <si>
    <t xml:space="preserve">OWL L4</t>
  </si>
  <si>
    <t xml:space="preserve">{"idUnique":1,"level":4,"levelProfileId":"LVL-OWL-4","maxOE":40,"nodeUnlockCount":1,"requiredPriorLevel":3,"ruleIds":"SYM-046; SYM-009; SYM-020; SYM-022; SYM-024","speciesKey":"OWL","xpThreshold":4}</t>
  </si>
  <si>
    <t xml:space="preserve">fef1d607767cbf482b23312191bf77ac5d6643283f9ccf8ea6798599d7014c56</t>
  </si>
  <si>
    <t xml:space="preserve">OWL L5</t>
  </si>
  <si>
    <t xml:space="preserve">{"idUnique":1,"level":5,"levelProfileId":"LVL-OWL-5","maxOE":50,"nodeUnlockCount":1,"requiredPriorLevel":4,"ruleIds":"SYM-046; SYM-009; SYM-020; SYM-022; SYM-024","speciesKey":"OWL","xpThreshold":5}</t>
  </si>
  <si>
    <t xml:space="preserve">b30483a557d9b7b3546c055656dcd1841f7c90b694929679ecdc1bfa92d8dfd0</t>
  </si>
  <si>
    <t xml:space="preserve">OWL L6</t>
  </si>
  <si>
    <t xml:space="preserve">{"idUnique":1,"level":6,"levelProfileId":"LVL-OWL-6","maxOE":60,"nodeUnlockCount":1,"requiredPriorLevel":5,"ruleIds":"SYM-046; SYM-009; SYM-020; SYM-022; SYM-024","speciesKey":"OWL","xpThreshold":6}</t>
  </si>
  <si>
    <t xml:space="preserve">e39fca69d4922fc06738bf2572bae7b9d1fe385eaa382962b743087186346b5e</t>
  </si>
  <si>
    <t xml:space="preserve">TEACHER L1</t>
  </si>
  <si>
    <t xml:space="preserve">{"idUnique":1,"level":1,"levelProfileId":"LVL-TEACHER-1","maxOE":20,"nodeUnlockCount":1,"requiredPriorLevel":null,"ruleIds":"SYM-053; SYM-009; SYM-020; SYM-022; SYM-024","speciesKey":"TEACHER","xpThreshold":0}</t>
  </si>
  <si>
    <t xml:space="preserve">4a12494e9be0b65962edd2493d07a68a2d3de81170a98c21c22c9a600243cec3</t>
  </si>
  <si>
    <t xml:space="preserve">TEACHER L2</t>
  </si>
  <si>
    <t xml:space="preserve">{"idUnique":1,"level":2,"levelProfileId":"LVL-TEACHER-2","maxOE":40,"nodeUnlockCount":1,"requiredPriorLevel":1,"ruleIds":"SYM-053; SYM-009; SYM-020; SYM-022; SYM-024","speciesKey":"TEACHER","xpThreshold":2}</t>
  </si>
  <si>
    <t xml:space="preserve">6b96af4d9e4733df81b5206cf73823ed3154d25c0b92a3462d6698b1a51ae993</t>
  </si>
  <si>
    <t xml:space="preserve">TEACHER L3</t>
  </si>
  <si>
    <t xml:space="preserve">{"idUnique":1,"level":3,"levelProfileId":"LVL-TEACHER-3","maxOE":60,"nodeUnlockCount":1,"requiredPriorLevel":2,"ruleIds":"SYM-053; SYM-009; SYM-020; SYM-022; SYM-024","speciesKey":"TEACHER","xpThreshold":3}</t>
  </si>
  <si>
    <t xml:space="preserve">98f6e7b1be46fc472762734fe85605e3c170bba230084470006dececc315e49a</t>
  </si>
  <si>
    <t xml:space="preserve">TEACHER L4</t>
  </si>
  <si>
    <t xml:space="preserve">{"idUnique":1,"level":4,"levelProfileId":"LVL-TEACHER-4","maxOE":80,"nodeUnlockCount":1,"requiredPriorLevel":3,"ruleIds":"SYM-053; SYM-009; SYM-020; SYM-022; SYM-024","speciesKey":"TEACHER","xpThreshold":4}</t>
  </si>
  <si>
    <t xml:space="preserve">d505d828c5f2ea817175e0d39713aee22e5504002297dfe717a6c2972a065cc8</t>
  </si>
  <si>
    <t xml:space="preserve">TEACHER L5</t>
  </si>
  <si>
    <t xml:space="preserve">{"idUnique":1,"level":5,"levelProfileId":"LVL-TEACHER-5","maxOE":100,"nodeUnlockCount":1,"requiredPriorLevel":4,"ruleIds":"SYM-053; SYM-009; SYM-020; SYM-022; SYM-024","speciesKey":"TEACHER","xpThreshold":5}</t>
  </si>
  <si>
    <t xml:space="preserve">18f52c38e9723f0608569d13dcf84e3bab9839b3cf42d748537fb3d399e66c9c</t>
  </si>
  <si>
    <t xml:space="preserve">TEACHER L6</t>
  </si>
  <si>
    <t xml:space="preserve">{"idUnique":1,"level":6,"levelProfileId":"LVL-TEACHER-6","maxOE":120,"nodeUnlockCount":1,"requiredPriorLevel":5,"ruleIds":"SYM-053; SYM-009; SYM-020; SYM-022; SYM-024","speciesKey":"TEACHER","xpThreshold":6}</t>
  </si>
  <si>
    <t xml:space="preserve">8853a2c235838cc891e98113e749dbbb22c64f6b82ef558426a71491d7891720</t>
  </si>
  <si>
    <t xml:space="preserve">ARMADILLO L1</t>
  </si>
  <si>
    <t xml:space="preserve">{"idUnique":1,"level":1,"levelProfileId":"LVL-ARMADILLO-1","maxOE":50,"nodeUnlockCount":1,"requiredPriorLevel":null,"ruleIds":"SYM-060; SYM-009; SYM-020; SYM-022; SYM-024","speciesKey":"ARMADILLO","xpThreshold":0}</t>
  </si>
  <si>
    <t xml:space="preserve">01f63baa173020c7621847fbdb63ce43713304afa4fc9350c7459e37e901f92c</t>
  </si>
  <si>
    <t xml:space="preserve">ARMADILLO L2</t>
  </si>
  <si>
    <t xml:space="preserve">{"idUnique":1,"level":2,"levelProfileId":"LVL-ARMADILLO-2","maxOE":100,"nodeUnlockCount":1,"requiredPriorLevel":1,"ruleIds":"SYM-060; SYM-009; SYM-020; SYM-022; SYM-024","speciesKey":"ARMADILLO","xpThreshold":2}</t>
  </si>
  <si>
    <t xml:space="preserve">c55a1fef7c5d6c0415e1f6a1e5a988d339b44d77e326fb4f301eefd49b1c9370</t>
  </si>
  <si>
    <t xml:space="preserve">ARMADILLO L3</t>
  </si>
  <si>
    <t xml:space="preserve">{"idUnique":1,"level":3,"levelProfileId":"LVL-ARMADILLO-3","maxOE":150,"nodeUnlockCount":1,"requiredPriorLevel":2,"ruleIds":"SYM-060; SYM-009; SYM-020; SYM-022; SYM-024","speciesKey":"ARMADILLO","xpThreshold":3}</t>
  </si>
  <si>
    <t xml:space="preserve">8dc4e3ad217d976533c41ba0338b5bc415724a51181c54e1280e7c628670d06a</t>
  </si>
  <si>
    <t xml:space="preserve">ARMADILLO L4</t>
  </si>
  <si>
    <t xml:space="preserve">{"idUnique":1,"level":4,"levelProfileId":"LVL-ARMADILLO-4","maxOE":200,"nodeUnlockCount":1,"requiredPriorLevel":3,"ruleIds":"SYM-060; SYM-009; SYM-020; SYM-022; SYM-024","speciesKey":"ARMADILLO","xpThreshold":4}</t>
  </si>
  <si>
    <t xml:space="preserve">37e30d5bc22b8596bb91eba3055223917c311f7e98e0636aed07d74598a2e48f</t>
  </si>
  <si>
    <t xml:space="preserve">ARMADILLO L5</t>
  </si>
  <si>
    <t xml:space="preserve">{"idUnique":1,"level":5,"levelProfileId":"LVL-ARMADILLO-5","maxOE":250,"nodeUnlockCount":1,"requiredPriorLevel":4,"ruleIds":"SYM-060; SYM-009; SYM-020; SYM-022; SYM-024","speciesKey":"ARMADILLO","xpThreshold":5}</t>
  </si>
  <si>
    <t xml:space="preserve">fd33c07ac3ee448e1042e1ddc2304f287f2da34ca6919345f02ce91b129fc8da</t>
  </si>
  <si>
    <t xml:space="preserve">ARMADILLO L6</t>
  </si>
  <si>
    <t xml:space="preserve">{"idUnique":1,"level":6,"levelProfileId":"LVL-ARMADILLO-6","maxOE":300,"nodeUnlockCount":1,"requiredPriorLevel":5,"ruleIds":"SYM-060; SYM-009; SYM-020; SYM-022; SYM-024","speciesKey":"ARMADILLO","xpThreshold":6}</t>
  </si>
  <si>
    <t xml:space="preserve">87f4d0dfa33fe931873162571ec4ae3ffe5db2eedb9056e9bf688b26bbd40810</t>
  </si>
  <si>
    <t xml:space="preserve">DRAGON L1</t>
  </si>
  <si>
    <t xml:space="preserve">{"idUnique":1,"level":1,"levelProfileId":"LVL-DRAGON-1","maxOE":30,"nodeUnlockCount":1,"requiredPriorLevel":null,"ruleIds":"SYM-067; SYM-009; SYM-020; SYM-022; SYM-024","speciesKey":"DRAGON","xpThreshold":0}</t>
  </si>
  <si>
    <t xml:space="preserve">cc6261605e490597a58933991e1360fcc9411d88e1a11fe40300dd6e1f26deb8</t>
  </si>
  <si>
    <t xml:space="preserve">DRAGON L2</t>
  </si>
  <si>
    <t xml:space="preserve">{"idUnique":1,"level":2,"levelProfileId":"LVL-DRAGON-2","maxOE":60,"nodeUnlockCount":1,"requiredPriorLevel":1,"ruleIds":"SYM-067; SYM-009; SYM-020; SYM-022; SYM-024","speciesKey":"DRAGON","xpThreshold":2}</t>
  </si>
  <si>
    <t xml:space="preserve">f1477e825820eb617a4f5553c7224f1ca7fffabe52c7ff1a2e0665d6cecc87d3</t>
  </si>
  <si>
    <t xml:space="preserve">DRAGON L3</t>
  </si>
  <si>
    <t xml:space="preserve">{"idUnique":1,"level":3,"levelProfileId":"LVL-DRAGON-3","maxOE":90,"nodeUnlockCount":1,"requiredPriorLevel":2,"ruleIds":"SYM-067; SYM-009; SYM-020; SYM-022; SYM-024","speciesKey":"DRAGON","xpThreshold":3}</t>
  </si>
  <si>
    <t xml:space="preserve">ae0c6f5f2a5c8e6b869c016c39f8b4d67c742208c0efdf8c1ebaf777fba07f94</t>
  </si>
  <si>
    <t xml:space="preserve">DRAGON L4</t>
  </si>
  <si>
    <t xml:space="preserve">{"idUnique":1,"level":4,"levelProfileId":"LVL-DRAGON-4","maxOE":120,"nodeUnlockCount":1,"requiredPriorLevel":3,"ruleIds":"SYM-067; SYM-009; SYM-020; SYM-022; SYM-024","speciesKey":"DRAGON","xpThreshold":4}</t>
  </si>
  <si>
    <t xml:space="preserve">7bae0f5ef49531dd669dbd51f053f7377e2c271820a6cbc001ad2d6eec74e8e4</t>
  </si>
  <si>
    <t xml:space="preserve">DRAGON L5</t>
  </si>
  <si>
    <t xml:space="preserve">{"idUnique":1,"level":5,"levelProfileId":"LVL-DRAGON-5","maxOE":150,"nodeUnlockCount":1,"requiredPriorLevel":4,"ruleIds":"SYM-067; SYM-009; SYM-020; SYM-022; SYM-024","speciesKey":"DRAGON","xpThreshold":5}</t>
  </si>
  <si>
    <t xml:space="preserve">5bed79e1ed0ea59d3abbb327ce1db12fe16aea6d51445832798e153425930201</t>
  </si>
  <si>
    <t xml:space="preserve">DRAGON L6</t>
  </si>
  <si>
    <t xml:space="preserve">{"idUnique":1,"level":6,"levelProfileId":"LVL-DRAGON-6","maxOE":180,"nodeUnlockCount":1,"requiredPriorLevel":5,"ruleIds":"SYM-067; SYM-009; SYM-020; SYM-022; SYM-024","speciesKey":"DRAGON","xpThreshold":6}</t>
  </si>
  <si>
    <t xml:space="preserve">7d459ee12582f426dd5869dcb91dfe1e6a7474f6ffd552a1cb791854c5cf675d</t>
  </si>
  <si>
    <t xml:space="preserve">TROGR L1</t>
  </si>
  <si>
    <t xml:space="preserve">{"idUnique":1,"level":1,"levelProfileId":"LVL-TROGR-1","maxOE":1000,"nodeUnlockCount":1,"requiredPriorLevel":null,"ruleIds":"SYM-074; SYM-009; SYM-020; SYM-022; SYM-024","speciesKey":"TROGR","xpThreshold":0}</t>
  </si>
  <si>
    <t xml:space="preserve">e5ece0deed2067de94015b175b538ea8f67545cfc416ab75dad2bf0bf8705e28</t>
  </si>
  <si>
    <t xml:space="preserve">TROGR L2</t>
  </si>
  <si>
    <t xml:space="preserve">{"idUnique":1,"level":2,"levelProfileId":"LVL-TROGR-2","maxOE":2000,"nodeUnlockCount":1,"requiredPriorLevel":1,"ruleIds":"SYM-074; SYM-009; SYM-020; SYM-022; SYM-024","speciesKey":"TROGR","xpThreshold":2}</t>
  </si>
  <si>
    <t xml:space="preserve">15b4932a6e297bf1464e18d758b8027bf939e8c6d6b76bf26bbf6e877a7a580f</t>
  </si>
  <si>
    <t xml:space="preserve">TROGR L3</t>
  </si>
  <si>
    <t xml:space="preserve">{"idUnique":1,"level":3,"levelProfileId":"LVL-TROGR-3","maxOE":3000,"nodeUnlockCount":1,"requiredPriorLevel":2,"ruleIds":"SYM-074; SYM-009; SYM-020; SYM-022; SYM-024","speciesKey":"TROGR","xpThreshold":3}</t>
  </si>
  <si>
    <t xml:space="preserve">82adcac789ec9ee868fbbb6c4e3475d3dad4653fafe9c39bd161137a8cdc08e4</t>
  </si>
  <si>
    <t xml:space="preserve">TROGR L4</t>
  </si>
  <si>
    <t xml:space="preserve">{"idUnique":1,"level":4,"levelProfileId":"LVL-TROGR-4","maxOE":4000,"nodeUnlockCount":1,"requiredPriorLevel":3,"ruleIds":"SYM-074; SYM-009; SYM-020; SYM-022; SYM-024","speciesKey":"TROGR","xpThreshold":4}</t>
  </si>
  <si>
    <t xml:space="preserve">0fb40492bcc172d985300ab435857f35dfe50ab630f1657a012fe98e0fe4464a</t>
  </si>
  <si>
    <t xml:space="preserve">TROGR L5</t>
  </si>
  <si>
    <t xml:space="preserve">{"idUnique":1,"level":5,"levelProfileId":"LVL-TROGR-5","maxOE":5000,"nodeUnlockCount":1,"requiredPriorLevel":4,"ruleIds":"SYM-074; SYM-009; SYM-020; SYM-022; SYM-024","speciesKey":"TROGR","xpThreshold":5}</t>
  </si>
  <si>
    <t xml:space="preserve">f29a4d1837c7ff223ea496ed1bce3207e8ce9b47b7bbb3745f3ce2520620b96f</t>
  </si>
  <si>
    <t xml:space="preserve">TROGR L6</t>
  </si>
  <si>
    <t xml:space="preserve">{"idUnique":1,"level":6,"levelProfileId":"LVL-TROGR-6","maxOE":6000,"nodeUnlockCount":2,"requiredPriorLevel":5,"ruleIds":"SYM-074; SYM-009; SYM-020; SYM-022; SYM-024","speciesKey":"TROGR","xpThreshold":6}</t>
  </si>
  <si>
    <t xml:space="preserve">8662c9afaa4227d6e6e450d88e29aa6496bab2a45a93b46d3b9cdf62b59fbb79</t>
  </si>
  <si>
    <t xml:space="preserve">KEEPER L1</t>
  </si>
  <si>
    <t xml:space="preserve">{"idUnique":1,"level":1,"levelProfileId":"LVL-KEEPER-1","maxOE":100,"nodeUnlockCount":1,"requiredPriorLevel":null,"ruleIds":"SYM-083; SYM-009; SYM-020; SYM-022; SYM-024","speciesKey":"KEEPER","xpThreshold":0}</t>
  </si>
  <si>
    <t xml:space="preserve">b6897431cbe1ba9840a7ac4fe1e5bdbf3f63508e1223b1964b2802f9822b52d1</t>
  </si>
  <si>
    <t xml:space="preserve">KEEPER L2</t>
  </si>
  <si>
    <t xml:space="preserve">{"idUnique":1,"level":2,"levelProfileId":"LVL-KEEPER-2","maxOE":200,"nodeUnlockCount":2,"requiredPriorLevel":1,"ruleIds":"SYM-083; SYM-009; SYM-020; SYM-022; SYM-024","speciesKey":"KEEPER","xpThreshold":2}</t>
  </si>
  <si>
    <t xml:space="preserve">5688ed3f9b8d69d376af7632b9603ca76241aa69a9369bf99e9edb77244c772a</t>
  </si>
  <si>
    <t xml:space="preserve">KEEPER L3</t>
  </si>
  <si>
    <t xml:space="preserve">{"idUnique":1,"level":3,"levelProfileId":"LVL-KEEPER-3","maxOE":300,"nodeUnlockCount":2,"requiredPriorLevel":2,"ruleIds":"SYM-083; SYM-009; SYM-020; SYM-022; SYM-024","speciesKey":"KEEPER","xpThreshold":3}</t>
  </si>
  <si>
    <t xml:space="preserve">98cb33ccf58f90f399ed973ece7b196ab4e14ae36382fca499c38907ba2e3a30</t>
  </si>
  <si>
    <t xml:space="preserve">KEEPER L4</t>
  </si>
  <si>
    <t xml:space="preserve">{"idUnique":1,"level":4,"levelProfileId":"LVL-KEEPER-4","maxOE":400,"nodeUnlockCount":2,"requiredPriorLevel":3,"ruleIds":"SYM-083; SYM-009; SYM-020; SYM-022; SYM-024","speciesKey":"KEEPER","xpThreshold":4}</t>
  </si>
  <si>
    <t xml:space="preserve">aa1cdbd611fca09d3cd096e97be54778e0fa5c21f284388db1e780a6148a4a21</t>
  </si>
  <si>
    <t xml:space="preserve">KEEPER L5</t>
  </si>
  <si>
    <t xml:space="preserve">{"idUnique":1,"level":5,"levelProfileId":"LVL-KEEPER-5","maxOE":500,"nodeUnlockCount":2,"requiredPriorLevel":4,"ruleIds":"SYM-083; SYM-009; SYM-020; SYM-022; SYM-024","speciesKey":"KEEPER","xpThreshold":5}</t>
  </si>
  <si>
    <t xml:space="preserve">ea43a1bb9f8de6a7dfb6df95017a4712d3607452a299349725ed7e4d0d9211b6</t>
  </si>
  <si>
    <t xml:space="preserve">KEEPER L6</t>
  </si>
  <si>
    <t xml:space="preserve">{"idUnique":1,"level":6,"levelProfileId":"LVL-KEEPER-6","maxOE":600,"nodeUnlockCount":1,"requiredPriorLevel":5,"ruleIds":"SYM-083; SYM-009; SYM-020; SYM-022; SYM-024","speciesKey":"KEEPER","xpThreshold":6}</t>
  </si>
  <si>
    <t xml:space="preserve">b455b47cf1888d280eff7a20e9b030c748ad8086fd59e4250be392acc43a7dbb</t>
  </si>
  <si>
    <t xml:space="preserve">ADVISER L1</t>
  </si>
  <si>
    <t xml:space="preserve">{"idUnique":1,"level":1,"levelProfileId":"LVL-ADVISER-1","maxOE":20,"nodeUnlockCount":1,"requiredPriorLevel":null,"ruleIds":"SYM-095; SYM-009; SYM-020; SYM-022; SYM-024","speciesKey":"ADVISER","xpThreshold":0}</t>
  </si>
  <si>
    <t xml:space="preserve">e74452470efbbe1f6bb60a584d54869d595b65f588ee1b039d7bac115623b8af</t>
  </si>
  <si>
    <t xml:space="preserve">ADVISER L2</t>
  </si>
  <si>
    <t xml:space="preserve">{"idUnique":1,"level":2,"levelProfileId":"LVL-ADVISER-2","maxOE":40,"nodeUnlockCount":1,"requiredPriorLevel":1,"ruleIds":"SYM-095; SYM-009; SYM-020; SYM-022; SYM-024","speciesKey":"ADVISER","xpThreshold":2}</t>
  </si>
  <si>
    <t xml:space="preserve">31b8db5ba48a388ef89bd259eabfd4de4af5ce976c8bce031c054f05af168960</t>
  </si>
  <si>
    <t xml:space="preserve">ADVISER L3</t>
  </si>
  <si>
    <t xml:space="preserve">{"idUnique":1,"level":3,"levelProfileId":"LVL-ADVISER-3","maxOE":60,"nodeUnlockCount":1,"requiredPriorLevel":2,"ruleIds":"SYM-095; SYM-009; SYM-020; SYM-022; SYM-024","speciesKey":"ADVISER","xpThreshold":3}</t>
  </si>
  <si>
    <t xml:space="preserve">11d487edc8fea8ea495ff98274819b814e1a71a5b05951a2d053bc90b0dcc3f3</t>
  </si>
  <si>
    <t xml:space="preserve">ADVISER L4</t>
  </si>
  <si>
    <t xml:space="preserve">{"idUnique":1,"level":4,"levelProfileId":"LVL-ADVISER-4","maxOE":80,"nodeUnlockCount":1,"requiredPriorLevel":3,"ruleIds":"SYM-095; SYM-009; SYM-020; SYM-022; SYM-024","speciesKey":"ADVISER","xpThreshold":4}</t>
  </si>
  <si>
    <t xml:space="preserve">5763c80beb6cff870c242654d46e618e8e850760c2481a4ca88fedc9f667f679</t>
  </si>
  <si>
    <t xml:space="preserve">ADVISER L5</t>
  </si>
  <si>
    <t xml:space="preserve">{"idUnique":1,"level":5,"levelProfileId":"LVL-ADVISER-5","maxOE":100,"nodeUnlockCount":1,"requiredPriorLevel":4,"ruleIds":"SYM-095; SYM-009; SYM-020; SYM-022; SYM-024","speciesKey":"ADVISER","xpThreshold":5}</t>
  </si>
  <si>
    <t xml:space="preserve">ace52337fbb98a3962d468a14fbc0408e93222679591dc2a0c820f63130b0474</t>
  </si>
  <si>
    <t xml:space="preserve">ADVISER L6</t>
  </si>
  <si>
    <t xml:space="preserve">{"idUnique":1,"level":6,"levelProfileId":"LVL-ADVISER-6","maxOE":120,"nodeUnlockCount":1,"requiredPriorLevel":5,"ruleIds":"SYM-095; SYM-009; SYM-020; SYM-022; SYM-024","speciesKey":"ADVISER","xpThreshold":6}</t>
  </si>
  <si>
    <t xml:space="preserve">a9340df94c190844e030f763150ead67c9f837ffb8192280a1ff6f404b166aca</t>
  </si>
  <si>
    <t xml:space="preserve">TICK L1</t>
  </si>
  <si>
    <t xml:space="preserve">{"idUnique":1,"level":1,"levelProfileId":"LVL-TICK-1","maxOE":50,"nodeUnlockCount":1,"requiredPriorLevel":null,"ruleIds":"SYM-102; SYM-009; SYM-020; SYM-022; SYM-024","speciesKey":"TICK","xpThreshold":0}</t>
  </si>
  <si>
    <t xml:space="preserve">b49c87d65a413c986ad6737c741030301804067a1882ce5b00eb8c1d89ea179a</t>
  </si>
  <si>
    <t xml:space="preserve">TICK L2</t>
  </si>
  <si>
    <t xml:space="preserve">{"idUnique":1,"level":2,"levelProfileId":"LVL-TICK-2","maxOE":100,"nodeUnlockCount":1,"requiredPriorLevel":1,"ruleIds":"SYM-102; SYM-009; SYM-020; SYM-022; SYM-024","speciesKey":"TICK","xpThreshold":2}</t>
  </si>
  <si>
    <t xml:space="preserve">d626303e4ba0f1b64431d4780b3d84c1a52dda4d389f50588e9379bd06a105f9</t>
  </si>
  <si>
    <t xml:space="preserve">TICK L3</t>
  </si>
  <si>
    <t xml:space="preserve">{"idUnique":1,"level":3,"levelProfileId":"LVL-TICK-3","maxOE":150,"nodeUnlockCount":1,"requiredPriorLevel":2,"ruleIds":"SYM-102; SYM-009; SYM-020; SYM-022; SYM-024","speciesKey":"TICK","xpThreshold":3}</t>
  </si>
  <si>
    <t xml:space="preserve">0b6ca689d4f1bcbc4f9b962b7c2d44f3d7977e472065d509896954ae6427f900</t>
  </si>
  <si>
    <t xml:space="preserve">TICK L4</t>
  </si>
  <si>
    <t xml:space="preserve">{"idUnique":1,"level":4,"levelProfileId":"LVL-TICK-4","maxOE":200,"nodeUnlockCount":1,"requiredPriorLevel":3,"ruleIds":"SYM-102; SYM-009; SYM-020; SYM-022; SYM-024","speciesKey":"TICK","xpThreshold":4}</t>
  </si>
  <si>
    <t xml:space="preserve">58d25dc930cdcc28cd41274440d822d2b0dfecb773c32c951d4c79738493e32d</t>
  </si>
  <si>
    <t xml:space="preserve">TICK L5</t>
  </si>
  <si>
    <t xml:space="preserve">{"idUnique":1,"level":5,"levelProfileId":"LVL-TICK-5","maxOE":250,"nodeUnlockCount":1,"requiredPriorLevel":4,"ruleIds":"SYM-102; SYM-009; SYM-020; SYM-022; SYM-024","speciesKey":"TICK","xpThreshold":5}</t>
  </si>
  <si>
    <t xml:space="preserve">543ce9ac5980cff4f0919904b2a4fbe5e01ff41ea93932af351696370c685cf1</t>
  </si>
  <si>
    <t xml:space="preserve">TICK L6</t>
  </si>
  <si>
    <t xml:space="preserve">{"idUnique":1,"level":6,"levelProfileId":"LVL-TICK-6","maxOE":300,"nodeUnlockCount":1,"requiredPriorLevel":5,"ruleIds":"SYM-102; SYM-009; SYM-020; SYM-022; SYM-024","speciesKey":"TICK","xpThreshold":6}</t>
  </si>
  <si>
    <t xml:space="preserve">426fd1e1bd2683457d96b187282c1fe6d97995debc0bc2817631f4f5831b5826</t>
  </si>
  <si>
    <t xml:space="preserve">CRICKET L1</t>
  </si>
  <si>
    <t xml:space="preserve">{"idUnique":1,"level":1,"levelProfileId":"LVL-CRICKET-1","maxOE":50,"nodeUnlockCount":1,"requiredPriorLevel":null,"ruleIds":"SYM-109; SYM-009; SYM-020; SYM-022; SYM-024","speciesKey":"CRICKET","xpThreshold":0}</t>
  </si>
  <si>
    <t xml:space="preserve">2c30c58148b14e38b2bb7c024c5beda8201212190dbd49df481731c7c01584b2</t>
  </si>
  <si>
    <t xml:space="preserve">CRICKET L2</t>
  </si>
  <si>
    <t xml:space="preserve">{"idUnique":1,"level":2,"levelProfileId":"LVL-CRICKET-2","maxOE":100,"nodeUnlockCount":1,"requiredPriorLevel":1,"ruleIds":"SYM-109; SYM-009; SYM-020; SYM-022; SYM-024","speciesKey":"CRICKET","xpThreshold":2}</t>
  </si>
  <si>
    <t xml:space="preserve">dff34321221e4b44ac6d297704d668842dda78344bd7460cec33159f578dc367</t>
  </si>
  <si>
    <t xml:space="preserve">CRICKET L3</t>
  </si>
  <si>
    <t xml:space="preserve">{"idUnique":1,"level":3,"levelProfileId":"LVL-CRICKET-3","maxOE":150,"nodeUnlockCount":1,"requiredPriorLevel":2,"ruleIds":"SYM-109; SYM-009; SYM-020; SYM-022; SYM-024","speciesKey":"CRICKET","xpThreshold":3}</t>
  </si>
  <si>
    <t xml:space="preserve">ef6b6abe6b5652b022e7deac96f0e1bd47f4f8cd6d558cd9131d5aad009d86df</t>
  </si>
  <si>
    <t xml:space="preserve">CRICKET L4</t>
  </si>
  <si>
    <t xml:space="preserve">{"idUnique":1,"level":4,"levelProfileId":"LVL-CRICKET-4","maxOE":200,"nodeUnlockCount":1,"requiredPriorLevel":3,"ruleIds":"SYM-109; SYM-009; SYM-020; SYM-022; SYM-024","speciesKey":"CRICKET","xpThreshold":4}</t>
  </si>
  <si>
    <t xml:space="preserve">2371f8b3ea04d8b42617419169680c9b75572bff90a3ca6afbcaefa35b70db55</t>
  </si>
  <si>
    <t xml:space="preserve">CRICKET L5</t>
  </si>
  <si>
    <t xml:space="preserve">{"idUnique":1,"level":5,"levelProfileId":"LVL-CRICKET-5","maxOE":250,"nodeUnlockCount":1,"requiredPriorLevel":4,"ruleIds":"SYM-109; SYM-009; SYM-020; SYM-022; SYM-024","speciesKey":"CRICKET","xpThreshold":5}</t>
  </si>
  <si>
    <t xml:space="preserve">d4bacf181df020194eae16afb373c68cf8fd00f8d69e7bbbb7660289bc632ab9</t>
  </si>
  <si>
    <t xml:space="preserve">CRICKET L6</t>
  </si>
  <si>
    <t xml:space="preserve">{"idUnique":1,"level":6,"levelProfileId":"LVL-CRICKET-6","maxOE":300,"nodeUnlockCount":1,"requiredPriorLevel":5,"ruleIds":"SYM-109; SYM-009; SYM-020; SYM-022; SYM-024","speciesKey":"CRICKET","xpThreshold":6}</t>
  </si>
  <si>
    <t xml:space="preserve">7b716f83cd9d3a32e7b41220cdceb7ae509cc426a0321b23ce5305b3e84455f8</t>
  </si>
  <si>
    <t xml:space="preserve">SPIDER L1</t>
  </si>
  <si>
    <t xml:space="preserve">{"idUnique":1,"level":1,"levelProfileId":"LVL-SPIDER-1","maxOE":50,"nodeUnlockCount":1,"requiredPriorLevel":null,"ruleIds":"SYM-116; SYM-009; SYM-020; SYM-022; SYM-024","speciesKey":"SPIDER","xpThreshold":0}</t>
  </si>
  <si>
    <t xml:space="preserve">d0492f9fee511bf7cf17fe0d74ef0f939e572069d187dd6125b79b5433515f35</t>
  </si>
  <si>
    <t xml:space="preserve">SPIDER L2</t>
  </si>
  <si>
    <t xml:space="preserve">{"idUnique":1,"level":2,"levelProfileId":"LVL-SPIDER-2","maxOE":100,"nodeUnlockCount":1,"requiredPriorLevel":1,"ruleIds":"SYM-116; SYM-009; SYM-020; SYM-022; SYM-024","speciesKey":"SPIDER","xpThreshold":2}</t>
  </si>
  <si>
    <t xml:space="preserve">dc33c1dc4db6acefe1027a7fa86acbc74d1b5fc736e1ec676b4a8a5c8d9fae59</t>
  </si>
  <si>
    <t xml:space="preserve">SPIDER L3</t>
  </si>
  <si>
    <t xml:space="preserve">{"idUnique":1,"level":3,"levelProfileId":"LVL-SPIDER-3","maxOE":150,"nodeUnlockCount":1,"requiredPriorLevel":2,"ruleIds":"SYM-116; SYM-009; SYM-020; SYM-022; SYM-024","speciesKey":"SPIDER","xpThreshold":3}</t>
  </si>
  <si>
    <t xml:space="preserve">c7f9845ff5613935bfd9d00f0a56a2017482d7808d706cc7e5be21bcdc5a5de4</t>
  </si>
  <si>
    <t xml:space="preserve">SPIDER L4</t>
  </si>
  <si>
    <t xml:space="preserve">{"idUnique":1,"level":4,"levelProfileId":"LVL-SPIDER-4","maxOE":200,"nodeUnlockCount":1,"requiredPriorLevel":3,"ruleIds":"SYM-116; SYM-009; SYM-020; SYM-022; SYM-024","speciesKey":"SPIDER","xpThreshold":4}</t>
  </si>
  <si>
    <t xml:space="preserve">e4cc3a71546712627c98b4c548d80c437d2893308ddfd0cf2034bcb7c94185b8</t>
  </si>
  <si>
    <t xml:space="preserve">SPIDER L5</t>
  </si>
  <si>
    <t xml:space="preserve">{"idUnique":1,"level":5,"levelProfileId":"LVL-SPIDER-5","maxOE":250,"nodeUnlockCount":1,"requiredPriorLevel":4,"ruleIds":"SYM-116; SYM-009; SYM-020; SYM-022; SYM-024","speciesKey":"SPIDER","xpThreshold":5}</t>
  </si>
  <si>
    <t xml:space="preserve">6c5e8cf58ada42cac6df5a475a695f2ff298af200253c7b4b7adaaa4f2943f16</t>
  </si>
  <si>
    <t xml:space="preserve">SPIDER L6</t>
  </si>
  <si>
    <t xml:space="preserve">{"idUnique":1,"level":6,"levelProfileId":"LVL-SPIDER-6","maxOE":300,"nodeUnlockCount":1,"requiredPriorLevel":5,"ruleIds":"SYM-116; SYM-009; SYM-020; SYM-022; SYM-024","speciesKey":"SPIDER","xpThreshold":6}</t>
  </si>
  <si>
    <t xml:space="preserve">8e9ce53185c82bf631a4cd90fa557aca99e154ad1407cc70ccb1bf9e58554b7b</t>
  </si>
  <si>
    <t xml:space="preserve">CHAMELEON L1</t>
  </si>
  <si>
    <t xml:space="preserve">{"idUnique":1,"level":1,"levelProfileId":"LVL-CHAMELEON-1","maxOE":60,"nodeUnlockCount":1,"requiredPriorLevel":null,"ruleIds":"SYM-123; SYM-009; SYM-020; SYM-022; SYM-024","speciesKey":"CHAMELEON","xpThreshold":0}</t>
  </si>
  <si>
    <t xml:space="preserve">7873c2252bf3c187802986cdddf2d377a9411baf272db17a91e3ecb01824d7ee</t>
  </si>
  <si>
    <t xml:space="preserve">CHAMELEON L2</t>
  </si>
  <si>
    <t xml:space="preserve">{"idUnique":1,"level":2,"levelProfileId":"LVL-CHAMELEON-2","maxOE":120,"nodeUnlockCount":1,"requiredPriorLevel":1,"ruleIds":"SYM-123; SYM-009; SYM-020; SYM-022; SYM-024","speciesKey":"CHAMELEON","xpThreshold":2}</t>
  </si>
  <si>
    <t xml:space="preserve">5773d0aa08c2f5a6cd75ce3d73956e859c06f6e71c1d9a3e04f39c8ca4d7d940</t>
  </si>
  <si>
    <t xml:space="preserve">CHAMELEON L3</t>
  </si>
  <si>
    <t xml:space="preserve">{"idUnique":1,"level":3,"levelProfileId":"LVL-CHAMELEON-3","maxOE":180,"nodeUnlockCount":1,"requiredPriorLevel":2,"ruleIds":"SYM-123; SYM-009; SYM-020; SYM-022; SYM-024","speciesKey":"CHAMELEON","xpThreshold":3}</t>
  </si>
  <si>
    <t xml:space="preserve">06c446f92b0b4b80efa473e0394642b7d9c252033fb866e8f5801380ec1d5732</t>
  </si>
  <si>
    <t xml:space="preserve">CHAMELEON L4</t>
  </si>
  <si>
    <t xml:space="preserve">{"idUnique":1,"level":4,"levelProfileId":"LVL-CHAMELEON-4","maxOE":240,"nodeUnlockCount":1,"requiredPriorLevel":3,"ruleIds":"SYM-123; SYM-009; SYM-020; SYM-022; SYM-024","speciesKey":"CHAMELEON","xpThreshold":4}</t>
  </si>
  <si>
    <t xml:space="preserve">1c36aac5dd5685888f8887e6a2a7d17b1f4bbd24d66d7f49fe902b486e9b5578</t>
  </si>
  <si>
    <t xml:space="preserve">CHAMELEON L5</t>
  </si>
  <si>
    <t xml:space="preserve">{"idUnique":1,"level":5,"levelProfileId":"LVL-CHAMELEON-5","maxOE":300,"nodeUnlockCount":1,"requiredPriorLevel":4,"ruleIds":"SYM-123; SYM-009; SYM-020; SYM-022; SYM-024","speciesKey":"CHAMELEON","xpThreshold":5}</t>
  </si>
  <si>
    <t xml:space="preserve">eb6081804652c87f67a0132a58b00b213095929808724b16d2abfc82b7732190</t>
  </si>
  <si>
    <t xml:space="preserve">CHAMELEON L6</t>
  </si>
  <si>
    <t xml:space="preserve">{"idUnique":1,"level":6,"levelProfileId":"LVL-CHAMELEON-6","maxOE":360,"nodeUnlockCount":1,"requiredPriorLevel":5,"ruleIds":"SYM-123; SYM-009; SYM-020; SYM-022; SYM-024","speciesKey":"CHAMELEON","xpThreshold":6}</t>
  </si>
  <si>
    <t xml:space="preserve">d9337c2a9033739b1b71c92b803a8c7f81edec7100c7f047606460dfad850ded</t>
  </si>
  <si>
    <t xml:space="preserve">PENGUIN L1</t>
  </si>
  <si>
    <t xml:space="preserve">{"idUnique":1,"level":1,"levelProfileId":"LVL-PENGUIN-1","maxOE":20,"nodeUnlockCount":1,"requiredPriorLevel":null,"ruleIds":"SYM-130; SYM-009; SYM-020; SYM-022; SYM-024","speciesKey":"PENGUIN","xpThreshold":0}</t>
  </si>
  <si>
    <t xml:space="preserve">36413e18209f61a9dd734b46bc408fdad87e4c06c40eaf44352b91a5deaa5c67</t>
  </si>
  <si>
    <t xml:space="preserve">PENGUIN L2</t>
  </si>
  <si>
    <t xml:space="preserve">{"idUnique":1,"level":2,"levelProfileId":"LVL-PENGUIN-2","maxOE":40,"nodeUnlockCount":1,"requiredPriorLevel":1,"ruleIds":"SYM-130; SYM-009; SYM-020; SYM-022; SYM-024","speciesKey":"PENGUIN","xpThreshold":2}</t>
  </si>
  <si>
    <t xml:space="preserve">0b308676f74fabcfd60bf82645cdfa107959bddd2dea49b57dc5e5f8c8c6247c</t>
  </si>
  <si>
    <t xml:space="preserve">PENGUIN L3</t>
  </si>
  <si>
    <t xml:space="preserve">{"idUnique":1,"level":3,"levelProfileId":"LVL-PENGUIN-3","maxOE":60,"nodeUnlockCount":1,"requiredPriorLevel":2,"ruleIds":"SYM-130; SYM-009; SYM-020; SYM-022; SYM-024","speciesKey":"PENGUIN","xpThreshold":3}</t>
  </si>
  <si>
    <t xml:space="preserve">2a8518b14fea254931fec23878d361e79f5a406990753d190c50fb6713e2a6b7</t>
  </si>
  <si>
    <t xml:space="preserve">PENGUIN L4</t>
  </si>
  <si>
    <t xml:space="preserve">{"idUnique":1,"level":4,"levelProfileId":"LVL-PENGUIN-4","maxOE":80,"nodeUnlockCount":1,"requiredPriorLevel":3,"ruleIds":"SYM-130; SYM-009; SYM-020; SYM-022; SYM-024","speciesKey":"PENGUIN","xpThreshold":4}</t>
  </si>
  <si>
    <t xml:space="preserve">0b413633369b23ad5f9ce2d6efee8a7f7c7545eeae039405fba7adc287ba7511</t>
  </si>
  <si>
    <t xml:space="preserve">PENGUIN L5</t>
  </si>
  <si>
    <t xml:space="preserve">{"idUnique":1,"level":5,"levelProfileId":"LVL-PENGUIN-5","maxOE":100,"nodeUnlockCount":1,"requiredPriorLevel":4,"ruleIds":"SYM-130; SYM-009; SYM-020; SYM-022; SYM-024","speciesKey":"PENGUIN","xpThreshold":5}</t>
  </si>
  <si>
    <t xml:space="preserve">bffbc80f75a036c6a214c187d34c0515550b685abddcdee752fc488997e6a60c</t>
  </si>
  <si>
    <t xml:space="preserve">PENGUIN L6</t>
  </si>
  <si>
    <t xml:space="preserve">{"idUnique":1,"level":6,"levelProfileId":"LVL-PENGUIN-6","maxOE":120,"nodeUnlockCount":1,"requiredPriorLevel":5,"ruleIds":"SYM-130; SYM-009; SYM-020; SYM-022; SYM-024","speciesKey":"PENGUIN","xpThreshold":6}</t>
  </si>
  <si>
    <t xml:space="preserve">8b71d88bb1ad900a2337e4cf9dcd9a6b7e9a89cd2d5bb862ab3c7044c97655f1</t>
  </si>
  <si>
    <t xml:space="preserve">PENGUIN L7</t>
  </si>
  <si>
    <t xml:space="preserve">{"idUnique":1,"level":7,"levelProfileId":"LVL-PENGUIN-7","maxOE":140,"nodeUnlockCount":1,"requiredPriorLevel":6,"ruleIds":"SYM-130; SYM-009; SYM-020; SYM-022; SYM-024","speciesKey":"PENGUIN","xpThreshold":7}</t>
  </si>
  <si>
    <t xml:space="preserve">af543bf1721f78c4556055e810a3fe3daf63c5ca253139638bef91fc9126d785</t>
  </si>
  <si>
    <t xml:space="preserve">EEL L1</t>
  </si>
  <si>
    <t xml:space="preserve">{"idUnique":1,"level":1,"levelProfileId":"LVL-EEL-1","maxOE":60,"nodeUnlockCount":1,"requiredPriorLevel":null,"ruleIds":"SYM-136; SYM-009; SYM-020; SYM-022; SYM-024","speciesKey":"EEL","xpThreshold":0}</t>
  </si>
  <si>
    <t xml:space="preserve">b731ce9a995aaaf787c693a44882a16c5d6232c8b47f4bc1cf16253550cc0aa6</t>
  </si>
  <si>
    <t xml:space="preserve">EEL L2</t>
  </si>
  <si>
    <t xml:space="preserve">{"idUnique":1,"level":2,"levelProfileId":"LVL-EEL-2","maxOE":120,"nodeUnlockCount":1,"requiredPriorLevel":1,"ruleIds":"SYM-136; SYM-009; SYM-020; SYM-022; SYM-024","speciesKey":"EEL","xpThreshold":2}</t>
  </si>
  <si>
    <t xml:space="preserve">1d8237212b9c45b8c4026353192934c1027db96e6381f018d84d57bf9eaa666a</t>
  </si>
  <si>
    <t xml:space="preserve">EEL L3</t>
  </si>
  <si>
    <t xml:space="preserve">{"idUnique":1,"level":3,"levelProfileId":"LVL-EEL-3","maxOE":180,"nodeUnlockCount":1,"requiredPriorLevel":2,"ruleIds":"SYM-136; SYM-009; SYM-020; SYM-022; SYM-024","speciesKey":"EEL","xpThreshold":3}</t>
  </si>
  <si>
    <t xml:space="preserve">d48ec8b1d37fe5c598e7b7341fea35113663fb0d6a0bc2deda846ae1ac40c338</t>
  </si>
  <si>
    <t xml:space="preserve">EEL L4</t>
  </si>
  <si>
    <t xml:space="preserve">{"idUnique":1,"level":4,"levelProfileId":"LVL-EEL-4","maxOE":240,"nodeUnlockCount":1,"requiredPriorLevel":3,"ruleIds":"SYM-136; SYM-009; SYM-020; SYM-022; SYM-024","speciesKey":"EEL","xpThreshold":4}</t>
  </si>
  <si>
    <t xml:space="preserve">0042b3d350bce8c28251c21579ee2abf1732d48f20270b345aaaa373fa98ca2c</t>
  </si>
  <si>
    <t xml:space="preserve">EEL L5</t>
  </si>
  <si>
    <t xml:space="preserve">{"idUnique":1,"level":5,"levelProfileId":"LVL-EEL-5","maxOE":300,"nodeUnlockCount":1,"requiredPriorLevel":4,"ruleIds":"SYM-136; SYM-009; SYM-020; SYM-022; SYM-024","speciesKey":"EEL","xpThreshold":5}</t>
  </si>
  <si>
    <t xml:space="preserve">829061d61d128fb287dd8d674457ddf8b2b09dfe75ff5ea751f25369c1ea2d26</t>
  </si>
  <si>
    <t xml:space="preserve">EEL L6</t>
  </si>
  <si>
    <t xml:space="preserve">{"idUnique":1,"level":6,"levelProfileId":"LVL-EEL-6","maxOE":360,"nodeUnlockCount":1,"requiredPriorLevel":5,"ruleIds":"SYM-136; SYM-009; SYM-020; SYM-022; SYM-024","speciesKey":"EEL","xpThreshold":6}</t>
  </si>
  <si>
    <t xml:space="preserve">641c3f3938736341ee9d07c8a109cc75ba6331dbd17c9a9889604fd1ddf5eaf8</t>
  </si>
  <si>
    <t xml:space="preserve">TOAD L1</t>
  </si>
  <si>
    <t xml:space="preserve">{"idUnique":1,"level":1,"levelProfileId":"LVL-TOAD-1","maxOE":40,"nodeUnlockCount":1,"requiredPriorLevel":null,"ruleIds":"SYM-143; SYM-009; SYM-020; SYM-022; SYM-024","speciesKey":"TOAD","xpThreshold":0}</t>
  </si>
  <si>
    <t xml:space="preserve">bfce87182eb850f8498b72f248a27c2cdf26a266d5bfd808b4dc4d3b5c1eac2b</t>
  </si>
  <si>
    <t xml:space="preserve">TOAD L2</t>
  </si>
  <si>
    <t xml:space="preserve">{"idUnique":1,"level":2,"levelProfileId":"LVL-TOAD-2","maxOE":80,"nodeUnlockCount":1,"requiredPriorLevel":1,"ruleIds":"SYM-143; SYM-009; SYM-020; SYM-022; SYM-024","speciesKey":"TOAD","xpThreshold":2}</t>
  </si>
  <si>
    <t xml:space="preserve">5758769614b0e99bcc8127f3d973584710730db37f8daeb7a15655cb6d10eca7</t>
  </si>
  <si>
    <t xml:space="preserve">TOAD L3</t>
  </si>
  <si>
    <t xml:space="preserve">{"idUnique":1,"level":3,"levelProfileId":"LVL-TOAD-3","maxOE":120,"nodeUnlockCount":1,"requiredPriorLevel":2,"ruleIds":"SYM-143; SYM-009; SYM-020; SYM-022; SYM-024","speciesKey":"TOAD","xpThreshold":3}</t>
  </si>
  <si>
    <t xml:space="preserve">61e325dadd17c954459c05316d0db3b3db9f3ecdee726c999abe636bc1bc839b</t>
  </si>
  <si>
    <t xml:space="preserve">TOAD L4</t>
  </si>
  <si>
    <t xml:space="preserve">{"idUnique":1,"level":4,"levelProfileId":"LVL-TOAD-4","maxOE":160,"nodeUnlockCount":1,"requiredPriorLevel":3,"ruleIds":"SYM-143; SYM-009; SYM-020; SYM-022; SYM-024","speciesKey":"TOAD","xpThreshold":4}</t>
  </si>
  <si>
    <t xml:space="preserve">85e22fa12f51f0544003a46e7916926772857133b4468e5e828ccbe8068f87d3</t>
  </si>
  <si>
    <t xml:space="preserve">TOAD L5</t>
  </si>
  <si>
    <t xml:space="preserve">{"idUnique":1,"level":5,"levelProfileId":"LVL-TOAD-5","maxOE":200,"nodeUnlockCount":1,"requiredPriorLevel":4,"ruleIds":"SYM-143; SYM-009; SYM-020; SYM-022; SYM-024","speciesKey":"TOAD","xpThreshold":5}</t>
  </si>
  <si>
    <t xml:space="preserve">ec05012aab0d1a5fe33cfe5e77e5a0eeb2b5d2e5339d5b5c107ecc949d4f519c</t>
  </si>
  <si>
    <t xml:space="preserve">TOAD L6</t>
  </si>
  <si>
    <t xml:space="preserve">{"idUnique":1,"level":6,"levelProfileId":"LVL-TOAD-6","maxOE":240,"nodeUnlockCount":1,"requiredPriorLevel":5,"ruleIds":"SYM-143; SYM-009; SYM-020; SYM-022; SYM-024","speciesKey":"TOAD","xpThreshold":6}</t>
  </si>
  <si>
    <t xml:space="preserve">79ffb7f421f3202ef1983d2cbc6fb4002235615af6937d4a35bca0ee77f900bb</t>
  </si>
  <si>
    <t xml:space="preserve">TOAD L7</t>
  </si>
  <si>
    <t xml:space="preserve">{"idUnique":1,"level":7,"levelProfileId":"LVL-TOAD-7","maxOE":280,"nodeUnlockCount":1,"requiredPriorLevel":6,"ruleIds":"SYM-143; SYM-009; SYM-020; SYM-022; SYM-024","speciesKey":"TOAD","xpThreshold":7}</t>
  </si>
  <si>
    <t xml:space="preserve">6a2a33fa91811f0de2c5bbd4d4d7fea2a28a853648d9254c7b8aaee45670c40f</t>
  </si>
  <si>
    <t xml:space="preserve">RAT L1</t>
  </si>
  <si>
    <t xml:space="preserve">{"idUnique":1,"level":1,"levelProfileId":"LVL-RAT-1","maxOE":50,"nodeUnlockCount":1,"requiredPriorLevel":null,"ruleIds":"SYM-151; SYM-009; SYM-020; SYM-022; SYM-024","speciesKey":"RAT","xpThreshold":0}</t>
  </si>
  <si>
    <t xml:space="preserve">98f90c01020bd37f40cff5e4adfd631fa35d1a7267194737e6cdd6cd2d992f01</t>
  </si>
  <si>
    <t xml:space="preserve">RAT L2</t>
  </si>
  <si>
    <t xml:space="preserve">{"idUnique":1,"level":2,"levelProfileId":"LVL-RAT-2","maxOE":100,"nodeUnlockCount":1,"requiredPriorLevel":1,"ruleIds":"SYM-151; SYM-009; SYM-020; SYM-022; SYM-024","speciesKey":"RAT","xpThreshold":2}</t>
  </si>
  <si>
    <t xml:space="preserve">9264c62941eb8627cb3bd23ace4c83c7183e91aec776e55d8c77c52fa538631b</t>
  </si>
  <si>
    <t xml:space="preserve">RAT L3</t>
  </si>
  <si>
    <t xml:space="preserve">{"idUnique":1,"level":3,"levelProfileId":"LVL-RAT-3","maxOE":150,"nodeUnlockCount":1,"requiredPriorLevel":2,"ruleIds":"SYM-151; SYM-009; SYM-020; SYM-022; SYM-024","speciesKey":"RAT","xpThreshold":3}</t>
  </si>
  <si>
    <t xml:space="preserve">93795a0d7760b80aa946ffcd04ebd960c27a3aad377c110cfd5ac0f0fbee7095</t>
  </si>
  <si>
    <t xml:space="preserve">RAT L4</t>
  </si>
  <si>
    <t xml:space="preserve">{"idUnique":1,"level":4,"levelProfileId":"LVL-RAT-4","maxOE":200,"nodeUnlockCount":2,"requiredPriorLevel":3,"ruleIds":"SYM-151; SYM-009; SYM-020; SYM-022; SYM-024","speciesKey":"RAT","xpThreshold":4}</t>
  </si>
  <si>
    <t xml:space="preserve">038932d5c92908a240570c562333c3043a633f04058da72eee7e6710b89e69e8</t>
  </si>
  <si>
    <t xml:space="preserve">RAT L5</t>
  </si>
  <si>
    <t xml:space="preserve">{"idUnique":1,"level":5,"levelProfileId":"LVL-RAT-5","maxOE":250,"nodeUnlockCount":2,"requiredPriorLevel":4,"ruleIds":"SYM-151; SYM-009; SYM-020; SYM-022; SYM-024","speciesKey":"RAT","xpThreshold":5}</t>
  </si>
  <si>
    <t xml:space="preserve">b6de3aba840cc1bf39872ab6b2de8cff150ad3ada0eea6e8d97bef6cb26b2623</t>
  </si>
  <si>
    <t xml:space="preserve">RAT L6</t>
  </si>
  <si>
    <t xml:space="preserve">{"idUnique":1,"level":6,"levelProfileId":"LVL-RAT-6","maxOE":300,"nodeUnlockCount":2,"requiredPriorLevel":5,"ruleIds":"SYM-151; SYM-009; SYM-020; SYM-022; SYM-024","speciesKey":"RAT","xpThreshold":6}</t>
  </si>
  <si>
    <t xml:space="preserve">5e495cdd0a79657382c8111cb4c70d2225f5f68f9457a3d5b3c1205d3f6d455d</t>
  </si>
  <si>
    <t xml:space="preserve">RAT L7</t>
  </si>
  <si>
    <t xml:space="preserve">{"idUnique":1,"level":7,"levelProfileId":"LVL-RAT-7","maxOE":350,"nodeUnlockCount":1,"requiredPriorLevel":6,"ruleIds":"SYM-151; SYM-009; SYM-020; SYM-022; SYM-024","speciesKey":"RAT","xpThreshold":7}</t>
  </si>
  <si>
    <t xml:space="preserve">96b89a852100fd1833362a78ad3891da18a06ccd2bb09c739cce4f76c2174c94</t>
  </si>
  <si>
    <t xml:space="preserve">DOLPHIN L1</t>
  </si>
  <si>
    <t xml:space="preserve">{"idUnique":1,"level":1,"levelProfileId":"LVL-DOLPHIN-1","maxOE":30,"nodeUnlockCount":1,"requiredPriorLevel":null,"ruleIds":"SYM-161; SYM-009; SYM-020; SYM-022; SYM-024","speciesKey":"DOLPHIN","xpThreshold":0}</t>
  </si>
  <si>
    <t xml:space="preserve">1d1662b07cb58bdb8bff3b086880dd34395b0ea1b86fa7afd3a2df0ff2a9e6ff</t>
  </si>
  <si>
    <t xml:space="preserve">DOLPHIN L2</t>
  </si>
  <si>
    <t xml:space="preserve">{"idUnique":1,"level":2,"levelProfileId":"LVL-DOLPHIN-2","maxOE":60,"nodeUnlockCount":1,"requiredPriorLevel":1,"ruleIds":"SYM-161; SYM-009; SYM-020; SYM-022; SYM-024","speciesKey":"DOLPHIN","xpThreshold":2}</t>
  </si>
  <si>
    <t xml:space="preserve">d654969f233ce1c70b498bb7837abd233aca8c27cb7c8d852fc2d3b82e84e42d</t>
  </si>
  <si>
    <t xml:space="preserve">DOLPHIN L3</t>
  </si>
  <si>
    <t xml:space="preserve">{"idUnique":1,"level":3,"levelProfileId":"LVL-DOLPHIN-3","maxOE":90,"nodeUnlockCount":1,"requiredPriorLevel":2,"ruleIds":"SYM-161; SYM-009; SYM-020; SYM-022; SYM-024","speciesKey":"DOLPHIN","xpThreshold":3}</t>
  </si>
  <si>
    <t xml:space="preserve">23c43bfc8d32f2ccb29e03f6f8f8041c86ed5f7ca2ba7487f59c159bf0a5ee63</t>
  </si>
  <si>
    <t xml:space="preserve">DOLPHIN L4</t>
  </si>
  <si>
    <t xml:space="preserve">{"idUnique":1,"level":4,"levelProfileId":"LVL-DOLPHIN-4","maxOE":120,"nodeUnlockCount":1,"requiredPriorLevel":3,"ruleIds":"SYM-161; SYM-009; SYM-020; SYM-022; SYM-024","speciesKey":"DOLPHIN","xpThreshold":4}</t>
  </si>
  <si>
    <t xml:space="preserve">7e03d051cc85c6cb608b190351d336876dc1d7408de758a18691c41ed0bb71cc</t>
  </si>
  <si>
    <t xml:space="preserve">DOLPHIN L5</t>
  </si>
  <si>
    <t xml:space="preserve">{"idUnique":1,"level":5,"levelProfileId":"LVL-DOLPHIN-5","maxOE":150,"nodeUnlockCount":1,"requiredPriorLevel":4,"ruleIds":"SYM-161; SYM-009; SYM-020; SYM-022; SYM-024","speciesKey":"DOLPHIN","xpThreshold":5}</t>
  </si>
  <si>
    <t xml:space="preserve">62f20e964a51d789af58bb5130d85d3323ac279c7f5a134309b8de1149cfdef1</t>
  </si>
  <si>
    <t xml:space="preserve">DOLPHIN L6</t>
  </si>
  <si>
    <t xml:space="preserve">{"idUnique":1,"level":6,"levelProfileId":"LVL-DOLPHIN-6","maxOE":180,"nodeUnlockCount":1,"requiredPriorLevel":5,"ruleIds":"SYM-161; SYM-009; SYM-020; SYM-022; SYM-024","speciesKey":"DOLPHIN","xpThreshold":6}</t>
  </si>
  <si>
    <t xml:space="preserve">90d6c7e5fa24f13e29da13e380040ef358a7f78998eae81c67f417975b9d6d48</t>
  </si>
  <si>
    <t xml:space="preserve">MANTIS L1</t>
  </si>
  <si>
    <t xml:space="preserve">{"idUnique":1,"level":1,"levelProfileId":"LVL-MANTIS-1","maxOE":40,"nodeUnlockCount":1,"requiredPriorLevel":null,"ruleIds":"SYM-167; SYM-009; SYM-020; SYM-022; SYM-024","speciesKey":"MANTIS","xpThreshold":0}</t>
  </si>
  <si>
    <t xml:space="preserve">cf5c94e3ce82838c285f0e7bb15b3946c7aa25f65d401224edec340248502c8a</t>
  </si>
  <si>
    <t xml:space="preserve">MANTIS L2</t>
  </si>
  <si>
    <t xml:space="preserve">{"idUnique":1,"level":2,"levelProfileId":"LVL-MANTIS-2","maxOE":80,"nodeUnlockCount":1,"requiredPriorLevel":1,"ruleIds":"SYM-167; SYM-009; SYM-020; SYM-022; SYM-024","speciesKey":"MANTIS","xpThreshold":2}</t>
  </si>
  <si>
    <t xml:space="preserve">266c36c672f359eb9630c3295f800983a1be7ffdbf0b829034eb82067d5b4ddd</t>
  </si>
  <si>
    <t xml:space="preserve">MANTIS L3</t>
  </si>
  <si>
    <t xml:space="preserve">{"idUnique":1,"level":3,"levelProfileId":"LVL-MANTIS-3","maxOE":120,"nodeUnlockCount":1,"requiredPriorLevel":2,"ruleIds":"SYM-167; SYM-009; SYM-020; SYM-022; SYM-024","speciesKey":"MANTIS","xpThreshold":3}</t>
  </si>
  <si>
    <t xml:space="preserve">5b0076595ca8d3eec4271707909cd0555d79426ca40c4aac31e3a9cd7759a078</t>
  </si>
  <si>
    <t xml:space="preserve">MANTIS L4</t>
  </si>
  <si>
    <t xml:space="preserve">{"idUnique":1,"level":4,"levelProfileId":"LVL-MANTIS-4","maxOE":160,"nodeUnlockCount":1,"requiredPriorLevel":3,"ruleIds":"SYM-167; SYM-009; SYM-020; SYM-022; SYM-024","speciesKey":"MANTIS","xpThreshold":4}</t>
  </si>
  <si>
    <t xml:space="preserve">d9b9aa6034beb02e7c4c2f8c1e1e245a0bfa8e938eb6f892ab3fb69611b8c008</t>
  </si>
  <si>
    <t xml:space="preserve">MANTIS L5</t>
  </si>
  <si>
    <t xml:space="preserve">{"idUnique":1,"level":5,"levelProfileId":"LVL-MANTIS-5","maxOE":200,"nodeUnlockCount":1,"requiredPriorLevel":4,"ruleIds":"SYM-167; SYM-009; SYM-020; SYM-022; SYM-024","speciesKey":"MANTIS","xpThreshold":5}</t>
  </si>
  <si>
    <t xml:space="preserve">5db49966bef3311808647581c9cda227e8212f0d755ddc329a2638888768d2bc</t>
  </si>
  <si>
    <t xml:space="preserve">MANTIS L6</t>
  </si>
  <si>
    <t xml:space="preserve">{"idUnique":1,"level":6,"levelProfileId":"LVL-MANTIS-6","maxOE":240,"nodeUnlockCount":1,"requiredPriorLevel":5,"ruleIds":"SYM-167; SYM-009; SYM-020; SYM-022; SYM-024","speciesKey":"MANTIS","xpThreshold":6}</t>
  </si>
  <si>
    <t xml:space="preserve">9229c48abdd01b1f602d88c796eb0350766e4501ce70900f99031ae621970ce7</t>
  </si>
  <si>
    <t xml:space="preserve">SKUNK L1</t>
  </si>
  <si>
    <t xml:space="preserve">{"idUnique":1,"level":1,"levelProfileId":"LVL-SKUNK-1","maxOE":50,"nodeUnlockCount":1,"requiredPriorLevel":null,"ruleIds":"SYM-174; SYM-009; SYM-020; SYM-022; SYM-024","speciesKey":"SKUNK","xpThreshold":0}</t>
  </si>
  <si>
    <t xml:space="preserve">b58a10b64366fa3568df1a434918197d54481cf02594c6a1116cf343caa7565f</t>
  </si>
  <si>
    <t xml:space="preserve">SKUNK L2</t>
  </si>
  <si>
    <t xml:space="preserve">{"idUnique":1,"level":2,"levelProfileId":"LVL-SKUNK-2","maxOE":100,"nodeUnlockCount":1,"requiredPriorLevel":1,"ruleIds":"SYM-174; SYM-009; SYM-020; SYM-022; SYM-024","speciesKey":"SKUNK","xpThreshold":2}</t>
  </si>
  <si>
    <t xml:space="preserve">595efc81d8954f918dd53c04e3d8ba6f2cf17c3c58d9a7cebe7e7ca3dbdc0199</t>
  </si>
  <si>
    <t xml:space="preserve">SKUNK L3</t>
  </si>
  <si>
    <t xml:space="preserve">{"idUnique":1,"level":3,"levelProfileId":"LVL-SKUNK-3","maxOE":150,"nodeUnlockCount":1,"requiredPriorLevel":2,"ruleIds":"SYM-174; SYM-009; SYM-020; SYM-022; SYM-024","speciesKey":"SKUNK","xpThreshold":3}</t>
  </si>
  <si>
    <t xml:space="preserve">8a02eb5e36da64768679ea7de289278d4493f5c26f68d1f7b36b322fefee01dd</t>
  </si>
  <si>
    <t xml:space="preserve">SKUNK L4</t>
  </si>
  <si>
    <t xml:space="preserve">{"idUnique":1,"level":4,"levelProfileId":"LVL-SKUNK-4","maxOE":200,"nodeUnlockCount":1,"requiredPriorLevel":3,"ruleIds":"SYM-174; SYM-009; SYM-020; SYM-022; SYM-024","speciesKey":"SKUNK","xpThreshold":4}</t>
  </si>
  <si>
    <t xml:space="preserve">bc4773117f1d5536c8f5fe36e286aaba9d66f8aba67781fb7718864433f45e1b</t>
  </si>
  <si>
    <t xml:space="preserve">SKUNK L5</t>
  </si>
  <si>
    <t xml:space="preserve">{"idUnique":1,"level":5,"levelProfileId":"LVL-SKUNK-5","maxOE":250,"nodeUnlockCount":1,"requiredPriorLevel":4,"ruleIds":"SYM-174; SYM-009; SYM-020; SYM-022; SYM-024","speciesKey":"SKUNK","xpThreshold":5}</t>
  </si>
  <si>
    <t xml:space="preserve">90ade2c2bbcb3b9d93d3380cbe903074e7bbfe4c5c1f9a72a63ee5d6a0ceab29</t>
  </si>
  <si>
    <t xml:space="preserve">SKUNK L6</t>
  </si>
  <si>
    <t xml:space="preserve">{"idUnique":1,"level":6,"levelProfileId":"LVL-SKUNK-6","maxOE":300,"nodeUnlockCount":1,"requiredPriorLevel":5,"ruleIds":"SYM-174; SYM-009; SYM-020; SYM-022; SYM-024","speciesKey":"SKUNK","xpThreshold":6}</t>
  </si>
  <si>
    <t xml:space="preserve">0e62033f1c0ae27120916e2bca3aed758376b1a36bc3ed14e04c1534c0a8693e</t>
  </si>
  <si>
    <t xml:space="preserve">CHIMERA L1</t>
  </si>
  <si>
    <t xml:space="preserve">{"idUnique":1,"level":1,"levelProfileId":"LVL-CHIMERA-1","maxOE":400,"nodeUnlockCount":1,"requiredPriorLevel":null,"ruleIds":"MON-002; SYM-009; SYM-020; SYM-022; SYM-024","speciesKey":"CHIMERA","xpThreshold":0}</t>
  </si>
  <si>
    <t xml:space="preserve">bead7e394747a41c3b0fc2920ebd1674e466a8180b9d243f860354eca6434a4a</t>
  </si>
  <si>
    <t xml:space="preserve">CHIMERA L2</t>
  </si>
  <si>
    <t xml:space="preserve">{"idUnique":1,"level":2,"levelProfileId":"LVL-CHIMERA-2","maxOE":800,"nodeUnlockCount":3,"requiredPriorLevel":1,"ruleIds":"MON-002; SYM-009; SYM-020; SYM-022; SYM-024","speciesKey":"CHIMERA","xpThreshold":2}</t>
  </si>
  <si>
    <t xml:space="preserve">fadb78c4fb3db4ff177a31a49a381f39ba5451d5b5ea1237c76b654c758e97fd</t>
  </si>
  <si>
    <t xml:space="preserve">CHIMERA L3</t>
  </si>
  <si>
    <t xml:space="preserve">{"idUnique":1,"level":3,"levelProfileId":"LVL-CHIMERA-3","maxOE":1200,"nodeUnlockCount":3,"requiredPriorLevel":2,"ruleIds":"MON-002; SYM-009; SYM-020; SYM-022; SYM-024","speciesKey":"CHIMERA","xpThreshold":3}</t>
  </si>
  <si>
    <t xml:space="preserve">82e635699980808880efa5529b01242a3ee255e73c0ad0ed1f425a23f2bfbcad</t>
  </si>
  <si>
    <t xml:space="preserve">CHIMERA L4</t>
  </si>
  <si>
    <t xml:space="preserve">{"idUnique":1,"level":4,"levelProfileId":"LVL-CHIMERA-4","maxOE":1600,"nodeUnlockCount":3,"requiredPriorLevel":3,"ruleIds":"MON-002; SYM-009; SYM-020; SYM-022; SYM-024","speciesKey":"CHIMERA","xpThreshold":4}</t>
  </si>
  <si>
    <t xml:space="preserve">38a719dc6fc5de071b2eb8e7cc4527a72eb08fc00edd93cad5bbbc1067ed94c7</t>
  </si>
  <si>
    <t xml:space="preserve">CHIMERA L5</t>
  </si>
  <si>
    <t xml:space="preserve">{"idUnique":1,"level":5,"levelProfileId":"LVL-CHIMERA-5","maxOE":2000,"nodeUnlockCount":3,"requiredPriorLevel":4,"ruleIds":"MON-002; SYM-009; SYM-020; SYM-022; SYM-024","speciesKey":"CHIMERA","xpThreshold":5}</t>
  </si>
  <si>
    <t xml:space="preserve">0afc7ee8943c2dde6539ec652a52d8cd4b821a532eabb4797fc56a8b528f8a88</t>
  </si>
  <si>
    <t xml:space="preserve">CHIMERA L6</t>
  </si>
  <si>
    <t xml:space="preserve">{"idUnique":1,"level":6,"levelProfileId":"LVL-CHIMERA-6","maxOE":2400,"nodeUnlockCount":1,"requiredPriorLevel":5,"ruleIds":"MON-002; SYM-009; SYM-020; SYM-022; SYM-024","speciesKey":"CHIMERA","xpThreshold":6}</t>
  </si>
  <si>
    <t xml:space="preserve">f8211290a4706546be722d405f90f4d0c55a48a69dc73d5b16a4e3891c5e54af</t>
  </si>
  <si>
    <t xml:space="preserve">PUPPETEER L1</t>
  </si>
  <si>
    <t xml:space="preserve">{"idUnique":1,"level":1,"levelProfileId":"LVL-PUPPETEER-1","maxOE":400,"nodeUnlockCount":1,"requiredPriorLevel":null,"ruleIds":"MON-025; SYM-009; SYM-020; SYM-022; SYM-024","speciesKey":"PUPPETEER","xpThreshold":0}</t>
  </si>
  <si>
    <t xml:space="preserve">8a75646e6aced6a9fb98d7152493e0ec06cb10e2a3ac9369a793273a60a9f0bd</t>
  </si>
  <si>
    <t xml:space="preserve">PUPPETEER L2</t>
  </si>
  <si>
    <t xml:space="preserve">{"idUnique":1,"level":2,"levelProfileId":"LVL-PUPPETEER-2","maxOE":800,"nodeUnlockCount":3,"requiredPriorLevel":1,"ruleIds":"MON-025; SYM-009; SYM-020; SYM-022; SYM-024","speciesKey":"PUPPETEER","xpThreshold":2}</t>
  </si>
  <si>
    <t xml:space="preserve">ebb38d665b6834d0cc6a5576225af6e4174eb9a960dc107a87dd748b41fffe22</t>
  </si>
  <si>
    <t xml:space="preserve">PUPPETEER L3</t>
  </si>
  <si>
    <t xml:space="preserve">{"idUnique":1,"level":3,"levelProfileId":"LVL-PUPPETEER-3","maxOE":1200,"nodeUnlockCount":3,"requiredPriorLevel":2,"ruleIds":"MON-025; SYM-009; SYM-020; SYM-022; SYM-024","speciesKey":"PUPPETEER","xpThreshold":3}</t>
  </si>
  <si>
    <t xml:space="preserve">fcfa37f91265c894e4eb3e6afb8b33b2e45b0f28b5f771a16632242f03454634</t>
  </si>
  <si>
    <t xml:space="preserve">PUPPETEER L4</t>
  </si>
  <si>
    <t xml:space="preserve">{"idUnique":1,"level":4,"levelProfileId":"LVL-PUPPETEER-4","maxOE":1600,"nodeUnlockCount":3,"requiredPriorLevel":3,"ruleIds":"MON-025; SYM-009; SYM-020; SYM-022; SYM-024","speciesKey":"PUPPETEER","xpThreshold":4}</t>
  </si>
  <si>
    <t xml:space="preserve">cdc12f37a1ecff027ec04048e9afafbf0f7e8837ff1a91b354bf13af6de55729</t>
  </si>
  <si>
    <t xml:space="preserve">PUPPETEER L5</t>
  </si>
  <si>
    <t xml:space="preserve">{"idUnique":1,"level":5,"levelProfileId":"LVL-PUPPETEER-5","maxOE":2000,"nodeUnlockCount":3,"requiredPriorLevel":4,"ruleIds":"MON-025; SYM-009; SYM-020; SYM-022; SYM-024","speciesKey":"PUPPETEER","xpThreshold":5}</t>
  </si>
  <si>
    <t xml:space="preserve">c03d3f8afa66c3b922de7120756d812e6d087e2f59027a86d7efedd735eabf3c</t>
  </si>
  <si>
    <t xml:space="preserve">PUPPETEER L6</t>
  </si>
  <si>
    <t xml:space="preserve">{"idUnique":1,"level":6,"levelProfileId":"LVL-PUPPETEER-6","maxOE":2400,"nodeUnlockCount":1,"requiredPriorLevel":5,"ruleIds":"MON-025; SYM-009; SYM-020; SYM-022; SYM-024","speciesKey":"PUPPETEER","xpThreshold":6}</t>
  </si>
  <si>
    <t xml:space="preserve">74a4e089ff09e01d94ff6ad02d57406fa9fb96f2dccfa3ccd9560630eeabd078</t>
  </si>
  <si>
    <t xml:space="preserve">PLAGUE_DOCTOR L1</t>
  </si>
  <si>
    <t xml:space="preserve">{"idUnique":1,"level":1,"levelProfileId":"LVL-PLAGUE_DOCTOR-1","maxOE":400,"nodeUnlockCount":1,"requiredPriorLevel":null,"ruleIds":"MON-040; SYM-009; SYM-020; SYM-022; SYM-024","speciesKey":"PLAGUE_DOCTOR","xpThreshold":0}</t>
  </si>
  <si>
    <t xml:space="preserve">dacd44337fa3c675dc05244952fd4f36a5235ad270e53799a9a6f69a9949ec89</t>
  </si>
  <si>
    <t xml:space="preserve">PLAGUE_DOCTOR L2</t>
  </si>
  <si>
    <t xml:space="preserve">{"idUnique":1,"level":2,"levelProfileId":"LVL-PLAGUE_DOCTOR-2","maxOE":800,"nodeUnlockCount":3,"requiredPriorLevel":1,"ruleIds":"MON-040; SYM-009; SYM-020; SYM-022; SYM-024","speciesKey":"PLAGUE_DOCTOR","xpThreshold":2}</t>
  </si>
  <si>
    <t xml:space="preserve">8f32c68e09e79697b808da7bfb6ef3003805cf18207c54f4b81829b11cf7aa37</t>
  </si>
  <si>
    <t xml:space="preserve">PLAGUE_DOCTOR L3</t>
  </si>
  <si>
    <t xml:space="preserve">{"idUnique":1,"level":3,"levelProfileId":"LVL-PLAGUE_DOCTOR-3","maxOE":1200,"nodeUnlockCount":3,"requiredPriorLevel":2,"ruleIds":"MON-040; SYM-009; SYM-020; SYM-022; SYM-024","speciesKey":"PLAGUE_DOCTOR","xpThreshold":3}</t>
  </si>
  <si>
    <t xml:space="preserve">257957f91e0ed6ab994937f8283b1532143702ad6be856fb7310e9fd43b751f3</t>
  </si>
  <si>
    <t xml:space="preserve">PLAGUE_DOCTOR L4</t>
  </si>
  <si>
    <t xml:space="preserve">{"idUnique":1,"level":4,"levelProfileId":"LVL-PLAGUE_DOCTOR-4","maxOE":1600,"nodeUnlockCount":3,"requiredPriorLevel":3,"ruleIds":"MON-040; SYM-009; SYM-020; SYM-022; SYM-024","speciesKey":"PLAGUE_DOCTOR","xpThreshold":4}</t>
  </si>
  <si>
    <t xml:space="preserve">4535a5fab2fb80b7340f548431b908038ecde39436fe79654b03d7880e507b5a</t>
  </si>
  <si>
    <t xml:space="preserve">PLAGUE_DOCTOR L5</t>
  </si>
  <si>
    <t xml:space="preserve">{"idUnique":1,"level":5,"levelProfileId":"LVL-PLAGUE_DOCTOR-5","maxOE":2000,"nodeUnlockCount":1,"requiredPriorLevel":4,"ruleIds":"MON-040; SYM-009; SYM-020; SYM-022; SYM-024","speciesKey":"PLAGUE_DOCTOR","xpThreshold":5}</t>
  </si>
  <si>
    <t xml:space="preserve">fb251cbdd4496c9d65c335f167480d5bac58fe112cd6d4d0f406d898ef5ecb75</t>
  </si>
  <si>
    <t xml:space="preserve">PLAGUE_DOCTOR L6</t>
  </si>
  <si>
    <t xml:space="preserve">{"idUnique":1,"level":6,"levelProfileId":"LVL-PLAGUE_DOCTOR-6","maxOE":2400,"nodeUnlockCount":2,"requiredPriorLevel":5,"ruleIds":"MON-040; SYM-009; SYM-020; SYM-022; SYM-024","speciesKey":"PLAGUE_DOCTOR","xpThreshold":6}</t>
  </si>
  <si>
    <t xml:space="preserve">a36c0ee0951894310763b9b10028102067aa76e1ffbcc9ea4a9218ac08f8d289</t>
  </si>
  <si>
    <t xml:space="preserve">PLAGUE_DOCTOR L7</t>
  </si>
  <si>
    <t xml:space="preserve">{"idUnique":1,"level":7,"levelProfileId":"LVL-PLAGUE_DOCTOR-7","maxOE":2800,"nodeUnlockCount":2,"requiredPriorLevel":6,"ruleIds":"MON-040; SYM-009; SYM-020; SYM-022; SYM-024","speciesKey":"PLAGUE_DOCTOR","xpThreshold":7}</t>
  </si>
  <si>
    <t xml:space="preserve">e6b9319d6281f8fa937b301390a9cec967a59ffd412a25b5c2a9ed4dc7dea1ab</t>
  </si>
  <si>
    <t xml:space="preserve">PLAGUE_DOCTOR L8</t>
  </si>
  <si>
    <t xml:space="preserve">{"idUnique":1,"level":8,"levelProfileId":"LVL-PLAGUE_DOCTOR-8","maxOE":3200,"nodeUnlockCount":3,"requiredPriorLevel":7,"ruleIds":"MON-040; SYM-009; SYM-020; SYM-022; SYM-024","speciesKey":"PLAGUE_DOCTOR","xpThreshold":8}</t>
  </si>
  <si>
    <t xml:space="preserve">c053fdc676a4c67a9173dea1fcfbbae06c61f1cb7998e7b0df713a74b011552a</t>
  </si>
  <si>
    <t xml:space="preserve">DEVELOPMENT_NODE</t>
  </si>
  <si>
    <t xml:space="preserve">{"abilityId":"SYM-027","automationStatus":"AUTOMATED_ACCEPTED","branchCode":"","choiceGroupId":"","idUnique":1,"level":1,"nameRu":"Регенерация","nodeKind":"AUTOMATED_ABILITY_NODE","nodeRef":"SYM-027","parentMode":"ALL","parentNodeRef":[],"ruleIds":["SYM-027"],"selectionConstraint":"ROOT","sourceQuestionIds":"","speciesKey":"WEAVER"}</t>
  </si>
  <si>
    <t xml:space="preserve">4307da67a63f894fff205f1f6c634b4fbac7488c61164bb70bad5b54e5fd140b</t>
  </si>
  <si>
    <t xml:space="preserve">{"abilityId":"SYM-028","automationStatus":"AUTOMATED_ACCEPTED","branchCode":"SELF_REGENERATION","choiceGroupId":"WEAVER_L2_XOR","idUnique":1,"level":2,"nameRu":"Замена органа","nodeKind":"AUTOMATED_ABILITY_NODE","nodeRef":"SYM-028","parentMode":"ALL","parentNodeRef":["SYM-027"],"ruleIds":["SYM-028"],"selectionConstraint":"ALL(SYM-027); XOR:WEAVER_L2_XOR; BRANCH:SELF_REGENERATION","sourceQuestionIds":"Q-SYM-005; Q-SYM-007; Q-SYM-008","speciesKey":"WEAVER"}</t>
  </si>
  <si>
    <t xml:space="preserve">fc60a955f7adb12f293b92f27530934d0f41d5c0e291834cefa6f632db98e1ad</t>
  </si>
  <si>
    <t xml:space="preserve">{"abilityId":"SYM-029","automationStatus":"AUTOMATED_ACCEPTED","branchCode":"EXTERNAL_REGENERATION","choiceGroupId":"WEAVER_L2_XOR","idUnique":1,"level":2,"nameRu":"Внешняя регенерация","nodeKind":"AUTOMATED_ABILITY_NODE","nodeRef":"SYM-029","parentMode":"ALL","parentNodeRef":["SYM-027"],"ruleIds":["SYM-029"],"selectionConstraint":"ALL(SYM-027); XOR:WEAVER_L2_XOR; BRANCH:EXTERNAL_REGENERATION","sourceQuestionIds":"","speciesKey":"WEAVER"}</t>
  </si>
  <si>
    <t xml:space="preserve">0204b841f561ef5f0fe57f627468b00242124c9366c649774fa410b986e8b39e</t>
  </si>
  <si>
    <t xml:space="preserve">{"abilityId":"SYM-030","automationStatus":"AUTOMATED_ACCEPTED","branchCode":"SELF_REGENERATION","choiceGroupId":"","idUnique":1,"level":3,"nameRu":"Дублирование органов","nodeKind":"AUTOMATED_ABILITY_NODE","nodeRef":"SYM-030","parentMode":"ALL","parentNodeRef":["SYM-028"],"ruleIds":["SYM-030"],"selectionConstraint":"ALL(SYM-028); BRANCH:SELF_REGENERATION","sourceQuestionIds":"Q-SYM-005; Q-SYM-009","speciesKey":"WEAVER"}</t>
  </si>
  <si>
    <t xml:space="preserve">d8ba8c36882d98752f5d0ae912a70a72d8894a7ca98fa743655fd578882201d9</t>
  </si>
  <si>
    <t xml:space="preserve">{"abilityId":"SYM-032","automationStatus":"AUTOMATED_ACCEPTED","branchCode":"SELF_REGENERATION","choiceGroupId":"","idUnique":1,"level":4,"nameRu":"Анаболический форсаж","nodeKind":"AUTOMATED_ABILITY_NODE","nodeRef":"SYM-032","parentMode":"ALL","parentNodeRef":["SYM-030"],"ruleIds":["SYM-032"],"selectionConstraint":"ALL(SYM-030); BRANCH:SELF_REGENERATION","sourceQuestionIds":"Q-SYM-005; Q-SYM-011","speciesKey":"WEAVER"}</t>
  </si>
  <si>
    <t xml:space="preserve">23d7058237a3989d64b444e8083b1b6cb039c757878936909e956d0fb41870f5</t>
  </si>
  <si>
    <t xml:space="preserve">{"abilityId":"SYM-034","automationStatus":"AUTOMATED_ACCEPTED","branchCode":"SELF_REGENERATION","choiceGroupId":"","idUnique":1,"level":5,"nameRu":"Абсолютная регенерация","nodeKind":"AUTOMATED_ABILITY_NODE","nodeRef":"SYM-034","parentMode":"ALL","parentNodeRef":["SYM-032"],"ruleIds":["SYM-034"],"selectionConstraint":"ALL(SYM-032); BRANCH:SELF_REGENERATION","sourceQuestionIds":"Q-SYM-005; Q-SYM-013; Q-SYM-014","speciesKey":"WEAVER"}</t>
  </si>
  <si>
    <t xml:space="preserve">251010992a2548fe70fa280d3dabc40ccd3d3b8b1c671aeae239dac49c2a56c5</t>
  </si>
  <si>
    <t xml:space="preserve">{"abilityId":"SYM-031","automationStatus":"AUTOMATED_ACCEPTED","branchCode":"EXTERNAL_REGENERATION","choiceGroupId":"","idUnique":1,"level":3,"nameRu":"Выстрел регенерона","nodeKind":"AUTOMATED_ABILITY_NODE","nodeRef":"SYM-031","parentMode":"ALL","parentNodeRef":["SYM-029"],"ruleIds":["SYM-031"],"selectionConstraint":"ALL(SYM-029); BRANCH:EXTERNAL_REGENERATION","sourceQuestionIds":"Q-SYM-010","speciesKey":"WEAVER"}</t>
  </si>
  <si>
    <t xml:space="preserve">4aa5673637c9478423365e7195b242d6940844ae31626d9be3ba16b1cbd46af9</t>
  </si>
  <si>
    <t xml:space="preserve">{"abilityId":"SYM-033","automationStatus":"AUTOMATED_ACCEPTED","branchCode":"EXTERNAL_REGENERATION","choiceGroupId":"","idUnique":1,"level":4,"nameRu":"Адреналиновая реанимация","nodeKind":"AUTOMATED_ABILITY_NODE","nodeRef":"SYM-033","parentMode":"ALL","parentNodeRef":["SYM-031"],"ruleIds":["SYM-033"],"selectionConstraint":"ALL(SYM-031); BRANCH:EXTERNAL_REGENERATION","sourceQuestionIds":"Q-SYM-010; Q-SYM-012","speciesKey":"WEAVER"}</t>
  </si>
  <si>
    <t xml:space="preserve">48315a2e5d73a5ee9405e2f3febf4670db59e4b5971a05526901ce4eacfec21a</t>
  </si>
  <si>
    <t xml:space="preserve">{"abilityId":"SYM-035","automationStatus":"AUTOMATED_ACCEPTED","branchCode":"EXTERNAL_REGENERATION","choiceGroupId":"","idUnique":1,"level":5,"nameRu":"Абсолютная реанимация","nodeKind":"AUTOMATED_ABILITY_NODE","nodeRef":"SYM-035","parentMode":"ALL","parentNodeRef":["SYM-033"],"ruleIds":["SYM-035"],"selectionConstraint":"ALL(SYM-033); BRANCH:EXTERNAL_REGENERATION","sourceQuestionIds":"Q-SYM-015","speciesKey":"WEAVER"}</t>
  </si>
  <si>
    <t xml:space="preserve">07a364b84fd62cda6347b0b43125de68aa080dad94300e7c97b499b2248cf2ae</t>
  </si>
  <si>
    <t xml:space="preserve">{"abilityId":"SYM-036","automationStatus":"AUTOMATED_ACCEPTED","branchCode":"","choiceGroupId":"","idUnique":1,"level":6,"nameRu":"Облако регенерона","nodeKind":"AUTOMATED_ABILITY_NODE","nodeRef":"SYM-036","parentMode":"ANY","parentNodeRef":["SYM-034","SYM-035"],"ruleIds":["SYM-036"],"selectionConstraint":"ANY(SYM-034,SYM-035)","sourceQuestionIds":"","speciesKey":"WEAVER"}</t>
  </si>
  <si>
    <t xml:space="preserve">ebeeffdab794f02991e57f3cde5c39d04c5b935e221711ee9d6b8901b3d0f7df</t>
  </si>
  <si>
    <t xml:space="preserve">{"abilityId":"SYM-039","automationStatus":"AUTOMATED_ACCEPTED","branchCode":"","choiceGroupId":"","idUnique":1,"level":1,"nameRu":"Смертельный яд","nodeKind":"AUTOMATED_ABILITY_NODE","nodeRef":"SYM-039","parentMode":"ALL","parentNodeRef":[],"ruleIds":["SYM-039"],"selectionConstraint":"ROOT","sourceQuestionIds":"Q-SYM-005; Q-SYM-017; Q-SYM-076; Q-APP-002","speciesKey":"TAIPAN"}</t>
  </si>
  <si>
    <t xml:space="preserve">2a0075c026414d5cc40950d2f3968b3b75ee6e48ff1cc708010fc8e81127b14e</t>
  </si>
  <si>
    <t xml:space="preserve">{"abilityId":"SYM-040","automationStatus":"AUTOMATED_ACCEPTED","branchCode":"","choiceGroupId":"","idUnique":1,"level":2,"nameRu":"Проницаемая кожа","nodeKind":"AUTOMATED_ABILITY_NODE","nodeRef":"SYM-040","parentMode":"ALL","parentNodeRef":["SYM-039"],"ruleIds":["SYM-040"],"selectionConstraint":"ALL(SYM-039)","sourceQuestionIds":"Q-SYM-018","speciesKey":"TAIPAN"}</t>
  </si>
  <si>
    <t xml:space="preserve">c800ea3db5e9c5edc795e1b16436d271ae466bec5865783d633bdfd00189d11f</t>
  </si>
  <si>
    <t xml:space="preserve">{"abilityId":"SYM-041","automationStatus":"AUTOMATED_ACCEPTED","branchCode":"","choiceGroupId":"","idUnique":1,"level":3,"nameRu":"Плевок ядом","nodeKind":"AUTOMATED_ABILITY_NODE","nodeRef":"SYM-041","parentMode":"ALL","parentNodeRef":["SYM-040"],"ruleIds":["SYM-041"],"selectionConstraint":"ALL(SYM-040)","sourceQuestionIds":"Q-SYM-010; Q-SYM-075","speciesKey":"TAIPAN"}</t>
  </si>
  <si>
    <t xml:space="preserve">d8b81b21ecbab4edc887cb798dc38aca9f240884f3ec98af8571647174f9ece3</t>
  </si>
  <si>
    <t xml:space="preserve">{"abilityId":"SYM-042","automationStatus":"AUTOMATED_ACCEPTED","branchCode":"","choiceGroupId":"","idUnique":1,"level":4,"nameRu":"Ослабляющий яд","nodeKind":"AUTOMATED_ABILITY_NODE","nodeRef":"SYM-042","parentMode":"ALL","parentNodeRef":["SYM-041"],"ruleIds":["SYM-042"],"selectionConstraint":"ALL(SYM-041)","sourceQuestionIds":"Q-SYM-005; Q-SYM-017; Q-SYM-019; Q-SYM-076; Q-APP-002","speciesKey":"TAIPAN"}</t>
  </si>
  <si>
    <t xml:space="preserve">7bfe37ae1fb9e07f87ec0bed920bb51d2dc00e8822ffb726d9e207c2f56ee6d4</t>
  </si>
  <si>
    <t xml:space="preserve">{"abilityId":"SYM-043","automationStatus":"AUTOMATED_ACCEPTED","branchCode":"","choiceGroupId":"","idUnique":1,"level":5,"nameRu":"Ядовитый шип","nodeKind":"AUTOMATED_ABILITY_NODE","nodeRef":"SYM-043","parentMode":"ALL","parentNodeRef":["SYM-042"],"ruleIds":["SYM-043"],"selectionConstraint":"ALL(SYM-042)","sourceQuestionIds":"Q-SYM-010","speciesKey":"TAIPAN"}</t>
  </si>
  <si>
    <t xml:space="preserve">4c3bb17bf78409ac57f4a168b11e8798d8339e4e40b7a7a667e766ea06962c4b</t>
  </si>
  <si>
    <t xml:space="preserve">{"abilityId":"SYM-044","automationStatus":"AUTOMATED_ACCEPTED","branchCode":"","choiceGroupId":"","idUnique":1,"level":6,"nameRu":"Кумулятивный шип","nodeKind":"AUTOMATED_ABILITY_NODE","nodeRef":"SYM-044","parentMode":"ALL","parentNodeRef":["SYM-043"],"ruleIds":["SYM-044"],"selectionConstraint":"ALL(SYM-043)","sourceQuestionIds":"Q-SYM-010","speciesKey":"TAIPAN"}</t>
  </si>
  <si>
    <t xml:space="preserve">72c28b20739bc38e18e44387f27b315e0ebef3ad66dece8bdb772a1a75399550</t>
  </si>
  <si>
    <t xml:space="preserve">{"abilityId":"SYM-045","automationStatus":"AUTOMATED_ACCEPTED","branchCode":"","choiceGroupId":"","idUnique":1,"level":7,"nameRu":"Парализующий яд","nodeKind":"AUTOMATED_ABILITY_NODE","nodeRef":"SYM-045","parentMode":"ALL","parentNodeRef":["SYM-044"],"ruleIds":["SYM-045"],"selectionConstraint":"ALL(SYM-044)","sourceQuestionIds":"Q-SYM-005; Q-SYM-017; Q-SYM-020; Q-SYM-076; Q-APP-002","speciesKey":"TAIPAN"}</t>
  </si>
  <si>
    <t xml:space="preserve">e6888150e5a93bb57dfa5f626b6e8ca91e7e3b54e13b3f3c86f0d11f7a99168d</t>
  </si>
  <si>
    <t xml:space="preserve">{"abilityId":"SYM-047","automationStatus":"AUTOMATED_ACCEPTED","branchCode":"","choiceGroupId":"","idUnique":1,"level":1,"nameRu":"Безупречное зрение","nodeKind":"AUTOMATED_ABILITY_NODE","nodeRef":"SYM-047","parentMode":"ALL","parentNodeRef":[],"ruleIds":["SYM-047"],"selectionConstraint":"ROOT","sourceQuestionIds":"Q-SYM-021","speciesKey":"OWL"}</t>
  </si>
  <si>
    <t xml:space="preserve">9a82870d2eb9678f4e1f773f96ed4bde51058c9c8b85195c98e9185bb3bbf8c7</t>
  </si>
  <si>
    <t xml:space="preserve">{"abilityId":"SYM-048","automationStatus":"AUTOMATED_ACCEPTED","branchCode":"","choiceGroupId":"","idUnique":1,"level":2,"nameRu":"Абсолютное ночное зрение","nodeKind":"AUTOMATED_ABILITY_NODE","nodeRef":"SYM-048","parentMode":"ALL","parentNodeRef":["SYM-047"],"ruleIds":["SYM-048"],"selectionConstraint":"ALL(SYM-047)","sourceQuestionIds":"","speciesKey":"OWL"}</t>
  </si>
  <si>
    <t xml:space="preserve">86eb88e762b11da257917d86b6f586a35e41f60c67bd92ba9281f9689e5e73a0</t>
  </si>
  <si>
    <t xml:space="preserve">{"abilityId":"SYM-049","automationStatus":"AUTOMATED_ACCEPTED","branchCode":"","choiceGroupId":"","idUnique":1,"level":3,"nameRu":"Абсолютное обоняние","nodeKind":"AUTOMATED_ABILITY_NODE","nodeRef":"SYM-049","parentMode":"ALL","parentNodeRef":["SYM-048"],"ruleIds":["SYM-049"],"selectionConstraint":"ALL(SYM-048)","sourceQuestionIds":"","speciesKey":"OWL"}</t>
  </si>
  <si>
    <t xml:space="preserve">dd93486d5d28636da77e5d6bf09e2d715bf23c1ce4fbe7b8fd0175fe3781be39</t>
  </si>
  <si>
    <t xml:space="preserve">{"abilityId":"SYM-050","automationStatus":"AUTOMATED_ACCEPTED","branchCode":"","choiceGroupId":"","idUnique":1,"level":4,"nameRu":"Абсолютный слух","nodeKind":"AUTOMATED_ABILITY_NODE","nodeRef":"SYM-050","parentMode":"ALL","parentNodeRef":["SYM-049"],"ruleIds":["SYM-050"],"selectionConstraint":"ALL(SYM-049)","sourceQuestionIds":"","speciesKey":"OWL"}</t>
  </si>
  <si>
    <t xml:space="preserve">acf3db478de06432659794b6a2cda115baf2c9784572edf477a0fd934235e096</t>
  </si>
  <si>
    <t xml:space="preserve">{"abilityId":"SYM-051","automationStatus":"AUTOMATED_ACCEPTED","branchCode":"","choiceGroupId":"","idUnique":1,"level":5,"nameRu":"Звуковая картина","nodeKind":"AUTOMATED_ABILITY_NODE","nodeRef":"SYM-051","parentMode":"ALL","parentNodeRef":["SYM-050"],"ruleIds":["SYM-051"],"selectionConstraint":"ALL(SYM-050)","sourceQuestionIds":"Q-SYM-022","speciesKey":"OWL"}</t>
  </si>
  <si>
    <t xml:space="preserve">a18ba2c8db2dbc6c07a11b82223f2383e7cf6902372be563b3fcbef56285c8c4</t>
  </si>
  <si>
    <t xml:space="preserve">{"abilityId":"SYM-052","automationStatus":"AUTOMATED_ACCEPTED","branchCode":"","choiceGroupId":"","idUnique":1,"level":6,"nameRu":"Восприятие хищника","nodeKind":"AUTOMATED_ABILITY_NODE","nodeRef":"SYM-052","parentMode":"ALL","parentNodeRef":["SYM-051"],"ruleIds":["SYM-052"],"selectionConstraint":"ALL(SYM-051)","sourceQuestionIds":"","speciesKey":"OWL"}</t>
  </si>
  <si>
    <t xml:space="preserve">c75e7380c55ecd7c4990174b9adc0a561cc3f8bb6979946f04db2f9d7ac30b17</t>
  </si>
  <si>
    <t xml:space="preserve">{"abilityId":"SYM-054","automationStatus":"AUTOMATED_ACCEPTED","branchCode":"","choiceGroupId":"","idUnique":1,"level":1,"nameRu":"Развивайся, ученик","nodeKind":"AUTOMATED_ABILITY_NODE","nodeRef":"SYM-054","parentMode":"ALL","parentNodeRef":[],"ruleIds":["SYM-054"],"selectionConstraint":"ROOT","sourceQuestionIds":"","speciesKey":"TEACHER"}</t>
  </si>
  <si>
    <t xml:space="preserve">ccf9e3a03cd68b325cf5de6a1438deba763850fd5639fbddcbd03500c1528c89</t>
  </si>
  <si>
    <t xml:space="preserve">{"abilityId":"SYM-055","automationStatus":"AUTOMATED_ACCEPTED","branchCode":"","choiceGroupId":"","idUnique":1,"level":2,"nameRu":"Век живи — век учись","nodeKind":"AUTOMATED_ABILITY_NODE","nodeRef":"SYM-055","parentMode":"ALL","parentNodeRef":["SYM-054"],"ruleIds":["SYM-055"],"selectionConstraint":"ALL(SYM-054)","sourceQuestionIds":"Q-SYM-085","speciesKey":"TEACHER"}</t>
  </si>
  <si>
    <t xml:space="preserve">abe9cb0a6b96327030cfe2733e2199b0b2123efc1fbe393ba2d927ba95da999b</t>
  </si>
  <si>
    <t xml:space="preserve">{"abilityId":"SYM-056","automationStatus":"AUTOMATED_ACCEPTED","branchCode":"","choiceGroupId":"","idUnique":1,"level":3,"nameRu":"Практикуйтесь, ученики","nodeKind":"AUTOMATED_ABILITY_NODE","nodeRef":"SYM-056","parentMode":"ALL","parentNodeRef":["SYM-055"],"ruleIds":["SYM-056"],"selectionConstraint":"ALL(SYM-055)","sourceQuestionIds":"","speciesKey":"TEACHER"}</t>
  </si>
  <si>
    <t xml:space="preserve">207caf4a7f596e4c6ad4f7fcd56eb1f0c90e519671bc551faedca7dfcf801134</t>
  </si>
  <si>
    <t xml:space="preserve">{"abilityId":"SYM-057","automationStatus":"AUTOMATED_ACCEPTED","branchCode":"","choiceGroupId":"","idUnique":1,"level":4,"nameRu":"Свети, ученик","nodeKind":"AUTOMATED_ABILITY_NODE","nodeRef":"SYM-057","parentMode":"ALL","parentNodeRef":["SYM-056"],"ruleIds":["SYM-057"],"selectionConstraint":"ALL(SYM-056)","sourceQuestionIds":"Q-SYM-023; Q-SYM-024","speciesKey":"TEACHER"}</t>
  </si>
  <si>
    <t xml:space="preserve">2c3c23afb56ab63923b85436fa3828cb525b5f81ce5d10d577881cbb4efa8e90</t>
  </si>
  <si>
    <t xml:space="preserve">{"abilityId":"SYM-058","automationStatus":"AUTOMATED_ACCEPTED","branchCode":"","choiceGroupId":"","idUnique":1,"level":5,"nameRu":"Берегись невежд, ученик","nodeKind":"AUTOMATED_ABILITY_NODE","nodeRef":"SYM-058","parentMode":"ALL","parentNodeRef":["SYM-057"],"ruleIds":["SYM-058"],"selectionConstraint":"ALL(SYM-057)","sourceQuestionIds":"","speciesKey":"TEACHER"}</t>
  </si>
  <si>
    <t xml:space="preserve">5e25db53e44e9bb808dff66c2e4732de3d22560d1181554f118328e310f93582</t>
  </si>
  <si>
    <t xml:space="preserve">{"abilityId":"SYM-059","automationStatus":"AUTOMATED_ACCEPTED","branchCode":"","choiceGroupId":"","idUnique":1,"level":6,"nameRu":"Внимай, ученик","nodeKind":"AUTOMATED_ABILITY_NODE","nodeRef":"SYM-059","parentMode":"ALL","parentNodeRef":["SYM-058"],"ruleIds":["SYM-059"],"selectionConstraint":"ALL(SYM-058)","sourceQuestionIds":"Q-SYM-024; Q-SYM-025","speciesKey":"TEACHER"}</t>
  </si>
  <si>
    <t xml:space="preserve">51d1e309de9e369f383f09d443a0011f218f08da39e67080525af3c3e056db96</t>
  </si>
  <si>
    <t xml:space="preserve">{"abilityId":"SYM-061","automationStatus":"AUTOMATED_ACCEPTED","branchCode":"","choiceGroupId":"","idUnique":1,"level":1,"nameRu":"Подкожный панцирь","nodeKind":"AUTOMATED_ABILITY_NODE","nodeRef":"SYM-061","parentMode":"ALL","parentNodeRef":[],"ruleIds":["SYM-061"],"selectionConstraint":"ROOT","sourceQuestionIds":"","speciesKey":"ARMADILLO"}</t>
  </si>
  <si>
    <t xml:space="preserve">ab9cf8c7a3fbc6aa7fff31c0ab9e362414af5b0e0ddf717a5afdd747d8065d1a</t>
  </si>
  <si>
    <t xml:space="preserve">{"abilityId":"SYM-062","automationStatus":"AUTOMATED_ACCEPTED","branchCode":"","choiceGroupId":"","idUnique":1,"level":2,"nameRu":"Здоров как буйвол","nodeKind":"AUTOMATED_ABILITY_NODE","nodeRef":"SYM-062","parentMode":"ALL","parentNodeRef":["SYM-061"],"ruleIds":["SYM-062"],"selectionConstraint":"ALL(SYM-061)","sourceQuestionIds":"","speciesKey":"ARMADILLO"}</t>
  </si>
  <si>
    <t xml:space="preserve">83b801120b80f05c21466a8287b8635e8b589d4d29be97c53d6a481eb037330f</t>
  </si>
  <si>
    <t xml:space="preserve">{"abilityId":"SYM-063","automationStatus":"AUTOMATED_ACCEPTED","branchCode":"","choiceGroupId":"","idUnique":1,"level":3,"nameRu":"Не вырубишь!","nodeKind":"AUTOMATED_ABILITY_NODE","nodeRef":"SYM-063","parentMode":"ALL","parentNodeRef":["SYM-062"],"ruleIds":["SYM-063"],"selectionConstraint":"ALL(SYM-062)","sourceQuestionIds":"","speciesKey":"ARMADILLO"}</t>
  </si>
  <si>
    <t xml:space="preserve">9eab19c117012d388183f7ff565adb1dfb2f63dd39698980b3811d0b5adec91f</t>
  </si>
  <si>
    <t xml:space="preserve">{"abilityId":"SYM-064","automationStatus":"AUTOMATED_ACCEPTED","branchCode":"","choiceGroupId":"","idUnique":1,"level":4,"nameRu":"Не подчиняюсь!","nodeKind":"AUTOMATED_ABILITY_NODE","nodeRef":"SYM-064","parentMode":"ALL","parentNodeRef":["SYM-063"],"ruleIds":["SYM-064"],"selectionConstraint":"ALL(SYM-063)","sourceQuestionIds":"","speciesKey":"ARMADILLO"}</t>
  </si>
  <si>
    <t xml:space="preserve">beda72d892b9b517093a1664bfe856f05dc324b6e2e0604e05a4933f8b55886c</t>
  </si>
  <si>
    <t xml:space="preserve">{"abilityId":"SYM-065","automationStatus":"AUTOMATED_ACCEPTED","branchCode":"","choiceGroupId":"","idUnique":1,"level":5,"nameRu":"Не сдвинешь!","nodeKind":"AUTOMATED_ABILITY_NODE","nodeRef":"SYM-065","parentMode":"ALL","parentNodeRef":["SYM-064"],"ruleIds":["SYM-065"],"selectionConstraint":"ALL(SYM-064)","sourceQuestionIds":"","speciesKey":"ARMADILLO"}</t>
  </si>
  <si>
    <t xml:space="preserve">6d1de88d69f74194ea4e7f2bd131f4e49816bf4aec26cd528f7c61ade978cfbe</t>
  </si>
  <si>
    <t xml:space="preserve">{"abilityId":"SYM-066","automationStatus":"AUTOMATED_ACCEPTED","branchCode":"","choiceGroupId":"","idUnique":1,"level":6,"nameRu":"Поднять щиты!","nodeKind":"AUTOMATED_ABILITY_NODE","nodeRef":"SYM-066","parentMode":"ALL","parentNodeRef":["SYM-065"],"ruleIds":["SYM-066"],"selectionConstraint":"ALL(SYM-065)","sourceQuestionIds":"Q-SYM-026","speciesKey":"ARMADILLO"}</t>
  </si>
  <si>
    <t xml:space="preserve">78c949699aaf4198e71bc77490266e126e1ca723eec285c3cdd1fb34dbb40608</t>
  </si>
  <si>
    <t xml:space="preserve">{"abilityId":"SYM-068","automationStatus":"AUTOMATED_ACCEPTED","branchCode":"","choiceGroupId":"","idUnique":1,"level":1,"nameRu":"Горючая слюна","nodeKind":"AUTOMATED_ABILITY_NODE","nodeRef":"SYM-068","parentMode":"ALL","parentNodeRef":[],"ruleIds":["SYM-068"],"selectionConstraint":"ROOT","sourceQuestionIds":"Q-SYM-027","speciesKey":"DRAGON"}</t>
  </si>
  <si>
    <t xml:space="preserve">746cbb1d0606d81c71e8325bab33bd2832df71769d58f246d6f7c437d09c3652</t>
  </si>
  <si>
    <t xml:space="preserve">{"abilityId":"SYM-069","automationStatus":"AUTOMATED_ACCEPTED","branchCode":"","choiceGroupId":"","idUnique":1,"level":2,"nameRu":"Огнеупорная глотка","nodeKind":"AUTOMATED_ABILITY_NODE","nodeRef":"SYM-069","parentMode":"ALL","parentNodeRef":["SYM-068"],"ruleIds":["SYM-069"],"selectionConstraint":"ALL(SYM-068)","sourceQuestionIds":"Q-SYM-028","speciesKey":"DRAGON"}</t>
  </si>
  <si>
    <t xml:space="preserve">0eae588cc765dd043f155858fdef94b1e5ccdbd99f8ce8db595d9d110b402447</t>
  </si>
  <si>
    <t xml:space="preserve">{"abilityId":"SYM-070","automationStatus":"AUTOMATED_ACCEPTED","branchCode":"","choiceGroupId":"","idUnique":1,"level":3,"nameRu":"Зубы-огниво","nodeKind":"AUTOMATED_ABILITY_NODE","nodeRef":"SYM-070","parentMode":"ALL","parentNodeRef":["SYM-069"],"ruleIds":["SYM-070"],"selectionConstraint":"ALL(SYM-069)","sourceQuestionIds":"","speciesKey":"DRAGON"}</t>
  </si>
  <si>
    <t xml:space="preserve">f7f7a21f761ff6b3c6f02b4e2513c227f38c7eb779124acc7a056207854e5ceb</t>
  </si>
  <si>
    <t xml:space="preserve">{"abilityId":"SYM-071","automationStatus":"AUTOMATED_ACCEPTED","branchCode":"","choiceGroupId":"","idUnique":1,"level":4,"nameRu":"Нагнетатель давления","nodeKind":"AUTOMATED_ABILITY_NODE","nodeRef":"SYM-071","parentMode":"ALL","parentNodeRef":["SYM-070"],"ruleIds":["SYM-071"],"selectionConstraint":"ALL(SYM-070)","sourceQuestionIds":"Q-SYM-005; Q-SYM-029","speciesKey":"DRAGON"}</t>
  </si>
  <si>
    <t xml:space="preserve">2460e0b5b05920ed3eefd6c2d6e12ad7056e1df4391bff5e35da0c9547119206</t>
  </si>
  <si>
    <t xml:space="preserve">{"abilityId":"SYM-072","automationStatus":"AUTOMATED_ACCEPTED","branchCode":"","choiceGroupId":"","idUnique":1,"level":5,"nameRu":"Долгое горение","nodeKind":"AUTOMATED_ABILITY_NODE","nodeRef":"SYM-072","parentMode":"ALL","parentNodeRef":["SYM-071"],"ruleIds":["SYM-072"],"selectionConstraint":"ALL(SYM-071)","sourceQuestionIds":"Q-SYM-077","speciesKey":"DRAGON"}</t>
  </si>
  <si>
    <t xml:space="preserve">bd0faf229690d21b508b3d1a095592fb580f33daa12a7f7868f7d4fe82f1e5b8</t>
  </si>
  <si>
    <t xml:space="preserve">{"abilityId":"SYM-073","automationStatus":"AUTOMATED_ACCEPTED","branchCode":"","choiceGroupId":"","idUnique":1,"level":6,"nameRu":"Огненный шар","nodeKind":"AUTOMATED_ABILITY_NODE","nodeRef":"SYM-073","parentMode":"ALL","parentNodeRef":["SYM-072"],"ruleIds":["SYM-073"],"selectionConstraint":"ALL(SYM-072)","sourceQuestionIds":"Q-SYM-030","speciesKey":"DRAGON"}</t>
  </si>
  <si>
    <t xml:space="preserve">76487d5189d299fb238ad2cadf553d0235d94479b531862b09c862bab5853d44</t>
  </si>
  <si>
    <t xml:space="preserve">{"abilityId":"SYM-076","automationStatus":"AUTOMATED_ACCEPTED","branchCode":"","choiceGroupId":"","idUnique":1,"level":1,"nameRu":"Трогровость","nodeKind":"AUTOMATED_ABILITY_NODE","nodeRef":"SYM-076","parentMode":"ALL","parentNodeRef":[],"ruleIds":["SYM-076"],"selectionConstraint":"ROOT","sourceQuestionIds":"Q-SYM-032","speciesKey":"TROGR"}</t>
  </si>
  <si>
    <t xml:space="preserve">4d5e5fa25647ba6ecf9a16d2f6f6aad26878f89f8008caecf70666678965e541</t>
  </si>
  <si>
    <t xml:space="preserve">{"abilityId":"SYM-077","automationStatus":"AUTOMATED_ACCEPTED","branchCode":"","choiceGroupId":"","idUnique":1,"level":2,"nameRu":"Трогр крушить!","nodeKind":"AUTOMATED_ABILITY_NODE","nodeRef":"SYM-077","parentMode":"ALL","parentNodeRef":["SYM-076"],"ruleIds":["SYM-077"],"selectionConstraint":"ALL(SYM-076)","sourceQuestionIds":"Q-SYM-033","speciesKey":"TROGR"}</t>
  </si>
  <si>
    <t xml:space="preserve">3762e3d69829e57ea86df20c79a32218f187b1b2f471a0def2c8c0b95dbc711e</t>
  </si>
  <si>
    <t xml:space="preserve">{"abilityId":"SYM-078","automationStatus":"AUTOMATED_ACCEPTED","branchCode":"","choiceGroupId":"","idUnique":1,"level":3,"nameRu":"WAAAGH!!!","nodeKind":"AUTOMATED_ABILITY_NODE","nodeRef":"SYM-078","parentMode":"ALL","parentNodeRef":["SYM-077"],"ruleIds":["SYM-078"],"selectionConstraint":"ALL(SYM-077)","sourceQuestionIds":"Q-SYM-034","speciesKey":"TROGR"}</t>
  </si>
  <si>
    <t xml:space="preserve">422572d82d9ec7fe211b4a556931340aab41c13a0b9bcecbe2689615527fde7b</t>
  </si>
  <si>
    <t xml:space="preserve">{"abilityId":"SYM-079","automationStatus":"AUTOMATED_ACCEPTED","branchCode":"","choiceGroupId":"","idUnique":1,"level":4,"nameRu":"Мой дубина — твой башка!","nodeKind":"AUTOMATED_ABILITY_NODE","nodeRef":"SYM-079","parentMode":"ALL","parentNodeRef":["SYM-078"],"ruleIds":["SYM-079"],"selectionConstraint":"ALL(SYM-078)","sourceQuestionIds":"","speciesKey":"TROGR"}</t>
  </si>
  <si>
    <t xml:space="preserve">5583cf3c25ea8357b8398ea6473dea6cb3115a0bf6b5853ade240924d448a0e3</t>
  </si>
  <si>
    <t xml:space="preserve">{"abilityId":"SYM-080","automationStatus":"AUTOMATED_ACCEPTED","branchCode":"","choiceGroupId":"","idUnique":1,"level":5,"nameRu":"ЫЫЫ…","nodeKind":"AUTOMATED_ABILITY_NODE","nodeRef":"SYM-080","parentMode":"ALL","parentNodeRef":["SYM-079"],"ruleIds":["SYM-080"],"selectionConstraint":"ALL(SYM-079)","sourceQuestionIds":"Q-SYM-035","speciesKey":"TROGR"}</t>
  </si>
  <si>
    <t xml:space="preserve">61716ec2e81dd254fc6b0e20613b08427c998c781ecf5d20b1de52cdce0b65d0</t>
  </si>
  <si>
    <t xml:space="preserve">{"abilityId":"SYM-081","automationStatus":"AUTOMATED_ACCEPTED","branchCode":"THICKENED_BONES","choiceGroupId":"TROGR_L6_XOR","idUnique":1,"level":6,"nameRu":"Утолщённые кости","nodeKind":"AUTOMATED_ABILITY_NODE","nodeRef":"SYM-081","parentMode":"ALL","parentNodeRef":["SYM-080"],"ruleIds":["SYM-081"],"selectionConstraint":"ALL(SYM-080); XOR:TROGR_L6_XOR; BRANCH:THICKENED_BONES","sourceQuestionIds":"","speciesKey":"TROGR"}</t>
  </si>
  <si>
    <t xml:space="preserve">2010c00d25da91009a722a4d2c3b3d98c15027910827e109744588b98c69acdd</t>
  </si>
  <si>
    <t xml:space="preserve">{"abilityId":"SYM-082","automationStatus":"AUTOMATED_ACCEPTED","branchCode":"GENIUS_STUPIDITY","choiceGroupId":"TROGR_L6_XOR","idUnique":1,"level":6,"nameRu":"Гениальная тупость","nodeKind":"AUTOMATED_ABILITY_NODE","nodeRef":"SYM-082","parentMode":"ALL","parentNodeRef":["SYM-080"],"ruleIds":["SYM-082"],"selectionConstraint":"ALL(SYM-080); XOR:TROGR_L6_XOR; BRANCH:GENIUS_STUPIDITY","sourceQuestionIds":"Q-COMBAT-CRIT-001","speciesKey":"TROGR"}</t>
  </si>
  <si>
    <t xml:space="preserve">2cca38b7b70b29be4f09caaa606af47ea62c17584049eff1feffb5296b0e2f85</t>
  </si>
  <si>
    <t xml:space="preserve">{"abilityId":"SYM-084","automationStatus":"AUTOMATED_ACCEPTED","branchCode":"","choiceGroupId":"","idUnique":1,"level":1,"nameRu":"Резервная копия","nodeKind":"AUTOMATED_ABILITY_NODE","nodeRef":"SYM-084","parentMode":"ALL","parentNodeRef":[],"ruleIds":["SYM-084","SYM-085"],"selectionConstraint":"ROOT","sourceQuestionIds":"Q-SYM-036; Q-SYM-074","speciesKey":"KEEPER"}</t>
  </si>
  <si>
    <t xml:space="preserve">d48a4f1a6c4faf83d9c1cc0aef0510ecfda18dab841f8e8339510f9f9c060995</t>
  </si>
  <si>
    <t xml:space="preserve">{"abilityId":"SYM-086","automationStatus":"AUTOMATED_ACCEPTED","branchCode":"COMBAT_BODY","choiceGroupId":"","idUnique":1,"level":2,"nameRu":"Парализующее жало","nodeKind":"AUTOMATED_ABILITY_NODE","nodeRef":"SYM-086","parentMode":"ALL","parentNodeRef":["SYM-084"],"ruleIds":["SYM-086"],"selectionConstraint":"ALL(SYM-084); BRANCH:COMBAT_BODY","sourceQuestionIds":"","speciesKey":"KEEPER"}</t>
  </si>
  <si>
    <t xml:space="preserve">d8ed16c1490ef712e0fde4a2cf864b7093f902f128f75300b20175f9de9470ca</t>
  </si>
  <si>
    <t xml:space="preserve">{"abilityId":"SYM-087","automationStatus":"AUTOMATED_ACCEPTED","branchCode":"MIGRATION","choiceGroupId":"","idUnique":1,"level":2,"nameRu":"Оценка тела","nodeKind":"AUTOMATED_ABILITY_NODE","nodeRef":"SYM-087","parentMode":"ALL","parentNodeRef":["SYM-084"],"ruleIds":["SYM-087"],"selectionConstraint":"ALL(SYM-084); BRANCH:MIGRATION","sourceQuestionIds":"Q-SYM-009","speciesKey":"KEEPER"}</t>
  </si>
  <si>
    <t xml:space="preserve">e12587c3623400091007b96df0f54b1a21920086ea3a44ea418debe8a7c8246c</t>
  </si>
  <si>
    <t xml:space="preserve">{"abilityId":"SYM-088","automationStatus":"AUTOMATED_ACCEPTED","branchCode":"COMBAT_BODY","choiceGroupId":"","idUnique":1,"level":3,"nameRu":"Присоски и коготки","nodeKind":"AUTOMATED_ABILITY_NODE","nodeRef":"SYM-088","parentMode":"ALL","parentNodeRef":["SYM-086"],"ruleIds":["SYM-088"],"selectionConstraint":"ALL(SYM-086); BRANCH:COMBAT_BODY","sourceQuestionIds":"","speciesKey":"KEEPER"}</t>
  </si>
  <si>
    <t xml:space="preserve">e4bb83eabda9d72925e127725a55bb9d35661db36998b4abf94f854b31181aa8</t>
  </si>
  <si>
    <t xml:space="preserve">{"abilityId":"SYM-089","automationStatus":"AUTOMATED_ACCEPTED","branchCode":"MIGRATION","choiceGroupId":"","idUnique":1,"level":3,"nameRu":"Маскировка «Хамелеон»","nodeKind":"AUTOMATED_ABILITY_NODE","nodeRef":"SYM-089","parentMode":"ALL","parentNodeRef":["SYM-087"],"ruleIds":["SYM-089"],"selectionConstraint":"ALL(SYM-087); BRANCH:MIGRATION","sourceQuestionIds":"Q-SYM-009","speciesKey":"KEEPER"}</t>
  </si>
  <si>
    <t xml:space="preserve">8ae3393b510d5f5ff8677e6d3ee03c8109d93b4fbfaea81ffd536573d764c039</t>
  </si>
  <si>
    <t xml:space="preserve">{"abilityId":"SYM-090","automationStatus":"AUTOMATED_ACCEPTED","branchCode":"COMBAT_BODY","choiceGroupId":"","idUnique":1,"level":4,"nameRu":"Кромсатель","nodeKind":"AUTOMATED_ABILITY_NODE","nodeRef":"SYM-090","parentMode":"ALL","parentNodeRef":["SYM-088"],"ruleIds":["SYM-090"],"selectionConstraint":"ALL(SYM-088); BRANCH:COMBAT_BODY","sourceQuestionIds":"","speciesKey":"KEEPER"}</t>
  </si>
  <si>
    <t xml:space="preserve">7290febbb7e3fe3fa1de2da24d5b87deb36f35db9f90a2a63ddd4c74da5be31b</t>
  </si>
  <si>
    <t xml:space="preserve">{"abilityId":"SYM-091","automationStatus":"AUTOMATED_ACCEPTED","branchCode":"MIGRATION","choiceGroupId":"","idUnique":1,"level":4,"nameRu":"Крылья","nodeKind":"AUTOMATED_ABILITY_NODE","nodeRef":"SYM-091","parentMode":"ALL","parentNodeRef":["SYM-089"],"ruleIds":["SYM-091"],"selectionConstraint":"ALL(SYM-089); BRANCH:MIGRATION","sourceQuestionIds":"Q-QA-003; Q-SYM-037","speciesKey":"KEEPER"}</t>
  </si>
  <si>
    <t xml:space="preserve">c05c32298f5afcffc60075bd3ea246ef6f65805b8900ab0326687bc1fde3db33</t>
  </si>
  <si>
    <t xml:space="preserve">{"abilityId":"","automationStatus":"NODE_ONLY_MANUAL","branchCode":"COMBAT_BODY","choiceGroupId":"","idUnique":1,"level":5,"nameRu":"Временное убежище","nodeKind":"STRUCTURAL_NODE_ONLY","nodeRef":"SYM-092","parentMode":"ALL","parentNodeRef":["SYM-090"],"ruleIds":["SYM-092"],"selectionConstraint":"ALL(SYM-090); BRANCH:COMBAT_BODY; Сохраняется только как узел дерева; Windows-команда исключена Q-SYM-038.","sourceQuestionIds":"Q-SYM-038","speciesKey":"KEEPER"}</t>
  </si>
  <si>
    <t xml:space="preserve">9665d4d397180e42c3b2396338b82e30e7f3c21f4c3f0bdcf74fab0e9ecbc22e</t>
  </si>
  <si>
    <t xml:space="preserve">{"abilityId":"SYM-093","automationStatus":"AUTOMATED_ACCEPTED","branchCode":"MIGRATION","choiceGroupId":"","idUnique":1,"level":5,"nameRu":"Попутчики","nodeKind":"AUTOMATED_ABILITY_NODE","nodeRef":"SYM-093","parentMode":"ALL","parentNodeRef":["SYM-091"],"ruleIds":["SYM-093"],"selectionConstraint":"ALL(SYM-091); BRANCH:MIGRATION","sourceQuestionIds":"Q-SYM-039","speciesKey":"KEEPER"}</t>
  </si>
  <si>
    <t xml:space="preserve">516b822d6e7ab791c28df1865d09d46ba71b0c1b71266d0cca5fc14672894846</t>
  </si>
  <si>
    <t xml:space="preserve">{"abilityId":"SYM-094","automationStatus":"AUTOMATED_ACCEPTED","branchCode":"","choiceGroupId":"","idUnique":1,"level":6,"nameRu":"Кислотная пушка","nodeKind":"AUTOMATED_ABILITY_NODE","nodeRef":"SYM-094","parentMode":"ANY","parentNodeRef":["SYM-092","SYM-093"],"ruleIds":["SYM-094"],"selectionConstraint":"ANY(SYM-092,SYM-093)","sourceQuestionIds":"Q-SYM-009","speciesKey":"KEEPER"}</t>
  </si>
  <si>
    <t xml:space="preserve">204a85078decd9ed5399f096fb6efe5de7f85ef9ff65a607c37d3e7cbb2e42e0</t>
  </si>
  <si>
    <t xml:space="preserve">{"abilityId":"SYM-096","automationStatus":"AUTOMATED_ACCEPTED","branchCode":"","choiceGroupId":"","idUnique":1,"level":1,"nameRu":"Личность","nodeKind":"AUTOMATED_ABILITY_NODE","nodeRef":"SYM-096","parentMode":"ALL","parentNodeRef":[],"ruleIds":["SYM-096"],"selectionConstraint":"ROOT","sourceQuestionIds":"Q-SYM-040","speciesKey":"ADVISER"}</t>
  </si>
  <si>
    <t xml:space="preserve">367aebf98ae0f6649c464e842f4c561de922a1e68c135d7535eaf48909689463</t>
  </si>
  <si>
    <t xml:space="preserve">{"abilityId":"SYM-097","automationStatus":"AUTOMATED_ACCEPTED","branchCode":"","choiceGroupId":"","idUnique":1,"level":2,"nameRu":"Я здесь самый умный","nodeKind":"AUTOMATED_ABILITY_NODE","nodeRef":"SYM-097","parentMode":"ALL","parentNodeRef":["SYM-096"],"ruleIds":["SYM-097"],"selectionConstraint":"ALL(SYM-096)","sourceQuestionIds":"","speciesKey":"ADVISER"}</t>
  </si>
  <si>
    <t xml:space="preserve">b84f4ee53a835b9b807fb9db1c7e2169a5eaf02ddd20b241b233a9598b525f9a</t>
  </si>
  <si>
    <t xml:space="preserve">{"abilityId":"SYM-098","automationStatus":"AUTOMATED_ACCEPTED","branchCode":"","choiceGroupId":"","idUnique":1,"level":3,"nameRu":"Доступ к органам чувств","nodeKind":"AUTOMATED_ABILITY_NODE","nodeRef":"SYM-098","parentMode":"ALL","parentNodeRef":["SYM-097"],"ruleIds":["SYM-098"],"selectionConstraint":"ALL(SYM-097)","sourceQuestionIds":"","speciesKey":"ADVISER"}</t>
  </si>
  <si>
    <t xml:space="preserve">f425cfcda1e7e4cace35edd7f3605a99899838fe021f710372d5b53d7393c850</t>
  </si>
  <si>
    <t xml:space="preserve">{"abilityId":"SYM-099","automationStatus":"AUTOMATED_ACCEPTED","branchCode":"","choiceGroupId":"","idUnique":1,"level":4,"nameRu":"Принимаю управление","nodeKind":"AUTOMATED_ABILITY_NODE","nodeRef":"SYM-099","parentMode":"ALL","parentNodeRef":["SYM-098"],"ruleIds":["SYM-099"],"selectionConstraint":"ALL(SYM-098)","sourceQuestionIds":"Q-SYM-041","speciesKey":"ADVISER"}</t>
  </si>
  <si>
    <t xml:space="preserve">151ce157fdf4b437db4b00cb023ccc7be3620ca0b34a01bd86b93cad702b89ed</t>
  </si>
  <si>
    <t xml:space="preserve">{"abilityId":"SYM-100","automationStatus":"AUTOMATED_ACCEPTED","branchCode":"","choiceGroupId":"","idUnique":1,"level":5,"nameRu":"Система устойчивости","nodeKind":"AUTOMATED_ABILITY_NODE","nodeRef":"SYM-100","parentMode":"ALL","parentNodeRef":["SYM-099"],"ruleIds":["SYM-100"],"selectionConstraint":"ALL(SYM-099)","sourceQuestionIds":"","speciesKey":"ADVISER"}</t>
  </si>
  <si>
    <t xml:space="preserve">747b59d84dd0553d35431cf2ca584610e573a4c230601c31cbbf0572f14996a8</t>
  </si>
  <si>
    <t xml:space="preserve">{"abilityId":"SYM-101","automationStatus":"AUTOMATED_ACCEPTED","branchCode":"","choiceGroupId":"","idUnique":1,"level":6,"nameRu":"Дар мудрости","nodeKind":"AUTOMATED_ABILITY_NODE","nodeRef":"SYM-101","parentMode":"ALL","parentNodeRef":["SYM-100"],"ruleIds":["SYM-101"],"selectionConstraint":"ALL(SYM-100)","sourceQuestionIds":"Q-SYM-042","speciesKey":"ADVISER"}</t>
  </si>
  <si>
    <t xml:space="preserve">92ca7042b7092dbadc9b1118ccc007f3802ca45c5d2e52ff095a0a94e3e56b83</t>
  </si>
  <si>
    <t xml:space="preserve">{"abilityId":"SYM-103","automationStatus":"AUTOMATED_ACCEPTED","branchCode":"","choiceGroupId":"","idUnique":1,"level":1,"nameRu":"Кровопийца","nodeKind":"AUTOMATED_ABILITY_NODE","nodeRef":"SYM-103","parentMode":"ALL","parentNodeRef":[],"ruleIds":["SYM-103"],"selectionConstraint":"ROOT","sourceQuestionIds":"Q-SYM-043","speciesKey":"TICK"}</t>
  </si>
  <si>
    <t xml:space="preserve">315f8674fba1c7eef90125be109d65ec482e40689a5b5130409b810769d602b6</t>
  </si>
  <si>
    <t xml:space="preserve">{"abilityId":"SYM-104","automationStatus":"AUTOMATED_ACCEPTED","branchCode":"","choiceGroupId":"","idUnique":1,"level":2,"nameRu":"Вкус крови","nodeKind":"AUTOMATED_ABILITY_NODE","nodeRef":"SYM-104","parentMode":"ALL","parentNodeRef":["SYM-103"],"ruleIds":["SYM-104"],"selectionConstraint":"ALL(SYM-103)","sourceQuestionIds":"Q-SYM-022","speciesKey":"TICK"}</t>
  </si>
  <si>
    <t xml:space="preserve">0a872a0ae00896f380fa87cb3ff9be063f2edf4ca6d9be1bd4179d7a71bf9482</t>
  </si>
  <si>
    <t xml:space="preserve">{"abilityId":"SYM-105","automationStatus":"AUTOMATED_ACCEPTED","branchCode":"","choiceGroupId":"","idUnique":1,"level":3,"nameRu":"Выстрел кровью","nodeKind":"AUTOMATED_ABILITY_NODE","nodeRef":"SYM-105","parentMode":"ALL","parentNodeRef":["SYM-104"],"ruleIds":["SYM-105"],"selectionConstraint":"ALL(SYM-104)","sourceQuestionIds":"","speciesKey":"TICK"}</t>
  </si>
  <si>
    <t xml:space="preserve">3d7bc4a795daf60bd76aff71c576e2446311574fd913df0c1bb951b38ebadb65</t>
  </si>
  <si>
    <t xml:space="preserve">{"abilityId":"SYM-106","automationStatus":"AUTOMATED_ACCEPTED","branchCode":"","choiceGroupId":"","idUnique":1,"level":4,"nameRu":"Выпустить когти","nodeKind":"AUTOMATED_ABILITY_NODE","nodeRef":"SYM-106","parentMode":"ALL","parentNodeRef":["SYM-105"],"ruleIds":["SYM-106"],"selectionConstraint":"ALL(SYM-105)","sourceQuestionIds":"Q-SYM-044","speciesKey":"TICK"}</t>
  </si>
  <si>
    <t xml:space="preserve">e81fc4d854ecaf380e586440c7a2beec3e39f8b0f3cca559e2216e2e63b58530</t>
  </si>
  <si>
    <t xml:space="preserve">{"abilityId":"SYM-107","automationStatus":"AUTOMATED_ACCEPTED","branchCode":"","choiceGroupId":"","idUnique":1,"level":5,"nameRu":"Гарпун","nodeKind":"AUTOMATED_ABILITY_NODE","nodeRef":"SYM-107","parentMode":"ALL","parentNodeRef":["SYM-106"],"ruleIds":["SYM-107"],"selectionConstraint":"ALL(SYM-106)","sourceQuestionIds":"Q-SYM-045","speciesKey":"TICK"}</t>
  </si>
  <si>
    <t xml:space="preserve">c809ca06d7b6d727be0eb6fbb58f33e3c3dce532d8703043368657809a768841</t>
  </si>
  <si>
    <t xml:space="preserve">{"abilityId":"SYM-108","automationStatus":"AUTOMATED_ACCEPTED","branchCode":"","choiceGroupId":"","idUnique":1,"level":6,"nameRu":"Я — сила","nodeKind":"AUTOMATED_ABILITY_NODE","nodeRef":"SYM-108","parentMode":"ALL","parentNodeRef":["SYM-107"],"ruleIds":["SYM-108"],"selectionConstraint":"ALL(SYM-107)","sourceQuestionIds":"","speciesKey":"TICK"}</t>
  </si>
  <si>
    <t xml:space="preserve">01fea99af907110c91ad1e51f94a0a1591b6d44e7d4185c78b3748d220c6372b</t>
  </si>
  <si>
    <t xml:space="preserve">{"abilityId":"SYM-110","automationStatus":"AUTOMATED_ACCEPTED","branchCode":"","choiceGroupId":"","idUnique":1,"level":1,"nameRu":"Ноги сверчка","nodeKind":"AUTOMATED_ABILITY_NODE","nodeRef":"SYM-110","parentMode":"ALL","parentNodeRef":[],"ruleIds":["SYM-110"],"selectionConstraint":"ROOT","sourceQuestionIds":"","speciesKey":"CRICKET"}</t>
  </si>
  <si>
    <t xml:space="preserve">8b9ec36e6d8aef5aa75e1cd0716b1b83f29c1aa19fb9e61dacc919c8ed14c734</t>
  </si>
  <si>
    <t xml:space="preserve">{"abilityId":"SYM-111","automationStatus":"AUTOMATED_ACCEPTED","branchCode":"","choiceGroupId":"","idUnique":1,"level":2,"nameRu":"Чувствительные усы","nodeKind":"AUTOMATED_ABILITY_NODE","nodeRef":"SYM-111","parentMode":"ALL","parentNodeRef":["SYM-110"],"ruleIds":["SYM-111"],"selectionConstraint":"ALL(SYM-110)","sourceQuestionIds":"","speciesKey":"CRICKET"}</t>
  </si>
  <si>
    <t xml:space="preserve">621ff9077764068340a7d6ba1c965d48dedaa2a69cf07a75cd332c764de32cd4</t>
  </si>
  <si>
    <t xml:space="preserve">{"abilityId":"SYM-112","automationStatus":"AUTOMATED_ACCEPTED","branchCode":"","choiceGroupId":"","idUnique":1,"level":3,"nameRu":"Заряженный прыжок","nodeKind":"AUTOMATED_ABILITY_NODE","nodeRef":"SYM-112","parentMode":"ALL","parentNodeRef":["SYM-111"],"ruleIds":["SYM-112"],"selectionConstraint":"ALL(SYM-111)","sourceQuestionIds":"Q-SYM-046","speciesKey":"CRICKET"}</t>
  </si>
  <si>
    <t xml:space="preserve">bb29b3bbb445a70f52ca0af80e62100a303cbf512cbfe066d12f2590cd91f5a1</t>
  </si>
  <si>
    <t xml:space="preserve">{"abilityId":"SYM-113","automationStatus":"AUTOMATED_ACCEPTED","branchCode":"","choiceGroupId":"","idUnique":1,"level":4,"nameRu":"Маскировка под растение","nodeKind":"AUTOMATED_ABILITY_NODE","nodeRef":"SYM-113","parentMode":"ALL","parentNodeRef":["SYM-112"],"ruleIds":["SYM-113"],"selectionConstraint":"ALL(SYM-112)","sourceQuestionIds":"","speciesKey":"CRICKET"}</t>
  </si>
  <si>
    <t xml:space="preserve">ff9d54ce9ef736532626c74f25008a9567179cd4f23b5cc4952e0dce3ac5e231</t>
  </si>
  <si>
    <t xml:space="preserve">{"abilityId":"SYM-114","automationStatus":"AUTOMATED_ACCEPTED","branchCode":"","choiceGroupId":"","idUnique":1,"level":5,"nameRu":"Крылья","nodeKind":"AUTOMATED_ABILITY_NODE","nodeRef":"SYM-114","parentMode":"ALL","parentNodeRef":["SYM-113"],"ruleIds":["SYM-114"],"selectionConstraint":"ALL(SYM-113)","sourceQuestionIds":"Q-SYM-047","speciesKey":"CRICKET"}</t>
  </si>
  <si>
    <t xml:space="preserve">fc1c2f9ee31b5abe0d78a77c70547ba91458d005f916f32b61acdbb9e33317c6</t>
  </si>
  <si>
    <t xml:space="preserve">{"abilityId":"SYM-115","automationStatus":"AUTOMATED_ACCEPTED","branchCode":"","choiceGroupId":"","idUnique":1,"level":6,"nameRu":"Активные пилы","nodeKind":"AUTOMATED_ABILITY_NODE","nodeRef":"SYM-115","parentMode":"ALL","parentNodeRef":["SYM-114"],"ruleIds":["SYM-115"],"selectionConstraint":"ALL(SYM-114)","sourceQuestionIds":"","speciesKey":"CRICKET"}</t>
  </si>
  <si>
    <t xml:space="preserve">177f1010bf0d8c63964ec41e143742aa0f3a7c2d5fe17ee5f24cab9e7fc17938</t>
  </si>
  <si>
    <t xml:space="preserve">{"abilityId":"SYM-117","automationStatus":"AUTOMATED_ACCEPTED","branchCode":"","choiceGroupId":"","idUnique":1,"level":1,"nameRu":"Паутинные железы","nodeKind":"AUTOMATED_ABILITY_NODE","nodeRef":"SYM-117","parentMode":"ALL","parentNodeRef":[],"ruleIds":["SYM-117"],"selectionConstraint":"ROOT","sourceQuestionIds":"Q-SYM-048; Q-PREDEV-010; USR-2026-07-30-WEB-001","speciesKey":"SPIDER"}</t>
  </si>
  <si>
    <t xml:space="preserve">8b27c17be7f5720d2269444088ef98aa4fe32d1dfcdfe6d1f7baf40651f70f48</t>
  </si>
  <si>
    <t xml:space="preserve">{"abilityId":"SYM-118","automationStatus":"AUTOMATED_ACCEPTED","branchCode":"","choiceGroupId":"","idUnique":1,"level":2,"nameRu":"Перемещение по паутине","nodeKind":"AUTOMATED_ABILITY_NODE","nodeRef":"SYM-118","parentMode":"ALL","parentNodeRef":["SYM-117"],"ruleIds":["SYM-118"],"selectionConstraint":"ALL(SYM-117)","sourceQuestionIds":"","speciesKey":"SPIDER"}</t>
  </si>
  <si>
    <t xml:space="preserve">0758642d2c97d8e032a71899baf4e851b6661410cf964555ed13fd9541587d9a</t>
  </si>
  <si>
    <t xml:space="preserve">{"abilityId":"","automationStatus":"NODE_ONLY_MANUAL","branchCode":"","choiceGroupId":"","idUnique":1,"level":3,"nameRu":"Точка крепления","nodeKind":"STRUCTURAL_NODE_ONLY","nodeRef":"SYM-119","parentMode":"ALL","parentNodeRef":["SYM-118"],"ruleIds":["SYM-119"],"selectionConstraint":"ALL(SYM-118); Только узел дерева; не автоматизируется Q-SYM-049.","sourceQuestionIds":"Q-SYM-049","speciesKey":"SPIDER"}</t>
  </si>
  <si>
    <t xml:space="preserve">41ab5623c355fbde016f5845bed1c26d55b43e3bc87aa17a34eb9894f70f0f38</t>
  </si>
  <si>
    <t xml:space="preserve">{"abilityId":"SYM-120","automationStatus":"AUTOMATED_ACCEPTED","branchCode":"","choiceGroupId":"","idUnique":1,"level":4,"nameRu":"Выстрел паутиной","nodeKind":"AUTOMATED_ABILITY_NODE","nodeRef":"SYM-120","parentMode":"ALL","parentNodeRef":["SYM-119"],"ruleIds":["SYM-120"],"selectionConstraint":"ALL(SYM-119)","sourceQuestionIds":"Q-SYM-050","speciesKey":"SPIDER"}</t>
  </si>
  <si>
    <t xml:space="preserve">74b0b0753cca1774c637e770616d03b40340048b554c131602e37b68c2b3b2c9</t>
  </si>
  <si>
    <t xml:space="preserve">{"abilityId":"SYM-121","automationStatus":"AUTOMATED_ACCEPTED","branchCode":"","choiceGroupId":"","idUnique":1,"level":5,"nameRu":"Ловчая сеть","nodeKind":"AUTOMATED_ABILITY_NODE","nodeRef":"SYM-121","parentMode":"ALL","parentNodeRef":["SYM-120"],"ruleIds":["SYM-121"],"selectionConstraint":"ALL(SYM-120)","sourceQuestionIds":"Q-SYM-050","speciesKey":"SPIDER"}</t>
  </si>
  <si>
    <t xml:space="preserve">61c25596c4b4e2e8c51670fbe650d032e3680811859cac674a99682cbb91e158</t>
  </si>
  <si>
    <t xml:space="preserve">{"abilityId":"SYM-122","automationStatus":"AUTOMATED_ACCEPTED","branchCode":"","choiceGroupId":"","idUnique":1,"level":6,"nameRu":"Паучья ловкость","nodeKind":"AUTOMATED_ABILITY_NODE","nodeRef":"SYM-122","parentMode":"ALL","parentNodeRef":["SYM-121"],"ruleIds":["SYM-122"],"selectionConstraint":"ALL(SYM-121)","sourceQuestionIds":"","speciesKey":"SPIDER"}</t>
  </si>
  <si>
    <t xml:space="preserve">5005489db778fac8e024f8405c83d6844a4b787d87d7d09ca73cd8a07eb44b34</t>
  </si>
  <si>
    <t xml:space="preserve">{"abilityId":"SYM-124","automationStatus":"AUTOMATED_ACCEPTED","branchCode":"","choiceGroupId":"","idUnique":1,"level":1,"nameRu":"Статическая маскировка","nodeKind":"AUTOMATED_ABILITY_NODE","nodeRef":"SYM-124","parentMode":"ALL","parentNodeRef":[],"ruleIds":["SYM-124"],"selectionConstraint":"ROOT","sourceQuestionIds":"Q-SYM-051","speciesKey":"CHAMELEON"}</t>
  </si>
  <si>
    <t xml:space="preserve">b77027327104e515b2d6ce63dbf3d9da8f8083c9a4e85db66f6b0d3129b66d50</t>
  </si>
  <si>
    <t xml:space="preserve">{"abilityId":"SYM-125","automationStatus":"AUTOMATED_ACCEPTED","branchCode":"","choiceGroupId":"","idUnique":1,"level":2,"nameRu":"Атака из засады","nodeKind":"AUTOMATED_ABILITY_NODE","nodeRef":"SYM-125","parentMode":"ALL","parentNodeRef":["SYM-124"],"ruleIds":["SYM-125"],"selectionConstraint":"ALL(SYM-124)","sourceQuestionIds":"Q-SYM-051","speciesKey":"CHAMELEON"}</t>
  </si>
  <si>
    <t xml:space="preserve">69085c4616f8630c85625864d5aee6b825268b76666d8dde79351fbb09ad5822</t>
  </si>
  <si>
    <t xml:space="preserve">{"abilityId":"SYM-126","automationStatus":"AUTOMATED_ACCEPTED","branchCode":"","choiceGroupId":"","idUnique":1,"level":3,"nameRu":"Двойной фокус внимания","nodeKind":"AUTOMATED_ABILITY_NODE","nodeRef":"SYM-126","parentMode":"ALL","parentNodeRef":["SYM-125"],"ruleIds":["SYM-126"],"selectionConstraint":"ALL(SYM-125)","sourceQuestionIds":"Q-SYM-021","speciesKey":"CHAMELEON"}</t>
  </si>
  <si>
    <t xml:space="preserve">c4da86209611d5f0b24657005a1b76da624358b10b86ba6e066898f210c61429</t>
  </si>
  <si>
    <t xml:space="preserve">{"abilityId":"SYM-127","automationStatus":"AUTOMATED_ACCEPTED","branchCode":"","choiceGroupId":"","idUnique":1,"level":4,"nameRu":"Динамическая маскировка","nodeKind":"AUTOMATED_ABILITY_NODE","nodeRef":"SYM-127","parentMode":"ALL","parentNodeRef":["SYM-126"],"ruleIds":["SYM-127"],"selectionConstraint":"ALL(SYM-126)","sourceQuestionIds":"","speciesKey":"CHAMELEON"}</t>
  </si>
  <si>
    <t xml:space="preserve">70c504db24103903cab977b35a205d1035303067f331910a916454da0ca1b686</t>
  </si>
  <si>
    <t xml:space="preserve">{"abilityId":"SYM-128","automationStatus":"AUTOMATED_ACCEPTED","branchCode":"","choiceGroupId":"","idUnique":1,"level":5,"nameRu":"Сокрытие оружия","nodeKind":"AUTOMATED_ABILITY_NODE","nodeRef":"SYM-128","parentMode":"ALL","parentNodeRef":["SYM-127"],"ruleIds":["SYM-128"],"selectionConstraint":"ALL(SYM-127)","sourceQuestionIds":"","speciesKey":"CHAMELEON"}</t>
  </si>
  <si>
    <t xml:space="preserve">b64cdb0f6729a310d69b5b3c122ca489d2a38b92bc36ff971b44854114c6de32</t>
  </si>
  <si>
    <t xml:space="preserve">{"abilityId":"SYM-129","automationStatus":"AUTOMATED_ACCEPTED","branchCode":"","choiceGroupId":"","idUnique":1,"level":6,"nameRu":"Внешняя фотосеть","nodeKind":"AUTOMATED_ABILITY_NODE","nodeRef":"SYM-129","parentMode":"ALL","parentNodeRef":["SYM-128"],"ruleIds":["SYM-129"],"selectionConstraint":"ALL(SYM-128)","sourceQuestionIds":"Q-SYM-052","speciesKey":"CHAMELEON"}</t>
  </si>
  <si>
    <t xml:space="preserve">0577e4d077afd6c3d0c7b04b238eea1957de378da103b9a2eb3972236c7feb7a</t>
  </si>
  <si>
    <t xml:space="preserve">{"abilityId":"SYM-131#MI_MI_MI","automationStatus":"AUTOMATED_ACCEPTED","branchCode":"","choiceGroupId":"","idUnique":1,"level":1,"nameRu":"Ми-ми-ми","nodeKind":"AUTOMATED_ABILITY_NODE","nodeRef":"SYM-131#MI_MI_MI","parentMode":"ALL","parentNodeRef":[],"ruleIds":["SYM-131"],"selectionConstraint":"ROOT","sourceQuestionIds":"Q-SYM-053","speciesKey":"PENGUIN"}</t>
  </si>
  <si>
    <t xml:space="preserve">ae66b2422aff23962545772557020267c92f68bab7bbf0e669c5c260eee34397</t>
  </si>
  <si>
    <t xml:space="preserve">{"abilityId":"SYM-131#OH_NICE","automationStatus":"AUTOMATED_ACCEPTED","branchCode":"","choiceGroupId":"","idUnique":1,"level":2,"nameRu":"Oh nice!","nodeKind":"AUTOMATED_ABILITY_NODE","nodeRef":"SYM-131#OH_NICE","parentMode":"ALL","parentNodeRef":["SYM-131#MI_MI_MI"],"ruleIds":["SYM-131"],"selectionConstraint":"ALL(SYM-131#MI_MI_MI)","sourceQuestionIds":"Q-SYM-053","speciesKey":"PENGUIN"}</t>
  </si>
  <si>
    <t xml:space="preserve">28bca61175db65556088f7dafc14bd32cfc33c68446289daa8878c11c85829b1</t>
  </si>
  <si>
    <t xml:space="preserve">{"abilityId":"SYM-131#BLACK_WHITE_FEAR","automationStatus":"AUTOMATED_ACCEPTED","branchCode":"","choiceGroupId":"","idUnique":1,"level":3,"nameRu":"Чёрно-белый страх","nodeKind":"AUTOMATED_ABILITY_NODE","nodeRef":"SYM-131#BLACK_WHITE_FEAR","parentMode":"ALL","parentNodeRef":["SYM-131#OH_NICE"],"ruleIds":["SYM-131"],"selectionConstraint":"ALL(SYM-131#OH_NICE)","sourceQuestionIds":"Q-SYM-053","speciesKey":"PENGUIN"}</t>
  </si>
  <si>
    <t xml:space="preserve">232fd1c62458ca41693fd742f013385bb09cc5c3f1f6113063c46ff71cdeb433</t>
  </si>
  <si>
    <t xml:space="preserve">{"abilityId":"SYM-132","automationStatus":"AUTOMATED_ACCEPTED","branchCode":"","choiceGroupId":"","idUnique":1,"level":4,"nameRu":"Чёрно-белая ярость","nodeKind":"AUTOMATED_ABILITY_NODE","nodeRef":"SYM-132","parentMode":"ALL","parentNodeRef":["SYM-131#BLACK_WHITE_FEAR"],"ruleIds":["SYM-132"],"selectionConstraint":"ALL(SYM-131#BLACK_WHITE_FEAR)","sourceQuestionIds":"Q-SYM-005; Q-SYM-011; Q-SYM-054","speciesKey":"PENGUIN"}</t>
  </si>
  <si>
    <t xml:space="preserve">86da6b53f60611ecdb4e14a8d94f9ec1bc39f7f72b49f9f770bc5e081b1d0f23</t>
  </si>
  <si>
    <t xml:space="preserve">{"abilityId":"SYM-133","automationStatus":"AUTOMATED_ACCEPTED","branchCode":"","choiceGroupId":"","idUnique":1,"level":5,"nameRu":"Чёрно-белый контроль","nodeKind":"AUTOMATED_ABILITY_NODE","nodeRef":"SYM-133","parentMode":"ALL","parentNodeRef":["SYM-132"],"ruleIds":["SYM-133"],"selectionConstraint":"ALL(SYM-132)","sourceQuestionIds":"Q-SYM-053","speciesKey":"PENGUIN"}</t>
  </si>
  <si>
    <t xml:space="preserve">343558d91bc04b6671f9ebe663891ebbfcf870dd7ee202c0cb3d61de4150f5e5</t>
  </si>
  <si>
    <t xml:space="preserve">{"abilityId":"SYM-134","automationStatus":"AUTOMATED_ACCEPTED","branchCode":"","choiceGroupId":"","idUnique":1,"level":6,"nameRu":"Чёрно-белое смещение","nodeKind":"AUTOMATED_ABILITY_NODE","nodeRef":"SYM-134","parentMode":"ALL","parentNodeRef":["SYM-133"],"ruleIds":["SYM-134"],"selectionConstraint":"ALL(SYM-133)","sourceQuestionIds":"Q-SYM-005","speciesKey":"PENGUIN"}</t>
  </si>
  <si>
    <t xml:space="preserve">d8229df714c42f6e6103e4feffd1c524d1c75df097aaf52b66deff14ed7d98d8</t>
  </si>
  <si>
    <t xml:space="preserve">{"abilityId":"SYM-135","automationStatus":"AUTOMATED_ACCEPTED","branchCode":"","choiceGroupId":"","idUnique":1,"level":7,"nameRu":"Чёрно-белое доминирование","nodeKind":"AUTOMATED_ABILITY_NODE","nodeRef":"SYM-135","parentMode":"ALL","parentNodeRef":["SYM-134"],"ruleIds":["SYM-135"],"selectionConstraint":"ALL(SYM-134)","sourceQuestionIds":"Q-SYM-005; Q-SYM-055","speciesKey":"PENGUIN"}</t>
  </si>
  <si>
    <t xml:space="preserve">f155f4529798e68990a0de75391d25c5fef8fadc458ae02340548a6a4d82b730</t>
  </si>
  <si>
    <t xml:space="preserve">{"abilityId":"SYM-137","automationStatus":"AUTOMATED_ACCEPTED","branchCode":"","choiceGroupId":"","idUnique":1,"level":1,"nameRu":"Контактный шокер","nodeKind":"AUTOMATED_ABILITY_NODE","nodeRef":"SYM-137","parentMode":"ALL","parentNodeRef":[],"ruleIds":["SYM-137"],"selectionConstraint":"ROOT","sourceQuestionIds":"Q-SYM-056","speciesKey":"EEL"}</t>
  </si>
  <si>
    <t xml:space="preserve">cb6b49792dac711d212d0e43b83b533b86470811b6e943618384b79724c6434f</t>
  </si>
  <si>
    <t xml:space="preserve">{"abilityId":"SYM-138","automationStatus":"AUTOMATED_ACCEPTED","branchCode":"","choiceGroupId":"","idUnique":1,"level":2,"nameRu":"Проводник","nodeKind":"AUTOMATED_ABILITY_NODE","nodeRef":"SYM-138","parentMode":"ALL","parentNodeRef":["SYM-137"],"ruleIds":["SYM-138"],"selectionConstraint":"ALL(SYM-137)","sourceQuestionIds":"","speciesKey":"EEL"}</t>
  </si>
  <si>
    <t xml:space="preserve">80a7dfba6e9eced8cc4f07a40bd4517c19d1bbe23434e9dc053489f673e0987f</t>
  </si>
  <si>
    <t xml:space="preserve">{"abilityId":"SYM-139","automationStatus":"AUTOMATED_ACCEPTED","branchCode":"","choiceGroupId":"","idUnique":1,"level":3,"nameRu":"Электрическая дуга","nodeKind":"AUTOMATED_ABILITY_NODE","nodeRef":"SYM-139","parentMode":"ALL","parentNodeRef":["SYM-138"],"ruleIds":["SYM-139"],"selectionConstraint":"ALL(SYM-138)","sourceQuestionIds":"Q-SYM-057","speciesKey":"EEL"}</t>
  </si>
  <si>
    <t xml:space="preserve">849e5ed08f40a8c5b913aa0875785fac23738781901a40ff316958482c7fad65</t>
  </si>
  <si>
    <t xml:space="preserve">{"abilityId":"SYM-140","automationStatus":"AUTOMATED_ACCEPTED","branchCode":"","choiceGroupId":"","idUnique":1,"level":4,"nameRu":"Шаровая молния","nodeKind":"AUTOMATED_ABILITY_NODE","nodeRef":"SYM-140","parentMode":"ALL","parentNodeRef":["SYM-139"],"ruleIds":["SYM-140"],"selectionConstraint":"ALL(SYM-139)","sourceQuestionIds":"","speciesKey":"EEL"}</t>
  </si>
  <si>
    <t xml:space="preserve">ad8e40d77b42b4c3a732164d92271160c6241b9c830f69a86dfce381100ca0c1</t>
  </si>
  <si>
    <t xml:space="preserve">{"abilityId":"SYM-141","automationStatus":"AUTOMATED_ACCEPTED","branchCode":"","choiceGroupId":"","idUnique":1,"level":5,"nameRu":"Молния","nodeKind":"AUTOMATED_ABILITY_NODE","nodeRef":"SYM-141","parentMode":"ALL","parentNodeRef":["SYM-140"],"ruleIds":["SYM-141"],"selectionConstraint":"ALL(SYM-140)","sourceQuestionIds":"","speciesKey":"EEL"}</t>
  </si>
  <si>
    <t xml:space="preserve">f047e81123d8c53debea2e480e243f7935031379a71e868119226d9f99aff9ed</t>
  </si>
  <si>
    <t xml:space="preserve">{"abilityId":"SYM-142","automationStatus":"AUTOMATED_ACCEPTED","branchCode":"","choiceGroupId":"","idUnique":1,"level":6,"nameRu":"Цепная молния","nodeKind":"AUTOMATED_ABILITY_NODE","nodeRef":"SYM-142","parentMode":"ALL","parentNodeRef":["SYM-141"],"ruleIds":["SYM-142"],"selectionConstraint":"ALL(SYM-141)","sourceQuestionIds":"Q-SYM-058","speciesKey":"EEL"}</t>
  </si>
  <si>
    <t xml:space="preserve">0ff88d05dc8d12ebbc37c8df48b9b9125b78eded8b23ea53af41a2d82ebf61de</t>
  </si>
  <si>
    <t xml:space="preserve">{"abilityId":"SYM-144","automationStatus":"AUTOMATED_ACCEPTED","branchCode":"","choiceGroupId":"","idUnique":1,"level":1,"nameRu":"Иммунитет к ядам","nodeKind":"AUTOMATED_ABILITY_NODE","nodeRef":"SYM-144","parentMode":"ALL","parentNodeRef":[],"ruleIds":["SYM-144"],"selectionConstraint":"ROOT","sourceQuestionIds":"","speciesKey":"TOAD"}</t>
  </si>
  <si>
    <t xml:space="preserve">f412b4eedf280ba028eddfdaa45f03fd3c66a048f9f561a6bfc23641b524e5d4</t>
  </si>
  <si>
    <t xml:space="preserve">{"abilityId":"SYM-145","automationStatus":"AUTOMATED_ACCEPTED","branchCode":"","choiceGroupId":"","idUnique":1,"level":2,"nameRu":"Оптимизация метаболизма","nodeKind":"AUTOMATED_ABILITY_NODE","nodeRef":"SYM-145","parentMode":"ALL","parentNodeRef":["SYM-144"],"ruleIds":["SYM-145"],"selectionConstraint":"ALL(SYM-144)","sourceQuestionIds":"","speciesKey":"TOAD"}</t>
  </si>
  <si>
    <t xml:space="preserve">a07b91514a95f1e9fbb07cc14a1dd296c5335eec3fb59179ca0a0185a43e4b72</t>
  </si>
  <si>
    <t xml:space="preserve">{"abilityId":"","automationStatus":"NODE_ONLY_MANUAL","branchCode":"","choiceGroupId":"","idUnique":1,"level":3,"nameRu":"Я — то, что я ем","nodeKind":"STRUCTURAL_NODE_ONLY","nodeRef":"SYM-146","parentMode":"ALL","parentNodeRef":["SYM-145"],"ruleIds":["SYM-146"],"selectionConstraint":"ALL(SYM-145); Только узел дерева; не автоматизируется Q-SYM-059.","sourceQuestionIds":"Q-SYM-059","speciesKey":"TOAD"}</t>
  </si>
  <si>
    <t xml:space="preserve">2f071b77a03076999a17857b34b1e18b56af9335ce837ee20b2b880f142e2147</t>
  </si>
  <si>
    <t xml:space="preserve">{"abilityId":"SYM-147","automationStatus":"AUTOMATED_ACCEPTED","branchCode":"","choiceGroupId":"","idUnique":1,"level":4,"nameRu":"Язык жабы","nodeKind":"AUTOMATED_ABILITY_NODE","nodeRef":"SYM-147","parentMode":"ALL","parentNodeRef":["SYM-146"],"ruleIds":["SYM-147"],"selectionConstraint":"ALL(SYM-146)","sourceQuestionIds":"Q-SYM-059","speciesKey":"TOAD"}</t>
  </si>
  <si>
    <t xml:space="preserve">cb5c9bbe3ccd0d7dff9edb5132a33ad27fd14c9c5e709b9e304dd5cd4b9c4361</t>
  </si>
  <si>
    <t xml:space="preserve">{"abilityId":"SYM-148","automationStatus":"AUTOMATED_ACCEPTED","branchCode":"","choiceGroupId":"","idUnique":1,"level":5,"nameRu":"На, держи","nodeKind":"AUTOMATED_ABILITY_NODE","nodeRef":"SYM-148","parentMode":"ALL","parentNodeRef":["SYM-147"],"ruleIds":["SYM-148"],"selectionConstraint":"ALL(SYM-147)","sourceQuestionIds":"","speciesKey":"TOAD"}</t>
  </si>
  <si>
    <t xml:space="preserve">1fbb887d07ac41e1728c62da702b6dc52b3416a67c842721b3d4fb42deb8c7d5</t>
  </si>
  <si>
    <t xml:space="preserve">{"abilityId":"SYM-149","automationStatus":"AUTOMATED_ACCEPTED","branchCode":"","choiceGroupId":"","idUnique":1,"level":6,"nameRu":"Живучесть жабы","nodeKind":"AUTOMATED_ABILITY_NODE","nodeRef":"SYM-149","parentMode":"ALL","parentNodeRef":["SYM-148"],"ruleIds":["SYM-149"],"selectionConstraint":"ALL(SYM-148)","sourceQuestionIds":"","speciesKey":"TOAD"}</t>
  </si>
  <si>
    <t xml:space="preserve">9c5091ef32982037d0cbc23f18e9f7d36b399369cee6b270777b423c541d9ca5</t>
  </si>
  <si>
    <t xml:space="preserve">{"abilityId":"SYM-150","automationStatus":"AUTOMATED_ACCEPTED","branchCode":"","choiceGroupId":"","idUnique":1,"level":7,"nameRu":"Амфибиоморфная асфиксия","nodeKind":"AUTOMATED_ABILITY_NODE","nodeRef":"SYM-150","parentMode":"ALL","parentNodeRef":["SYM-149"],"ruleIds":["SYM-150"],"selectionConstraint":"ALL(SYM-149)","sourceQuestionIds":"","speciesKey":"TOAD"}</t>
  </si>
  <si>
    <t xml:space="preserve">a61a1fff392b7f8c09d7312eca03ee6d4ffe7eb0840782041b459a6002470cad</t>
  </si>
  <si>
    <t xml:space="preserve">{"abilityId":"SYM-152","automationStatus":"AUTOMATED_ACCEPTED","branchCode":"","choiceGroupId":"","idUnique":1,"level":1,"nameRu":"Самостоятельность","nodeKind":"AUTOMATED_ABILITY_NODE","nodeRef":"SYM-152","parentMode":"ALL","parentNodeRef":[],"ruleIds":["SYM-152","SYM-153"],"selectionConstraint":"ROOT","sourceQuestionIds":"Q-SYM-060; Q-PREDEV-003","speciesKey":"RAT"}</t>
  </si>
  <si>
    <t xml:space="preserve">33f188bb04681e5ae5134fb7b3b380d7a7534621e3be1e7ef62db4e11421cd4d</t>
  </si>
  <si>
    <t xml:space="preserve">{"abilityId":"SYM-154","automationStatus":"AUTOMATED_ACCEPTED","branchCode":"","choiceGroupId":"","idUnique":1,"level":2,"nameRu":"Я буду твоими глазами","nodeKind":"AUTOMATED_ABILITY_NODE","nodeRef":"SYM-154","parentMode":"ALL","parentNodeRef":["SYM-152"],"ruleIds":["SYM-154"],"selectionConstraint":"ALL(SYM-152)","sourceQuestionIds":"Q-SYM-061","speciesKey":"RAT"}</t>
  </si>
  <si>
    <t xml:space="preserve">7b69b6af8fe5898c0960181ea7867487ad3ca614042ef731e6a2553add440c64</t>
  </si>
  <si>
    <t xml:space="preserve">{"abilityId":"SYM-155","automationStatus":"AUTOMATED_ACCEPTED","branchCode":"","choiceGroupId":"","idUnique":1,"level":3,"nameRu":"Ловкость крысы","nodeKind":"AUTOMATED_ABILITY_NODE","nodeRef":"SYM-155","parentMode":"ALL","parentNodeRef":["SYM-154"],"ruleIds":["SYM-155"],"selectionConstraint":"ALL(SYM-154)","sourceQuestionIds":"Q-PREDEV-003","speciesKey":"RAT"}</t>
  </si>
  <si>
    <t xml:space="preserve">86e2e4021b2f52275ac0901daae70ce037cb038c255be2ee2ece68f0a28a7834</t>
  </si>
  <si>
    <t xml:space="preserve">{"abilityId":"SYM-156","automationStatus":"AUTOMATED_ACCEPTED","branchCode":"DISEASE","choiceGroupId":"","idUnique":1,"level":4,"nameRu":"Переносчик заразы","nodeKind":"AUTOMATED_ABILITY_NODE","nodeRef":"SYM-156","parentMode":"ALL","parentNodeRef":["SYM-155"],"ruleIds":["SYM-156"],"selectionConstraint":"ALL(SYM-155); BRANCH:DISEASE","sourceQuestionIds":"","speciesKey":"RAT"}</t>
  </si>
  <si>
    <t xml:space="preserve">4daee5c3b3868a10d3c9fe021f11bdc9a09aeed928a4ab83e12e28d1687c0ed4</t>
  </si>
  <si>
    <t xml:space="preserve">{"abilityId":"SYM-157","automationStatus":"AUTOMATED_ACCEPTED","branchCode":"SWARM","choiceGroupId":"","idUnique":1,"level":4,"nameRu":"Первый среди равных","nodeKind":"AUTOMATED_ABILITY_NODE","nodeRef":"SYM-157","parentMode":"ALL","parentNodeRef":["SYM-155"],"ruleIds":["SYM-157"],"selectionConstraint":"ALL(SYM-155); BRANCH:SWARM","sourceQuestionIds":"Q-SYM-062; Q-PREDEV-003","speciesKey":"RAT"}</t>
  </si>
  <si>
    <t xml:space="preserve">ad1429b0d67219064e145aa2bef750ab613baa30c71590c68a7b8996e8bb6eec</t>
  </si>
  <si>
    <t xml:space="preserve">{"abilityId":"SYM-158","automationStatus":"AUTOMATED_ACCEPTED","branchCode":"DISEASE","choiceGroupId":"","idUnique":1,"level":5,"nameRu":"Подобное к подобному","nodeKind":"AUTOMATED_ABILITY_NODE","nodeRef":"SYM-158","parentMode":"ALL","parentNodeRef":["SYM-156"],"ruleIds":["SYM-158"],"selectionConstraint":"ALL(SYM-156); BRANCH:DISEASE","sourceQuestionIds":"","speciesKey":"RAT"}</t>
  </si>
  <si>
    <t xml:space="preserve">fe5a6381201c75fbbcffd9336409876d23402b5a060cc02daa0e3102dbe3e6ea</t>
  </si>
  <si>
    <t xml:space="preserve">{"abilityId":"SYM-159","automationStatus":"AUTOMATED_ACCEPTED","branchCode":"SWARM","choiceGroupId":"","idUnique":1,"level":5,"nameRu":"Крысиный король","nodeKind":"AUTOMATED_ABILITY_NODE","nodeRef":"SYM-159","parentMode":"ALL","parentNodeRef":["SYM-157"],"ruleIds":["SYM-159"],"selectionConstraint":"ALL(SYM-157); BRANCH:SWARM","sourceQuestionIds":"Q-SYM-062; Q-PREDEV-003","speciesKey":"RAT"}</t>
  </si>
  <si>
    <t xml:space="preserve">4b099cbf390134f4b786617de821a606a7763cd0f5a5b57130e3e4f0decc3b76</t>
  </si>
  <si>
    <t xml:space="preserve">{"abilityId":"","automationStatus":"NODE_ONLY_MANUAL","branchCode":"DISEASE","choiceGroupId":"","idUnique":1,"level":6,"nameRu":"Крысиные коммуникации","nodeKind":"STRUCTURAL_NODE_ONLY","nodeRef":"SYM-151#RAT_COMMUNICATIONS","parentMode":"ALL","parentNodeRef":["SYM-158"],"ruleIds":["SYM-151"],"selectionConstraint":"ALL(SYM-158); BRANCH:DISEASE; Обязательный узел развития без исполняемой социальной механики.","sourceQuestionIds":"","speciesKey":"RAT"}</t>
  </si>
  <si>
    <t xml:space="preserve">6fcd5d686db6f30624789987cffb45062355cb9bdf981f9e6ec2c765c04f4ecb</t>
  </si>
  <si>
    <t xml:space="preserve">{"abilityId":"SYM-160","automationStatus":"AUTOMATED_ACCEPTED","branchCode":"SWARM","choiceGroupId":"","idUnique":1,"level":6,"nameRu":"Ретранслятор","nodeKind":"AUTOMATED_ABILITY_NODE","nodeRef":"SYM-160","parentMode":"ALL","parentNodeRef":["SYM-159"],"ruleIds":["SYM-160"],"selectionConstraint":"ALL(SYM-159); BRANCH:SWARM","sourceQuestionIds":"Q-PREDEV-003","speciesKey":"RAT"}</t>
  </si>
  <si>
    <t xml:space="preserve">2e2959d1e0a5fbd26696c9be2d22a1658d8c518ffab01ef7ce62a0f1f19287c2</t>
  </si>
  <si>
    <t xml:space="preserve">{"abilityId":"","automationStatus":"NODE_ONLY_MANUAL","branchCode":"","choiceGroupId":"","idUnique":1,"level":7,"nameRu":"Тотальное крысятничество","nodeKind":"STRUCTURAL_NODE_ONLY","nodeRef":"SYM-151#TOTAL_RATHOOD","parentMode":"ANY","parentNodeRef":["SYM-151#RAT_COMMUNICATIONS","SYM-160"],"ruleIds":["SYM-151"],"selectionConstraint":"ANY(SYM-151#RAT_COMMUNICATIONS,SYM-160); Узел развития без исполняемой социальной механики.","sourceQuestionIds":"","speciesKey":"RAT"}</t>
  </si>
  <si>
    <t xml:space="preserve">bee338b3d16bb9ad8990f3a4df7340b5fbaf9b803ee695e6fe2d1219d947ed00</t>
  </si>
  <si>
    <t xml:space="preserve">{"abilityId":"SYM-162","automationStatus":"AUTOMATED_ACCEPTED","branchCode":"","choiceGroupId":"","idUnique":1,"level":1,"nameRu":"Трансцендентность","nodeKind":"AUTOMATED_ABILITY_NODE","nodeRef":"SYM-162","parentMode":"ALL","parentNodeRef":[],"ruleIds":["SYM-162"],"selectionConstraint":"ROOT","sourceQuestionIds":"","speciesKey":"DOLPHIN"}</t>
  </si>
  <si>
    <t xml:space="preserve">28645881d4c1dcc28c1467ff85284d352095c5cc8929add3b91fea5449898651</t>
  </si>
  <si>
    <t xml:space="preserve">{"abilityId":"SYM-163","automationStatus":"AUTOMATED_ACCEPTED","branchCode":"","choiceGroupId":"","idUnique":1,"level":2,"nameRu":"Эхолокация","nodeKind":"AUTOMATED_ABILITY_NODE","nodeRef":"SYM-163","parentMode":"ALL","parentNodeRef":["SYM-162"],"ruleIds":["SYM-163"],"selectionConstraint":"ALL(SYM-162)","sourceQuestionIds":"Q-SYM-063","speciesKey":"DOLPHIN"}</t>
  </si>
  <si>
    <t xml:space="preserve">7470b105f3e48bfd9fb24d69c248ab275bfd0d0e1825763edee692b87a8dc7b1</t>
  </si>
  <si>
    <t xml:space="preserve">{"abilityId":"SYM-164","automationStatus":"AUTOMATED_ACCEPTED","branchCode":"","choiceGroupId":"","idUnique":1,"level":3,"nameRu":"Море — второй дом","nodeKind":"AUTOMATED_ABILITY_NODE","nodeRef":"SYM-164","parentMode":"ALL","parentNodeRef":["SYM-163"],"ruleIds":["SYM-164"],"selectionConstraint":"ALL(SYM-163)","sourceQuestionIds":"","speciesKey":"DOLPHIN"}</t>
  </si>
  <si>
    <t xml:space="preserve">6b463d86643774c26f9e46730e078348f6c5cffe6895c716b93ce7cd48b82639</t>
  </si>
  <si>
    <t xml:space="preserve">{"abilityId":"SYM-165","automationStatus":"AUTOMATED_ACCEPTED","branchCode":"","choiceGroupId":"","idUnique":1,"level":4,"nameRu":"Ментальный компас","nodeKind":"AUTOMATED_ABILITY_NODE","nodeRef":"SYM-165","parentMode":"ALL","parentNodeRef":["SYM-164"],"ruleIds":["SYM-165"],"selectionConstraint":"ALL(SYM-164)","sourceQuestionIds":"","speciesKey":"DOLPHIN"}</t>
  </si>
  <si>
    <t xml:space="preserve">fa0938bf4fab298f95b1e0f852ffd4e2058d99e86856239fca77cd47f1528b61</t>
  </si>
  <si>
    <t xml:space="preserve">{"abilityId":"","automationStatus":"NODE_ONLY_MANUAL","branchCode":"","choiceGroupId":"","idUnique":1,"level":5,"nameRu":"Абсолютная память","nodeKind":"STRUCTURAL_NODE_ONLY","nodeRef":"SYM-161#ABSOLUTE_MEMORY","parentMode":"ALL","parentNodeRef":["SYM-165"],"ruleIds":["SYM-161"],"selectionConstraint":"ALL(SYM-165); Обязательный узел дерева; эффект вне исполняемого реестра.","sourceQuestionIds":"","speciesKey":"DOLPHIN"}</t>
  </si>
  <si>
    <t xml:space="preserve">11e8a2bd13cbc3af5ff8d72f69dfc436057118f70286934c239d15b2246ab12a</t>
  </si>
  <si>
    <t xml:space="preserve">{"abilityId":"SYM-166","automationStatus":"AUTOMATED_ACCEPTED","branchCode":"","choiceGroupId":"","idUnique":1,"level":6,"nameRu":"Мирный воин","nodeKind":"AUTOMATED_ABILITY_NODE","nodeRef":"SYM-166","parentMode":"ALL","parentNodeRef":["SYM-161#ABSOLUTE_MEMORY"],"ruleIds":["SYM-166"],"selectionConstraint":"ALL(SYM-161#ABSOLUTE_MEMORY)","sourceQuestionIds":"","speciesKey":"DOLPHIN"}</t>
  </si>
  <si>
    <t xml:space="preserve">84a9cb64132f22212c236ca9d780a4c58289598deeb8c4ea705d9b72a48323a2</t>
  </si>
  <si>
    <t xml:space="preserve">{"abilityId":"SYM-168","automationStatus":"AUTOMATED_ACCEPTED","branchCode":"","choiceGroupId":"","idUnique":1,"level":1,"nameRu":"Зазубренные клинки","nodeKind":"AUTOMATED_ABILITY_NODE","nodeRef":"SYM-168","parentMode":"ALL","parentNodeRef":[],"ruleIds":["SYM-168"],"selectionConstraint":"ROOT","sourceQuestionIds":"Q-SYM-064","speciesKey":"MANTIS"}</t>
  </si>
  <si>
    <t xml:space="preserve">9ce9022bbcb69535b4a55136f16c6a58c8cd32efd6912434c1a44f7881df8caa</t>
  </si>
  <si>
    <t xml:space="preserve">{"abilityId":"SYM-169","automationStatus":"AUTOMATED_ACCEPTED","branchCode":"","choiceGroupId":"","idUnique":1,"level":2,"nameRu":"Каменная статуя","nodeKind":"AUTOMATED_ABILITY_NODE","nodeRef":"SYM-169","parentMode":"ALL","parentNodeRef":["SYM-168"],"ruleIds":["SYM-169"],"selectionConstraint":"ALL(SYM-168)","sourceQuestionIds":"Q-SYM-065","speciesKey":"MANTIS"}</t>
  </si>
  <si>
    <t xml:space="preserve">d0997ed47726ba01582b8eb1617f92611c9fb25f0284a93365db5122873fbe31</t>
  </si>
  <si>
    <t xml:space="preserve">{"abilityId":"SYM-170","automationStatus":"AUTOMATED_ACCEPTED","branchCode":"","choiceGroupId":"","idUnique":1,"level":3,"nameRu":"Молниеносная реакция","nodeKind":"AUTOMATED_ABILITY_NODE","nodeRef":"SYM-170","parentMode":"ALL","parentNodeRef":["SYM-169"],"ruleIds":["SYM-170"],"selectionConstraint":"ALL(SYM-169)","sourceQuestionIds":"","speciesKey":"MANTIS"}</t>
  </si>
  <si>
    <t xml:space="preserve">76af5b80b6b09377b271f8d31e61c01a416d62f405ee66180c03d8719cd130bd</t>
  </si>
  <si>
    <t xml:space="preserve">{"abilityId":"SYM-171","automationStatus":"AUTOMATED_ACCEPTED","branchCode":"","choiceGroupId":"","idUnique":1,"level":4,"nameRu":"Каннибализм","nodeKind":"AUTOMATED_ABILITY_NODE","nodeRef":"SYM-171","parentMode":"ALL","parentNodeRef":["SYM-170"],"ruleIds":["SYM-171"],"selectionConstraint":"ALL(SYM-170)","sourceQuestionIds":"Q-SYM-066","speciesKey":"MANTIS"}</t>
  </si>
  <si>
    <t xml:space="preserve">75ca74cd83f2a48fb8d065873c20dcd6b1aed34f5c63182269bf8da88038364f</t>
  </si>
  <si>
    <t xml:space="preserve">{"abilityId":"SYM-172","automationStatus":"AUTOMATED_ACCEPTED","branchCode":"","choiceGroupId":"","idUnique":1,"level":5,"nameRu":"Инстинкт убийцы","nodeKind":"AUTOMATED_ABILITY_NODE","nodeRef":"SYM-172","parentMode":"ALL","parentNodeRef":["SYM-171"],"ruleIds":["SYM-172"],"selectionConstraint":"ALL(SYM-171)","sourceQuestionIds":"Q-SYM-064","speciesKey":"MANTIS"}</t>
  </si>
  <si>
    <t xml:space="preserve">bef2a8e589178a9386455d1f1485e9e1335efcd91d18f57b06764b2d8f01dedc</t>
  </si>
  <si>
    <t xml:space="preserve">{"abilityId":"SYM-173","automationStatus":"AUTOMATED_ACCEPTED","branchCode":"","choiceGroupId":"","idUnique":1,"level":6,"nameRu":"Веерная защита","nodeKind":"AUTOMATED_ABILITY_NODE","nodeRef":"SYM-173","parentMode":"ALL","parentNodeRef":["SYM-172"],"ruleIds":["SYM-173"],"selectionConstraint":"ALL(SYM-172)","sourceQuestionIds":"Q-SYM-064","speciesKey":"MANTIS"}</t>
  </si>
  <si>
    <t xml:space="preserve">f7f20c0997c30fe7d46cc9c3a8df2f1b6188838aba98b1ec6bc67b738d73659c</t>
  </si>
  <si>
    <t xml:space="preserve">{"abilityId":"SYM-175","automationStatus":"AUTOMATED_ACCEPTED","branchCode":"","choiceGroupId":"","idUnique":1,"level":1,"nameRu":"Анальная железа","nodeKind":"AUTOMATED_ABILITY_NODE","nodeRef":"SYM-175","parentMode":"ALL","parentNodeRef":[],"ruleIds":["SYM-175"],"selectionConstraint":"ROOT","sourceQuestionIds":"Q-SYM-067","speciesKey":"SKUNK"}</t>
  </si>
  <si>
    <t xml:space="preserve">009e0edd0905fa32949bd50725a0a2e9d8740ee645b52af3005abbfe107bdf01</t>
  </si>
  <si>
    <t xml:space="preserve">{"abilityId":"SYM-176","automationStatus":"AUTOMATED_ACCEPTED","branchCode":"","choiceGroupId":"","idUnique":1,"level":2,"nameRu":"Подладонные железы","nodeKind":"AUTOMATED_ABILITY_NODE","nodeRef":"SYM-176","parentMode":"ALL","parentNodeRef":["SYM-175"],"ruleIds":["SYM-176"],"selectionConstraint":"ALL(SYM-175)","sourceQuestionIds":"Q-SYM-068","speciesKey":"SKUNK"}</t>
  </si>
  <si>
    <t xml:space="preserve">a0612e4beb214c6cb57bd31e220b102f76cfe1670dcda85d6a02d71d193c7ea3</t>
  </si>
  <si>
    <t xml:space="preserve">{"abilityId":"SYM-177","automationStatus":"AUTOMATED_ACCEPTED","branchCode":"","choiceGroupId":"","idUnique":1,"level":3,"nameRu":"Вонючее облако","nodeKind":"AUTOMATED_ABILITY_NODE","nodeRef":"SYM-177","parentMode":"ALL","parentNodeRef":["SYM-176"],"ruleIds":["SYM-177"],"selectionConstraint":"ALL(SYM-176)","sourceQuestionIds":"Q-SYM-069","speciesKey":"SKUNK"}</t>
  </si>
  <si>
    <t xml:space="preserve">1486a446517c890ef4e2cc9918bb49458b8a6b542e18ca2cc90372d3d5afa9bc</t>
  </si>
  <si>
    <t xml:space="preserve">{"abilityId":"SYM-178","automationStatus":"AUTOMATED_ACCEPTED","branchCode":"","choiceGroupId":"","idUnique":1,"level":4,"nameRu":"Навесной выстрел","nodeKind":"AUTOMATED_ABILITY_NODE","nodeRef":"SYM-178","parentMode":"ALL","parentNodeRef":["SYM-177"],"ruleIds":["SYM-178"],"selectionConstraint":"ALL(SYM-177)","sourceQuestionIds":"Q-SYM-070","speciesKey":"SKUNK"}</t>
  </si>
  <si>
    <t xml:space="preserve">0738158d545143751a27246e8874143a2a35c16dc5f9ffe28ccc6cd5931a55ce</t>
  </si>
  <si>
    <t xml:space="preserve">{"abilityId":"SYM-179","automationStatus":"AUTOMATED_ACCEPTED","branchCode":"","choiceGroupId":"","idUnique":1,"level":5,"nameRu":"Миномёт","nodeKind":"AUTOMATED_ABILITY_NODE","nodeRef":"SYM-179","parentMode":"ALL","parentNodeRef":["SYM-178"],"ruleIds":["SYM-179"],"selectionConstraint":"ALL(SYM-178)","sourceQuestionIds":"Q-SYM-070; Q-SYM-071","speciesKey":"SKUNK"}</t>
  </si>
  <si>
    <t xml:space="preserve">b30ac3eb4e9d47e68c32d1bacfec57305ed852fb7a112351cfc3801e00e3c4b3</t>
  </si>
  <si>
    <t xml:space="preserve">{"abilityId":"SYM-180","automationStatus":"AUTOMATED_ACCEPTED","branchCode":"","choiceGroupId":"","idUnique":1,"level":6,"nameRu":"Шквальный огонь","nodeKind":"AUTOMATED_ABILITY_NODE","nodeRef":"SYM-180","parentMode":"ALL","parentNodeRef":["SYM-179"],"ruleIds":["SYM-180"],"selectionConstraint":"ALL(SYM-179)","sourceQuestionIds":"Q-SYM-070; Q-SYM-071; Q-SYM-072","speciesKey":"SKUNK"}</t>
  </si>
  <si>
    <t xml:space="preserve">9ab91f654051bde45d1941a314adfafc4f4d6bb3bf9dca99307e122b97527394</t>
  </si>
  <si>
    <t xml:space="preserve">{"abilityId":"MON-004","automationStatus":"AUTOMATED_ACCEPTED","branchCode":"","choiceGroupId":"","idUnique":1,"level":1,"nameRu":"Пожирание","nodeKind":"AUTOMATED_ABILITY_NODE","nodeRef":"MON-004","parentMode":"ALL","parentNodeRef":[],"ruleIds":["MON-004","MON-005","MON-006","MON-007"],"selectionConstraint":"ROOT","sourceQuestionIds":"Q-MON-002; Q-MON-003; Q-MON-004","speciesKey":"CHIMERA"}</t>
  </si>
  <si>
    <t xml:space="preserve">de310deeb1569360156298d7539815d90c5bb3bcbe95a82a40cce514005cf37d</t>
  </si>
  <si>
    <t xml:space="preserve">{"abilityId":"MON-008","automationStatus":"AUTOMATED_ACCEPTED","branchCode":"A_BODY","choiceGroupId":"","idUnique":1,"level":2,"nameRu":"Дублирование органов","nodeKind":"AUTOMATED_ABILITY_NODE","nodeRef":"MON-008","parentMode":"ALL","parentNodeRef":["MON-004"],"ruleIds":["MON-008","MON-009"],"selectionConstraint":"ALL(MON-004); BRANCH:A_BODY","sourceQuestionIds":"","speciesKey":"CHIMERA"}</t>
  </si>
  <si>
    <t xml:space="preserve">b034a32703e08b29f99e488aa0b7e9a339fbbf56da276ab7d363b120fdd33a52</t>
  </si>
  <si>
    <t xml:space="preserve">{"abilityId":"MON-010","automationStatus":"AUTOMATED_ACCEPTED","branchCode":"B_HUNT","choiceGroupId":"","idUnique":1,"level":2,"nameRu":"Взгляд мясника","nodeKind":"AUTOMATED_ABILITY_NODE","nodeRef":"MON-010","parentMode":"ALL","parentNodeRef":["MON-004"],"ruleIds":["MON-010"],"selectionConstraint":"ALL(MON-004); BRANCH:B_HUNT","sourceQuestionIds":"Q-MON-005","speciesKey":"CHIMERA"}</t>
  </si>
  <si>
    <t xml:space="preserve">acc19961d1c9998ba7ce977fb815f349a300f543f8f5500fac7f95351bdb392c</t>
  </si>
  <si>
    <t xml:space="preserve">{"abilityId":"MON-011","automationStatus":"AUTOMATED_ACCEPTED","branchCode":"C_WEAPONS","choiceGroupId":"","idUnique":1,"level":2,"nameRu":"Железная хватка","nodeKind":"AUTOMATED_ABILITY_NODE","nodeRef":"MON-011","parentMode":"ALL","parentNodeRef":["MON-004"],"ruleIds":["MON-011"],"selectionConstraint":"ALL(MON-004); BRANCH:C_WEAPONS","sourceQuestionIds":"","speciesKey":"CHIMERA"}</t>
  </si>
  <si>
    <t xml:space="preserve">fb50e66f060b502b2582e2e829084c2e37017983fcbf51b1f7f103a260f59fbe</t>
  </si>
  <si>
    <t xml:space="preserve">{"abilityId":"MON-012","automationStatus":"AUTOMATED_ACCEPTED","branchCode":"A_BODY","choiceGroupId":"","idUnique":1,"level":3,"nameRu":"Безразличная плоть","nodeKind":"AUTOMATED_ABILITY_NODE","nodeRef":"MON-012","parentMode":"ALL","parentNodeRef":["MON-008"],"ruleIds":["MON-012"],"selectionConstraint":"ALL(MON-008); BRANCH:A_BODY","sourceQuestionIds":"","speciesKey":"CHIMERA"}</t>
  </si>
  <si>
    <t xml:space="preserve">3e362769725234f7e6d7b1e59f01b765141d3dd6343c11d9ce2e4c210220b52a</t>
  </si>
  <si>
    <t xml:space="preserve">{"abilityId":"MON-013","automationStatus":"AUTOMATED_ACCEPTED","branchCode":"B_HUNT","choiceGroupId":"","idUnique":1,"level":3,"nameRu":"Гончая","nodeKind":"AUTOMATED_ABILITY_NODE","nodeRef":"MON-013","parentMode":"ALL","parentNodeRef":["MON-010"],"ruleIds":["MON-013"],"selectionConstraint":"ALL(MON-010); BRANCH:B_HUNT","sourceQuestionIds":"","speciesKey":"CHIMERA"}</t>
  </si>
  <si>
    <t xml:space="preserve">237beb8730799fca999edf6f7562ee92750efe54bcf062443f22c4f12853ea6a</t>
  </si>
  <si>
    <t xml:space="preserve">{"abilityId":"MON-014","automationStatus":"AUTOMATED_ACCEPTED","branchCode":"C_WEAPONS","choiceGroupId":"","idUnique":1,"level":3,"nameRu":"Локтевой отбойник","nodeKind":"AUTOMATED_ABILITY_NODE","nodeRef":"MON-014","parentMode":"ALL","parentNodeRef":["MON-011"],"ruleIds":["MON-014","MON-015"],"selectionConstraint":"ALL(MON-011); BRANCH:C_WEAPONS","sourceQuestionIds":"Q-MON-006","speciesKey":"CHIMERA"}</t>
  </si>
  <si>
    <t xml:space="preserve">664c5c6936e932fedfbe65313cee5a4683559b0e9332418dd3146b12999ef384</t>
  </si>
  <si>
    <t xml:space="preserve">{"abilityId":"MON-016","automationStatus":"AUTOMATED_ACCEPTED","branchCode":"A_BODY","choiceGroupId":"","idUnique":1,"level":4,"nameRu":"Выносливость хищника","nodeKind":"AUTOMATED_ABILITY_NODE","nodeRef":"MON-016","parentMode":"ALL","parentNodeRef":["MON-012"],"ruleIds":["MON-016"],"selectionConstraint":"ALL(MON-012); BRANCH:A_BODY","sourceQuestionIds":"","speciesKey":"CHIMERA"}</t>
  </si>
  <si>
    <t xml:space="preserve">b2587cb1fedccc67458e69090d74071e6536108eacfd8c34b752d62908de3154</t>
  </si>
  <si>
    <t xml:space="preserve">{"abilityId":"MON-017","automationStatus":"AUTOMATED_ACCEPTED","branchCode":"B_HUNT","choiceGroupId":"","idUnique":1,"level":4,"nameRu":"Охотничий азарт","nodeKind":"AUTOMATED_ABILITY_NODE","nodeRef":"MON-017","parentMode":"ALL","parentNodeRef":["MON-013"],"ruleIds":["MON-017"],"selectionConstraint":"ALL(MON-013); BRANCH:B_HUNT","sourceQuestionIds":"","speciesKey":"CHIMERA"}</t>
  </si>
  <si>
    <t xml:space="preserve">d435db761cbbe03a93cadd05137038d307a96d6c779beab0ea21bd87c287a6c3</t>
  </si>
  <si>
    <t xml:space="preserve">{"abilityId":"MON-018","automationStatus":"AUTOMATED_ACCEPTED","branchCode":"C_WEAPONS","choiceGroupId":"","idUnique":1,"level":4,"nameRu":"Коленный отбойник","nodeKind":"AUTOMATED_ABILITY_NODE","nodeRef":"MON-018","parentMode":"ALL","parentNodeRef":["MON-014"],"ruleIds":["MON-018","MON-019"],"selectionConstraint":"ALL(MON-014); BRANCH:C_WEAPONS","sourceQuestionIds":"Q-MON-006","speciesKey":"CHIMERA"}</t>
  </si>
  <si>
    <t xml:space="preserve">c782ff5cfd81a8b9bc1f25b92e1d67ec32c0fcd70108e3f7535528683d4518d4</t>
  </si>
  <si>
    <t xml:space="preserve">{"abilityId":"MON-020","automationStatus":"AUTOMATED_ACCEPTED","branchCode":"A_BODY","choiceGroupId":"","idUnique":1,"level":5,"nameRu":"Неудержимость","nodeKind":"AUTOMATED_ABILITY_NODE","nodeRef":"MON-020","parentMode":"ALL","parentNodeRef":["MON-016"],"ruleIds":["MON-020"],"selectionConstraint":"ALL(MON-016); BRANCH:A_BODY","sourceQuestionIds":"Q-CORE-022","speciesKey":"CHIMERA"}</t>
  </si>
  <si>
    <t xml:space="preserve">548b2bed1ad9274b7c3ad2a60c2b8b4e6c68d25b137281350e2c589bc27f35ce</t>
  </si>
  <si>
    <t xml:space="preserve">{"abilityId":"MON-021","automationStatus":"AUTOMATED_ACCEPTED","branchCode":"B_HUNT","choiceGroupId":"","idUnique":1,"level":5,"nameRu":"Змеиный бросок","nodeKind":"AUTOMATED_ABILITY_NODE","nodeRef":"MON-021","parentMode":"ALL","parentNodeRef":["MON-017"],"ruleIds":["MON-021"],"selectionConstraint":"ALL(MON-017); BRANCH:B_HUNT","sourceQuestionIds":"","speciesKey":"CHIMERA"}</t>
  </si>
  <si>
    <t xml:space="preserve">a541de2b3eed04ca2c9a19c0459797345a9de11f04fbfdaef9d81a2eb165428d</t>
  </si>
  <si>
    <t xml:space="preserve">{"abilityId":"MON-022","automationStatus":"AUTOMATED_ACCEPTED","branchCode":"C_WEAPONS","choiceGroupId":"","idUnique":1,"level":5,"nameRu":"Последний взгляд","nodeKind":"AUTOMATED_ABILITY_NODE","nodeRef":"MON-022","parentMode":"ALL","parentNodeRef":["MON-018"],"ruleIds":["MON-022"],"selectionConstraint":"ALL(MON-018); BRANCH:C_WEAPONS","sourceQuestionIds":"Q-MON-007; Q-MON-008","speciesKey":"CHIMERA"}</t>
  </si>
  <si>
    <t xml:space="preserve">d68081f2f339dd2c4cb1f7db587337fa1f46cced8cab98ffe3562271d76c5b7c</t>
  </si>
  <si>
    <t xml:space="preserve">{"abilityId":"MON-023","automationStatus":"AUTOMATED_ACCEPTED","branchCode":"","choiceGroupId":"","idUnique":1,"level":6,"nameRu":"Ведомый голодом","nodeKind":"AUTOMATED_ABILITY_NODE","nodeRef":"MON-023","parentMode":"ALL","parentNodeRef":["MON-020","MON-021","MON-022"],"ruleIds":["MON-023","MON-024"],"selectionConstraint":"ALL(MON-020,MON-021,MON-022)","sourceQuestionIds":"Q-MON-009","speciesKey":"CHIMERA"}</t>
  </si>
  <si>
    <t xml:space="preserve">d82c953cd837c374c7823f3f68939bac5c30b99b3a0c2a0a1aeba2242bf2eae8</t>
  </si>
  <si>
    <t xml:space="preserve">{"abilityId":"MON-027","automationStatus":"AUTOMATED_ACCEPTED","branchCode":"","choiceGroupId":"","idUnique":1,"level":1,"nameRu":"Направляй ментально","nodeKind":"AUTOMATED_ABILITY_NODE","nodeRef":"MON-027","parentMode":"ALL","parentNodeRef":[],"ruleIds":["MON-027"],"selectionConstraint":"ROOT","sourceQuestionIds":"Q-MON-078","speciesKey":"PUPPETEER"}</t>
  </si>
  <si>
    <t xml:space="preserve">653aadf667b2d8b6ba54ceac21c27b816d929c8a493c39b53d79b96960f9b280</t>
  </si>
  <si>
    <t xml:space="preserve">{"abilityId":"MON-028","automationStatus":"AUTOMATED_ACCEPTED","branchCode":"A_DOMINANCE","choiceGroupId":"","idUnique":1,"level":2,"nameRu":"Доминантный разум","nodeKind":"AUTOMATED_ABILITY_NODE","nodeRef":"MON-028","parentMode":"ALL","parentNodeRef":["MON-027"],"ruleIds":["MON-028"],"selectionConstraint":"ALL(MON-027); BRANCH:A_DOMINANCE","sourceQuestionIds":"","speciesKey":"PUPPETEER"}</t>
  </si>
  <si>
    <t xml:space="preserve">78715ee0b24f672ab1597dd8b4a8fe40c5fb3349c685a71227d1de66fe34873b</t>
  </si>
  <si>
    <t xml:space="preserve">{"abilityId":"","automationStatus":"NODE_ONLY_MANUAL","branchCode":"B_SENSES","choiceGroupId":"","idUnique":1,"level":2,"nameRu":"Чтение мыслей","nodeKind":"STRUCTURAL_NODE_ONLY","nodeRef":"MON-026#READ_THOUGHTS","parentMode":"ALL","parentNodeRef":["MON-027"],"ruleIds":["MON-026"],"selectionConstraint":"ALL(MON-027); BRANCH:B_SENSES; Небоевой узел-предусловие без runtime-команды.","sourceQuestionIds":"","speciesKey":"PUPPETEER"}</t>
  </si>
  <si>
    <t xml:space="preserve">6f71d6e3ee4fadd880116e6ba61eee669c3f433b67199fba44565808f23ba087</t>
  </si>
  <si>
    <t xml:space="preserve">{"abilityId":"MON-029","automationStatus":"AUTOMATED_ACCEPTED","branchCode":"C_CONTROL","choiceGroupId":"","idUnique":1,"level":2,"nameRu":"Рассеянность","nodeKind":"AUTOMATED_ABILITY_NODE","nodeRef":"MON-029","parentMode":"ALL","parentNodeRef":["MON-027"],"ruleIds":["MON-029","MON-030"],"selectionConstraint":"ALL(MON-027); BRANCH:C_CONTROL","sourceQuestionIds":"Q-MON-010; Q-MON-011","speciesKey":"PUPPETEER"}</t>
  </si>
  <si>
    <t xml:space="preserve">dd5635ceceb86d52efadd549cd6e021e1d914349789a36a167670a4351a72c5e</t>
  </si>
  <si>
    <t xml:space="preserve">{"abilityId":"MON-031","automationStatus":"AUTOMATED_ACCEPTED","branchCode":"A_DOMINANCE","choiceGroupId":"","idUnique":1,"level":3,"nameRu":"Ментальный ученик","nodeKind":"AUTOMATED_ABILITY_NODE","nodeRef":"MON-031","parentMode":"ALL","parentNodeRef":["MON-028"],"ruleIds":["MON-031"],"selectionConstraint":"ALL(MON-028); BRANCH:A_DOMINANCE","sourceQuestionIds":"Q-MON-012","speciesKey":"PUPPETEER"}</t>
  </si>
  <si>
    <t xml:space="preserve">9e89079688ca27fefd4fe5fc6689ba31739a8e5ba2ae4d467eb15d841b41e910</t>
  </si>
  <si>
    <t xml:space="preserve">{"abilityId":"MON-032","automationStatus":"AUTOMATED_ACCEPTED","branchCode":"B_SENSES","choiceGroupId":"","idUnique":1,"level":3,"nameRu":"Превосходство","nodeKind":"AUTOMATED_ABILITY_NODE","nodeRef":"MON-032","parentMode":"ALL","parentNodeRef":["MON-026#READ_THOUGHTS"],"ruleIds":["MON-032"],"selectionConstraint":"ALL(MON-026#READ_THOUGHTS); BRANCH:B_SENSES","sourceQuestionIds":"Q-MON-012","speciesKey":"PUPPETEER"}</t>
  </si>
  <si>
    <t xml:space="preserve">c8fc08387e2fdb10ef9413953a85dc8fbeadecb2af359d626e42fb960c13e5fb</t>
  </si>
  <si>
    <t xml:space="preserve">{"abilityId":"MON-033","automationStatus":"AUTOMATED_ACCEPTED","branchCode":"C_CONTROL","choiceGroupId":"","idUnique":1,"level":3,"nameRu":"Псионическое разложение","nodeKind":"AUTOMATED_ABILITY_NODE","nodeRef":"MON-033","parentMode":"ALL","parentNodeRef":["MON-029"],"ruleIds":["MON-033","MON-034"],"selectionConstraint":"ALL(MON-029); BRANCH:C_CONTROL","sourceQuestionIds":"Q-MON-013","speciesKey":"PUPPETEER"}</t>
  </si>
  <si>
    <t xml:space="preserve">cee22e135caee0c584f12a3f274b8ddf7292f93ff1188c0b3c91a691deae4387</t>
  </si>
  <si>
    <t xml:space="preserve">{"abilityId":"","automationStatus":"NODE_ONLY_MANUAL","branchCode":"A_DOMINANCE","choiceGroupId":"","idUnique":1,"level":4,"nameRu":"Отведение внимания","nodeKind":"STRUCTURAL_NODE_ONLY","nodeRef":"MON-026#DIVERT_ATTENTION","parentMode":"ALL","parentNodeRef":["MON-031"],"ruleIds":["MON-026"],"selectionConstraint":"ALL(MON-031); BRANCH:A_DOMINANCE; Небоевой узел-предусловие без runtime-команды.","sourceQuestionIds":"","speciesKey":"PUPPETEER"}</t>
  </si>
  <si>
    <t xml:space="preserve">c062e18465a2c0ee368aec52193dbf412db6a48bd75196733a0c157a14d31a95</t>
  </si>
  <si>
    <t xml:space="preserve">{"abilityId":"","automationStatus":"NODE_ONLY_MANUAL","branchCode":"B_SENSES","choiceGroupId":"","idUnique":1,"level":4,"nameRu":"Чужие чувства","nodeKind":"STRUCTURAL_NODE_ONLY","nodeRef":"MON-035","parentMode":"ALL","parentNodeRef":["MON-032"],"ruleIds":["MON-035"],"selectionConstraint":"ALL(MON-032); BRANCH:B_SENSES; Исключено из автоматизации Q-MON-014/Q-MON-076.","sourceQuestionIds":"Q-MON-014; Q-MON-076","speciesKey":"PUPPETEER"}</t>
  </si>
  <si>
    <t xml:space="preserve">8aff9fada79d21ed72167a04c3818f66bd5212e3e82b580f1becdbaf1df360ae</t>
  </si>
  <si>
    <t xml:space="preserve">{"abilityId":"MON-036","automationStatus":"AUTOMATED_ACCEPTED","branchCode":"C_CONTROL","choiceGroupId":"","idUnique":1,"level":4,"nameRu":"Отмена действия","nodeKind":"AUTOMATED_ABILITY_NODE","nodeRef":"MON-036","parentMode":"ALL","parentNodeRef":["MON-033"],"ruleIds":["MON-036"],"selectionConstraint":"ALL(MON-033); BRANCH:C_CONTROL","sourceQuestionIds":"Q-MON-015","speciesKey":"PUPPETEER"}</t>
  </si>
  <si>
    <t xml:space="preserve">16d81de277db9951d213ad1b1365306ef35bb34696e416ff0d71c747fbb7bc51</t>
  </si>
  <si>
    <t xml:space="preserve">{"abilityId":"","automationStatus":"NODE_ONLY_MANUAL","branchCode":"A_DOMINANCE","choiceGroupId":"","idUnique":1,"level":5,"nameRu":"Постоянная иллюзия","nodeKind":"STRUCTURAL_NODE_ONLY","nodeRef":"MON-026#PERMANENT_ILLUSION","parentMode":"ALL","parentNodeRef":["MON-026#DIVERT_ATTENTION"],"ruleIds":["MON-026"],"selectionConstraint":"ALL(MON-026#DIVERT_ATTENTION); BRANCH:A_DOMINANCE; Небоевой узел-предусловие без runtime-команды.","sourceQuestionIds":"","speciesKey":"PUPPETEER"}</t>
  </si>
  <si>
    <t xml:space="preserve">725a4ecba6e424d14002a8c932ab4056409b156880cdb889c61d73020826e206</t>
  </si>
  <si>
    <t xml:space="preserve">{"abilityId":"","automationStatus":"NODE_ONLY_MANUAL","branchCode":"B_SENSES","choiceGroupId":"","idUnique":1,"level":5,"nameRu":"Наваждение","nodeKind":"STRUCTURAL_NODE_ONLY","nodeRef":"MON-037","parentMode":"ALL","parentNodeRef":["MON-035"],"ruleIds":["MON-037"],"selectionConstraint":"ALL(MON-035); BRANCH:B_SENSES; Узел сохраняется в дереве как manual-only; runtime-команды нет.","sourceQuestionIds":"Q-MON-016","speciesKey":"PUPPETEER"}</t>
  </si>
  <si>
    <t xml:space="preserve">ea26458ad87c6a815ce1aa1bae2881f77f88fd59022ec4475a3e161d4205a623</t>
  </si>
  <si>
    <t xml:space="preserve">{"abilityId":"MON-038","automationStatus":"AUTOMATED_ACCEPTED","branchCode":"C_CONTROL","choiceGroupId":"","idUnique":1,"level":5,"nameRu":"Марионетка","nodeKind":"AUTOMATED_ABILITY_NODE","nodeRef":"MON-038","parentMode":"ALL","parentNodeRef":["MON-036"],"ruleIds":["MON-038"],"selectionConstraint":"ALL(MON-036); BRANCH:C_CONTROL","sourceQuestionIds":"Q-MON-017; Q-PREDEV-006","speciesKey":"PUPPETEER"}</t>
  </si>
  <si>
    <t xml:space="preserve">7490ea846be0d46476ca4585ce77a1347e44ed821bc06614b8f5f3b98845c1ce</t>
  </si>
  <si>
    <t xml:space="preserve">{"abilityId":"MON-039","automationStatus":"AUTOMATED_ACCEPTED","branchCode":"","choiceGroupId":"","idUnique":1,"level":6,"nameRu":"Ментальная паутина","nodeKind":"AUTOMATED_ABILITY_NODE","nodeRef":"MON-039","parentMode":"ALL","parentNodeRef":["MON-026#PERMANENT_ILLUSION","MON-037","MON-038"],"ruleIds":["MON-039"],"selectionConstraint":"ALL(MON-026#PERMANENT_ILLUSION,MON-037,MON-038)","sourceQuestionIds":"Q-MON-018","speciesKey":"PUPPETEER"}</t>
  </si>
  <si>
    <t xml:space="preserve">2c61facdcc29ea8162f23c892277949ac28ccc1efc26784cddebb95f6f779ae9</t>
  </si>
  <si>
    <t xml:space="preserve">{"abilityId":"MON-042","automationStatus":"AUTOMATED_ACCEPTED","branchCode":"","choiceGroupId":"","idUnique":1,"level":1,"nameRu":"Чумная кровь, чумная плоть","nodeKind":"AUTOMATED_ABILITY_NODE","nodeRef":"MON-042","parentMode":"ALL","parentNodeRef":[],"ruleIds":["MON-042","MON-043","MON-044","MON-045","MON-046","MON-047"],"selectionConstraint":"ROOT","sourceQuestionIds":"Q-MON-019; Q-MON-020; Q-MON-021; Q-MON-022","speciesKey":"PLAGUE_DOCTOR"}</t>
  </si>
  <si>
    <t xml:space="preserve">ade626fe51f1dc93d211c3393fbab532ba197cba35f8184077ab8e3ce58204ef</t>
  </si>
  <si>
    <t xml:space="preserve">{"abilityId":"MON-048","automationStatus":"AUTOMATED_ACCEPTED","branchCode":"A_EPIDEMIC","choiceGroupId":"","idUnique":1,"level":2,"nameRu":"Кхе-кхе… Простыл я что-то","nodeKind":"AUTOMATED_ABILITY_NODE","nodeRef":"MON-048","parentMode":"ALL","parentNodeRef":["MON-042"],"ruleIds":["MON-048"],"selectionConstraint":"ALL(MON-042); BRANCH:A_EPIDEMIC","sourceQuestionIds":"Q-MON-019","speciesKey":"PLAGUE_DOCTOR"}</t>
  </si>
  <si>
    <t xml:space="preserve">7248c5ec8ef78ae192d6ded00328eb38bc97faeda11e22c1921cc6166086b328</t>
  </si>
  <si>
    <t xml:space="preserve">{"abilityId":"MON-049","automationStatus":"AUTOMATED_ACCEPTED","branchCode":"B_TREATMENT","choiceGroupId":"","idUnique":1,"level":2,"nameRu":"Вы больны, вам нужно отдохнуть","nodeKind":"AUTOMATED_ABILITY_NODE","nodeRef":"MON-049","parentMode":"ALL","parentNodeRef":["MON-042"],"ruleIds":["MON-049"],"selectionConstraint":"ALL(MON-042); BRANCH:B_TREATMENT","sourceQuestionIds":"","speciesKey":"PLAGUE_DOCTOR"}</t>
  </si>
  <si>
    <t xml:space="preserve">bb15abd47f4df766bd77ae6ec1a09feac90e4a6fab9ba9dfff28e3c20c2d3375</t>
  </si>
  <si>
    <t xml:space="preserve">{"abilityId":"MON-050","automationStatus":"AUTOMATED_ACCEPTED","branchCode":"C_ASSISTANTS","choiceGroupId":"","idUnique":1,"level":2,"nameRu":"Они вам помогут…","nodeKind":"AUTOMATED_ABILITY_NODE","nodeRef":"MON-050","parentMode":"ALL","parentNodeRef":["MON-042"],"ruleIds":["MON-050"],"selectionConstraint":"ALL(MON-042); BRANCH:C_ASSISTANTS","sourceQuestionIds":"Q-MON-023","speciesKey":"PLAGUE_DOCTOR"}</t>
  </si>
  <si>
    <t xml:space="preserve">2c2026c112039ecb019b736eee348edbbe5c92ab21f68c6b5ddbf391512be8d0</t>
  </si>
  <si>
    <t xml:space="preserve">{"abilityId":"MON-051","automationStatus":"AUTOMATED_ACCEPTED","branchCode":"A_EPIDEMIC","choiceGroupId":"","idUnique":1,"level":3,"nameRu":"Не обращайте внимания — я потягиваюсь","nodeKind":"AUTOMATED_ABILITY_NODE","nodeRef":"MON-051","parentMode":"ALL","parentNodeRef":["MON-048"],"ruleIds":["MON-051"],"selectionConstraint":"ALL(MON-048); BRANCH:A_EPIDEMIC","sourceQuestionIds":"Q-MON-024","speciesKey":"PLAGUE_DOCTOR"}</t>
  </si>
  <si>
    <t xml:space="preserve">92350f987a6dbc97537431d1de3b6c278524a33d94dfb27672d7ae0b12754132</t>
  </si>
  <si>
    <t xml:space="preserve">{"abilityId":"MON-052","automationStatus":"AUTOMATED_ACCEPTED","branchCode":"B_TREATMENT","choiceGroupId":"","idUnique":1,"level":3,"nameRu":"Какое здоровье, какая воля к жизни!","nodeKind":"AUTOMATED_ABILITY_NODE","nodeRef":"MON-052","parentMode":"ALL","parentNodeRef":["MON-049"],"ruleIds":["MON-052"],"selectionConstraint":"ALL(MON-049); BRANCH:B_TREATMENT","sourceQuestionIds":"","speciesKey":"PLAGUE_DOCTOR"}</t>
  </si>
  <si>
    <t xml:space="preserve">23c635a258cec26d1c23c993ca307d5c551389010dc1b5808b9d74dd529bd857</t>
  </si>
  <si>
    <t xml:space="preserve">{"abilityId":"MON-053","automationStatus":"AUTOMATED_ACCEPTED","branchCode":"C_ASSISTANTS","choiceGroupId":"","idUnique":1,"level":3,"nameRu":"Сражайся, больной!","nodeKind":"AUTOMATED_ABILITY_NODE","nodeRef":"MON-053","parentMode":"ALL","parentNodeRef":["MON-050"],"ruleIds":["MON-053"],"selectionConstraint":"ALL(MON-050); BRANCH:C_ASSISTANTS","sourceQuestionIds":"","speciesKey":"PLAGUE_DOCTOR"}</t>
  </si>
  <si>
    <t xml:space="preserve">e3cb0fcdcfd13b82e3ed0e53562e6efe4d7838e19eb8c754ec2837c9e81ef623</t>
  </si>
  <si>
    <t xml:space="preserve">{"abilityId":"MON-054","automationStatus":"AUTOMATED_ACCEPTED","branchCode":"A_EPIDEMIC","choiceGroupId":"","idUnique":1,"level":4,"nameRu":"Масштабная эпидемия","nodeKind":"AUTOMATED_ABILITY_NODE","nodeRef":"MON-054","parentMode":"ALL","parentNodeRef":["MON-051"],"ruleIds":["MON-054"],"selectionConstraint":"ALL(MON-051); BRANCH:A_EPIDEMIC","sourceQuestionIds":"","speciesKey":"PLAGUE_DOCTOR"}</t>
  </si>
  <si>
    <t xml:space="preserve">0bdf266471a1bc58bf9074c7dc59588b5ca5fd824fe1d360462bd769c3158d50</t>
  </si>
  <si>
    <t xml:space="preserve">{"abilityId":"MON-055","automationStatus":"AUTOMATED_ACCEPTED","branchCode":"B_TREATMENT","choiceGroupId":"","idUnique":1,"level":4,"nameRu":"Вакцинация","nodeKind":"AUTOMATED_ABILITY_NODE","nodeRef":"MON-055","parentMode":"ALL","parentNodeRef":["MON-052"],"ruleIds":["MON-055"],"selectionConstraint":"ALL(MON-052); BRANCH:B_TREATMENT","sourceQuestionIds":"Q-MON-025","speciesKey":"PLAGUE_DOCTOR"}</t>
  </si>
  <si>
    <t xml:space="preserve">f0d10083ee55885a9200519f6c8c13b6a01a6b5bce6aece5c6fa3606b1f31dbc</t>
  </si>
  <si>
    <t xml:space="preserve">{"abilityId":"","automationStatus":"NODE_ONLY_MANUAL","branchCode":"C_ASSISTANTS","choiceGroupId":"","idUnique":1,"level":4,"nameRu":"Мы — одна семья","nodeKind":"STRUCTURAL_NODE_ONLY","nodeRef":"MON-041#ONE_FAMILY","parentMode":"ALL","parentNodeRef":["MON-053"],"ruleIds":["MON-041"],"selectionConstraint":"ALL(MON-053); BRANCH:C_ASSISTANTS; Социальная механика исключена, но узел обязателен для слияния.","sourceQuestionIds":"","speciesKey":"PLAGUE_DOCTOR"}</t>
  </si>
  <si>
    <t xml:space="preserve">14b9e906aa442a5806dea1182f4d5bad0f709dd56c867b10e3870d216dcac4c9</t>
  </si>
  <si>
    <t xml:space="preserve">{"abilityId":"MON-056","automationStatus":"AUTOMATED_ACCEPTED","branchCode":"","choiceGroupId":"","idUnique":1,"level":5,"nameRu":"Самое надёжное лекарство","nodeKind":"AUTOMATED_ABILITY_NODE","nodeRef":"MON-056","parentMode":"ALL","parentNodeRef":["MON-054","MON-055","MON-041#ONE_FAMILY"],"ruleIds":["MON-056","MON-057"],"selectionConstraint":"ALL(MON-054,MON-055,MON-041#ONE_FAMILY)","sourceQuestionIds":"","speciesKey":"PLAGUE_DOCTOR"}</t>
  </si>
  <si>
    <t xml:space="preserve">1b1a4fab84325ac37d5da517de2fb8a2458d488ec05feca0c62b365bafdfb56d</t>
  </si>
  <si>
    <t xml:space="preserve">{"abilityId":"","automationStatus":"NODE_ONLY_MANUAL","branchCode":"P_PLAGUE","choiceGroupId":"PLAGUE_DOCTOR_L6_XOR","idUnique":1,"level":6,"nameRu":"Поветрие","nodeKind":"STRUCTURAL_NODE_ONLY","nodeRef":"MON-058","parentMode":"ALL","parentNodeRef":["MON-056"],"ruleIds":["MON-058","MON-059","MON-060"],"selectionConstraint":"ALL(MON-056); XOR:PLAGUE_DOCTOR_L6_XOR; BRANCH:P_PLAGUE; Ветка хранится в дереве, но Windows-автоматизация исключена.","sourceQuestionIds":"Q-MON-026; Q-MON-027; Q-MON-028; Q-MON-029","speciesKey":"PLAGUE_DOCTOR"}</t>
  </si>
  <si>
    <t xml:space="preserve">bb2081c627daf145f79f619b08fa0c781038b234974c44c874337bab1f5b6ab4</t>
  </si>
  <si>
    <t xml:space="preserve">{"abilityId":"MON-061","automationStatus":"AUTOMATED_ACCEPTED","branchCode":"M_DEAD_HERALD","choiceGroupId":"PLAGUE_DOCTOR_L6_XOR","idUnique":1,"level":6,"nameRu":"Мёртвый вестник","nodeKind":"AUTOMATED_ABILITY_NODE","nodeRef":"MON-061","parentMode":"ALL","parentNodeRef":["MON-056"],"ruleIds":["MON-061","MON-062","MON-063"],"selectionConstraint":"ALL(MON-056); XOR:PLAGUE_DOCTOR_L6_XOR; BRANCH:M_DEAD_HERALD","sourceQuestionIds":"","speciesKey":"PLAGUE_DOCTOR"}</t>
  </si>
  <si>
    <t xml:space="preserve">eb5b1a8dfb791315288af50606bab7784e5f328190a6dfedfa68d33d1ad65784</t>
  </si>
  <si>
    <t xml:space="preserve">{"abilityId":"","automationStatus":"NODE_ONLY_MANUAL","branchCode":"P_PLAGUE","choiceGroupId":"","idUnique":1,"level":7,"nameRu":"Чумные пророки","nodeKind":"STRUCTURAL_NODE_ONLY","nodeRef":"MON-064","parentMode":"ALL","parentNodeRef":["MON-058"],"ruleIds":["MON-064","MON-065"],"selectionConstraint":"ALL(MON-058); BRANCH:P_PLAGUE; Ветка хранится в дереве, но Windows-автоматизация исключена.","sourceQuestionIds":"Q-MON-031","speciesKey":"PLAGUE_DOCTOR"}</t>
  </si>
  <si>
    <t xml:space="preserve">421f0e3b95cbd75d2e42406bd902292f28521deff78c16e6a5741f863c1381f7</t>
  </si>
  <si>
    <t xml:space="preserve">{"abilityId":"MON-066","automationStatus":"AUTOMATED_ACCEPTED","branchCode":"M_DEAD_HERALD","choiceGroupId":"","idUnique":1,"level":7,"nameRu":"Распределение сил","nodeKind":"AUTOMATED_ABILITY_NODE","nodeRef":"MON-066","parentMode":"ALL","parentNodeRef":["MON-061"],"ruleIds":["MON-066","MON-067"],"selectionConstraint":"ALL(MON-061); BRANCH:M_DEAD_HERALD","sourceQuestionIds":"Q-MON-032","speciesKey":"PLAGUE_DOCTOR"}</t>
  </si>
  <si>
    <t xml:space="preserve">5c907e9815e35155eb32eebe6d7b3dbae2f913fc380ab00985cd129fc58da855</t>
  </si>
  <si>
    <t xml:space="preserve">{"abilityId":"","automationStatus":"NODE_ONLY_MANUAL","branchCode":"P_PLAGUE","choiceGroupId":"","idUnique":1,"level":8,"nameRu":"Чумные зомби","nodeKind":"STRUCTURAL_NODE_ONLY","nodeRef":"MON-068","parentMode":"ALL","parentNodeRef":["MON-064"],"ruleIds":["MON-068","MON-069","MON-070"],"selectionConstraint":"ALL(MON-064); BRANCH:P_PLAGUE; Ветка хранится в дереве, но Windows-автоматизация исключена.","sourceQuestionIds":"Q-MON-033; Q-MON-034","speciesKey":"PLAGUE_DOCTOR"}</t>
  </si>
  <si>
    <t xml:space="preserve">ceb60a4e3e21ad7b0ebc5b527ce188af5881c86cff9db78714e13298ac9b903a</t>
  </si>
  <si>
    <t xml:space="preserve">{"abilityId":"MON-073","automationStatus":"AUTOMATED_ACCEPTED","branchCode":"M_L8_OR","choiceGroupId":"","idUnique":1,"level":8,"nameRu":"Одержимый познанием","nodeKind":"AUTOMATED_ABILITY_NODE","nodeRef":"MON-073","parentMode":"ALL","parentNodeRef":["MON-066"],"ruleIds":["MON-073"],"selectionConstraint":"ALL(MON-066); BRANCH:M_L8_OR","sourceQuestionIds":"","speciesKey":"PLAGUE_DOCTOR"}</t>
  </si>
  <si>
    <t xml:space="preserve">1dc3702771d07cf4d2b51c3ef44416c572db7bedf32edf57c6127097a296a2b5</t>
  </si>
  <si>
    <t xml:space="preserve">{"abilityId":"MON-071","automationStatus":"AUTOMATED_ACCEPTED","branchCode":"M_L8_OR","choiceGroupId":"","idUnique":1,"level":8,"nameRu":"Выжгу до тла","nodeKind":"AUTOMATED_ABILITY_NODE","nodeRef":"MON-071","parentMode":"ALL","parentNodeRef":["MON-066"],"ruleIds":["MON-071","MON-072"],"selectionConstraint":"ALL(MON-066); BRANCH:M_L8_OR","sourceQuestionIds":"Q-MON-035; Q-MON-036","speciesKey":"PLAGUE_DOCTOR"}</t>
  </si>
  <si>
    <t xml:space="preserve">7a26982a012a2282133e9194e3d16212299d511099810ce5bb035fa0f79fa390</t>
  </si>
  <si>
    <t xml:space="preserve">ABILITY</t>
  </si>
  <si>
    <t xml:space="preserve">{"abilityId":"SYM-027","abilityKind":"PLAYER_COMMAND","automationStatus":"AUTOMATED_ACCEPTED","combatAllowed":true,"combatBehavior":"Разрешается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ходы.\n\n[SYM-027] Регенерация\nR=1: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C.","idUnique":1,"nameRu":"Регенерация","nodeRef":"SYM-027","peaceAllowed":true,"peaceBehavior":"Мирная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части.\n\n[SYM-027] Регенерация\nR=1: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C.","playerCommandCombat":true,"playerCommandPeace":true,"priority":10,"sourceQuestionIds":"","sourceRuleIds":["SYM-027"],"speciesKey":"WEAVER","status":"ACTIVE"}</t>
  </si>
  <si>
    <t xml:space="preserve">0188e949177167b61b302d0bd2cdf94f80d5084e5c32afec794f40348ab98756</t>
  </si>
  <si>
    <t xml:space="preserve">{"abilityId":"SYM-028","abilityKind":"HYBRID_COMMAND_AND_TRIGGER","automationStatus":"AUTOMATED_ACCEPTED","combatAllowed":true,"combatBehavior":"Разрешается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ходы.\n\n[SYM-028] Замена органа\nНормативная база (действует во всей непротиворечащей части):\nR=1: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смерть.\n[Q-SYM-008]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погибнуть.","idUnique":1,"nameRu":"Замена органа","nodeRef":"SYM-028","peaceAllowed":true,"peaceBehavior":"Мирная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части.\n\n[SYM-028] Замена органа\nНормативная база (действует во всей непротиворечащей части):\nR=1: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смерть.\n[Q-SYM-008]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погибнуть.","playerCommandCombat":true,"playerCommandPeace":true,"priority":10,"sourceQuestionIds":"Q-SYM-005; Q-SYM-007; Q-SYM-008","sourceRuleIds":["SYM-028"],"speciesKey":"WEAVER","status":"ACTIVE"}</t>
  </si>
  <si>
    <t xml:space="preserve">47865fd3f12a5d5d7c6266b2209848249434c85642a5d7c634738ae5e33100c6</t>
  </si>
  <si>
    <t xml:space="preserve">{"abilityId":"SYM-029","abilityKind":"PLAYER_COMMAND","automationStatus":"AUTOMATED_ACCEPTED","combatAllowed":true,"combatBehavior":"Разрешается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ходы.\n\n[SYM-029] Внешняя регенерация\nR=1: цель теряет 10 HP. R=2–4: нет эффекта. R=5–19: цель восстанавливает 2R HP. R=20: цель восстанавливает 50 HP, все травмы и косметические дефекты, снижающие C.","idUnique":1,"nameRu":"Внешняя регенерация","nodeRef":"SYM-029","peaceAllowed":true,"peaceBehavior":"Мирная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части.\n\n[SYM-029] Внешняя регенерация\nR=1: цель теряет 10 HP. R=2–4: нет эффекта. R=5–19: цель восстанавливает 2R HP. R=20: цель восстанавливает 50 HP, все травмы и косметические дефекты, снижающие C.","playerCommandCombat":true,"playerCommandPeace":true,"priority":10,"sourceQuestionIds":"","sourceRuleIds":["SYM-029"],"speciesKey":"WEAVER","status":"ACTIVE"}</t>
  </si>
  <si>
    <t xml:space="preserve">06ee020f63042b1ca5c9d8361690fc58da05d7ec886f7a0cdeca80de825e74b0</t>
  </si>
  <si>
    <t xml:space="preserve">{"abilityId":"SYM-030","abilityKind":"PLAYER_COMMAND","automationStatus":"AUTOMATED_ACCEPTED","combatAllowed":true,"combatBehavior":"Разрешается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ходы.\n\n[SYM-030] Дублирование органов\nНормативная база (действует во всей непротиворечащей части):\nR≥2: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органов».","idUnique":1,"nameRu":"Дублирование органов","nodeRef":"SYM-030","peaceAllowed":false,"peaceBehavior":"Игрок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боя.","playerCommandCombat":true,"playerCommandPeace":false,"priority":10,"sourceQuestionIds":"Q-SYM-005; Q-SYM-009","sourceRuleIds":["SYM-030"],"speciesKey":"WEAVER","status":"ACTIVE"}</t>
  </si>
  <si>
    <t xml:space="preserve">b1294e18c451e3aaf8c85190415cc760ad8cef21f5c42ef801fe51df6ceadff7</t>
  </si>
  <si>
    <t xml:space="preserve">{"abilityId":"SYM-032","abilityKind":"PLAYER_COMMAND","automationStatus":"AUTOMATED_ACCEPTED","combatAllowed":true,"combatBehavior":"Разрешается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ходы.\n\n[SYM-032] Анаболический форсаж\nНормативная база (действует во всей непротиворечащей части):\nA≥2: S += A/2, D += A/2 на T/4 ходов. A=1: вместо этого S +=20, D +=20 на 5 ходов и каждый ход носитель атакует случайную цель в поле зрения.\nПриоритетные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CQA-007.\nВ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возвращаются.","idUnique":1,"nameRu":"Анаболический форсаж","nodeRef":"SYM-032","peaceAllowed":true,"peaceBehavior":"Мирная атомарная операция по Q-APP-001/002; цена, бросок и положительный эффект — по SYM-032. Натуральная 1 вне боя не исполняется (Q-APP-004).\n\n[SYM-032] Анаболический форсаж\nНормативная база (действует во всей непротиворечащей части):\nA≥2: S += A/2, D += A/2 на T/4 ходов. A=1: вместо этого S +=20, D +=20 на 5 ходов и каждый ход носитель атакует случайную цель в поле зрения.\nПриоритетные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CQA-007.\nВ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возвращаются.","playerCommandCombat":true,"playerCommandPeace":true,"priority":60,"sourceQuestionIds":"Q-SYM-005; Q-SYM-011","sourceRuleIds":["SYM-032"],"speciesKey":"WEAVER","status":"ACTIVE"}</t>
  </si>
  <si>
    <t xml:space="preserve">992b70367bf8271b183824ad4b1ce046a1ce9b5aa8f36566987cc459acffcb16</t>
  </si>
  <si>
    <t xml:space="preserve">{"abilityId":"SYM-034","abilityKind":"PLAYER_COMMAND","automationStatus":"AUTOMATED_ACCEPTED","combatAllowed":true,"combatBehavior":"Разрешается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ходы.\n\n[SYM-034] Абсолютная регенерация\nНормативная база (действует во всей непротиворечащей части):\nR=2–3: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способности.\n[Q-SYM-014]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дерева.","idUnique":1,"nameRu":"Абсолютная регенерация","nodeRef":"SYM-034","peaceAllowed":false,"peaceBehavior":"Игрок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боя.","playerCommandCombat":true,"playerCommandPeace":false,"priority":10,"sourceQuestionIds":"Q-SYM-005; Q-SYM-013; Q-SYM-014","sourceRuleIds":["SYM-034"],"speciesKey":"WEAVER","status":"ACTIVE"}</t>
  </si>
  <si>
    <t xml:space="preserve">e057e4ac25ce83994f48a7a7dab5ca46d6271869815c2d5a1eabc64772bb25e7</t>
  </si>
  <si>
    <t xml:space="preserve">{"abilityId":"SYM-031","abilityKind":"PLAYER_COMMAND","automationStatus":"AUTOMATED_ACCEPTED","combatAllowed":true,"combatBehavior":"Разрешается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ходы.\n\n[SYM-031] Выстрел регенерона\nНормативная база (действует во всей непротиворечащей части):\nR=2–4: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сохраняются.","idUnique":1,"nameRu":"Выстрел регенерона","nodeRef":"SYM-031","peaceAllowed":false,"peaceBehavior":"Игрок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боя.","playerCommandCombat":true,"playerCommandPeace":false,"priority":10,"sourceQuestionIds":"Q-SYM-010","sourceRuleIds":["SYM-031"],"speciesKey":"WEAVER","status":"ACTIVE"}</t>
  </si>
  <si>
    <t xml:space="preserve">0ec939a1b4388e2cd9230916818e036bc3d3b0ea4c38e8aa96414e2f1235e742</t>
  </si>
  <si>
    <t xml:space="preserve">{"abilityId":"SYM-033","abilityKind":"PLAYER_COMMAND","automationStatus":"AUTOMATED_ACCEPTED","combatAllowed":true,"combatBehavior":"Разрешается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ходы.\n\n[SYM-033] Адреналиновая реанимация\nНормативная база (действует во всей непротиворечащей части):\nR=2–4: активация неуспешна. R≥5: выполнить попадание и пробитие; если шип достиг плоти, вывести цель из тяжёлого ранения, установить HP=1. R=1: «добить цель».\nПриоритетные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происходит.","idUnique":1,"nameRu":"Адреналиновая реанимация","nodeRef":"SYM-033","peaceAllowed":true,"peaceBehavior":"Мирная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части.\n\n[SYM-033] Адреналиновая реанимация\nНормативная база (действует во всей непротиворечащей части):\nR=2–4: активация неуспешна. R≥5: выполнить попадание и пробитие; если шип достиг плоти, вывести цель из тяжёлого ранения, установить HP=1. R=1: «добить цель».\nПриоритетные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происходит.","playerCommandCombat":true,"playerCommandPeace":true,"priority":10,"sourceQuestionIds":"Q-SYM-010; Q-SYM-012","sourceRuleIds":["SYM-033"],"speciesKey":"WEAVER","status":"ACTIVE"}</t>
  </si>
  <si>
    <t xml:space="preserve">a9b01d1c6ebfab003bf8ba93f8e24a66afc03510e36a78a29d3ea36ffaf63c05</t>
  </si>
  <si>
    <t xml:space="preserve">{"abilityId":"SYM-035","abilityKind":"PLAYER_COMMAND","automationStatus":"AUTOMATED_ACCEPTED","combatAllowed":true,"combatBehavior":"Разрешается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ходы.\n\n[SYM-035] Абсолютная реанимация\nНормативная база (действует во всей непротиворечащей части):\nесли R=1, цель любой степени повреждения воскресает с I=1 независимо от формулы. Иначе воскрешение успешно только если R − 4T &gt; 0.\nПриоритетные авторские дельты (заменяют только прямо пересекающиеся ветви):\n[Q-SYM-015]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Q-CORE-063.","idUnique":1,"nameRu":"Абсолютная реанимация","nodeRef":"SYM-035","peaceAllowed":true,"peaceBehavior":"Мирная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части.\n\n[SYM-035] Абсолютная реанимация\nНормативная база (действует во всей непротиворечащей части):\nесли R=1, цель любой степени повреждения воскресает с I=1 независимо от формулы. Иначе воскрешение успешно только если R − 4T &gt; 0.\nПриоритетные авторские дельты (заменяют только прямо пересекающиеся ветви):\n[Q-SYM-015]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Q-CORE-063.","playerCommandCombat":true,"playerCommandPeace":true,"priority":10,"sourceQuestionIds":"Q-SYM-015","sourceRuleIds":["SYM-035"],"speciesKey":"WEAVER","status":"ACTIVE"}</t>
  </si>
  <si>
    <t xml:space="preserve">79d95e3a909aed9ca5c4fbde00ddc2de15d1f31f57f8e414c4425501a8b2e3f3</t>
  </si>
  <si>
    <t xml:space="preserve">{"abilityId":"SYM-036","abilityKind":"PLAYER_COMMAND","automationStatus":"AUTOMATED_ACCEPTED","combatAllowed":true,"combatBehavior":"Разрешается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ходы.\n\n[SYM-036] Облако регенерона\nсоздать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правилу.","idUnique":1,"nameRu":"Облако регенерона","nodeRef":"SYM-036","peaceAllowed":false,"peaceBehavior":"Игрок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боя.","playerCommandCombat":true,"playerCommandPeace":false,"priority":10,"sourceQuestionIds":"","sourceRuleIds":["SYM-036"],"speciesKey":"WEAVER","status":"ACTIVE"}</t>
  </si>
  <si>
    <t xml:space="preserve">c612864085afca21c137b06b7a656f114f33d851341eafc62433b60e9e0f65d1</t>
  </si>
  <si>
    <t xml:space="preserve">{"abilityId":"SYM-039","abilityKind":"PLAYER_COMMAND","automationStatus":"AUTOMATED_ACCEPTED","combatAllowed":true,"combatBehavior":"Разрешается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ходы.\n\n[SYM-039] Смертельный яд\nНормативная база (действует во всей непротиворечащей части):\nноситель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яда.","idUnique":1,"nameRu":"Смертельный яд","nodeRef":"SYM-039","peaceAllowed":true,"peaceBehavior":"Вне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узла.\n\n[SYM-039] Смертельный яд\nНормативная база (действует во всей непротиворечащей части):\nноситель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яда.","playerCommandCombat":true,"playerCommandPeace":true,"priority":10,"sourceQuestionIds":"Q-SYM-005; Q-SYM-017; Q-SYM-076; Q-APP-002","sourceRuleIds":["SYM-039"],"speciesKey":"TAIPAN","status":"ACTIVE"}</t>
  </si>
  <si>
    <t xml:space="preserve">1a040ab39ee4d7e8bd5be55120657a350e91621edd9540e14fa634d3fe69686f</t>
  </si>
  <si>
    <t xml:space="preserve">{"abilityId":"SYM-040","abilityKind":"PLAYER_COMMAND","automationStatus":"AUTOMATED_ACCEPTED","combatAllowed":true,"combatBehavior":"Разрешается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ходы.\n\n[SYM-040] Проницаемая кожа\nНормативная база (действует во всей непротиворечащей части):\nR≥4: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боя.\nПриоритетные авторские дельты (заменяют только прямо пересекающиеся ветви):\n[Q-SYM-018]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яд.","idUnique":1,"nameRu":"Проницаемая кожа","nodeRef":"SYM-040","peaceAllowed":true,"peaceBehavior":"Мирная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части.\n\n[SYM-040] Проницаемая кожа\nНормативная база (действует во всей непротиворечащей части):\nR≥4: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боя.\nПриоритетные авторские дельты (заменяют только прямо пересекающиеся ветви):\n[Q-SYM-018]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яд.","playerCommandCombat":true,"playerCommandPeace":true,"priority":10,"sourceQuestionIds":"Q-SYM-018","sourceRuleIds":["SYM-040"],"speciesKey":"TAIPAN","status":"ACTIVE"}</t>
  </si>
  <si>
    <t xml:space="preserve">59913d13d8813032499a26d96eebdbd6bc7af5613a5b39df4b264c5112650958</t>
  </si>
  <si>
    <t xml:space="preserve">{"abilityId":"SYM-041","abilityKind":"PLAYER_COMMAND","automationStatus":"AUTOMATED_ACCEPTED","combatAllowed":true,"combatBehavior":"Разрешается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ходы.\n\n[SYM-041] Плевок ядом\nНормативная база (действует во всей непротиворечащей части):\nR20≥4: выполнить дальнюю атаку; пробитие=R12; если сгусток достиг кожи, наложить текущий яд. R20=2–3: нет эффекта. R20=1: носитель теряет 10 HP.\nПриоритетные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замены.","idUnique":1,"nameRu":"Плевок ядом","nodeRef":"SYM-041","peaceAllowed":false,"peaceBehavior":"Игрок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боя.","playerCommandCombat":true,"playerCommandPeace":false,"priority":10,"sourceQuestionIds":"Q-SYM-010; Q-SYM-075","sourceRuleIds":["SYM-041"],"speciesKey":"TAIPAN","status":"ACTIVE"}</t>
  </si>
  <si>
    <t xml:space="preserve">a8a2df7ff5b599e1cc8177894b26606a597978778940c28e0def2e9ae436cee1</t>
  </si>
  <si>
    <t xml:space="preserve">{"abilityId":"SYM-042","abilityKind":"PLAYER_COMMAND","automationStatus":"AUTOMATED_ACCEPTED","combatAllowed":true,"combatBehavior":"Разрешается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ходы.\n\n[SYM-042] Ослабляющий яд\nНормативная база (действует во всей непротиворечащей части):\nноситель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заново.\n[Q-SYM-019] Сила снижения K рассчитывается как max(0, R20 + L − Z). При K=0 яд считается попавшим, но характеристики цели не изменяются.\n\n[SYM-181]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яда.","idUnique":1,"nameRu":"Ослабляющий яд","nodeRef":"SYM-042","peaceAllowed":true,"peaceBehavior":"Вне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узла.\n\n[SYM-042] Ослабляющий яд\nНормативная база (действует во всей непротиворечащей части):\nноситель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заново.\n[Q-SYM-019] Сила снижения K рассчитывается как max(0, R20 + L − Z). При K=0 яд считается попавшим, но характеристики цели не изменяются.\n\n[SYM-181]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яда.","playerCommandCombat":true,"playerCommandPeace":true,"priority":10,"sourceQuestionIds":"Q-SYM-005; Q-SYM-017; Q-SYM-019; Q-SYM-076; Q-APP-002","sourceRuleIds":["SYM-042"],"speciesKey":"TAIPAN","status":"ACTIVE"}</t>
  </si>
  <si>
    <t xml:space="preserve">3d0e6ad008b4721f22182ab9ccbc636af3e6150199b3c33359010b2ae78c805e</t>
  </si>
  <si>
    <t xml:space="preserve">{"abilityId":"SYM-043","abilityKind":"PLAYER_COMMAND","automationStatus":"AUTOMATED_ACCEPTED","combatAllowed":true,"combatBehavior":"Разрешается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ходы.\n\n[SYM-043] Ядовитый шип\nНормативная база (действует во всей непротиворечащей части):\nR≥4: дальняя атака, пробитие=R+L, урон=R+L одной проверкой; если нанесён урон, наложить текущий яд. R=2–3: нет эффекта. R=1: Тайпан отключён на 1 час/6 ходов.\nПриоритетные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сохраняются.","idUnique":1,"nameRu":"Ядовитый шип","nodeRef":"SYM-043","peaceAllowed":false,"peaceBehavior":"Игрок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боя.","playerCommandCombat":true,"playerCommandPeace":false,"priority":10,"sourceQuestionIds":"Q-SYM-010","sourceRuleIds":["SYM-043"],"speciesKey":"TAIPAN","status":"ACTIVE"}</t>
  </si>
  <si>
    <t xml:space="preserve">81c9acf07cde606489749cbaa100c621c47acaabaaf3c30eefe6fae5959c9e76</t>
  </si>
  <si>
    <t xml:space="preserve">{"abilityId":"SYM-044","abilityKind":"PLAYER_COMMAND","automationStatus":"AUTOMATED_ACCEPTED","combatAllowed":true,"combatBehavior":"Разрешается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ходы.\n\n[SYM-044] Кумулятивный шип\nНормативная база (действует во всей непротиворечащей части):\nA≥4: пробитие=(A+L)×2, урон=D+L; при нанесении урона наложить текущий яд. A=2–3: нет эффекта. A=1: носитель получает 20 урона и оглушение на 40 минут/3 хода.\nПриоритетные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сохраняются.","idUnique":1,"nameRu":"Кумулятивный шип","nodeRef":"SYM-044","peaceAllowed":false,"peaceBehavior":"Игрок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боя.","playerCommandCombat":true,"playerCommandPeace":false,"priority":10,"sourceQuestionIds":"Q-SYM-010","sourceRuleIds":["SYM-044"],"speciesKey":"TAIPAN","status":"ACTIVE"}</t>
  </si>
  <si>
    <t xml:space="preserve">b07965843f8a1a1728e982502eb813866d504cfd186bde13a2cee44c13738411</t>
  </si>
  <si>
    <t xml:space="preserve">{"abilityId":"SYM-045","abilityKind":"PLAYER_COMMAND","automationStatus":"AUTOMATED_ACCEPTED","combatAllowed":true,"combatBehavior":"Разрешается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ходы.\n\n[SYM-045] Парализующий яд\nНормативная база (действует во всей непротиворечащей части):\nноситель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яда.","idUnique":1,"nameRu":"Парализующий яд","nodeRef":"SYM-045","peaceAllowed":true,"peaceBehavior":"Вне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узла.\n\n[SYM-045] Парализующий яд\nНормативная база (действует во всей непротиворечащей части):\nноситель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яда.","playerCommandCombat":true,"playerCommandPeace":true,"priority":10,"sourceQuestionIds":"Q-SYM-005; Q-SYM-017; Q-SYM-020; Q-SYM-076; Q-APP-002","sourceRuleIds":["SYM-045"],"speciesKey":"TAIPAN","status":"ACTIVE"}</t>
  </si>
  <si>
    <t xml:space="preserve">6d32d0198734d878a8322f3ae2dd98675427a846faf401ca6dc4e0c7adeee46b</t>
  </si>
  <si>
    <t xml:space="preserve">{"abilityId":"SYM-047","abilityKind":"PASSIVE_OR_AUTOMATIC","automationStatus":"AUTOMATED_ACCEPTED","combatAllowed":true,"combatBehavior":"Разрешается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ходы.\n\n[SYM-047] Безупречное зрение и подавление Двойного фокуса\nНормативная база (действует во всей непротиворечащей части):\nдобавить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подавляется.","idUnique":1,"nameRu":"Безупречное зрение","nodeRef":"SYM-047","peaceAllowed":true,"peaceBehavior":"Мирная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части.\n\n[SYM-047] Безупречное зрение и подавление Двойного фокуса\nНормативная база (действует во всей непротиворечащей части):\nдобавить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подавляется.","playerCommandCombat":false,"playerCommandPeace":false,"priority":10,"sourceQuestionIds":"Q-SYM-021","sourceRuleIds":["SYM-047"],"speciesKey":"OWL","status":"ACTIVE"}</t>
  </si>
  <si>
    <t xml:space="preserve">2723eec87d946f2ed8d5eeb5ddbe9282543822f2f70685c8033bae0b5fd98203</t>
  </si>
  <si>
    <t xml:space="preserve">{"abilityId":"SYM-048","abilityKind":"PASSIVE_OR_AUTOMATIC","automationStatus":"AUTOMATED_ACCEPTED","combatAllowed":true,"combatBehavior":"Разрешается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ходы.\n\n[SYM-048] Абсолютное ночное зрение\nудалить штраф к осмотру, вызванный временем суток или тёмным помещением.","idUnique":1,"nameRu":"Абсолютное ночное зрение","nodeRef":"SYM-048","peaceAllowed":true,"peaceBehavior":"Мирная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части.\n\n[SYM-048] Абсолютное ночное зрение\nудалить штраф к осмотру, вызванный временем суток или тёмным помещением.","playerCommandCombat":false,"playerCommandPeace":false,"priority":10,"sourceQuestionIds":"","sourceRuleIds":["SYM-048"],"speciesKey":"OWL","status":"ACTIVE"}</t>
  </si>
  <si>
    <t xml:space="preserve">1b53d72f6e181d1a52505c5d38940609b8afe379e18483040c90092c269adf45</t>
  </si>
  <si>
    <t xml:space="preserve">{"abilityId":"SYM-049","abilityKind":"PASSIVE_OR_AUTOMATIC","automationStatus":"AUTOMATED_ACCEPTED","combatAllowed":true,"combatBehavior":"Разрешается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ходы.\n\n[SYM-049] Абсолютное обоняние\nдобавить +15.","idUnique":1,"nameRu":"Абсолютное обоняние","nodeRef":"SYM-049","peaceAllowed":false,"peaceBehavior":"Игрок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боя.","playerCommandCombat":false,"playerCommandPeace":false,"priority":10,"sourceQuestionIds":"","sourceRuleIds":["SYM-049"],"speciesKey":"OWL","status":"ACTIVE"}</t>
  </si>
  <si>
    <t xml:space="preserve">53e245c41d32b9eb168bbf602e09d6e646102fe0c215d8b3fc3fdf526b1c136e</t>
  </si>
  <si>
    <t xml:space="preserve">{"abilityId":"SYM-050","abilityKind":"PASSIVE_OR_AUTOMATIC","automationStatus":"AUTOMATED_ACCEPTED","combatAllowed":true,"combatBehavior":"Разрешается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ходы.\n\n[SYM-050] Абсолютный слух\nдобавить +15 к слуху.","idUnique":1,"nameRu":"Абсолютный слух","nodeRef":"SYM-050","peaceAllowed":false,"peaceBehavior":"Игрок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боя.","playerCommandCombat":false,"playerCommandPeace":false,"priority":10,"sourceQuestionIds":"","sourceRuleIds":["SYM-050"],"speciesKey":"OWL","status":"ACTIVE"}</t>
  </si>
  <si>
    <t xml:space="preserve">728f30a49134ab19f09cc64e755ac2ccad465bef32896894f2ea6a6a4b66311b</t>
  </si>
  <si>
    <t xml:space="preserve">{"abilityId":"SYM-051","abilityKind":"PLAYER_COMMAND","automationStatus":"AUTOMATED_ACCEPTED","combatAllowed":true,"combatBehavior":"Разрешается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ходы.\n\n[SYM-051] Звуковая картина\nНормативная база (действует во всей непротиворечащей части):\nпассивно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отдельно.","idUnique":1,"nameRu":"Звуковая картина","nodeRef":"SYM-051","peaceAllowed":true,"peaceBehavior":"Мирная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части.\n\n[SYM-051] Звуковая картина\nНормативная база (действует во всей непротиворечащей части):\nпассивно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отдельно.","playerCommandCombat":true,"playerCommandPeace":true,"priority":10,"sourceQuestionIds":"Q-SYM-022","sourceRuleIds":["SYM-051"],"speciesKey":"OWL","status":"ACTIVE"}</t>
  </si>
  <si>
    <t xml:space="preserve">3707250eb0c483759d0e34032651b99ebcaf79f906bb609a4f5d9002e91b7291</t>
  </si>
  <si>
    <t xml:space="preserve">{"abilityId":"SYM-052","abilityKind":"PASSIVE_OR_AUTOMATIC","automationStatus":"AUTOMATED_ACCEPTED","combatAllowed":true,"combatBehavior":"Разрешается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ходы.\n\n[SYM-052] Восприятие хищника\nисключить из расчёта все модификаторы маскировки обнаруживаемой цели; саму проверку обнаружения сохранить.","idUnique":1,"nameRu":"Восприятие хищника","nodeRef":"SYM-052","peaceAllowed":true,"peaceBehavior":"Мирная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части.\n\n[SYM-052] Восприятие хищника\nисключить из расчёта все модификаторы маскировки обнаруживаемой цели; саму проверку обнаружения сохранить.","playerCommandCombat":false,"playerCommandPeace":false,"priority":10,"sourceQuestionIds":"","sourceRuleIds":["SYM-052"],"speciesKey":"OWL","status":"ACTIVE"}</t>
  </si>
  <si>
    <t xml:space="preserve">a0a38b34f34d304ba91dd7a4cebcc983fc8b82aecd7457e378c5ea61702288a9</t>
  </si>
  <si>
    <t xml:space="preserve">{"abilityId":"SYM-054","abilityKind":"PASSIVE_OR_AUTOMATIC","automationStatus":"AUTOMATED_ACCEPTED","combatAllowed":true,"combatBehavior":"Разрешается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ходы.\n\n[SYM-054] Развивайся, ученик\nW_bonus=max(0,min(4L,20−W_base)); W=W_base+W_bonus. Если Учитель — единственный симбионт, I_bonus=max(0,min(4L,20−I_base)), I=I_base+I_bonus.","idUnique":1,"nameRu":"Развивайся, ученик","nodeRef":"SYM-054","peaceAllowed":true,"peaceBehavior":"Мирная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части.\n\n[SYM-054] Развивайся, ученик\nW_bonus=max(0,min(4L,20−W_base)); W=W_base+W_bonus. Если Учитель — единственный симбионт, I_bonus=max(0,min(4L,20−I_base)), I=I_base+I_bonus.","playerCommandCombat":false,"playerCommandPeace":false,"priority":10,"sourceQuestionIds":"","sourceRuleIds":["SYM-054"],"speciesKey":"TEACHER","status":"ACTIVE"}</t>
  </si>
  <si>
    <t xml:space="preserve">c5bb99d6b9ef1dc0a90d235971ea7712dd5b88cc41f9c8402d4089114d587417</t>
  </si>
  <si>
    <t xml:space="preserve">{"abilityId":"SYM-055","abilityKind":"PASSIVE_OR_AUTOMATIC","automationStatus":"AUTOMATED_ACCEPTED","combatAllowed":false,"combatBehavior":"Игрок не может воспользоваться способностью в боевой ситуации; контекст запрещён.","idUnique":1,"nameRu":"Век живи — век учись","nodeRef":"SYM-055","peaceAllowed":true,"peaceBehavior":"Мирная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части.\n\n[SYM-055] Век живи — век учись\nПриложение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создаётся.","playerCommandCombat":false,"playerCommandPeace":false,"priority":10,"sourceQuestionIds":"Q-SYM-085","sourceRuleIds":["SYM-055"],"speciesKey":"TEACHER","status":"ACTIVE"}</t>
  </si>
  <si>
    <t xml:space="preserve">df57bf440eaef81a833c27be46683cc4e1ce8c5b117722095e321fe601a676bc</t>
  </si>
  <si>
    <t xml:space="preserve">{"abilityId":"SYM-056","abilityKind":"PLAYER_COMMAND","automationStatus":"AUTOMATED_ACCEPTED","combatAllowed":true,"combatBehavior":"Разрешается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ходы.\n\n[SYM-056] Практикуйтесь, ученики\nкаждому прочему симбионту установить currentOE=maxOE.","idUnique":1,"nameRu":"Практикуйтесь, ученики","nodeRef":"SYM-056","peaceAllowed":true,"peaceBehavior":"Мирная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части.\n\n[SYM-056] Практикуйтесь, ученики\nкаждому прочему симбионту установить currentOE=maxOE.","playerCommandCombat":true,"playerCommandPeace":true,"priority":10,"sourceQuestionIds":"","sourceRuleIds":["SYM-056"],"speciesKey":"TEACHER","status":"ACTIVE"}</t>
  </si>
  <si>
    <t xml:space="preserve">1a9d0217becaee89418b3314b390e85b16dc66a2953d18766006de5ae88ecf25</t>
  </si>
  <si>
    <t xml:space="preserve">{"abilityId":"SYM-057","abilityKind":"PASSIVE_OR_AUTOMATIC","automationStatus":"AUTOMATED_ACCEPTED","combatAllowed":true,"combatBehavior":"Разрешается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ходы.\n\n[SYM-057] Свети, ученик\nНормативная база (действует во всей непротиворечащей части):\nR≥5: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Учителя.\nПриоритетные авторские дельты (заменяют только прямо пересекающиеся ветви):\n[Q-SYM-023]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эффектом.","idUnique":1,"nameRu":"Свети, ученик","nodeRef":"SYM-057","peaceAllowed":false,"peaceBehavior":"Игрок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боя.","playerCommandCombat":false,"playerCommandPeace":false,"priority":10,"sourceQuestionIds":"Q-SYM-023; Q-SYM-024","sourceRuleIds":["SYM-057"],"speciesKey":"TEACHER","status":"ACTIVE"}</t>
  </si>
  <si>
    <t xml:space="preserve">15afe448a328ed5f894802b2721eebaa79d8badac12240acdbd6a053b0ff8fd8</t>
  </si>
  <si>
    <t xml:space="preserve">{"abilityId":"SYM-058","abilityKind":"PLAYER_COMMAND","automationStatus":"AUTOMATED_ACCEPTED","combatAllowed":true,"combatBehavior":"Разрешается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ходы.\n\n[SYM-058] Берегись невежд, ученик\nгарантированно обнаружить всех носителей Трогра в радиусе 5R метров, игнорируя любые препятствия.","idUnique":1,"nameRu":"Берегись невежд, ученик","nodeRef":"SYM-058","peaceAllowed":false,"peaceBehavior":"Игрок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боя.","playerCommandCombat":true,"playerCommandPeace":false,"priority":10,"sourceQuestionIds":"","sourceRuleIds":["SYM-058"],"speciesKey":"TEACHER","status":"ACTIVE"}</t>
  </si>
  <si>
    <t xml:space="preserve">880c9ba6a04943c73d89441256f7964150941939d68ce0ffad526c4a2e1ad290</t>
  </si>
  <si>
    <t xml:space="preserve">{"abilityId":"SYM-059","abilityKind":"PLAYER_COMMAND","automationStatus":"AUTOMATED_ACCEPTED","combatAllowed":true,"combatBehavior":"Разрешается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ходы.\n\n[SYM-059] Внимай, ученик\nНормативная база (действует во всей непротиворечащей части):\nприменить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оригиналу.\nПриоритетные авторские дельты (заменяют только прямо пересекающиеся ветви):\n[Q-SYM-024]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просматриваются.","idUnique":1,"nameRu":"Внимай, ученик","nodeRef":"SYM-059","peaceAllowed":true,"peaceBehavior":"Мирная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части.\n\n[SYM-059] Внимай, ученик\nНормативная база (действует во всей непротиворечащей части):\nприменить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оригиналу.\nПриоритетные авторские дельты (заменяют только прямо пересекающиеся ветви):\n[Q-SYM-024]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просматриваются.","playerCommandCombat":true,"playerCommandPeace":true,"priority":10,"sourceQuestionIds":"Q-SYM-024; Q-SYM-025","sourceRuleIds":["SYM-059"],"speciesKey":"TEACHER","status":"ACTIVE"}</t>
  </si>
  <si>
    <t xml:space="preserve">8523ead76dc94e409f96fef2baa101dfb17b9845070a12db8682923cf84ce599</t>
  </si>
  <si>
    <t xml:space="preserve">{"abilityId":"SYM-061","abilityKind":"PASSIVE_OR_AUTOMATIC","automationStatus":"AUTOMATED_ACCEPTED","combatAllowed":true,"combatBehavior":"Разрешается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ходы.\n\n[SYM-061] Подкожный панцирь\nдобавить L к броне поражённой зоны, складывая с носимой бронёй.","idUnique":1,"nameRu":"Подкожный панцирь","nodeRef":"SYM-061","peaceAllowed":true,"peaceBehavior":"Мирная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части.\n\n[SYM-061] Подкожный панцирь\nдобавить L к броне поражённой зоны, складывая с носимой бронёй.","playerCommandCombat":false,"playerCommandPeace":false,"priority":10,"sourceQuestionIds":"","sourceRuleIds":["SYM-061"],"speciesKey":"ARMADILLO","status":"ACTIVE"}</t>
  </si>
  <si>
    <t xml:space="preserve">29434ef10243ed2e783601531314c317e21b9563a1280127a2927d84dcf7ddee</t>
  </si>
  <si>
    <t xml:space="preserve">{"abilityId":"SYM-062","abilityKind":"PASSIVE_OR_AUTOMATIC","automationStatus":"AUTOMATED_ACCEPTED","combatAllowed":true,"combatBehavior":"Разрешается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ходы.\n\n[SYM-062] Здоров как буйвол\nZ = Z_base + L; при гибели/удалении вернуть базовое.","idUnique":1,"nameRu":"Здоров как буйвол","nodeRef":"SYM-062","peaceAllowed":true,"peaceBehavior":"Мирная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части.\n\n[SYM-062] Здоров как буйвол\nZ = Z_base + L; при гибели/удалении вернуть базовое.","playerCommandCombat":false,"playerCommandPeace":false,"priority":10,"sourceQuestionIds":"","sourceRuleIds":["SYM-062"],"speciesKey":"ARMADILLO","status":"ACTIVE"}</t>
  </si>
  <si>
    <t xml:space="preserve">96f6b5d8066f6f9e7478a285724afd1df27a4756a68722510b22ffed729f1d38</t>
  </si>
  <si>
    <t xml:space="preserve">{"abilityId":"SYM-063","abilityKind":"PASSIVE_OR_AUTOMATIC","automationStatus":"AUTOMATED_ACCEPTED","combatAllowed":true,"combatBehavior":"Разрешается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ходы.\n\n[SYM-063] Не вырубишь!\nотменить наложение оглушения.","idUnique":1,"nameRu":"Не вырубишь!","nodeRef":"SYM-063","peaceAllowed":true,"peaceBehavior":"Мирная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части.\n\n[SYM-063] Не вырубишь!\nотменить наложение оглушения.","playerCommandCombat":false,"playerCommandPeace":false,"priority":10,"sourceQuestionIds":"","sourceRuleIds":["SYM-063"],"speciesKey":"ARMADILLO","status":"ACTIVE"}</t>
  </si>
  <si>
    <t xml:space="preserve">681e97a234276ee1825633a6ff373b0a0551260b5b12a3df531e2c2918ce967c</t>
  </si>
  <si>
    <t xml:space="preserve">{"abilityId":"SYM-064","abilityKind":"PASSIVE_OR_AUTOMATIC","automationStatus":"AUTOMATED_ACCEPTED","combatAllowed":true,"combatBehavior":"Разрешается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ходы.\n\n[SYM-064] Не подчиняюсь!\nдобавить +5.","idUnique":1,"nameRu":"Не подчиняюсь!","nodeRef":"SYM-064","peaceAllowed":true,"peaceBehavior":"Мирная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части.\n\n[SYM-064] Не подчиняюсь!\nдобавить +5.","playerCommandCombat":false,"playerCommandPeace":false,"priority":10,"sourceQuestionIds":"","sourceRuleIds":["SYM-064"],"speciesKey":"ARMADILLO","status":"ACTIVE"}</t>
  </si>
  <si>
    <t xml:space="preserve">d6867484c37a8fe544e7d8c71cdef1ebce5fbb7b17721d0b92b309e2289c1f20</t>
  </si>
  <si>
    <t xml:space="preserve">{"abilityId":"SYM-065","abilityKind":"PASSIVE_OR_AUTOMATIC","automationStatus":"AUTOMATED_ACCEPTED","combatAllowed":true,"combatBehavior":"Разрешается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ходы.\n\n[SYM-065] Не сдвинешь!\nдобавить +10.","idUnique":1,"nameRu":"Не сдвинешь!","nodeRef":"SYM-065","peaceAllowed":true,"peaceBehavior":"Мирная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части.\n\n[SYM-065] Не сдвинешь!\nдобавить +10.","playerCommandCombat":false,"playerCommandPeace":false,"priority":10,"sourceQuestionIds":"","sourceRuleIds":["SYM-065"],"speciesKey":"ARMADILLO","status":"ACTIVE"}</t>
  </si>
  <si>
    <t xml:space="preserve">c9d187b39dcbaf051a6ca88d5c5dca0bd88d3a5913b29bd2d131af9a1e9ab4bd</t>
  </si>
  <si>
    <t xml:space="preserve">{"abilityId":"SYM-066","abilityKind":"PLAYER_COMMAND","automationStatus":"AUTOMATED_ACCEPTED","combatAllowed":true,"combatBehavior":"Разрешается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ходы.\n\n[SYM-066] Поднять щиты!\nНормативная база (действует во всей непротиворечащей части):\nR≥4: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персонажа.\nПриоритетные авторские дельты (заменяют только прямо пересекающиеся ветви):\n[Q-SYM-026]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освобождение.","idUnique":1,"nameRu":"Поднять щиты!","nodeRef":"SYM-066","peaceAllowed":false,"peaceBehavior":"Игрок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боя.","playerCommandCombat":true,"playerCommandPeace":false,"priority":10,"sourceQuestionIds":"Q-SYM-026","sourceRuleIds":["SYM-066"],"speciesKey":"ARMADILLO","status":"ACTIVE"}</t>
  </si>
  <si>
    <t xml:space="preserve">ebdb68627d8bcf7d3973dcad8a27028d137fe4b77ff05241e4eac36a441b4ff6</t>
  </si>
  <si>
    <t xml:space="preserve">{"abilityId":"SYM-068","abilityKind":"PLAYER_COMMAND","automationStatus":"AUTOMATED_ACCEPTED","combatAllowed":true,"combatBehavior":"Разрешается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ходы.\n\n[SYM-068] Горючая слюна\nНормативная база (действует во всей непротиворечащей части):\nслюна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слюны.\nПриоритетные авторские дельты (заменяют только прямо пересекающиеся ветви):\n[Q-SYM-027] Для передачи горения достаточно успешного попадания с итогом точности 19+; наносить урон или пробивать броню не требуется.","idUnique":1,"nameRu":"Горючая слюна","nodeRef":"SYM-068","peaceAllowed":true,"peaceBehavior":"Мирная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части.\n\n[SYM-068] Горючая слюна\nНормативная база (действует во всей непротиворечащей части):\nслюна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слюны.\nПриоритетные авторские дельты (заменяют только прямо пересекающиеся ветви):\n[Q-SYM-027] Для передачи горения достаточно успешного попадания с итогом точности 19+; наносить урон или пробивать броню не требуется.","playerCommandCombat":true,"playerCommandPeace":true,"priority":10,"sourceQuestionIds":"Q-SYM-027","sourceRuleIds":["SYM-068"],"speciesKey":"DRAGON","status":"ACTIVE"}</t>
  </si>
  <si>
    <t xml:space="preserve">d21fee6198c0c81500b6239286b425ae1183a3482df5b36b7802987636f189b9</t>
  </si>
  <si>
    <t xml:space="preserve">{"abilityId":"SYM-069","abilityKind":"PASSIVE_OR_AUTOMATIC","automationStatus":"AUTOMATED_ACCEPTED","combatAllowed":true,"combatBehavior":"Разрешается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ходы.\n\n[SYM-069] Огнеупорная глотка\nНормативная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рта.\nПриоритетные авторские дельты (заменяют только прямо пересекающиеся ветви):\n[Q-SYM-028]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правилам.","idUnique":1,"nameRu":"Огнеупорная глотка","nodeRef":"SYM-069","peaceAllowed":true,"peaceBehavior":"Мирная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части.\n\n[SYM-069] Огнеупорная глотка\nНормативная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рта.\nПриоритетные авторские дельты (заменяют только прямо пересекающиеся ветви):\n[Q-SYM-028]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правилам.","playerCommandCombat":false,"playerCommandPeace":false,"priority":10,"sourceQuestionIds":"Q-SYM-028","sourceRuleIds":["SYM-069"],"speciesKey":"DRAGON","status":"ACTIVE"}</t>
  </si>
  <si>
    <t xml:space="preserve">758ef6ff3480f9271f177e1b80472b29e17c11d6d8ffa309810357bd24f50e0f</t>
  </si>
  <si>
    <t xml:space="preserve">{"abilityId":"SYM-070","abilityKind":"PLAYER_COMMAND","automationStatus":"AUTOMATED_ACCEPTED","combatAllowed":true,"combatBehavior":"Разрешается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ходы.\n\n[SYM-070] Зубы-огниво\nгарантированно зажечь слюну без проверки.","idUnique":1,"nameRu":"Зубы-огниво","nodeRef":"SYM-070","peaceAllowed":true,"peaceBehavior":"Мирная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части.\n\n[SYM-070] Зубы-огниво\nгарантированно зажечь слюну без проверки.","playerCommandCombat":true,"playerCommandPeace":true,"priority":10,"sourceQuestionIds":"","sourceRuleIds":["SYM-070"],"speciesKey":"DRAGON","status":"ACTIVE"}</t>
  </si>
  <si>
    <t xml:space="preserve">2aa78c785e5056ca7ff9be426824e608f959b5a9843352e8874e339c74f90d5a</t>
  </si>
  <si>
    <t xml:space="preserve">{"abilityId":"SYM-071","abilityKind":"PLAYER_COMMAND","automationStatus":"AUTOMATED_ACCEPTED","combatAllowed":true,"combatBehavior":"Разрешается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ходы.\n\n[SYM-071] Нагнетатель давления\nНормативная база (действует во всей непротиворечащей части):\nA≥4: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Q-CORE-030.","idUnique":1,"nameRu":"Нагнетатель давления","nodeRef":"SYM-071","peaceAllowed":false,"peaceBehavior":"Игрок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боя.","playerCommandCombat":true,"playerCommandPeace":false,"priority":10,"sourceQuestionIds":"Q-SYM-005; Q-SYM-029","sourceRuleIds":["SYM-071"],"speciesKey":"DRAGON","status":"ACTIVE"}</t>
  </si>
  <si>
    <t xml:space="preserve">769d7527caa3f7c1ef306dc8fa66a3d588901368153414488570bd5471308009</t>
  </si>
  <si>
    <t xml:space="preserve">{"abilityId":"SYM-072","abilityKind":"PASSIVE_OR_AUTOMATIC","automationStatus":"AUTOMATED_ACCEPTED","combatAllowed":true,"combatBehavior":"Разрешается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ходы.\n\n[SYM-072] Долгое горение\nНормативная база (действует во всей непротиворечащей части):\nзаменить стартовую длительность на 6 ходов.\nПриоритетные авторские дельты (заменяют только прямо пересекающиеся ветви):\n[Q-SYM-077]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3.","idUnique":1,"nameRu":"Долгое горение","nodeRef":"SYM-072","peaceAllowed":true,"peaceBehavior":"Мирная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части.\n\n[SYM-072] Долгое горение\nНормативная база (действует во всей непротиворечащей части):\nзаменить стартовую длительность на 6 ходов.\nПриоритетные авторские дельты (заменяют только прямо пересекающиеся ветви):\n[Q-SYM-077]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3.","playerCommandCombat":false,"playerCommandPeace":false,"priority":10,"sourceQuestionIds":"Q-SYM-077","sourceRuleIds":["SYM-072"],"speciesKey":"DRAGON","status":"ACTIVE"}</t>
  </si>
  <si>
    <t xml:space="preserve">9a78cbc7ceda290d61cfd6ba0ad85788a8fd9643460e2670ed2815613d361206</t>
  </si>
  <si>
    <t xml:space="preserve">{"abilityId":"SYM-073","abilityKind":"PLAYER_COMMAND","automationStatus":"AUTOMATED_ACCEPTED","combatAllowed":true,"combatBehavior":"Разрешается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ходы.\n\n[SYM-073] Огненный шар\nНормативная база (действует во всей непротиворечащей части):\nA≥4: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радиусом».\nПриоритетные авторские дельты (заменяют только прямо пересекающиеся ветви):\n[Q-SYM-030]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шара.","idUnique":1,"nameRu":"Огненный шар","nodeRef":"SYM-073","peaceAllowed":false,"peaceBehavior":"Игрок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боя.","playerCommandCombat":true,"playerCommandPeace":false,"priority":10,"sourceQuestionIds":"Q-SYM-030","sourceRuleIds":["SYM-073"],"speciesKey":"DRAGON","status":"ACTIVE"}</t>
  </si>
  <si>
    <t xml:space="preserve">fedd5e6d3bb05e920d47d2da172205c88941c25e60a8747d90d130870e248b4d</t>
  </si>
  <si>
    <t xml:space="preserve">{"abilityId":"SYM-076","abilityKind":"PASSIVE_OR_AUTOMATIC","automationStatus":"AUTOMATED_ACCEPTED","combatAllowed":true,"combatBehavior":"Разрешается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ходы.\n\n[SYM-076] Трогровость\nНормативная база (действует во всей непротиворечащей части):\nза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L=5.\nПриоритетные авторские дельты (заменяют только прямо пересекающиеся ветви):\n[Q-SYM-032]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выдаётся.","idUnique":1,"nameRu":"Трогровость","nodeRef":"SYM-076","peaceAllowed":true,"peaceBehavior":"Мирная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части.\n\n[SYM-076] Трогровость\nНормативная база (действует во всей непротиворечащей части):\nза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L=5.\nПриоритетные авторские дельты (заменяют только прямо пересекающиеся ветви):\n[Q-SYM-032]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выдаётся.","playerCommandCombat":false,"playerCommandPeace":false,"priority":10,"sourceQuestionIds":"Q-SYM-032","sourceRuleIds":["SYM-076"],"speciesKey":"TROGR","status":"ACTIVE"}</t>
  </si>
  <si>
    <t xml:space="preserve">1203df80d3fe7cf552e374873afe8b9393add8d3f40dcb12edfbabf9c937258b</t>
  </si>
  <si>
    <t xml:space="preserve">{"abilityId":"SYM-077","abilityKind":"PASSIVE_OR_AUTOMATIC","automationStatus":"AUTOMATED_ACCEPTED","combatAllowed":true,"combatBehavior":"Разрешается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ходы.\n\n[SYM-077] Трогр крушить!\nНормативная база (действует во всей непротиворечащей части):\nбонус к S = floor(totalLostHP/10); сбросить в конце схватки.\nПриоритетные авторские дельты (заменяют только прямо пересекающиеся ветви):\n[Q-SYM-033]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обнуляются.","idUnique":1,"nameRu":"Трогр крушить!","nodeRef":"SYM-077","peaceAllowed":false,"peaceBehavior":"Игрок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боя.","playerCommandCombat":false,"playerCommandPeace":false,"priority":10,"sourceQuestionIds":"Q-SYM-033","sourceRuleIds":["SYM-077"],"speciesKey":"TROGR","status":"ACTIVE"}</t>
  </si>
  <si>
    <t xml:space="preserve">f3fa6f5fd33f4519cbe6168ee1503d17f09b8ebf4019efcea7f6b9a87cb8794c</t>
  </si>
  <si>
    <t xml:space="preserve">{"abilityId":"SYM-078","abilityKind":"PLAYER_COMMAND","automationStatus":"AUTOMATED_ACCEPTED","combatAllowed":true,"combatBehavior":"Разрешается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ходы.\n\n[SYM-078] WAAAGH!!!\nНормативная база (действует во всей непротиворечащей части):\nесли A≤B, нет эффекта. Разница 1–8: глухота 30 минут/6 ходов. 9–18: глухота + «страх» (−1 действие в серии) на тот же срок. &gt;18: бессознательность 5 минут/1 ход.\nПриоритетные авторские дельты (заменяют только прямо пересекающиеся ветви):\n[Q-SYM-034]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цель.","idUnique":1,"nameRu":"WAAAGH!!!","nodeRef":"SYM-078","peaceAllowed":false,"peaceBehavior":"Игрок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боя.","playerCommandCombat":true,"playerCommandPeace":false,"priority":10,"sourceQuestionIds":"Q-SYM-034","sourceRuleIds":["SYM-078"],"speciesKey":"TROGR","status":"ACTIVE"}</t>
  </si>
  <si>
    <t xml:space="preserve">87d6a06f34ee98e3d4c310c2a6a13f4cf5f9417e2eaf4365f118c2001774fa80</t>
  </si>
  <si>
    <t xml:space="preserve">{"abilityId":"SYM-079","abilityKind":"PASSIVE_OR_AUTOMATIC","automationStatus":"AUTOMATED_ACCEPTED","combatAllowed":true,"combatBehavior":"Разрешается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ходы.\n\n[SYM-079] Мой дубина — твой башка!\nесли навыка нет — выдать высокий уровень без занятия слота; если есть — повысить на 3, не выше абсолютного.","idUnique":1,"nameRu":"Мой дубина — твой башка!","nodeRef":"SYM-079","peaceAllowed":true,"peaceBehavior":"Мирная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части.\n\n[SYM-079] Мой дубина — твой башка!\nесли навыка нет — выдать высокий уровень без занятия слота; если есть — повысить на 3, не выше абсолютного.","playerCommandCombat":false,"playerCommandPeace":false,"priority":10,"sourceQuestionIds":"","sourceRuleIds":["SYM-079"],"speciesKey":"TROGR","status":"ACTIVE"}</t>
  </si>
  <si>
    <t xml:space="preserve">1e9a9924c42624df98363cf0602e0059637b3d6a319617944246c807d34ed3c1</t>
  </si>
  <si>
    <t xml:space="preserve">{"abilityId":"SYM-080","abilityKind":"PLAYER_COMMAND","automationStatus":"AUTOMATED_ACCEPTED","combatAllowed":true,"combatBehavior":"Разрешается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ходы.\n\n[SYM-080] ЫЫЫ…\nНормативная база (действует во всей непротиворечащей части):\nесли итог &lt;10, носитель не чувствует боль любой силы и отключает эффект «Трогр крушить!».\nПриоритетные авторские дельты (заменяют только прямо пересекающиеся ветви):\n[Q-SYM-035]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болью.","idUnique":1,"nameRu":"ЫЫЫ…","nodeRef":"SYM-080","peaceAllowed":false,"peaceBehavior":"Игрок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боя.","playerCommandCombat":true,"playerCommandPeace":false,"priority":10,"sourceQuestionIds":"Q-SYM-035","sourceRuleIds":["SYM-080"],"speciesKey":"TROGR","status":"ACTIVE"}</t>
  </si>
  <si>
    <t xml:space="preserve">a90e69c88925d550c5ab5c68c58f815b26687b545cb112b6140272fb0676aa33</t>
  </si>
  <si>
    <t xml:space="preserve">{"abilityId":"SYM-081","abilityKind":"PASSIVE_OR_AUTOMATIC","automationStatus":"AUTOMATED_ACCEPTED","combatAllowed":true,"combatBehavior":"Разрешается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ходы.\n\n[SYM-081] Утолщённые кости\nдобавить +4 к спасброску брони; сложить с носимыми доспехами.","idUnique":1,"nameRu":"Утолщённые кости","nodeRef":"SYM-081","peaceAllowed":true,"peaceBehavior":"Мирная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части.\n\n[SYM-081] Утолщённые кости\nдобавить +4 к спасброску брони; сложить с носимыми доспехами.","playerCommandCombat":false,"playerCommandPeace":false,"priority":10,"sourceQuestionIds":"","sourceRuleIds":["SYM-081"],"speciesKey":"TROGR","status":"ACTIVE"}</t>
  </si>
  <si>
    <t xml:space="preserve">ee3c606ac0c65cb1238f5408f87fbed4596b7875e4e0e637581e22e8997b5f97</t>
  </si>
  <si>
    <t xml:space="preserve">{"abilityId":"SYM-082","abilityKind":"PASSIVE_OR_AUTOMATIC","automationStatus":"AUTOMATED_ACCEPTED","combatAllowed":true,"combatBehavior":"Разрешается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ходы.\n\n[SYM-082] Гениальная тупость\nПри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запускается.","idUnique":1,"nameRu":"Гениальная тупость","nodeRef":"SYM-082","peaceAllowed":true,"peaceBehavior":"Мирная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части.\n\n[SYM-082] Гениальная тупость\nПри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запускается.","playerCommandCombat":false,"playerCommandPeace":false,"priority":80,"sourceQuestionIds":"Q-COMBAT-CRIT-001","sourceRuleIds":["SYM-082"],"speciesKey":"TROGR","status":"ACTIVE"}</t>
  </si>
  <si>
    <t xml:space="preserve">9ae860b82e89b14ce8aa1cb698b0c28e93afc3ddc3c33e874d5f085372c50104</t>
  </si>
  <si>
    <t xml:space="preserve">{"abilityId":"SYM-084","abilityKind":"HYBRID_COMMAND_AND_TRIGGER","automationStatus":"AUTOMATED_ACCEPTED","combatAllowed":true,"combatBehavior":"Разрешается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ходы.\n\n[SYM-084] Резервная копия: выход и параметры вне тела\nвывести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восстанавливать.\n\n[SYM-085] Резервная копия: захват нового тела\nНормативная база (действует во всей непротиворечащей части):\nдля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тела.\nПриоритетные авторские дельты (заменяют только прямо пересекающиеся ветви):\n[Q-SYM-036]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Хранителя.\n[Q-SYM-074]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участвуют.","idUnique":1,"nameRu":"Резервная копия","nodeRef":"SYM-084","peaceAllowed":true,"peaceBehavior":"Мирная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части.\n\n[SYM-084] Резервная копия: выход и параметры вне тела\nвывести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восстанавливать.\n\n[SYM-085] Резервная копия: захват нового тела\nНормативная база (действует во всей непротиворечащей части):\nдля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тела.\nПриоритетные авторские дельты (заменяют только прямо пересекающиеся ветви):\n[Q-SYM-036]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Хранителя.\n[Q-SYM-074]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участвуют.","playerCommandCombat":true,"playerCommandPeace":true,"priority":10,"sourceQuestionIds":"Q-SYM-036; Q-SYM-074","sourceRuleIds":["SYM-084","SYM-085"],"speciesKey":"KEEPER","status":"ACTIVE"}</t>
  </si>
  <si>
    <t xml:space="preserve">51b0ff1fd122d724f259de2677c9e428861ff8f4c48bcb1a8badefb6fabd7d70</t>
  </si>
  <si>
    <t xml:space="preserve">{"abilityId":"SYM-086","abilityKind":"PLAYER_COMMAND","automationStatus":"AUTOMATED_ACCEPTED","combatAllowed":true,"combatBehavior":"Разрешается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ходы.\n\n[SYM-086] Парализующее жало\nвыполнить атаку; пробитие=R12; если броня пробита и R20+10&gt;Z_target, полностью обездвижить цель на 2 хода/2 минуты.","idUnique":1,"nameRu":"Парализующее жало","nodeRef":"SYM-086","peaceAllowed":false,"peaceBehavior":"Игрок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боя.","playerCommandCombat":true,"playerCommandPeace":false,"priority":10,"sourceQuestionIds":"","sourceRuleIds":["SYM-086"],"speciesKey":"KEEPER","status":"ACTIVE"}</t>
  </si>
  <si>
    <t xml:space="preserve">9d697e8093eeafdcf6324ecb53a0cfba8f2e5b47ef2ae60c9db2ebad3b6a5307</t>
  </si>
  <si>
    <t xml:space="preserve">{"abilityId":"SYM-087","abilityKind":"HYBRID_COMMAND_AND_TRIGGER","automationStatus":"AUTOMATED_ACCEPTED","combatAllowed":true,"combatBehavior":"Разрешается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ходы.\n\n[SYM-087] Оценка тела\nНормативная база (действует во всей непротиворечащей части):\nR≥5: раскрыть S,D,M,Z цели; R=2–4: данных нет; R=1: дополнительно потерять 100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органов».","idUnique":1,"nameRu":"Оценка тела","nodeRef":"SYM-087","peaceAllowed":true,"peaceBehavior":"Мирная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части.\n\n[SYM-087] Оценка тела\nНормативная база (действует во всей непротиворечащей части):\nR≥5: раскрыть S,D,M,Z цели; R=2–4: данных нет; R=1: дополнительно потерять 100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органов».","playerCommandCombat":true,"playerCommandPeace":true,"priority":10,"sourceQuestionIds":"Q-SYM-009","sourceRuleIds":["SYM-087"],"speciesKey":"KEEPER","status":"ACTIVE"}</t>
  </si>
  <si>
    <t xml:space="preserve">998a60dbc5d4b75267534086cde947838970cdac8e1894d574ace12a25192821</t>
  </si>
  <si>
    <t xml:space="preserve">{"abilityId":"SYM-088","abilityKind":"PASSIVE_OR_AUTOMATIC","automationStatus":"AUTOMATED_ACCEPTED","combatAllowed":true,"combatBehavior":"Разрешается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ходы.\n\n[SYM-088] Присоски и коготки\nразрешить безопасное перемещение по любой поверхности в любой плоскости, включая стены и потолок.","idUnique":1,"nameRu":"Присоски и коготки","nodeRef":"SYM-088","peaceAllowed":true,"peaceBehavior":"Мирная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части.\n\n[SYM-088] Присоски и коготки\nразрешить безопасное перемещение по любой поверхности в любой плоскости, включая стены и потолок.","playerCommandCombat":false,"playerCommandPeace":false,"priority":10,"sourceQuestionIds":"","sourceRuleIds":["SYM-088"],"speciesKey":"KEEPER","status":"ACTIVE"}</t>
  </si>
  <si>
    <t xml:space="preserve">b06642c2d064601b01ed565cfcd17b5eff405631e4b2b8ec1de7b9f4f6209e8b</t>
  </si>
  <si>
    <t xml:space="preserve">{"abilityId":"SYM-089","abilityKind":"PLAYER_COMMAND","automationStatus":"AUTOMATED_ACCEPTED","combatAllowed":true,"combatBehavior":"Разрешается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ходы.\n\n[SYM-089] Маскировка «Хамелеон» Хранителя\nНормативная база (действует во всей непротиворечащей части):\nR≥4: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органов».","idUnique":1,"nameRu":"Маскировка «Хамелеон»","nodeRef":"SYM-089","peaceAllowed":true,"peaceBehavior":"Мирная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части.\n\n[SYM-089] Маскировка «Хамелеон» Хранителя\nНормативная база (действует во всей непротиворечащей части):\nR≥4: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органов».","playerCommandCombat":true,"playerCommandPeace":true,"priority":10,"sourceQuestionIds":"Q-SYM-009","sourceRuleIds":["SYM-089"],"speciesKey":"KEEPER","status":"ACTIVE"}</t>
  </si>
  <si>
    <t xml:space="preserve">bc9539a366cabcaf606f68780e60673833577188c1d623e1c62f33c806b2473e</t>
  </si>
  <si>
    <t xml:space="preserve">{"abilityId":"SYM-090","abilityKind":"PASSIVE_OR_AUTOMATIC","automationStatus":"AUTOMATED_ACCEPTED","combatAllowed":true,"combatBehavior":"Разрешается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ходы.\n\n[SYM-090] Кромсатель\nзаменить формулу максимума на maxOE=200×L; текущий ОЭ не восстанавливать.","idUnique":1,"nameRu":"Кромсатель","nodeRef":"SYM-090","peaceAllowed":true,"peaceBehavior":"Мирная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части.\n\n[SYM-090] Кромсатель\nзаменить формулу максимума на maxOE=200×L; текущий ОЭ не восстанавливать.","playerCommandCombat":false,"playerCommandPeace":false,"priority":10,"sourceQuestionIds":"","sourceRuleIds":["SYM-090"],"speciesKey":"KEEPER","status":"ACTIVE"}</t>
  </si>
  <si>
    <t xml:space="preserve">564ea2145c2b5cd6130980e6296f02c73996a38de7182f2eecdb4970226b327e</t>
  </si>
  <si>
    <t xml:space="preserve">{"abilityId":"SYM-091","abilityKind":"PLAYER_COMMAND","automationStatus":"AUTOMATED_ACCEPTED","combatAllowed":true,"combatBehavior":"Разрешается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ходы.\n\n[SYM-091] Крылья Хранителя\nНормативная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дальней.\nПриоритетные авторские дельты (заменяют только прямо пересекающиеся ветви):\n[Q-SYM-037]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падает.\nФинальная приоритетная нормализация:\nПри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возобновляет.","idUnique":1,"nameRu":"Крылья","nodeRef":"SYM-091","peaceAllowed":true,"peaceBehavior":"Мирная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части.\n\n[SYM-091] Крылья Хранителя\nНормативная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дальней.\nПриоритетные авторские дельты (заменяют только прямо пересекающиеся ветви):\n[Q-SYM-037]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падает.\nФинальная приоритетная нормализация:\nПри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возобновляет.","playerCommandCombat":true,"playerCommandPeace":true,"priority":60,"sourceQuestionIds":"Q-QA-003; Q-SYM-037","sourceRuleIds":["SYM-091"],"speciesKey":"KEEPER","status":"ACTIVE"}</t>
  </si>
  <si>
    <t xml:space="preserve">b4f29b4efaa76bb490bbf401bd414c6880a7b8f979cb26313e169ac49063f225</t>
  </si>
  <si>
    <t xml:space="preserve">{"abilityId":"SYM-093","abilityKind":"PASSIVE_OR_AUTOMATIC","automationStatus":"AUTOMATED_ACCEPTED","combatAllowed":true,"combatBehavior":"Разрешается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ходы.\n\n[SYM-093] Попутчики\nНормативная база (действует во всей непротиворечащей части):\nсохранить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потерять.\nПриоритетные авторские дельты (заменяют только прямо пересекающиеся ветви):\n[Q-SYM-039]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вместимость","idUnique":1,"nameRu":"Попутчики","nodeRef":"SYM-093","peaceAllowed":false,"peaceBehavior":"Игрок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боя.","playerCommandCombat":false,"playerCommandPeace":false,"priority":10,"sourceQuestionIds":"Q-SYM-039","sourceRuleIds":["SYM-093"],"speciesKey":"KEEPER","status":"ACTIVE"}</t>
  </si>
  <si>
    <t xml:space="preserve">db9706bf92783e63a3f375bbf2e73411aef0771f9a5ebaed0177fd7d77f20a2f</t>
  </si>
  <si>
    <t xml:space="preserve">{"abilityId":"SYM-094","abilityKind":"PLAYER_COMMAND","automationStatus":"AUTOMATED_ACCEPTED","combatAllowed":true,"combatBehavior":"Разрешается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ходы.\n\n[SYM-094] Кислотная пушка\nНормативная база (действует во всей непротиворечащей части):\nA≥3: стандартная дальняя атака, пробитие=A, урон=D+L; A=2: нет эффекта; A=1: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органов».","idUnique":1,"nameRu":"Кислотная пушка","nodeRef":"SYM-094","peaceAllowed":false,"peaceBehavior":"Игрок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боя.","playerCommandCombat":true,"playerCommandPeace":false,"priority":10,"sourceQuestionIds":"Q-SYM-009","sourceRuleIds":["SYM-094"],"speciesKey":"KEEPER","status":"ACTIVE"}</t>
  </si>
  <si>
    <t xml:space="preserve">63113c769de62f410a5ac6e83068228c096758f2548fe8ff0e82be0ba3e80c18</t>
  </si>
  <si>
    <t xml:space="preserve">{"abilityId":"SYM-096","abilityKind":"PASSIVE_OR_AUTOMATIC","automationStatus":"AUTOMATED_ACCEPTED","combatAllowed":true,"combatBehavior":"Разрешается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ходы.\n\n[SYM-096] Личность Советника\nНормативная база (действует во всей непротиворечащей части):\nопределить собственные I=R20+8, затем W=отдельный R20+8; игрок выбирает отдельный набор навыков; число слотов рассчитывается по W Советника как у носителя.\nПриоритетные авторские дельты (заменяют только прямо пересекающиеся ветви):\n[Q-SYM-040] Строка «Стоимость: 30 ОЭ» считается опечаткой. «Личность» бесплатно и автоматически создаёт характеристики и навыки Советника при получении симбионта.","idUnique":1,"nameRu":"Личность","nodeRef":"SYM-096","peaceAllowed":true,"peaceBehavior":"Мирная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части.\n\n[SYM-096] Личность Советника\nНормативная база (действует во всей непротиворечащей части):\nопределить собственные I=R20+8, затем W=отдельный R20+8; игрок выбирает отдельный набор навыков; число слотов рассчитывается по W Советника как у носителя.\nПриоритетные авторские дельты (заменяют только прямо пересекающиеся ветви):\n[Q-SYM-040] Строка «Стоимость: 30 ОЭ» считается опечаткой. «Личность» бесплатно и автоматически создаёт характеристики и навыки Советника при получении симбионта.","playerCommandCombat":false,"playerCommandPeace":false,"priority":10,"sourceQuestionIds":"Q-SYM-040","sourceRuleIds":["SYM-096"],"speciesKey":"ADVISER","status":"ACTIVE"}</t>
  </si>
  <si>
    <t xml:space="preserve">471338afc94748b1878728eb4374e7288f3950c2e3cb596b079b9de7af5bd41c</t>
  </si>
  <si>
    <t xml:space="preserve">{"abilityId":"SYM-097","abilityKind":"PASSIVE_OR_AUTOMATIC","automationStatus":"AUTOMATED_ACCEPTED","combatAllowed":true,"combatBehavior":"Разрешается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ходы.\n\n[SYM-097] Я здесь самый умный\nI_adviser=I_base+L.","idUnique":1,"nameRu":"Я здесь самый умный","nodeRef":"SYM-097","peaceAllowed":true,"peaceBehavior":"Мирная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части.\n\n[SYM-097] Я здесь самый умный\nI_adviser=I_base+L.","playerCommandCombat":false,"playerCommandPeace":false,"priority":10,"sourceQuestionIds":"","sourceRuleIds":["SYM-097"],"speciesKey":"ADVISER","status":"ACTIVE"}</t>
  </si>
  <si>
    <t xml:space="preserve">921bd36a65b1e84e4f16cca1c3aa0f9670d1505da33dfa68379a277558ee86a2</t>
  </si>
  <si>
    <t xml:space="preserve">{"abilityId":"SYM-098","abilityKind":"PASSIVE_OR_AUTOMATIC","automationStatus":"AUTOMATED_ACCEPTED","combatAllowed":true,"combatBehavior":"Разрешается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ходы.\n\n[SYM-098] Доступ к органам чувств\nразрешить Советнику отдельную от носителя проверку восприятия.","idUnique":1,"nameRu":"Доступ к органам чувств","nodeRef":"SYM-098","peaceAllowed":true,"peaceBehavior":"Мирная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части.\n\n[SYM-098] Доступ к органам чувств\nразрешить Советнику отдельную от носителя проверку восприятия.","playerCommandCombat":false,"playerCommandPeace":false,"priority":10,"sourceQuestionIds":"","sourceRuleIds":["SYM-098"],"speciesKey":"ADVISER","status":"ACTIVE"}</t>
  </si>
  <si>
    <t xml:space="preserve">54886271f720b37ce5c539bd5db602daa15dcabd6e895c7c6d88851b574e64a0</t>
  </si>
  <si>
    <t xml:space="preserve">{"abilityId":"SYM-099","abilityKind":"PLAYER_COMMAND","automationStatus":"AUTOMATED_ACCEPTED","combatAllowed":true,"combatBehavior":"Разрешается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ходы.\n\n[SYM-099] Принимаю управление\nНормативная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ход.\nПриоритетные авторские дельты (заменяют только прямо пересекающиеся ветви):\n[Q-SYM-041]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носителя.","idUnique":1,"nameRu":"Принимаю управление","nodeRef":"SYM-099","peaceAllowed":true,"peaceBehavior":"Мирная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части.\n\n[SYM-099] Принимаю управление\nНормативная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ход.\nПриоритетные авторские дельты (заменяют только прямо пересекающиеся ветви):\n[Q-SYM-041]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носителя.","playerCommandCombat":true,"playerCommandPeace":true,"priority":10,"sourceQuestionIds":"Q-SYM-041","sourceRuleIds":["SYM-099"],"speciesKey":"ADVISER","status":"ACTIVE"}</t>
  </si>
  <si>
    <t xml:space="preserve">1c997c8ef4f0a4105f76a8fe9effce776c3935fd86b45cbf5bcf255229db67ab</t>
  </si>
  <si>
    <t xml:space="preserve">{"abilityId":"SYM-100","abilityKind":"PASSIVE_OR_AUTOMATIC","automationStatus":"AUTOMATED_ACCEPTED","combatAllowed":true,"combatBehavior":"Разрешается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ходы.\n\n[SYM-100] Система устойчивости\nавтоматически передать управление Советнику без расхода ОЭ до возвращения ясного сознания носителя.","idUnique":1,"nameRu":"Система устойчивости","nodeRef":"SYM-100","peaceAllowed":false,"peaceBehavior":"Игрок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боя.","playerCommandCombat":false,"playerCommandPeace":false,"priority":10,"sourceQuestionIds":"","sourceRuleIds":["SYM-100"],"speciesKey":"ADVISER","status":"ACTIVE"}</t>
  </si>
  <si>
    <t xml:space="preserve">7a855d7ff8da7615fd65e3eab05f1db46898a97d1be82d7f8440d5a416e4d261</t>
  </si>
  <si>
    <t xml:space="preserve">{"abilityId":"SYM-101","abilityKind":"HYBRID_COMMAND_AND_TRIGGER","automationStatus":"AUTOMATED_ACCEPTED","combatAllowed":true,"combatBehavior":"Разрешается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ходы.\n\n[SYM-101] Дар мудрости\nНормативная база (действует во всей непротиворечащей части):\nпередать интеллект Советника на одну проверку, затем отключить Советника на 12 часов.\nПриоритетные авторские дельты (заменяют только прямо пересекающиеся ветви):\n[Q-SYM-042]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часов.","idUnique":1,"nameRu":"Дар мудрости","nodeRef":"SYM-101","peaceAllowed":true,"peaceBehavior":"Мирная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части.\n\n[SYM-101] Дар мудрости\nНормативная база (действует во всей непротиворечащей части):\nпередать интеллект Советника на одну проверку, затем отключить Советника на 12 часов.\nПриоритетные авторские дельты (заменяют только прямо пересекающиеся ветви):\n[Q-SYM-042]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часов.","playerCommandCombat":true,"playerCommandPeace":true,"priority":10,"sourceQuestionIds":"Q-SYM-042","sourceRuleIds":["SYM-101"],"speciesKey":"ADVISER","status":"ACTIVE"}</t>
  </si>
  <si>
    <t xml:space="preserve">58585ea395e2310209e9a7c094aa45cfe19ed5124e36c512febffa603b6df80c</t>
  </si>
  <si>
    <t xml:space="preserve">{"abilityId":"SYM-103","abilityKind":"PASSIVE_OR_AUTOMATIC","automationStatus":"AUTOMATED_ACCEPTED","combatAllowed":true,"combatBehavior":"Разрешается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ходы.\n\n[SYM-103] Кровопийца\nНормативная база (действует во всей непротиворечащей части):\nдобавить L к урону.\nПриоритетные авторские дельты (заменяют только прямо пересекающиеся ветви):\n[Q-SYM-043]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получают.","idUnique":1,"nameRu":"Кровопийца","nodeRef":"SYM-103","peaceAllowed":false,"peaceBehavior":"Игрок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боя.","playerCommandCombat":false,"playerCommandPeace":false,"priority":10,"sourceQuestionIds":"Q-SYM-043","sourceRuleIds":["SYM-103"],"speciesKey":"TICK","status":"ACTIVE"}</t>
  </si>
  <si>
    <t xml:space="preserve">7ec12a5e6c8f5671002e08e841e10186241e4ab3bd28f6aa989077a92ca2e28c</t>
  </si>
  <si>
    <t xml:space="preserve">{"abilityId":"SYM-104","abilityKind":"PLAYER_COMMAND","automationStatus":"AUTOMATED_ACCEPTED","combatAllowed":true,"combatBehavior":"Разрешается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ходы.\n\n[SYM-104] Вкус крови\nНормативная база (действует во всей непротиворечащей части):\nбез проверки раскрыть расу, значения всех характеристик, навыки, виды и уровни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отдельно.","idUnique":1,"nameRu":"Вкус крови","nodeRef":"SYM-104","peaceAllowed":true,"peaceBehavior":"Мирная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части.\n\n[SYM-104] Вкус крови\nНормативная база (действует во всей непротиворечащей части):\nбез проверки раскрыть расу, значения всех характеристик, навыки, виды и уровни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отдельно.","playerCommandCombat":true,"playerCommandPeace":true,"priority":10,"sourceQuestionIds":"Q-SYM-022","sourceRuleIds":["SYM-104"],"speciesKey":"TICK","status":"ACTIVE"}</t>
  </si>
  <si>
    <t xml:space="preserve">a44a94f2b2dea16224a4a8a12a29a8778628240b098d86f0ace5bb61825c657d</t>
  </si>
  <si>
    <t xml:space="preserve">{"abilityId":"SYM-105","abilityKind":"PLAYER_COMMAND","automationStatus":"AUTOMATED_ACCEPTED","combatAllowed":true,"combatBehavior":"Разрешается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ходы.\n\n[SYM-105] Выстрел кровью\nR≥3: стандартная дальняя атака, пробитие=R+L, урон=R+L одной проверкой. R=2: нет эффекта. R=1: Клещ отключён на 1 час/6 ходов.","idUnique":1,"nameRu":"Выстрел кровью","nodeRef":"SYM-105","peaceAllowed":false,"peaceBehavior":"Игрок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боя.","playerCommandCombat":true,"playerCommandPeace":false,"priority":10,"sourceQuestionIds":"","sourceRuleIds":["SYM-105"],"speciesKey":"TICK","status":"ACTIVE"}</t>
  </si>
  <si>
    <t xml:space="preserve">6104705730ea99bd892931c523fa9a0c74fb1533317045f17b4072e5b194a9dc</t>
  </si>
  <si>
    <t xml:space="preserve">{"abilityId":"SYM-106","abilityKind":"PLAYER_COMMAND","automationStatus":"AUTOMATED_ACCEPTED","combatAllowed":true,"combatBehavior":"Разрешается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ходы.\n\n[SYM-106] Выпустить когти\nНормативная база (действует во всей непротиворечащей части):\nпо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ОЭ.\nПриоритетные авторские дельты (заменяют только прямо пересекающиеся ветви):\n[Q-SYM-044]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времени.","idUnique":1,"nameRu":"Выпустить когти","nodeRef":"SYM-106","peaceAllowed":true,"peaceBehavior":"Мирная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части.\n\n[SYM-106] Выпустить когти\nНормативная база (действует во всей непротиворечащей части):\nпо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ОЭ.\nПриоритетные авторские дельты (заменяют только прямо пересекающиеся ветви):\n[Q-SYM-044]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времени.","playerCommandCombat":true,"playerCommandPeace":true,"priority":10,"sourceQuestionIds":"Q-SYM-044","sourceRuleIds":["SYM-106"],"speciesKey":"TICK","status":"ACTIVE"}</t>
  </si>
  <si>
    <t xml:space="preserve">c0835730d1db34965b6fd6a5c40ade147a93ad4cffc3ba349e7ca1bbe537c7a8</t>
  </si>
  <si>
    <t xml:space="preserve">{"abilityId":"SYM-107","abilityKind":"PASSIVE_OR_AUTOMATIC","automationStatus":"AUTOMATED_ACCEPTED","combatAllowed":true,"combatBehavior":"Разрешается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ходы.\n\n[SYM-107] Гарпун\nНормативная база (действует во всей непротиворечащей части):\nR≥3: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суток.\nПриоритетные авторские дельты (заменяют только прямо пересекающиеся ветви):\n[Q-SYM-045]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нельзя.","idUnique":1,"nameRu":"Гарпун","nodeRef":"SYM-107","peaceAllowed":false,"peaceBehavior":"Игрок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боя.","playerCommandCombat":false,"playerCommandPeace":false,"priority":10,"sourceQuestionIds":"Q-SYM-045","sourceRuleIds":["SYM-107"],"speciesKey":"TICK","status":"ACTIVE"}</t>
  </si>
  <si>
    <t xml:space="preserve">b2ecb0889beb48f5964989ac98f799a6eacfaec4c0944b8142b5c33f2023aa64</t>
  </si>
  <si>
    <t xml:space="preserve">{"abilityId":"SYM-108","abilityKind":"PASSIVE_OR_AUTOMATIC","automationStatus":"AUTOMATED_ACCEPTED","combatAllowed":true,"combatBehavior":"Разрешается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ходы.\n\n[SYM-108] Я — сила\nS=S_base+L; при гибели/удалении вернуть базовую.","idUnique":1,"nameRu":"Я — сила","nodeRef":"SYM-108","peaceAllowed":true,"peaceBehavior":"Мирная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части.\n\n[SYM-108] Я — сила\nS=S_base+L; при гибели/удалении вернуть базовую.","playerCommandCombat":false,"playerCommandPeace":false,"priority":10,"sourceQuestionIds":"","sourceRuleIds":["SYM-108"],"speciesKey":"TICK","status":"ACTIVE"}</t>
  </si>
  <si>
    <t xml:space="preserve">9b5378f9699d779739f3b1d748db48ce807bd6383c24329480155e1dc7d21b12</t>
  </si>
  <si>
    <t xml:space="preserve">{"abilityId":"SYM-110","abilityKind":"PASSIVE_OR_AUTOMATIC","automationStatus":"AUTOMATED_ACCEPTED","combatAllowed":true,"combatBehavior":"Разрешается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ходы.\n\n[SYM-110] Ноги сверчка\nдля защиты ноги добавить спасбросок R20, складывающийся с носимой бронёй; к прыжкам добавить +L.","idUnique":1,"nameRu":"Ноги сверчка","nodeRef":"SYM-110","peaceAllowed":true,"peaceBehavior":"Мирная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части.\n\n[SYM-110] Ноги сверчка\nдля защиты ноги добавить спасбросок R20, складывающийся с носимой бронёй; к прыжкам добавить +L.","playerCommandCombat":false,"playerCommandPeace":false,"priority":10,"sourceQuestionIds":"","sourceRuleIds":["SYM-110"],"speciesKey":"CRICKET","status":"ACTIVE"}</t>
  </si>
  <si>
    <t xml:space="preserve">cb855513a0de71f8c65c493060cf56229073da217c945cb1caf36cdfbcf01aa3</t>
  </si>
  <si>
    <t xml:space="preserve">{"abilityId":"SYM-111","abilityKind":"PASSIVE_OR_AUTOMATIC","automationStatus":"AUTOMATED_ACCEPTED","combatAllowed":true,"combatBehavior":"Разрешается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ходы.\n\n[SYM-111] Чувствительные усы\nдобавить +5; электрические и поверхностные колебания доступны как сенсорные каналы.","idUnique":1,"nameRu":"Чувствительные усы","nodeRef":"SYM-111","peaceAllowed":false,"peaceBehavior":"Игрок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боя.","playerCommandCombat":false,"playerCommandPeace":false,"priority":10,"sourceQuestionIds":"","sourceRuleIds":["SYM-111"],"speciesKey":"CRICKET","status":"ACTIVE"}</t>
  </si>
  <si>
    <t xml:space="preserve">7c38adfa201f9012d52efb89fb9ad70de56211d7e607e6f7dd80f9126ca2a598</t>
  </si>
  <si>
    <t xml:space="preserve">{"abilityId":"SYM-112","abilityKind":"PLAYER_COMMAND","automationStatus":"AUTOMATED_ACCEPTED","combatAllowed":true,"combatBehavior":"Разрешается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ходы.\n\n[SYM-112] Заряженный прыжок\nНормативная база (действует во всей непротиворечащей части):\nбросить один R20 и переместить прыжком на (R20)×2 метров; один раз за боевую ситуацию разрешить сократить дистанцию до противника без расхода действия.\nПриоритетные авторские дельты (заменяют только прямо пересекающиеся ветви):\n[Q-SYM-046]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вертикали.","idUnique":1,"nameRu":"Заряженный прыжок","nodeRef":"SYM-112","peaceAllowed":false,"peaceBehavior":"Игрок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боя.","playerCommandCombat":true,"playerCommandPeace":false,"priority":10,"sourceQuestionIds":"Q-SYM-046","sourceRuleIds":["SYM-112"],"speciesKey":"CRICKET","status":"ACTIVE"}</t>
  </si>
  <si>
    <t xml:space="preserve">3f683b8b223e479a5fc922cff8ab505f69704538b45bc9e9df0d70b268b79d94</t>
  </si>
  <si>
    <t xml:space="preserve">{"abilityId":"SYM-113","abilityKind":"PLAYER_COMMAND","automationStatus":"AUTOMATED_ACCEPTED","combatAllowed":true,"combatBehavior":"Разрешается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ходы.\n\n[SYM-113] Маскировка под растение\nдобавить +5 к скрытности; снять эффект при движении или применении любой другой способности симбионта.","idUnique":1,"nameRu":"Маскировка под растение","nodeRef":"SYM-113","peaceAllowed":false,"peaceBehavior":"Игрок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боя.","playerCommandCombat":true,"playerCommandPeace":false,"priority":10,"sourceQuestionIds":"","sourceRuleIds":["SYM-113"],"speciesKey":"CRICKET","status":"ACTIVE"}</t>
  </si>
  <si>
    <t xml:space="preserve">d8f13000087fdbcf76787d47ddf0c365e6dec8537fb1c425ae063ee6bd7f6843</t>
  </si>
  <si>
    <t xml:space="preserve">{"abilityId":"SYM-114","abilityKind":"PLAYER_COMMAND","automationStatus":"AUTOMATED_ACCEPTED","combatAllowed":true,"combatBehavior":"Разрешается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ходы.\n\n[SYM-114] Крылья Сверчка\nНормативная база (действует во всей непротиворечащей части):\nA≤10: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точности.\nПриоритетные авторские дельты (заменяют только прямо пересекающиеся ветви):\n[Q-SYM-047]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боя.","idUnique":1,"nameRu":"Крылья","nodeRef":"SYM-114","peaceAllowed":false,"peaceBehavior":"Игрок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боя.","playerCommandCombat":true,"playerCommandPeace":false,"priority":10,"sourceQuestionIds":"Q-SYM-047","sourceRuleIds":["SYM-114"],"speciesKey":"CRICKET","status":"ACTIVE"}</t>
  </si>
  <si>
    <t xml:space="preserve">ba90e395288497c68ef1498cdd9fc40a90c021105fbe37ff783d439137b30a99</t>
  </si>
  <si>
    <t xml:space="preserve">{"abilityId":"SYM-115","abilityKind":"PASSIVE_OR_AUTOMATIC","automationStatus":"AUTOMATED_ACCEPTED","combatAllowed":true,"combatBehavior":"Разрешается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ходы.\n\n[SYM-115] Активные пилы\nсчитать ноги оружием; пробитие=R20+L; урон=отдельный R20+2L; S модифицирует урон, D — точность, рукопашный бой — общий; без навыка штраф не применять.","idUnique":1,"nameRu":"Активные пилы","nodeRef":"SYM-115","peaceAllowed":false,"peaceBehavior":"Игрок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боя.","playerCommandCombat":false,"playerCommandPeace":false,"priority":10,"sourceQuestionIds":"","sourceRuleIds":["SYM-115"],"speciesKey":"CRICKET","status":"ACTIVE"}</t>
  </si>
  <si>
    <t xml:space="preserve">7484cbbab68cb56d138a277470c6b29a6c096f1657fb45bc4deb476cec9a0be7</t>
  </si>
  <si>
    <t xml:space="preserve">{"abilityId":"SYM-117","abilityKind":"PLAYER_COMMAND","automationStatus":"AUTOMATED_ACCEPTED","combatAllowed":false,"combatBehavior":"Игрок не может воспользоваться способностью в боевой ситуации; контекст запрещён.","idUnique":1,"nameRu":"Паутинные железы","nodeRef":"SYM-117","peaceAllowed":true,"peaceBehavior":"Только вне боя. Игрок запускает команду и мгновенно получает ровно один служебный предмет WEB_ITEM. Игровое и реальное время не продвигается; длина, объём и масса не моделируются. Предмет хранится в обычном инвентаре, не участвует в расчёте нагрузки/вместимости; отдельные экземпляры не сливаются автоматически. Снимок уровня сохраняет расчётную прочность 20×L кг и липкость 5×L кг/см². После удаления Паука готовый предмет сохраняется.\nОбычный инвентарь; передача/выбрасывание/мародёрство разрешены общими операциями. Готовый предмет сохраняется после удаления Паука.","playerCommandCombat":false,"playerCommandPeace":true,"priority":100,"sourceQuestionIds":"Q-SYM-048; Q-PREDEV-010; USR-2026-07-30-WEB-001","sourceRuleIds":["SYM-117"],"speciesKey":"SPIDER","status":"ACTIVE"}</t>
  </si>
  <si>
    <t xml:space="preserve">581d3ade1814f0c23d0894c1c8162694d2d4d025982208835988b3b18681e08f</t>
  </si>
  <si>
    <t xml:space="preserve">{"abilityId":"SYM-118","abilityKind":"PASSIVE_OR_AUTOMATIC","automationStatus":"AUTOMATED_ACCEPTED","combatAllowed":true,"combatBehavior":"Разрешается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ходы.\n\n[SYM-118] Перемещение по паутине\nразрешить безопасное движение по паутине в любых направлениях, независимо от создателя нити.","idUnique":1,"nameRu":"Перемещение по паутине","nodeRef":"SYM-118","peaceAllowed":false,"peaceBehavior":"Игрок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боя.","playerCommandCombat":false,"playerCommandPeace":false,"priority":10,"sourceQuestionIds":"","sourceRuleIds":["SYM-118"],"speciesKey":"SPIDER","status":"ACTIVE"}</t>
  </si>
  <si>
    <t xml:space="preserve">2bd7a72593bbf5ab4c827da9024213a4d060f1082d7486c8d2993abaf757afa7</t>
  </si>
  <si>
    <t xml:space="preserve">{"abilityId":"SYM-120","abilityKind":"PLAYER_COMMAND","automationStatus":"AUTOMATED_ACCEPTED","combatAllowed":true,"combatBehavior":"Разрешается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ходы.\n\n[SYM-120] Выстрел паутиной\nНормативная база (действует во всей непротиворечащей части):\nR≥3: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освобождения.\nПриоритетные авторские дельты (заменяют только прямо пересекающиеся ветви):\n[Q-SYM-050]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проверке.","idUnique":1,"nameRu":"Выстрел паутиной","nodeRef":"SYM-120","peaceAllowed":false,"peaceBehavior":"Игрок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боя.","playerCommandCombat":true,"playerCommandPeace":false,"priority":10,"sourceQuestionIds":"Q-SYM-050","sourceRuleIds":["SYM-120"],"speciesKey":"SPIDER","status":"ACTIVE"}</t>
  </si>
  <si>
    <t xml:space="preserve">2e889e6644c856c211a4017bb0dd72d62f3a562c76a2076e1e7946a4154cf1b9</t>
  </si>
  <si>
    <t xml:space="preserve">{"abilityId":"SYM-121","abilityKind":"PLAYER_COMMAND","automationStatus":"AUTOMATED_ACCEPTED","combatAllowed":true,"combatBehavior":"Разрешается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ходы.\n\n[SYM-121] Ловчая сеть\nНормативная база (действует во всей непротиворечащей части):\nR≥3: выстрелить сетью 2×2 м; при попадании цель получает −5 ко всем проверкам до освобождения. R=2: нет эффекта. R=1: руки носителя скованы на 20 минут/4 хода.\nПриоритетные авторские дельты (заменяют только прямо пересекающиеся ветви):\n[Q-SYM-050]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проверке.","idUnique":1,"nameRu":"Ловчая сеть","nodeRef":"SYM-121","peaceAllowed":false,"peaceBehavior":"Игрок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боя.","playerCommandCombat":true,"playerCommandPeace":false,"priority":10,"sourceQuestionIds":"Q-SYM-050","sourceRuleIds":["SYM-121"],"speciesKey":"SPIDER","status":"ACTIVE"}</t>
  </si>
  <si>
    <t xml:space="preserve">26f625cc3dbe4de0694db6981d60318618d4a777d94fd0fe6e34b55e6844db48</t>
  </si>
  <si>
    <t xml:space="preserve">{"abilityId":"SYM-122","abilityKind":"PASSIVE_OR_AUTOMATIC","automationStatus":"AUTOMATED_ACCEPTED","combatAllowed":true,"combatBehavior":"Разрешается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ходы.\n\n[SYM-122] Паучья ловкость\nD=D_base+L; при гибели/удалении вернуть базовую.","idUnique":1,"nameRu":"Паучья ловкость","nodeRef":"SYM-122","peaceAllowed":true,"peaceBehavior":"Мирная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части.\n\n[SYM-122] Паучья ловкость\nD=D_base+L; при гибели/удалении вернуть базовую.","playerCommandCombat":false,"playerCommandPeace":false,"priority":10,"sourceQuestionIds":"","sourceRuleIds":["SYM-122"],"speciesKey":"SPIDER","status":"ACTIVE"}</t>
  </si>
  <si>
    <t xml:space="preserve">a010ca084ff599f73e18768e00f88a682653bffe6a90b697afaaec06d98d5ce2</t>
  </si>
  <si>
    <t xml:space="preserve">{"abilityId":"SYM-124","abilityKind":"HYBRID_COMMAND_AND_TRIGGER","automationStatus":"AUTOMATED_ACCEPTED","combatAllowed":true,"combatBehavior":"Разрешается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ходы.\n\n[SYM-124] Статическая маскировка\nНормативная база (действует во всей непротиворечащей части):\nR≥3: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C-проверкам.\nПриоритетные авторские дельты (заменяют только прямо пересекающиеся ветви):\n[Q-SYM-051]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скрыться.","idUnique":1,"nameRu":"Статическая маскировка","nodeRef":"SYM-124","peaceAllowed":false,"peaceBehavior":"Игрок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боя.","playerCommandCombat":true,"playerCommandPeace":false,"priority":10,"sourceQuestionIds":"Q-SYM-051","sourceRuleIds":["SYM-124"],"speciesKey":"CHAMELEON","status":"ACTIVE"}</t>
  </si>
  <si>
    <t xml:space="preserve">9394fb080064488822af2dbbec8ca68a30f05b7401af800901c3480e0184aee8</t>
  </si>
  <si>
    <t xml:space="preserve">{"abilityId":"SYM-125","abilityKind":"PASSIVE_OR_AUTOMATIC","automationStatus":"AUTOMATED_ACCEPTED","combatAllowed":true,"combatBehavior":"Разрешается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ходы.\n\n[SYM-125] Атака из засады\nНормативная база (действует во всей непротиворечащей части):\nдобавить +L к меткости.\nПриоритетные авторские дельты (заменяют только прямо пересекающиеся ветви):\n[Q-SYM-051]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скрыться.","idUnique":1,"nameRu":"Атака из засады","nodeRef":"SYM-125","peaceAllowed":false,"peaceBehavior":"Игрок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боя.","playerCommandCombat":false,"playerCommandPeace":false,"priority":10,"sourceQuestionIds":"Q-SYM-051","sourceRuleIds":["SYM-125"],"speciesKey":"CHAMELEON","status":"ACTIVE"}</t>
  </si>
  <si>
    <t xml:space="preserve">e1c4905cdaad8264f78fb29f96e4593f6ef46595294c65de57c2a11fddeeacf5</t>
  </si>
  <si>
    <t xml:space="preserve">{"abilityId":"SYM-126","abilityKind":"PASSIVE_OR_AUTOMATIC","automationStatus":"AUTOMATED_ACCEPTED","combatAllowed":true,"combatBehavior":"Разрешается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ходы.\n\n[SYM-126] Двойной фокус внимания\nНормативная база (действует во всей непротиворечащей части):\nдобавить +L.\nПриоритетные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подавляется.","idUnique":1,"nameRu":"Двойной фокус внимания","nodeRef":"SYM-126","peaceAllowed":true,"peaceBehavior":"Мирная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части.\n\n[SYM-126] Двойной фокус внимания\nНормативная база (действует во всей непротиворечащей части):\nдобавить +L.\nПриоритетные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подавляется.","playerCommandCombat":false,"playerCommandPeace":false,"priority":10,"sourceQuestionIds":"Q-SYM-021","sourceRuleIds":["SYM-126"],"speciesKey":"CHAMELEON","status":"ACTIVE"}</t>
  </si>
  <si>
    <t xml:space="preserve">99ff6ed7750f99c65aaaf6503bf604305ff8154facd16b416bc35deb7ca24fe5</t>
  </si>
  <si>
    <t xml:space="preserve">{"abilityId":"SYM-127","abilityKind":"HYBRID_COMMAND_AND_TRIGGER","automationStatus":"AUTOMATED_ACCEPTED","combatAllowed":true,"combatBehavior":"Разрешается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ходы.\n\n[SYM-127] Динамическая маскировка\nR≥4: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C-проверкам.","idUnique":1,"nameRu":"Динамическая маскировка","nodeRef":"SYM-127","peaceAllowed":false,"peaceBehavior":"Игрок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боя.","playerCommandCombat":true,"playerCommandPeace":false,"priority":10,"sourceQuestionIds":"","sourceRuleIds":["SYM-127"],"speciesKey":"CHAMELEON","status":"ACTIVE"}</t>
  </si>
  <si>
    <t xml:space="preserve">56b7527b691bf8d06416b869db4dfee87e24195b02eed44a80d721618a3eddd8</t>
  </si>
  <si>
    <t xml:space="preserve">{"abilityId":"SYM-128","abilityKind":"PASSIVE_OR_AUTOMATIC","automationStatus":"AUTOMATED_ACCEPTED","combatAllowed":true,"combatBehavior":"Разрешается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ходы.\n\n[SYM-128] Сокрытие оружия\nне применять штраф/деление эффекта за крупные предметы; распространять маскировку на любые удерживаемые объекты.","idUnique":1,"nameRu":"Сокрытие оружия","nodeRef":"SYM-128","peaceAllowed":true,"peaceBehavior":"Мирная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части.\n\n[SYM-128] Сокрытие оружия\nне применять штраф/деление эффекта за крупные предметы; распространять маскировку на любые удерживаемые объекты.","playerCommandCombat":false,"playerCommandPeace":false,"priority":10,"sourceQuestionIds":"","sourceRuleIds":["SYM-128"],"speciesKey":"CHAMELEON","status":"ACTIVE"}</t>
  </si>
  <si>
    <t xml:space="preserve">69abca725e74490e50398d8ab3a691aa13d821843952f5c93310180573652bb9</t>
  </si>
  <si>
    <t xml:space="preserve">{"abilityId":"SYM-129","abilityKind":"PLAYER_COMMAND","automationStatus":"AUTOMATED_ACCEPTED","combatAllowed":true,"combatBehavior":"Разрешается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ходы.\n\n[SYM-129] Внешняя фотосеть\nНормативная база (действует во всей непротиворечащей части):\nдать всем живым объектам в радиусе 4 м +L к скрытности.\nПриоритетные авторские дельты (заменяют только прямо пересекающиеся ветви):\n[Q-SYM-052]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L.","idUnique":1,"nameRu":"Внешняя фотосеть","nodeRef":"SYM-129","peaceAllowed":false,"peaceBehavior":"Игрок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боя.","playerCommandCombat":true,"playerCommandPeace":false,"priority":10,"sourceQuestionIds":"Q-SYM-052","sourceRuleIds":["SYM-129"],"speciesKey":"CHAMELEON","status":"ACTIVE"}</t>
  </si>
  <si>
    <t xml:space="preserve">41ac75e5cb79d699b3d5b7916908d3086bbe639e6b2dfd81950ea9da6ac82cc5</t>
  </si>
  <si>
    <t xml:space="preserve">{"abilityId":"SYM-131#MI_MI_MI","abilityKind":"PLAYER_COMMAND","automationStatus":"AUTOMATED_ACCEPTED","combatAllowed":true,"combatBehavior":"Разрешается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переход.","idUnique":1,"nameRu":"Ми-ми-ми","nodeRef":"SYM-131#MI_MI_MI","peaceAllowed":true,"peaceBehavior":"Мирная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переход.","playerCommandCombat":true,"playerCommandPeace":true,"priority":10,"sourceQuestionIds":"Q-SYM-053","sourceRuleIds":["SYM-131"],"speciesKey":"PENGUIN","status":"ACTIVE"}</t>
  </si>
  <si>
    <t xml:space="preserve">02ec2faa61f7fb2c097a34b1453e21ef48e4b18d1175b8f83e10ba1ad49f7f35</t>
  </si>
  <si>
    <t xml:space="preserve">{"abilityId":"SYM-131#OH_NICE","abilityKind":"PLAYER_COMMAND","automationStatus":"AUTOMATED_ACCEPTED","combatAllowed":true,"combatBehavior":"Разрешается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переход.","idUnique":1,"nameRu":"Oh nice!","nodeRef":"SYM-131#OH_NICE","peaceAllowed":true,"peaceBehavior":"Мирная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переход.","playerCommandCombat":true,"playerCommandPeace":true,"priority":10,"sourceQuestionIds":"Q-SYM-053","sourceRuleIds":["SYM-131"],"speciesKey":"PENGUIN","status":"ACTIVE"}</t>
  </si>
  <si>
    <t xml:space="preserve">c6703a32b86a07f5baea9be653182db15946c12b1581c5932c4fb7a47e84e0ca</t>
  </si>
  <si>
    <t xml:space="preserve">{"abilityId":"SYM-131#BLACK_WHITE_FEAR","abilityKind":"PLAYER_COMMAND","automationStatus":"AUTOMATED_ACCEPTED","combatAllowed":true,"combatBehavior":"Разрешается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переход.","idUnique":1,"nameRu":"Чёрно-белый страх","nodeRef":"SYM-131#BLACK_WHITE_FEAR","peaceAllowed":true,"peaceBehavior":"Мирная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переход.","playerCommandCombat":true,"playerCommandPeace":true,"priority":10,"sourceQuestionIds":"Q-SYM-053","sourceRuleIds":["SYM-131"],"speciesKey":"PENGUIN","status":"ACTIVE"}</t>
  </si>
  <si>
    <t xml:space="preserve">7880351ceb60c24ba6d7d1d99dc4f73ca3f005d2302b9de44dd6a18a0d1898ff</t>
  </si>
  <si>
    <t xml:space="preserve">{"abilityId":"SYM-132","abilityKind":"PLAYER_COMMAND","automationStatus":"AUTOMATED_ACCEPTED","combatAllowed":true,"combatBehavior":"Разрешается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ходы.\n\n[SYM-132] Чёрно-белая ярость\nНормативная база (действует во всей непротиворечащей части):\nR≥4: цель получает +L S и +L D на R/5 минут/ходов. R=2–3: нет эффекта. R=1: цель в течение 1 хода пытается убить носителя Пингвина.\nПриоритетные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недопустимой.","idUnique":1,"nameRu":"Чёрно-белая ярость","nodeRef":"SYM-132","peaceAllowed":false,"peaceBehavior":"Игрок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боя.","playerCommandCombat":true,"playerCommandPeace":false,"priority":10,"sourceQuestionIds":"Q-SYM-005; Q-SYM-011; Q-SYM-054","sourceRuleIds":["SYM-132"],"speciesKey":"PENGUIN","status":"ACTIVE"}</t>
  </si>
  <si>
    <t xml:space="preserve">e6d4fe0c1639210eb69769e256ddb56b13835447384640cc2fccb185321912ac</t>
  </si>
  <si>
    <t xml:space="preserve">{"abilityId":"SYM-133","abilityKind":"PLAYER_COMMAND","automationStatus":"AUTOMATED_ACCEPTED","combatAllowed":true,"combatBehavior":"Разрешается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ходы.\n\n[SYM-133] Чёрно-белый контроль\nНормативная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переход.","idUnique":1,"nameRu":"Чёрно-белый контроль","nodeRef":"SYM-133","peaceAllowed":true,"peaceBehavior":"Мирная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части.\n\n[SYM-133] Чёрно-белый контроль\nНормативная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переход.","playerCommandCombat":true,"playerCommandPeace":true,"priority":10,"sourceQuestionIds":"Q-SYM-053","sourceRuleIds":["SYM-133"],"speciesKey":"PENGUIN","status":"ACTIVE"}</t>
  </si>
  <si>
    <t xml:space="preserve">1b5abcb7171868a158f5f639edb92481e6af6ce934fbdbff3944edcce27a716f</t>
  </si>
  <si>
    <t xml:space="preserve">{"abilityId":"SYM-134","abilityKind":"PLAYER_COMMAND","automationStatus":"AUTOMATED_ACCEPTED","combatAllowed":true,"combatBehavior":"Разрешается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ходы.\n\n[SYM-134] Чёрно-белое смещение\nНормативная база (действует во всей непротиворечащей части):\nA≥3: на A/4 минут/ходов увеличить радиус феромонов и дальность способностей на B метров. A=2: нет эффекта. A=1: запретить выработку феромонов на 3 часа.\nПриоритетные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эффекта.","idUnique":1,"nameRu":"Чёрно-белое смещение","nodeRef":"SYM-134","peaceAllowed":false,"peaceBehavior":"Игрок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боя.","playerCommandCombat":true,"playerCommandPeace":false,"priority":10,"sourceQuestionIds":"Q-SYM-005","sourceRuleIds":["SYM-134"],"speciesKey":"PENGUIN","status":"ACTIVE"}</t>
  </si>
  <si>
    <t xml:space="preserve">b61a3bea343b6e7a9c9ea122a6d945a96832e63ea2da65ae31ec2ee393e1efc7</t>
  </si>
  <si>
    <t xml:space="preserve">{"abilityId":"SYM-135","abilityKind":"PLAYER_COMMAND","automationStatus":"AUTOMATED_ACCEPTED","combatAllowed":true,"combatBehavior":"Разрешается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ходы.\n\n[SYM-135] Чёрно-белое доминирование\nНормативная база (действует во всей непротиворечащей части):\nR≥3: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дерева.","idUnique":1,"nameRu":"Чёрно-белое доминирование","nodeRef":"SYM-135","peaceAllowed":true,"peaceBehavior":"Мирная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части.\n\n[SYM-135] Чёрно-белое доминирование\nНормативная база (действует во всей непротиворечащей части):\nR≥3: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дерева.","playerCommandCombat":true,"playerCommandPeace":true,"priority":10,"sourceQuestionIds":"Q-SYM-005; Q-SYM-055","sourceRuleIds":["SYM-135"],"speciesKey":"PENGUIN","status":"ACTIVE"}</t>
  </si>
  <si>
    <t xml:space="preserve">eb2cd80c7bb01c021cfe3225cdcbee1a1fd33f7fa32abe2ffc845907477fcca9</t>
  </si>
  <si>
    <t xml:space="preserve">{"abilityId":"SYM-137","abilityKind":"PLAYER_COMMAND","automationStatus":"AUTOMATED_ACCEPTED","combatAllowed":true,"combatBehavior":"Разрешается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ходы.\n\n[SYM-137] Контактный шокер\nНормативная база (действует во всей непротиворечащей части):\nноситель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срок.\nПриоритетные авторские дельты (заменяют только прямо пересекающиеся ветви):\n[Q-SYM-056] При промахе носитель получает и отдельный обратный урон R20 и все. Специальное последствие натуральной 1 применяется дополнительно по своему тексту.","idUnique":1,"nameRu":"Контактный шокер","nodeRef":"SYM-137","peaceAllowed":false,"peaceBehavior":"Игрок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боя.","playerCommandCombat":true,"playerCommandPeace":false,"priority":10,"sourceQuestionIds":"Q-SYM-056","sourceRuleIds":["SYM-137"],"speciesKey":"EEL","status":"ACTIVE"}</t>
  </si>
  <si>
    <t xml:space="preserve">ed80682083b7a27dfe2d89809f5a86242d7aa90b21b527dbd6d35ea6c301a904</t>
  </si>
  <si>
    <t xml:space="preserve">{"abilityId":"SYM-138","abilityKind":"PASSIVE_OR_AUTOMATIC","automationStatus":"AUTOMATED_ACCEPTED","combatAllowed":true,"combatBehavior":"Разрешается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ходы.\n\n[SYM-138] Проводник\nдобавить +L к урону.","idUnique":1,"nameRu":"Проводник","nodeRef":"SYM-138","peaceAllowed":false,"peaceBehavior":"Игрок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боя.","playerCommandCombat":false,"playerCommandPeace":false,"priority":10,"sourceQuestionIds":"","sourceRuleIds":["SYM-138"],"speciesKey":"EEL","status":"ACTIVE"}</t>
  </si>
  <si>
    <t xml:space="preserve">0958427d256361b1525293b785058be5ecd9e274730b05bc5effe892215a889d</t>
  </si>
  <si>
    <t xml:space="preserve">{"abilityId":"SYM-139","abilityKind":"HYBRID_COMMAND_AND_TRIGGER","automationStatus":"AUTOMATED_ACCEPTED","combatAllowed":true,"combatBehavior":"Разрешается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ходы.\n\n[SYM-139] Электрическая дуга\nНормативная база (действует во всей непротиворечащей части):\nв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урона.\nПриоритетные авторские дельты (заменяют только прямо пересекающиеся ветви):\n[Q-SYM-057]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недееспособности.","idUnique":1,"nameRu":"Электрическая дуга","nodeRef":"SYM-139","peaceAllowed":false,"peaceBehavior":"Игрок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боя.","playerCommandCombat":true,"playerCommandPeace":false,"priority":10,"sourceQuestionIds":"Q-SYM-057","sourceRuleIds":["SYM-139"],"speciesKey":"EEL","status":"ACTIVE"}</t>
  </si>
  <si>
    <t xml:space="preserve">7f4b625730ac45b7aebdf411b24798ac858acae3b1d8d1f7a75c2484f2b31314</t>
  </si>
  <si>
    <t xml:space="preserve">{"abilityId":"SYM-140","abilityKind":"PASSIVE_OR_AUTOMATIC","automationStatus":"AUTOMATED_ACCEPTED","combatAllowed":true,"combatBehavior":"Разрешается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ходы.\n\n[SYM-140] Шаровая молния\nпосле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SYM-137.","idUnique":1,"nameRu":"Шаровая молния","nodeRef":"SYM-140","peaceAllowed":false,"peaceBehavior":"Игрок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боя.","playerCommandCombat":false,"playerCommandPeace":false,"priority":10,"sourceQuestionIds":"","sourceRuleIds":["SYM-140"],"speciesKey":"EEL","status":"ACTIVE"}</t>
  </si>
  <si>
    <t xml:space="preserve">d1395f13771f6482fce570958edcbf74ddec28aa3481bca1156e0948efd4c9f1</t>
  </si>
  <si>
    <t xml:space="preserve">{"abilityId":"SYM-141","abilityKind":"PASSIVE_OR_AUTOMATIC","automationStatus":"AUTOMATED_ACCEPTED","combatAllowed":true,"combatBehavior":"Разрешается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ходы.\n\n[SYM-141] Молния\nноситель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прекращается.","idUnique":1,"nameRu":"Молния","nodeRef":"SYM-141","peaceAllowed":false,"peaceBehavior":"Игрок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боя.","playerCommandCombat":false,"playerCommandPeace":false,"priority":10,"sourceQuestionIds":"","sourceRuleIds":["SYM-141"],"speciesKey":"EEL","status":"ACTIVE"}</t>
  </si>
  <si>
    <t xml:space="preserve">ad7db482a4c84e519ee0490ede04d7f991c3b201593ba2b39e215cc3019c1ec8</t>
  </si>
  <si>
    <t xml:space="preserve">{"abilityId":"SYM-142","abilityKind":"HYBRID_COMMAND_AND_TRIGGER","automationStatus":"AUTOMATED_ACCEPTED","combatAllowed":true,"combatBehavior":"Разрешается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ходы.\n\n[SYM-142] Цепная молния\nНормативная база (действует во всей непротиворечащей части):\nв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час.\nПриоритетные авторские дельты (заменяют только прямо пересекающиеся ветви):\n[Q-SYM-058]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возвращаются.","idUnique":1,"nameRu":"Цепная молния","nodeRef":"SYM-142","peaceAllowed":false,"peaceBehavior":"Игрок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боя.","playerCommandCombat":true,"playerCommandPeace":false,"priority":10,"sourceQuestionIds":"Q-SYM-058","sourceRuleIds":["SYM-142"],"speciesKey":"EEL","status":"ACTIVE"}</t>
  </si>
  <si>
    <t xml:space="preserve">dabf0864cbb4ae98088b88623b4283a4c4403670aa529057e39a64928e6c3dd0</t>
  </si>
  <si>
    <t xml:space="preserve">{"abilityId":"SYM-144","abilityKind":"PLAYER_COMMAND","automationStatus":"AUTOMATED_ACCEPTED","combatAllowed":true,"combatBehavior":"Разрешается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ходы.\n\n[SYM-144] Иммунитет к ядам\nотменить урон от яда; отменить эффекты контроля, вызванные ядами или отварами, включая обезболивание.","idUnique":1,"nameRu":"Иммунитет к ядам","nodeRef":"SYM-144","peaceAllowed":true,"peaceBehavior":"Мирная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части.\n\n[SYM-144] Иммунитет к ядам\nотменить урон от яда; отменить эффекты контроля, вызванные ядами или отварами, включая обезболивание.","playerCommandCombat":true,"playerCommandPeace":false,"priority":10,"sourceQuestionIds":"","sourceRuleIds":["SYM-144"],"speciesKey":"TOAD","status":"ACTIVE"}</t>
  </si>
  <si>
    <t xml:space="preserve">d9766e294bf612ebe968aaacfb60a1441a9332b414b3b066da057218d574a8b4</t>
  </si>
  <si>
    <t xml:space="preserve">{"abilityId":"SYM-145","abilityKind":"PLAYER_COMMAND","automationStatus":"AUTOMATED_ACCEPTED","combatAllowed":true,"combatBehavior":"Разрешается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ходы.\n\n[SYM-145] Оптимизация метаболизма\nвременно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сна.","idUnique":1,"nameRu":"Оптимизация метаболизма","nodeRef":"SYM-145","peaceAllowed":false,"peaceBehavior":"Игрок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боя.","playerCommandCombat":true,"playerCommandPeace":false,"priority":10,"sourceQuestionIds":"","sourceRuleIds":["SYM-145"],"speciesKey":"TOAD","status":"ACTIVE"}</t>
  </si>
  <si>
    <t xml:space="preserve">6fd58caf7968bb34d52c2d094a64060c21a0b7293b1d6b70b345d325088e82dd</t>
  </si>
  <si>
    <t xml:space="preserve">{"abilityId":"SYM-147","abilityKind":"PASSIVE_OR_AUTOMATIC","automationStatus":"AUTOMATED_ACCEPTED","combatAllowed":true,"combatBehavior":"Разрешается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ходы.\n\n[SYM-147] Язык жабы\nНормативная база (действует во всей непротиворечащей части):\nпри успешном касании доставить текущий яд; язык нельзя захватить.\nПриоритетные авторские дельты (заменяют только прямо пересекающиеся ветви):\n[Q-SYM-059] В Windows-приложении мы не обрабатываем этот эффект","idUnique":1,"nameRu":"Язык жабы","nodeRef":"SYM-147","peaceAllowed":false,"peaceBehavior":"Игрок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боя.","playerCommandCombat":false,"playerCommandPeace":false,"priority":10,"sourceQuestionIds":"Q-SYM-059","sourceRuleIds":["SYM-147"],"speciesKey":"TOAD","status":"ACTIVE"}</t>
  </si>
  <si>
    <t xml:space="preserve">74008427f98a5678fdfdbbee65e462a51eba2f35570f608a8ac6bff3e68ca506</t>
  </si>
  <si>
    <t xml:space="preserve">{"abilityId":"SYM-148","abilityKind":"HYBRID_COMMAND_AND_TRIGGER","automationStatus":"AUTOMATED_ACCEPTED","combatAllowed":true,"combatBehavior":"Разрешается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ходы.\n\n[SYM-148] На, держи\nотключить всех симбионтов цели на 5 минут/1 ход.","idUnique":1,"nameRu":"На, держи","nodeRef":"SYM-148","peaceAllowed":false,"peaceBehavior":"Игрок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боя.","playerCommandCombat":true,"playerCommandPeace":false,"priority":10,"sourceQuestionIds":"","sourceRuleIds":["SYM-148"],"speciesKey":"TOAD","status":"ACTIVE"}</t>
  </si>
  <si>
    <t xml:space="preserve">f8585bf367385ce88d16748a0d75eeb2fe0530e70234386d778b95de6f77b279</t>
  </si>
  <si>
    <t xml:space="preserve">{"abilityId":"SYM-149","abilityKind":"PASSIVE_OR_AUTOMATIC","automationStatus":"AUTOMATED_ACCEPTED","combatAllowed":true,"combatBehavior":"Разрешается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ходы.\n\n[SYM-149] Живучесть жабы\nmaxHP +=10L; при гибели/удалении убрать бонус и ограничить текущий HP новым максимумом по общему правилу.","idUnique":1,"nameRu":"Живучесть жабы","nodeRef":"SYM-149","peaceAllowed":true,"peaceBehavior":"Мирная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части.\n\n[SYM-149] Живучесть жабы\nmaxHP +=10L; при гибели/удалении убрать бонус и ограничить текущий HP новым максимумом по общему правилу.","playerCommandCombat":false,"playerCommandPeace":false,"priority":10,"sourceQuestionIds":"","sourceRuleIds":["SYM-149"],"speciesKey":"TOAD","status":"ACTIVE"}</t>
  </si>
  <si>
    <t xml:space="preserve">626d4072d51bd56e103bc830847e54821353e67c7d54f9ad0fc4c32fd46c0c43</t>
  </si>
  <si>
    <t xml:space="preserve">{"abilityId":"SYM-150","abilityKind":"PASSIVE_OR_AUTOMATIC","automationStatus":"AUTOMATED_ACCEPTED","combatAllowed":true,"combatBehavior":"Разрешается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ходы.\n\n[SYM-150] Амфибиоморфная асфиксия\nпри успешном попадании и пробитии поставить таймер; по истечении сравнить результаты. Если R20+5 &gt; checkM_target, цель теряет сознание на 5 минут/1 ход.","idUnique":1,"nameRu":"Амфибиоморфная асфиксия","nodeRef":"SYM-150","peaceAllowed":false,"peaceBehavior":"Игрок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боя.","playerCommandCombat":false,"playerCommandPeace":false,"priority":10,"sourceQuestionIds":"","sourceRuleIds":["SYM-150"],"speciesKey":"TOAD","status":"ACTIVE"}</t>
  </si>
  <si>
    <t xml:space="preserve">8f41137742125e491aa7eb4f467946f5f6752ab1edfaeeebd14b6928ce8820f3</t>
  </si>
  <si>
    <t xml:space="preserve">{"abilityId":"SYM-152","abilityKind":"HYBRID_COMMAND_AND_TRIGGER","automationStatus":"AUTOMATED_ACCEPTED","combatAllowed":true,"combatBehavior":"Разрешается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ходы.\n\n[SYM-152] Самостоятельность: выход и боевой субъект\nНормативная база (действует во всей непротиворечащей части):\nсоздать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носителя.\nПриоритетные авторские дельты (заменяют только прямо пересекающиеся ветви):\n[Q-SYM-060]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недоступны.\n\n[SYM-153] Самостоятельность: гибель и перерождение\nесли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недоступны.","idUnique":1,"nameRu":"Самостоятельность","nodeRef":"SYM-152","peaceAllowed":true,"peaceBehavior":"Мирная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части.\n\n[SYM-152] Самостоятельность: выход и боевой субъект\nНормативная база (действует во всей непротиворечащей части):\nсоздать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носителя.\nПриоритетные авторские дельты (заменяют только прямо пересекающиеся ветви):\n[Q-SYM-060]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недоступны.\n\n[SYM-153] Самостоятельность: гибель и перерождение\nесли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недоступны.","playerCommandCombat":true,"playerCommandPeace":true,"priority":80,"sourceQuestionIds":"Q-SYM-060; Q-PREDEV-003","sourceRuleIds":["SYM-152","SYM-153"],"speciesKey":"RAT","status":"ACTIVE"}</t>
  </si>
  <si>
    <t xml:space="preserve">60a93d38a616e158c47251ec8597cccc1aa9c1a7e224b8b27d599b876e179f67</t>
  </si>
  <si>
    <t xml:space="preserve">{"abilityId":"SYM-154","abilityKind":"PASSIVE_OR_AUTOMATIC","automationStatus":"AUTOMATED_ACCEPTED","combatAllowed":true,"combatBehavior":"Разрешается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ходы.\n\n[SYM-154] Я буду твоими глазами\nНормативная база (действует во всей непротиворечащей части):\nнемедленно сделать информацию доступной носителю.\nПриоритетные авторские дельты (заменяют только прямо пересекающиеся ветви):\n[Q-SYM-061] Не ограничена","idUnique":1,"nameRu":"Я буду твоими глазами","nodeRef":"SYM-154","peaceAllowed":false,"peaceBehavior":"Игрок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боя.","playerCommandCombat":false,"playerCommandPeace":false,"priority":10,"sourceQuestionIds":"Q-SYM-061","sourceRuleIds":["SYM-154"],"speciesKey":"RAT","status":"ACTIVE"}</t>
  </si>
  <si>
    <t xml:space="preserve">681d103c01f452838946c6cfd66466722e5b2d7ce779402bc7a16d03b40ad307</t>
  </si>
  <si>
    <t xml:space="preserve">{"abilityId":"SYM-155","abilityKind":"PASSIVE_OR_AUTOMATIC","automationStatus":"AUTOMATED_ACCEPTED","combatAllowed":true,"combatBehavior":"Разрешается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ходы.\n\n[SYM-155] Ловкость крысы\nдобавить бонус 2L; итоговая D Крысы при отсутствии иных модификаторов =4L.\n[v1.4]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недоступны.","idUnique":1,"nameRu":"Ловкость крысы","nodeRef":"SYM-155","peaceAllowed":true,"peaceBehavior":"Мирная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части.\n\n[SYM-155] Ловкость крысы\nдобавить бонус 2L; итоговая D Крысы при отсутствии иных модификаторов =4L.\n[v1.4]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недоступны.","playerCommandCombat":false,"playerCommandPeace":false,"priority":80,"sourceQuestionIds":"Q-PREDEV-003","sourceRuleIds":["SYM-155"],"speciesKey":"RAT","status":"ACTIVE"}</t>
  </si>
  <si>
    <t xml:space="preserve">80bdd399f04591592fe1ba872d0553ca869a635059ce57fcea179c305dc5135c</t>
  </si>
  <si>
    <t xml:space="preserve">{"abilityId":"SYM-156","abilityKind":"PASSIVE_OR_AUTOMATIC","automationStatus":"AUTOMATED_ACCEPTED","combatAllowed":true,"combatBehavior":"Разрешается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ходы.\n\n[SYM-156] Переносчик заразы\nдобавить +L к урону укуса.","idUnique":1,"nameRu":"Переносчик заразы","nodeRef":"SYM-156","peaceAllowed":false,"peaceBehavior":"Игрок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боя.","playerCommandCombat":false,"playerCommandPeace":false,"priority":10,"sourceQuestionIds":"","sourceRuleIds":["SYM-156"],"speciesKey":"RAT","status":"ACTIVE"}</t>
  </si>
  <si>
    <t xml:space="preserve">da0fee896e002df023466db83f3869e32bde33acc919fcaeabf460f34d68f200</t>
  </si>
  <si>
    <t xml:space="preserve">{"abilityId":"SYM-157","abilityKind":"PASSIVE_OR_AUTOMATIC","automationStatus":"AUTOMATED_ACCEPTED","combatAllowed":true,"combatBehavior":"Разрешается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ходы.\n\n[SYM-157] Первый среди равных: стая\nНормативная база (действует во всей непротиворечащей части):\nодна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отступает.\nПриоритетные авторские дельты (заменяют только прямо пересекающиеся ветви):\n[Q-SYM-062]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отклоняются.","idUnique":1,"nameRu":"Первый среди равных","nodeRef":"SYM-157","peaceAllowed":false,"peaceBehavior":"Игрок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боя.","playerCommandCombat":false,"playerCommandPeace":false,"priority":80,"sourceQuestionIds":"Q-SYM-062; Q-PREDEV-003","sourceRuleIds":["SYM-157"],"speciesKey":"RAT","status":"ACTIVE"}</t>
  </si>
  <si>
    <t xml:space="preserve">61a014c71cb130f519548f45de7a9c56e4ba3c078ffee89750e6a8d8fc29f241</t>
  </si>
  <si>
    <t xml:space="preserve">{"abilityId":"SYM-158","abilityKind":"PASSIVE_OR_AUTOMATIC","automationStatus":"AUTOMATED_ACCEPTED","combatAllowed":true,"combatBehavior":"Разрешается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ходы.\n\n[SYM-158] Подобное к подобному\nпрямой урон R20+L, пробитие L; считать рукопашной атакой; разрешить как опцию после захвата в борьбе.","idUnique":1,"nameRu":"Подобное к подобному","nodeRef":"SYM-158","peaceAllowed":false,"peaceBehavior":"Игрок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боя.","playerCommandCombat":false,"playerCommandPeace":false,"priority":10,"sourceQuestionIds":"","sourceRuleIds":["SYM-158"],"speciesKey":"RAT","status":"ACTIVE"}</t>
  </si>
  <si>
    <t xml:space="preserve">28b4a9d0eddeb6e454beb16a1295e692094da344d54db32d8c662383b5737cfb</t>
  </si>
  <si>
    <t xml:space="preserve">{"abilityId":"SYM-159","abilityKind":"PASSIVE_OR_AUTOMATIC","automationStatus":"AUTOMATED_ACCEPTED","combatAllowed":true,"combatBehavior":"Разрешается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ходы.\n\n[SYM-159] Крысиный король\nНормативная база (действует во всей непротиворечащей части):\nзаменить порог отступления 30% на 60% исходного состава.\nПриоритетные авторские дельты (заменяют только прямо пересекающиеся ветви):\n[Q-SYM-062]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отклоняются.","idUnique":1,"nameRu":"Крысиный король","nodeRef":"SYM-159","peaceAllowed":false,"peaceBehavior":"Игрок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боя.","playerCommandCombat":false,"playerCommandPeace":false,"priority":80,"sourceQuestionIds":"Q-SYM-062; Q-PREDEV-003","sourceRuleIds":["SYM-159"],"speciesKey":"RAT","status":"ACTIVE"}</t>
  </si>
  <si>
    <t xml:space="preserve">4017da696973f3382a4bc27038cd25c2c6bfa786d1dc7da4337aed9df0203745</t>
  </si>
  <si>
    <t xml:space="preserve">{"abilityId":"SYM-160","abilityKind":"PLAYER_COMMAND","automationStatus":"AUTOMATED_ACCEPTED","combatAllowed":true,"combatBehavior":"Разрешается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ходы.\n\n[SYM-160] Ретранслятор\nсохранить контроль за носителем на сутки; стая выполняет приказ невзирая на любые потери; по окончании стая неизбежно разбегается.\n[v1.4]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отклоняются.","idUnique":1,"nameRu":"Ретранслятор","nodeRef":"SYM-160","peaceAllowed":true,"peaceBehavior":"Мирная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части.\n\n[SYM-160] Ретранслятор\nсохранить контроль за носителем на сутки; стая выполняет приказ невзирая на любые потери; по окончании стая неизбежно разбегается.\n[v1.4]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отклоняются.","playerCommandCombat":true,"playerCommandPeace":false,"priority":80,"sourceQuestionIds":"Q-PREDEV-003","sourceRuleIds":["SYM-160"],"speciesKey":"RAT","status":"ACTIVE"}</t>
  </si>
  <si>
    <t xml:space="preserve">1515dabd1d0f104c6276f9c97c407d8d4830df5c650de4b0f322451e4924e18c</t>
  </si>
  <si>
    <t xml:space="preserve">{"abilityId":"SYM-162","abilityKind":"PASSIVE_OR_AUTOMATIC","automationStatus":"AUTOMATED_ACCEPTED","combatAllowed":true,"combatBehavior":"Разрешается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ходы.\n\n[SYM-162] Трансцендентность\nповысить I на 5L, но не выше 30; при удалении/гибели вернуть исходное.","idUnique":1,"nameRu":"Трансцендентность","nodeRef":"SYM-162","peaceAllowed":true,"peaceBehavior":"Мирная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части.\n\n[SYM-162] Трансцендентность\nповысить I на 5L, но не выше 30; при удалении/гибели вернуть исходное.","playerCommandCombat":false,"playerCommandPeace":false,"priority":10,"sourceQuestionIds":"","sourceRuleIds":["SYM-162"],"speciesKey":"DOLPHIN","status":"ACTIVE"}</t>
  </si>
  <si>
    <t xml:space="preserve">7e418887797186c1eef69040b4759b1c88408c51fd16241ab9518e3e546f39f4</t>
  </si>
  <si>
    <t xml:space="preserve">{"abilityId":"SYM-163","abilityKind":"PLAYER_COMMAND","automationStatus":"AUTOMATED_ACCEPTED","combatAllowed":true,"combatBehavior":"Разрешается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ходы.\n\n[SYM-163] Эхолокация\nНормативная база (действует во всей непротиворечащей части):\nесли объект под водой — гарантированно получить план местности/объектов; иначе успех, если R20 &gt; 12−L.\nПриоритетные авторские дельты (заменяют только прямо пересекающиеся ветви):\n[Q-SYM-063]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хода","idUnique":1,"nameRu":"Эхолокация","nodeRef":"SYM-163","peaceAllowed":false,"peaceBehavior":"Игрок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боя.","playerCommandCombat":true,"playerCommandPeace":false,"priority":10,"sourceQuestionIds":"Q-SYM-063","sourceRuleIds":["SYM-163"],"speciesKey":"DOLPHIN","status":"ACTIVE"}</t>
  </si>
  <si>
    <t xml:space="preserve">6358b5c0d4ca4346a1679e6eba11987655710588782292693cf425eb795950b3</t>
  </si>
  <si>
    <t xml:space="preserve">{"abilityId":"SYM-164","abilityKind":"PASSIVE_OR_AUTOMATIC","automationStatus":"AUTOMATED_ACCEPTED","combatAllowed":true,"combatBehavior":"Разрешается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ходы.\n\n[SYM-164] Море — второй дом\nдобавить 30 минут к максимальной задержке дыхания; +10 к плаванию.","idUnique":1,"nameRu":"Море — второй дом","nodeRef":"SYM-164","peaceAllowed":true,"peaceBehavior":"Мирная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части.\n\n[SYM-164] Море — второй дом\nдобавить 30 минут к максимальной задержке дыхания; +10 к плаванию.","playerCommandCombat":false,"playerCommandPeace":false,"priority":10,"sourceQuestionIds":"","sourceRuleIds":["SYM-164"],"speciesKey":"DOLPHIN","status":"ACTIVE"}</t>
  </si>
  <si>
    <t xml:space="preserve">0e443da8e1f1a129ed98442dbbc29c9baf591ab130f11e946c39ee3b4d195fde</t>
  </si>
  <si>
    <t xml:space="preserve">{"abilityId":"SYM-165","abilityKind":"PASSIVE_OR_AUTOMATIC","automationStatus":"AUTOMATED_ACCEPTED","combatAllowed":true,"combatBehavior":"Разрешается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ходы.\n\n[SYM-165] Ментальный компас: боевая часть\nдобавить +10; при успешной защите гарантированно раскрыть источник и его местоположение.","idUnique":1,"nameRu":"Ментальный компас","nodeRef":"SYM-165","peaceAllowed":false,"peaceBehavior":"Игрок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боя.","playerCommandCombat":false,"playerCommandPeace":false,"priority":10,"sourceQuestionIds":"","sourceRuleIds":["SYM-165"],"speciesKey":"DOLPHIN","status":"ACTIVE"}</t>
  </si>
  <si>
    <t xml:space="preserve">cf0e3d06b59630ef02d934495ed04e2c87006a02ae648b0162a6995130be5a7e</t>
  </si>
  <si>
    <t xml:space="preserve">{"abilityId":"SYM-166","abilityKind":"PASSIVE_OR_AUTOMATIC","automationStatus":"AUTOMATED_ACCEPTED","combatAllowed":true,"combatBehavior":"Разрешается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ходы.\n\n[SYM-166] Мирный воин: исполняемая часть\nдобавить +5 к любой проверке сопротивления харизме; добавить 5 слотов навыков.","idUnique":1,"nameRu":"Мирный воин","nodeRef":"SYM-166","peaceAllowed":true,"peaceBehavior":"Мирная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части.\n\n[SYM-166] Мирный воин: исполняемая часть\nдобавить +5 к любой проверке сопротивления харизме; добавить 5 слотов навыков.","playerCommandCombat":false,"playerCommandPeace":false,"priority":10,"sourceQuestionIds":"","sourceRuleIds":["SYM-166"],"speciesKey":"DOLPHIN","status":"ACTIVE"}</t>
  </si>
  <si>
    <t xml:space="preserve">6bf7a32372b5394cb3f1fa55620bc8b7ebe3dd16368e7f2e631f9c0e15941148</t>
  </si>
  <si>
    <t xml:space="preserve">{"abilityId":"SYM-168","abilityKind":"PLAYER_COMMAND","automationStatus":"AUTOMATED_ACCEPTED","combatAllowed":true,"combatBehavior":"Разрешается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ходы.\n\n[SYM-168] Зазубренные клинки\nНормативная база (действует во всей непротиворечащей части):\nпри каждой новой атаке бросить один R; защита цели получает штраф L; урон=R+L+S_mod, пробитие=R+L; точность модифицирует D; общий модификатор — фехтование.\nПриоритетные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атаки.","idUnique":1,"nameRu":"Зазубренные клинки","nodeRef":"SYM-168","peaceAllowed":true,"peaceBehavior":"Вне боя складывание обоих клинков занимает 20 секунд. Отдельной бесплатной командой без продвижения времени можно разложить один выбранный или оба взведённых клинка; снимается только подготовленный бонус (Q-APP-003).\n\n[SYM-168] Зазубренные клинки\nНормативная база (действует во всей непротиворечащей части):\nпри каждой новой атаке бросить один R; защита цели получает штраф L; урон=R+L+S_mod, пробитие=R+L; точность модифицирует D; общий модификатор — фехтование.\nПриоритетные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атаки.","playerCommandCombat":true,"playerCommandPeace":true,"priority":10,"sourceQuestionIds":"Q-SYM-064","sourceRuleIds":["SYM-168"],"speciesKey":"MANTIS","status":"ACTIVE"}</t>
  </si>
  <si>
    <t xml:space="preserve">bf246642acbf09ff074f8cddd3928887ea021dcb48373621380ef1f0e0312578</t>
  </si>
  <si>
    <t xml:space="preserve">{"abilityId":"SYM-169","abilityKind":"PLAYER_COMMAND","automationStatus":"AUTOMATED_ACCEPTED","combatAllowed":true,"combatBehavior":"Разрешается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ходы.\n\n[SYM-169] Каменная статуя\nНормативная база (действует во всей непротиворечащей части):\nдлительность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обычно.\nПриоритетные авторские дельты (заменяют только прямо пересекающиеся ветви):\n[Q-SYM-065]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действие.","idUnique":1,"nameRu":"Каменная статуя","nodeRef":"SYM-169","peaceAllowed":true,"peaceBehavior":"Мирная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части.\n\n[SYM-169] Каменная статуя\nНормативная база (действует во всей непротиворечащей части):\nдлительность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обычно.\nПриоритетные авторские дельты (заменяют только прямо пересекающиеся ветви):\n[Q-SYM-065]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действие.","playerCommandCombat":true,"playerCommandPeace":true,"priority":10,"sourceQuestionIds":"Q-SYM-065","sourceRuleIds":["SYM-169"],"speciesKey":"MANTIS","status":"ACTIVE"}</t>
  </si>
  <si>
    <t xml:space="preserve">689c597fa1f90ca81cb823128e101d56cbd7d699188a6e8bd6b945c45a65a302</t>
  </si>
  <si>
    <t xml:space="preserve">{"abilityId":"SYM-170","abilityKind":"PASSIVE_OR_AUTOMATIC","automationStatus":"AUTOMATED_ACCEPTED","combatAllowed":true,"combatBehavior":"Разрешается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ходы.\n\n[SYM-170] Молниеносная реакция\nдобавить +L к реакции при неожиданном нападении на носителя/группу и +L к уклонению.","idUnique":1,"nameRu":"Молниеносная реакция","nodeRef":"SYM-170","peaceAllowed":false,"peaceBehavior":"Игрок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боя.","playerCommandCombat":false,"playerCommandPeace":false,"priority":10,"sourceQuestionIds":"","sourceRuleIds":["SYM-170"],"speciesKey":"MANTIS","status":"ACTIVE"}</t>
  </si>
  <si>
    <t xml:space="preserve">1d0bec7dc0d110aba49517f173f6bef83dc7007834101a3002158b658787fe20</t>
  </si>
  <si>
    <t xml:space="preserve">{"abilityId":"SYM-171","abilityKind":"PASSIVE_OR_AUTOMATIC","automationStatus":"AUTOMATED_ACCEPTED","combatAllowed":true,"combatBehavior":"Разрешается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ходы.\n\n[SYM-171] Каннибализм\nНормативная база (действует во всей непротиворечащей части):\nсначала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эффектов.\nПриоритетные авторские дельты (заменяют только прямо пересекающиеся ветви):\n[Q-SYM-066]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C.","idUnique":1,"nameRu":"Каннибализм","nodeRef":"SYM-171","peaceAllowed":false,"peaceBehavior":"Игрок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боя.","playerCommandCombat":false,"playerCommandPeace":false,"priority":10,"sourceQuestionIds":"Q-SYM-066","sourceRuleIds":["SYM-171"],"speciesKey":"MANTIS","status":"ACTIVE"}</t>
  </si>
  <si>
    <t xml:space="preserve">7483611369dd5cee6837e70ad4c05195ceffbe54a1d2e99f6a0e7076bf39e974</t>
  </si>
  <si>
    <t xml:space="preserve">{"abilityId":"SYM-172","abilityKind":"PASSIVE_OR_AUTOMATIC","automationStatus":"AUTOMATED_ACCEPTED","combatAllowed":true,"combatBehavior":"Разрешается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ходы.\n\n[SYM-172] Инстинкт убийцы\nНормативная база (действует во всей непротиворечащей части):\nдобавить L слотов только под боевые навыки; за одно действие разрешить две отдельные атаки клинками.\nПриоритетные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нет.","idUnique":1,"nameRu":"Инстинкт убийцы","nodeRef":"SYM-172","peaceAllowed":false,"peaceBehavior":"Игрок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боя.","playerCommandCombat":false,"playerCommandPeace":false,"priority":10,"sourceQuestionIds":"Q-SYM-064","sourceRuleIds":["SYM-172"],"speciesKey":"MANTIS","status":"ACTIVE"}</t>
  </si>
  <si>
    <t xml:space="preserve">c9e93f0c3f17b9fcc29a26c6a5b3758402021eb69946c16fe67f7867c98df567</t>
  </si>
  <si>
    <t xml:space="preserve">{"abilityId":"SYM-173","abilityKind":"PLAYER_COMMAND","automationStatus":"AUTOMATED_ACCEPTED","combatAllowed":true,"combatBehavior":"Разрешается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ходы.\n\n[SYM-173] Веерная защита\nНормативная база (действует во всей непротиворечащей части):\nна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нет.","idUnique":1,"nameRu":"Веерная защита","nodeRef":"SYM-173","peaceAllowed":false,"peaceBehavior":"Игрок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боя.","playerCommandCombat":true,"playerCommandPeace":false,"priority":10,"sourceQuestionIds":"Q-SYM-064","sourceRuleIds":["SYM-173"],"speciesKey":"MANTIS","status":"ACTIVE"}</t>
  </si>
  <si>
    <t xml:space="preserve">039a6bf2f438040ed04ca8f81769ecb6e1344599d031563853c181ec95e6109c</t>
  </si>
  <si>
    <t xml:space="preserve">{"abilityId":"SYM-175","abilityKind":"PLAYER_COMMAND","automationStatus":"AUTOMATED_ACCEPTED","combatAllowed":true,"combatBehavior":"Разрешается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ходы.\n\n[SYM-175] Анальная железа\nНормативная база (действует во всей непротиворечащей части):\nA=1: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складывать.\nПриоритетные авторские дельты (заменяют только прямо пересекающиеся ветви):\n[Q-SYM-067]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компоненты.","idUnique":1,"nameRu":"Анальная железа","nodeRef":"SYM-175","peaceAllowed":false,"peaceBehavior":"Игрок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боя.","playerCommandCombat":true,"playerCommandPeace":false,"priority":10,"sourceQuestionIds":"Q-SYM-067","sourceRuleIds":["SYM-175"],"speciesKey":"SKUNK","status":"ACTIVE"}</t>
  </si>
  <si>
    <t xml:space="preserve">836df0dc76882b333cb33c2d8c63a58e2e30bb4a5c76543e7721a9071eb35621</t>
  </si>
  <si>
    <t xml:space="preserve">{"abilityId":"SYM-176","abilityKind":"PLAYER_COMMAND","automationStatus":"AUTOMATED_ACCEPTED","combatAllowed":true,"combatBehavior":"Разрешается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ходы.\n\n[SYM-176] Подладонные железы\nНормативная база (действует во всей непротиворечащей части):\nвычислить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значению.\nПриоритетные авторские дельты (заменяют только прямо пересекающиеся ветви):\n[Q-SYM-068]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деления.","idUnique":1,"nameRu":"Подладонные железы","nodeRef":"SYM-176","peaceAllowed":false,"peaceBehavior":"Игрок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боя.","playerCommandCombat":true,"playerCommandPeace":false,"priority":10,"sourceQuestionIds":"Q-SYM-068","sourceRuleIds":["SYM-176"],"speciesKey":"SKUNK","status":"ACTIVE"}</t>
  </si>
  <si>
    <t xml:space="preserve">be5deaaa79d66fdb566fd907b91a93acaca90379f3db494401dd98de1f986612</t>
  </si>
  <si>
    <t xml:space="preserve">{"abilityId":"SYM-177","abilityKind":"PLAYER_COMMAND","automationStatus":"AUTOMATED_ACCEPTED","combatAllowed":true,"combatBehavior":"Разрешается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ходы.\n\n[SYM-177] Вонючее облако\nНормативная база (действует во всей непротиворечащей части):\nсоздать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хода.\nПриоритетные авторские дельты (заменяют только прямо пересекающиеся ветви):\n[Q-SYM-069]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цели.","idUnique":1,"nameRu":"Вонючее облако","nodeRef":"SYM-177","peaceAllowed":false,"peaceBehavior":"Игрок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боя.","playerCommandCombat":true,"playerCommandPeace":false,"priority":10,"sourceQuestionIds":"Q-SYM-069","sourceRuleIds":["SYM-177"],"speciesKey":"SKUNK","status":"ACTIVE"}</t>
  </si>
  <si>
    <t xml:space="preserve">1372d95dabddf25864f7349f56c18feb7474f135a38783d2ac6af93ecc118aed</t>
  </si>
  <si>
    <t xml:space="preserve">{"abilityId":"SYM-178","abilityKind":"PLAYER_COMMAND","automationStatus":"AUTOMATED_ACCEPTED","combatAllowed":true,"combatBehavior":"Разрешается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ходы.\n\n[SYM-178] Навесной выстрел\nНормативная база (действует во всей непротиворечащей части):\nв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цели.","idUnique":1,"nameRu":"Навесной выстрел","nodeRef":"SYM-178","peaceAllowed":false,"peaceBehavior":"Игрок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боя.","playerCommandCombat":true,"playerCommandPeace":false,"priority":10,"sourceQuestionIds":"Q-SYM-070","sourceRuleIds":["SYM-178"],"speciesKey":"SKUNK","status":"ACTIVE"}</t>
  </si>
  <si>
    <t xml:space="preserve">f836c954a2cd4b11b9fc28ae5b5f098e11c7baede23b136d1358515825eb7d26</t>
  </si>
  <si>
    <t xml:space="preserve">{"abilityId":"SYM-179","abilityKind":"PLAYER_COMMAND","automationStatus":"AUTOMATED_ACCEPTED","combatAllowed":true,"combatBehavior":"Разрешается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ходы.\n\n[SYM-179] Миномёт\nНормативная база (действует во всей непротиворечащей части):\nсоздать R4 укоренившихся активных мин, каждая активна R20 минут; при контакте живого существа применить эффект Анальной железы.\nПриоритетные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цели.\n[Q-SYM-071]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активируют.","idUnique":1,"nameRu":"Миномёт","nodeRef":"SYM-179","peaceAllowed":false,"peaceBehavior":"Игрок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боя.","playerCommandCombat":true,"playerCommandPeace":false,"priority":10,"sourceQuestionIds":"Q-SYM-070; Q-SYM-071","sourceRuleIds":["SYM-179"],"speciesKey":"SKUNK","status":"ACTIVE"}</t>
  </si>
  <si>
    <t xml:space="preserve">b4d823def832bcbf5f78c33a647fbacd9f5421db30e59c6ad4f47b0bf837c4ac</t>
  </si>
  <si>
    <t xml:space="preserve">{"abilityId":"SYM-180","abilityKind":"PLAYER_COMMAND","automationStatus":"AUTOMATED_ACCEPTED","combatAllowed":true,"combatBehavior":"Разрешается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ходы.\n\n[SYM-180] Шквальный огонь\nНормативная база (действует во всей непротиворечащей части):\nдействие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цели.\n[Q-SYM-071]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активируют.\n[Q-SYM-072]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ОЭ.","idUnique":1,"nameRu":"Шквальный огонь","nodeRef":"SYM-180","peaceAllowed":false,"peaceBehavior":"Игрок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боя.","playerCommandCombat":true,"playerCommandPeace":false,"priority":10,"sourceQuestionIds":"Q-SYM-070; Q-SYM-071; Q-SYM-072","sourceRuleIds":["SYM-180"],"speciesKey":"SKUNK","status":"ACTIVE"}</t>
  </si>
  <si>
    <t xml:space="preserve">ddb2b7a9ce74b12810d68b58b903d1453d1f16e62ceb752e2731f1ea9a77273f</t>
  </si>
  <si>
    <t xml:space="preserve">{"abilityId":"MON-004","abilityKind":"PLAYER_COMMAND","automationStatus":"AUTOMATED_ACCEPTED","combatAllowed":true,"combatBehavior":"Разрешается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ходы.\n\n[MON-004] Начало и поддержание «Пожирания»\nсписать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освобождаться.\n\n[MON-005] Уязвимость Химеры во время «Пожирания»\nитоговый урон умножить на 5.\n\n[MON-006] Награды за завершённое «Пожирание»\nНормативная база (действует во всей непротиворечащей части):\n(1)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HP.\nПриоритетные авторские дельты (заменяют только прямо пересекающиеся ветви):\n[Q-MON-002]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нет.\n\n[MON-007] Счётчик съеденных целей и дополнительные слоты Химеры\nНормативная база (действует во всей непротиворечащей части):\nпри достижении соответствующего порога открыть один дополнительный слот; максимум три дополнительных слота; в них возможен однослотовый симбионт.\nПриоритетные авторские дельты (заменяют только прямо пересекающиеся ветви):\n[Q-MON-004]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три.","idUnique":1,"nameRu":"Пожирание","nodeRef":"MON-004","peaceAllowed":true,"peaceBehavior":"Вне боя «Пожирание» — атомарно запускаемая мирная операция с 50 ОЭ и прямо указанной длительностью 10 минут; цель должна быть согласна либо недееспособна. Остальные проверки и награды — по MON-004–007.\n\n[MON-004] Начало и поддержание «Пожирания»\nсписать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освобождаться.\n\n[MON-005] Уязвимость Химеры во время «Пожирания»\nитоговый урон умножить на 5.\n\n[MON-006] Награды за завершённое «Пожирание»\nНормативная база (действует во всей непротиворечащей части):\n(1)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HP.\nПриоритетные авторские дельты (заменяют только прямо пересекающиеся ветви):\n[Q-MON-002]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нет.\n\n[MON-007] Счётчик съеденных целей и дополнительные слоты Химеры\nНормативная база (действует во всей непротиворечащей части):\nпри достижении соответствующего порога открыть один дополнительный слот; максимум три дополнительных слота; в них возможен однослотовый симбионт.\nПриоритетные авторские дельты (заменяют только прямо пересекающиеся ветви):\n[Q-MON-004]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три.","playerCommandCombat":true,"playerCommandPeace":true,"priority":10,"sourceQuestionIds":"Q-MON-002; Q-MON-003; Q-MON-004","sourceRuleIds":["MON-004","MON-005","MON-006","MON-007"],"speciesKey":"CHIMERA","status":"ACTIVE"}</t>
  </si>
  <si>
    <t xml:space="preserve">bd6e064206072909ace76938b7565c7729804518ae4ac7d889310923c00c6e26</t>
  </si>
  <si>
    <t xml:space="preserve">{"abilityId":"MON-008","abilityKind":"PASSIVE_OR_AUTOMATIC","automationStatus":"AUTOMATED_ACCEPTED","combatAllowed":true,"combatBehavior":"Разрешается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ходы.\n\n[MON-008] «Дублирование органов»: предотвращение тяжёлого ранения\nотменить переход в тяжёлое ранение и установить текущее HP равным 1.\n\n[MON-009] «Дублирование органов»: состояние после тяжёлого ранения\nсохранить дееспособность; увеличить время до смерти в 4 раза.","idUnique":1,"nameRu":"Дублирование органов","nodeRef":"MON-008","peaceAllowed":true,"peaceBehavior":"Мирная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части.\n\n[MON-008] «Дублирование органов»: предотвращение тяжёлого ранения\nотменить переход в тяжёлое ранение и установить текущее HP равным 1.\n\n[MON-009] «Дублирование органов»: состояние после тяжёлого ранения\nсохранить дееспособность; увеличить время до смерти в 4 раза.","playerCommandCombat":false,"playerCommandPeace":false,"priority":55,"sourceQuestionIds":"","sourceRuleIds":["MON-008","MON-009"],"speciesKey":"CHIMERA","status":"ACTIVE"}</t>
  </si>
  <si>
    <t xml:space="preserve">0f102e3000e3b943e3de676886fbc4ba774331840c84e0b25f14621dbde77d71</t>
  </si>
  <si>
    <t xml:space="preserve">{"abilityId":"MON-010","abilityKind":"PLAYER_COMMAND","automationStatus":"AUTOMATED_ACCEPTED","combatAllowed":true,"combatBehavior":"Разрешается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ходы.\n\n[MON-010] «Взгляд мясника»\nНормативная база (действует во всей непротиворечащей части):\n1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наград).\nПриоритетные авторские дельты (заменяют только прямо пересекающиеся ветви):\n[Q-MON-005]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химеры.","idUnique":1,"nameRu":"Взгляд мясника","nodeRef":"MON-010","peaceAllowed":true,"peaceBehavior":"Мирная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части.\n\n[MON-010] «Взгляд мясника»\nНормативная база (действует во всей непротиворечащей части):\n1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наград).\nПриоритетные авторские дельты (заменяют только прямо пересекающиеся ветви):\n[Q-MON-005]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химеры.","playerCommandCombat":true,"playerCommandPeace":true,"priority":10,"sourceQuestionIds":"Q-MON-005","sourceRuleIds":["MON-010"],"speciesKey":"CHIMERA","status":"ACTIVE"}</t>
  </si>
  <si>
    <t xml:space="preserve">5686eb9910332ee992509d8883687567153949d50b4bc75f04e9672f8f263105</t>
  </si>
  <si>
    <t xml:space="preserve">{"abilityId":"MON-011","abilityKind":"PASSIVE_OR_AUTOMATIC","automationStatus":"AUTOMATED_ACCEPTED","combatAllowed":true,"combatBehavior":"Разрешается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ходы.\n\n[MON-011] «Железная хватка»\nдобавить +10.","idUnique":1,"nameRu":"Железная хватка","nodeRef":"MON-011","peaceAllowed":false,"peaceBehavior":"Игрок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боя.","playerCommandCombat":false,"playerCommandPeace":false,"priority":10,"sourceQuestionIds":"","sourceRuleIds":["MON-011"],"speciesKey":"CHIMERA","status":"ACTIVE"}</t>
  </si>
  <si>
    <t xml:space="preserve">6d435471214677007cc0a9814ec336adc4f2025e24ee73c8c8121edf7afc3ddf</t>
  </si>
  <si>
    <t xml:space="preserve">{"abilityId":"MON-012","abilityKind":"PLAYER_COMMAND","automationStatus":"AUTOMATED_ACCEPTED","combatAllowed":true,"combatBehavior":"Разрешается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ходы.\n\n[MON-012] «Безразличная плоть»\nmaxHP += 100.","idUnique":1,"nameRu":"Безразличная плоть","nodeRef":"MON-012","peaceAllowed":true,"peaceBehavior":"Мирная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части.\n\n[MON-012] «Безразличная плоть»\nmaxHP += 100.","playerCommandCombat":true,"playerCommandPeace":false,"priority":10,"sourceQuestionIds":"","sourceRuleIds":["MON-012"],"speciesKey":"CHIMERA","status":"ACTIVE"}</t>
  </si>
  <si>
    <t xml:space="preserve">7e555eb9873780c04d47cf1458c0c291ee452e7b80530781c16f3712b937cb8a</t>
  </si>
  <si>
    <t xml:space="preserve">{"abilityId":"MON-013","abilityKind":"PLAYER_COMMAND","automationStatus":"AUTOMATED_ACCEPTED","combatAllowed":true,"combatBehavior":"Разрешается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ходы.\n\n[MON-013] «Гончая»\nдлительность метки R20×2 минут; для Химеры мир отображается чёрно-белым, цель и все её следы — ярко-красными.","idUnique":1,"nameRu":"Гончая","nodeRef":"MON-013","peaceAllowed":false,"peaceBehavior":"Игрок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боя.","playerCommandCombat":true,"playerCommandPeace":false,"priority":10,"sourceQuestionIds":"","sourceRuleIds":["MON-013"],"speciesKey":"CHIMERA","status":"ACTIVE"}</t>
  </si>
  <si>
    <t xml:space="preserve">cc5ba8585d822b71cb449a776904de8e21b80314084c3b698cff5023411a0cc4</t>
  </si>
  <si>
    <t xml:space="preserve">{"abilityId":"MON-014","abilityKind":"PASSIVE_OR_AUTOMATIC","automationStatus":"AUTOMATED_ACCEPTED","combatAllowed":true,"combatBehavior":"Разрешается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ходы.\n\n[MON-014] «Локтевой отбойник»: атака локтем\nНормативная база (действует во всей непротиворечащей части):\nбронепробитие атаки = R12; добавить к урону бонус R12.\nПриоритетные авторские дельты (заменяют только прямо пересекающиеся ветви):\n[Q-MON-006] Для каждой атаки отбойником выполняются два независимых R12: первый определяет бронепробитие, второй — бонус к урону.\n\n[MON-015] «Локтевой отбойник»: дополнительная броня\nесли первый R20 ≥16, считать попадание пришедшимся по локтевому сгибу; добавить спасбросок брони R20×2 к спасброску надетой брони.","idUnique":1,"nameRu":"Локтевой отбойник","nodeRef":"MON-014","peaceAllowed":false,"peaceBehavior":"Игрок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боя.","playerCommandCombat":false,"playerCommandPeace":false,"priority":10,"sourceQuestionIds":"Q-MON-006","sourceRuleIds":["MON-014","MON-015"],"speciesKey":"CHIMERA","status":"ACTIVE"}</t>
  </si>
  <si>
    <t xml:space="preserve">f52083ca141c3b0d8633d523d2c41229ea0bf970c5a4b490b9ebac00c7daec33</t>
  </si>
  <si>
    <t xml:space="preserve">{"abilityId":"MON-016","abilityKind":"PASSIVE_OR_AUTOMATIC","automationStatus":"AUTOMATED_ACCEPTED","combatAllowed":true,"combatBehavior":"Разрешается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ходы.\n\n[MON-016] «Выносливость хищника»\nM += 15.","idUnique":1,"nameRu":"Выносливость хищника","nodeRef":"MON-016","peaceAllowed":true,"peaceBehavior":"Мирная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части.\n\n[MON-016] «Выносливость хищника»\nM += 15.","playerCommandCombat":false,"playerCommandPeace":false,"priority":10,"sourceQuestionIds":"","sourceRuleIds":["MON-016"],"speciesKey":"CHIMERA","status":"ACTIVE"}</t>
  </si>
  <si>
    <t xml:space="preserve">b49491d6977a1c85e25a4cb9ff4b92379c84467385eab4a196e318ebc53a4df8</t>
  </si>
  <si>
    <t xml:space="preserve">{"abilityId":"MON-017","abilityKind":"PASSIVE_OR_AUTOMATIC","automationStatus":"AUTOMATED_ACCEPTED","combatAllowed":true,"combatBehavior":"Разрешается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ходы.\n\n[MON-017] «Охотничий азарт»\nудвоить значение проверки Химеры.","idUnique":1,"nameRu":"Охотничий азарт","nodeRef":"MON-017","peaceAllowed":false,"peaceBehavior":"Игрок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боя.","playerCommandCombat":false,"playerCommandPeace":false,"priority":10,"sourceQuestionIds":"","sourceRuleIds":["MON-017"],"speciesKey":"CHIMERA","status":"ACTIVE"}</t>
  </si>
  <si>
    <t xml:space="preserve">87566296f49640281452762bb232bca9969bde0e5cbc0471741d815da4c200df</t>
  </si>
  <si>
    <t xml:space="preserve">{"abilityId":"MON-018","abilityKind":"PASSIVE_OR_AUTOMATIC","automationStatus":"AUTOMATED_ACCEPTED","combatAllowed":true,"combatBehavior":"Разрешается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ходы.\n\n[MON-018] «Коленный отбойник»: атака коленом\nНормативная база (действует во всей непротиворечащей части):\nбронепробитие = R12; добавить к урону бонус R12.\nПриоритетные авторские дельты (заменяют только прямо пересекающиеся ветви):\n[Q-MON-006] Для каждой атаки отбойником выполняются два независимых R12: первый определяет бронепробитие, второй — бонус к урону.\n\n[MON-019] «Коленный отбойник»: дополнительная броня\nпри R20 ≥16 считать попадание пришедшимся по коленному наросту; добавить спасбросок R20×2 к броне.","idUnique":1,"nameRu":"Коленный отбойник","nodeRef":"MON-018","peaceAllowed":false,"peaceBehavior":"Игрок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боя.","playerCommandCombat":false,"playerCommandPeace":false,"priority":10,"sourceQuestionIds":"Q-MON-006","sourceRuleIds":["MON-018","MON-019"],"speciesKey":"CHIMERA","status":"ACTIVE"}</t>
  </si>
  <si>
    <t xml:space="preserve">e6229a0ce29f54fccdc3f9f69454c6f16d525c86713a02dfed0eeff1741f4700</t>
  </si>
  <si>
    <t xml:space="preserve">{"abilityId":"MON-020","abilityKind":"PLAYER_COMMAND","automationStatus":"AUTOMATED_ACCEPTED","combatAllowed":true,"combatBehavior":"Разрешается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ходы.\n\n[MON-020] «Неудержимость»\nНормативная база (действует во всей непротиворечащей части):\nпри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активируется.\nПриоритетные авторские дельты (заменяют только прямо пересекающиеся ветви):\n[Q-CORE-022]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экипировки.","idUnique":1,"nameRu":"Неудержимость","nodeRef":"MON-020","peaceAllowed":false,"peaceBehavior":"Игрок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боя.","playerCommandCombat":true,"playerCommandPeace":false,"priority":10,"sourceQuestionIds":"Q-CORE-022","sourceRuleIds":["MON-020"],"speciesKey":"CHIMERA","status":"ACTIVE"}</t>
  </si>
  <si>
    <t xml:space="preserve">bbd94c7d1957740913ddcb62e882c399860250cb4c1a34b54b1127278e41349e</t>
  </si>
  <si>
    <t xml:space="preserve">{"abilityId":"MON-021","abilityKind":"PASSIVE_OR_AUTOMATIC","automationStatus":"AUTOMATED_ACCEPTED","combatAllowed":true,"combatBehavior":"Разрешается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ходы.\n\n[MON-021] «Змеиный бросок»\nстоимость сокращения дистанции в боевых действиях = 0.","idUnique":1,"nameRu":"Змеиный бросок","nodeRef":"MON-021","peaceAllowed":false,"peaceBehavior":"Игрок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боя.","playerCommandCombat":false,"playerCommandPeace":false,"priority":10,"sourceQuestionIds":"","sourceRuleIds":["MON-021"],"speciesKey":"CHIMERA","status":"ACTIVE"}</t>
  </si>
  <si>
    <t xml:space="preserve">c38fb8b91c3c8a50b1072539b6ecaf3f113832ca151ff700f2ce2e6a8dc971b3</t>
  </si>
  <si>
    <t xml:space="preserve">{"abilityId":"MON-022","abilityKind":"PLAYER_COMMAND","automationStatus":"AUTOMATED_ACCEPTED","combatAllowed":true,"combatBehavior":"Разрешается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ходы.\n\n[MON-022] «Последний взгляд»\nНормативная база (действует во всей непротиворечащей части):\n1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себя.\nПриоритетные авторские дельты (заменяют только прямо пересекающиеся ветви):\n[Q-MON-007]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нет.\n[Q-MON-008]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сохраняется.","idUnique":1,"nameRu":"Последний взгляд","nodeRef":"MON-022","peaceAllowed":false,"peaceBehavior":"Игрок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боя.","playerCommandCombat":true,"playerCommandPeace":false,"priority":10,"sourceQuestionIds":"Q-MON-007; Q-MON-008","sourceRuleIds":["MON-022"],"speciesKey":"CHIMERA","status":"ACTIVE"}</t>
  </si>
  <si>
    <t xml:space="preserve">af1c0ef452ea3d20893a6ed2ab775cae4ac478e6590ed460fd90d82d48dea73e</t>
  </si>
  <si>
    <t xml:space="preserve">{"abilityId":"MON-023","abilityKind":"HYBRID_COMMAND_AND_TRIGGER","automationStatus":"AUTOMATED_ACCEPTED","combatAllowed":true,"combatBehavior":"Разрешается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ходы.\n\n[MON-023] «Ведомый голодом»: активация и состав эффекта\nНормативная база (действует во всей непротиворечащей части):\nспособность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боя.\nПриоритетные авторские дельты (заменяют только прямо пересекающиеся ветви):\n[Q-MON-009]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активацию.\n\n[MON-024] «Ведомый голодом»: завершение\nвернуть максимальный HP и удвоенные характеристики к прежним значениям; текущее HP разделить на 2 с округлением вверх.","idUnique":1,"nameRu":"Ведомый голодом","nodeRef":"MON-023","peaceAllowed":false,"peaceBehavior":"Игрок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боя.","playerCommandCombat":true,"playerCommandPeace":false,"priority":10,"sourceQuestionIds":"Q-MON-009","sourceRuleIds":["MON-023","MON-024"],"speciesKey":"CHIMERA","status":"ACTIVE"}</t>
  </si>
  <si>
    <t xml:space="preserve">54e00e3d55be4a8e151edb2a4fce50f51a3f3817122b468d4080baae39d852b3</t>
  </si>
  <si>
    <t xml:space="preserve">{"abilityId":"MON-027","abilityKind":"PASSIVE_OR_AUTOMATIC","automationStatus":"AUTOMATED_ACCEPTED","combatAllowed":true,"combatBehavior":"Разрешается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ходы.\n\n[MON-027] Направляй ментально\nДля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действие.","idUnique":1,"nameRu":"Направляй ментально","nodeRef":"MON-027","peaceAllowed":true,"peaceBehavior":"Мирная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части.\n\n[MON-027] Направляй ментально\nДля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действие.","playerCommandCombat":false,"playerCommandPeace":false,"priority":10,"sourceQuestionIds":"Q-MON-078","sourceRuleIds":["MON-027"],"speciesKey":"PUPPETEER","status":"ACTIVE"}</t>
  </si>
  <si>
    <t xml:space="preserve">278758c76877122b60c037aab399ca63adf62adb95fe6d1292340a7008c79968</t>
  </si>
  <si>
    <t xml:space="preserve">{"abilityId":"MON-028","abilityKind":"PASSIVE_OR_AUTOMATIC","automationStatus":"AUTOMATED_ACCEPTED","combatAllowed":true,"combatBehavior":"Разрешается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ходы.\n\n[MON-028] «Доминантный разум»\nI += L.","idUnique":1,"nameRu":"Доминантный разум","nodeRef":"MON-028","peaceAllowed":true,"peaceBehavior":"Мирная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части.\n\n[MON-028] «Доминантный разум»\nI += L.","playerCommandCombat":false,"playerCommandPeace":false,"priority":10,"sourceQuestionIds":"","sourceRuleIds":["MON-028"],"speciesKey":"PUPPETEER","status":"ACTIVE"}</t>
  </si>
  <si>
    <t xml:space="preserve">82a9fd5ca2da4b260884d9841b7855814fcd23b7e68ae7da51a62f26d288b327</t>
  </si>
  <si>
    <t xml:space="preserve">{"abilityId":"MON-029","abilityKind":"PLAYER_COMMAND","automationStatus":"AUTOMATED_ACCEPTED","combatAllowed":true,"combatBehavior":"Разрешается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ходы.\n\n[MON-029] «Рассеянность»: наложение и длительность\nдлительность R20/5 минут или боевых ходов; каждый ход цели запускать MON-030.\n\n[MON-030] «Рассеянность»: эффект очередного хода\nНормативная база (действует во всей непротиворечащей части):\n20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действия.\nПриоритетные авторские дельты (заменяют только прямо пересекающиеся ветви):\n[Q-MON-010]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способности.\n[Q-MON-011]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пропадает.","idUnique":1,"nameRu":"Рассеянность","nodeRef":"MON-029","peaceAllowed":false,"peaceBehavior":"Игрок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боя.","playerCommandCombat":true,"playerCommandPeace":false,"priority":10,"sourceQuestionIds":"Q-MON-010; Q-MON-011","sourceRuleIds":["MON-029","MON-030"],"speciesKey":"PUPPETEER","status":"ACTIVE"}</t>
  </si>
  <si>
    <t xml:space="preserve">5575a87bf0ac592b62d5da3c5315893b55aac6adc05b5360abee0c8d061d6169</t>
  </si>
  <si>
    <t xml:space="preserve">{"abilityId":"MON-031","abilityKind":"PLAYER_COMMAND","automationStatus":"AUTOMATED_ACCEPTED","combatAllowed":true,"combatBehavior":"Разрешается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ходы.\n\n[MON-031] «Ментальный ученик»\nНормативная база (действует во всей непротиворечащей части):\nвыбрать лучший навык цели; если Кукловод им не владеет — изучить, иначе повысить его уровень. Величина повышения требует Q-MON-012.\nПриоритетные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целиком.","idUnique":1,"nameRu":"Ментальный ученик","nodeRef":"MON-031","peaceAllowed":false,"peaceBehavior":"Игрок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боя.","playerCommandCombat":true,"playerCommandPeace":false,"priority":10,"sourceQuestionIds":"Q-MON-012","sourceRuleIds":["MON-031"],"speciesKey":"PUPPETEER","status":"ACTIVE"}</t>
  </si>
  <si>
    <t xml:space="preserve">d45097ebb7a31ca7dcf76011b66ca2ae333acd5a188fe1e4df276bbad3e844ea</t>
  </si>
  <si>
    <t xml:space="preserve">{"abilityId":"MON-032","abilityKind":"PLAYER_COMMAND","automationStatus":"AUTOMATED_ACCEPTED","combatAllowed":true,"combatBehavior":"Разрешается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ходы.\n\n[MON-032] «Превосходство»\nНормативная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целиком.","idUnique":1,"nameRu":"Превосходство","nodeRef":"MON-032","peaceAllowed":true,"peaceBehavior":"Мирная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части.\n\n[MON-032] «Превосходство»\nНормативная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целиком.","playerCommandCombat":true,"playerCommandPeace":true,"priority":10,"sourceQuestionIds":"Q-MON-012","sourceRuleIds":["MON-032"],"speciesKey":"PUPPETEER","status":"ACTIVE"}</t>
  </si>
  <si>
    <t xml:space="preserve">eb7e9afec1df9c872ef4a4ff262a878fe36457e5a688d1ad813b84ea4f78cf34</t>
  </si>
  <si>
    <t xml:space="preserve">{"abilityId":"MON-033","abilityKind":"PASSIVE_OR_AUTOMATIC","automationStatus":"AUTOMATED_ACCEPTED","combatAllowed":true,"combatBehavior":"Разрешается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ходы.\n\n[MON-033] «Псионическое разложение»: цикл поддержания\nНормативная база (действует во всей непротиворечащей части):\nсписать 50 ОЭ; не бросать серию и потратить весь боевой ход; в конце хода нанести L×2^(n−1) урона (L, 2L, 4L, 8L).\nПриоритетные авторские дельты (заменяют только прямо пересекающиеся ветви):\n[Q-MON-013]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правилам.\n\n[MON-034] «Псионическое разложение»: проверка концентрации\nесли итог проверки &lt;20, прекратить поддержание; иначе сохранить.","idUnique":1,"nameRu":"Псионическое разложение","nodeRef":"MON-033","peaceAllowed":false,"peaceBehavior":"Игрок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боя.","playerCommandCombat":false,"playerCommandPeace":false,"priority":10,"sourceQuestionIds":"Q-MON-013","sourceRuleIds":["MON-033","MON-034"],"speciesKey":"PUPPETEER","status":"ACTIVE"}</t>
  </si>
  <si>
    <t xml:space="preserve">b0ba0ec43385323d1477d6c2a141734b44b349ee5638e645747814d3f6891d6f</t>
  </si>
  <si>
    <t xml:space="preserve">{"abilityId":"MON-036","abilityKind":"PASSIVE_OR_AUTOMATIC","automationStatus":"AUTOMATED_ACCEPTED","combatAllowed":true,"combatBehavior":"Разрешается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ходы.\n\n[MON-036] «Отмена действия»\nНормативная база (действует во всей непротиворечащей части):\nесли I Кукловода &gt; I цели, цель останавливается и не доводит физическое действие до конца.\nПриоритетные авторские дельты (заменяют только прямо пересекающиеся ветви):\n[Q-MON-015]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произошло.","idUnique":1,"nameRu":"Отмена действия","nodeRef":"MON-036","peaceAllowed":false,"peaceBehavior":"Игрок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боя.","playerCommandCombat":false,"playerCommandPeace":false,"priority":10,"sourceQuestionIds":"Q-MON-015","sourceRuleIds":["MON-036"],"speciesKey":"PUPPETEER","status":"ACTIVE"}</t>
  </si>
  <si>
    <t xml:space="preserve">26b9cd3d846a5a16c2c526df09a6276c7b40aa50efbce235b11ea21b817430fb</t>
  </si>
  <si>
    <t xml:space="preserve">{"abilityId":"MON-038","abilityKind":"PLAYER_COMMAND","automationStatus":"AUTOMATED_ACCEPTED","combatAllowed":true,"combatBehavior":"Разрешается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ходы.\n\n[MON-038] «Марионетка»\nВыполнить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CORE-221.","idUnique":1,"nameRu":"Марионетка","nodeRef":"MON-038","peaceAllowed":false,"peaceBehavior":"Игрок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боя.","playerCommandCombat":true,"playerCommandPeace":false,"priority":80,"sourceQuestionIds":"Q-MON-017; Q-PREDEV-006","sourceRuleIds":["MON-038"],"speciesKey":"PUPPETEER","status":"ACTIVE"}</t>
  </si>
  <si>
    <t xml:space="preserve">d9dfd145428aa55793a4f130b29af77615241c7768d406acabe98873c48c819a</t>
  </si>
  <si>
    <t xml:space="preserve">{"abilityId":"MON-039","abilityKind":"PLAYER_COMMAND","automationStatus":"AUTOMATED_ACCEPTED","combatAllowed":true,"combatBehavior":"Разрешается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ходы.\n\n[MON-039] «Ментальная паутина»\nНормативная база (действует во всей непротиворечащей части):\nбез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проверки.\nПриоритетные авторские дельты (заменяют только прямо пересекающиеся ветви):\n[Q-MON-018]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раз.","idUnique":1,"nameRu":"Ментальная паутина","nodeRef":"MON-039","peaceAllowed":false,"peaceBehavior":"Игрок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боя.","playerCommandCombat":true,"playerCommandPeace":false,"priority":10,"sourceQuestionIds":"Q-MON-018","sourceRuleIds":["MON-039"],"speciesKey":"PUPPETEER","status":"ACTIVE"}</t>
  </si>
  <si>
    <t xml:space="preserve">d16aacb60a5e1702dbf35ffa9d0e05befb3d99041f2a9c61bd545762ac34ed72</t>
  </si>
  <si>
    <t xml:space="preserve">{"abilityId":"MON-042","abilityKind":"PLAYER_COMMAND","automationStatus":"AUTOMATED_ACCEPTED","combatAllowed":true,"combatBehavior":"Разрешается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ходы.\n\n[MON-042] Контактное заражение ассистентами\nесли итог Доктора строго выше итога проверки Z цели, создать заражение ассистентами.\n\n[MON-043] Цена повторных попыток заражения в бою\nНормативная база (действует во всей непротиворечащей части):\nпервая попытка не тратит боевое действие; каждая следующая стоит 1 боевое действие.\nПриоритетные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борьбу.\n\n[MON-044] Заражение через инфицированного переносчика\nНормативная база (действует во всей непротиворечащей части):\nДоктор выполняет проверку; при строгом превышении новая цель заражается.\nПриоритетные авторские дельты (заменяют только прямо пересекающиеся ветви):\n[Q-MON-020]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попыток.\n\n[MON-045] Лимит заражённых ассистентами\nНормативная база (действует во всей непротиворечащей части):\nбез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удалить исключение про отдельный лимит Чумного пророка\n[AQ2-001]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все.\n\n[MON-046] Добровольное уничтожение ассистентов\nНормативная база (действует во всей непротиворечащей части):\nуничтожить всех ассистентов в цели.\nПриоритетные авторские дельты (заменяют только прямо пересекающиеся ветви):\n[Q-MON-021]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эффект.\n\n[MON-047] Реакция заражённого дикого животного\nНормативная база (действует во всей непротиворечащей части):\nесли R20 &lt; L, животное бросается в бегство.\nПриоритетные авторские дельты (заменяют только прямо пересекающиеся ветви):\n[Q-MON-022]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проверку.","idUnique":1,"nameRu":"Чумная кровь, чумная плоть","nodeRef":"MON-042","peaceAllowed":false,"peaceBehavior":"Игрок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боя.","playerCommandCombat":true,"playerCommandPeace":false,"priority":10,"sourceQuestionIds":"Q-MON-019; Q-MON-020; Q-MON-021; Q-MON-022","sourceRuleIds":["MON-042","MON-043","MON-044","MON-045","MON-046","MON-047"],"speciesKey":"PLAGUE_DOCTOR","status":"ACTIVE"}</t>
  </si>
  <si>
    <t xml:space="preserve">307cb32a1e0dce53a18d45b3dfeac9e96bb67126eba4cdc687401cacaf3b4528</t>
  </si>
  <si>
    <t xml:space="preserve">{"abilityId":"MON-048","abilityKind":"PLAYER_COMMAND","automationStatus":"AUTOMATED_ACCEPTED","combatAllowed":true,"combatBehavior":"Разрешается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ходы.\n\n[MON-048] Воздушно-капельное заражение «Кхе-кхе…»\nНормативная база (действует во всей непротиворечащей части):\nесли итог Доктора строго выше проверки Z, заразить ассистентами.\nПриоритетные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борьбу.","idUnique":1,"nameRu":"Кхе-кхе… Простыл я что-то","nodeRef":"MON-048","peaceAllowed":true,"peaceBehavior":"Мирная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части.\n\n[MON-048] Воздушно-капельное заражение «Кхе-кхе…»\nНормативная база (действует во всей непротиворечащей части):\nесли итог Доктора строго выше проверки Z, заразить ассистентами.\nПриоритетные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борьбу.","playerCommandCombat":true,"playerCommandPeace":true,"priority":10,"sourceQuestionIds":"Q-MON-019","sourceRuleIds":["MON-048"],"speciesKey":"PLAGUE_DOCTOR","status":"ACTIVE"}</t>
  </si>
  <si>
    <t xml:space="preserve">503209af6d00a0d0c84cf506c26ae77e15ea9b4b7313223e09afb5db4351bb9a</t>
  </si>
  <si>
    <t xml:space="preserve">{"abilityId":"MON-049","abilityKind":"PLAYER_COMMAND","automationStatus":"AUTOMATED_ACCEPTED","combatAllowed":true,"combatBehavior":"Разрешается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ходы.\n\n[MON-049] «Вы больны, вам нужно отдохнуть»\nпри R20≥3 установить M цели равной 1 на R20/3 минут/ходов; при R20=1 уничтожить всех ассистентов в цели; при 2 эффект отсутствует.","idUnique":1,"nameRu":"Вы больны, вам нужно отдохнуть","nodeRef":"MON-049","peaceAllowed":false,"peaceBehavior":"Игрок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боя.","playerCommandCombat":true,"playerCommandPeace":false,"priority":10,"sourceQuestionIds":"","sourceRuleIds":["MON-049"],"speciesKey":"PLAGUE_DOCTOR","status":"ACTIVE"}</t>
  </si>
  <si>
    <t xml:space="preserve">aa4ac8aee787af13c8dc36055e095d7b2698db737eb2db72efeaf1e69397a20a</t>
  </si>
  <si>
    <t xml:space="preserve">{"abilityId":"MON-050","abilityKind":"PLAYER_COMMAND","automationStatus":"AUTOMATED_ACCEPTED","combatAllowed":true,"combatBehavior":"Разрешается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ходы.\n\n[MON-050] «Они вам помогут…»: лечение ценой ассистентов\nНормативная база (действует во всей непротиворечащей части):\nпри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Q-MON-023.\nПриоритетные авторские дельты (заменяют только прямо пересекающиеся ветви):\n[Q-MON-023]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применяется.","idUnique":1,"nameRu":"Они вам помогут…","nodeRef":"MON-050","peaceAllowed":true,"peaceBehavior":"Мирная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части.\n\n[MON-050] «Они вам помогут…»: лечение ценой ассистентов\nНормативная база (действует во всей непротиворечащей части):\nпри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Q-MON-023.\nПриоритетные авторские дельты (заменяют только прямо пересекающиеся ветви):\n[Q-MON-023]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применяется.","playerCommandCombat":true,"playerCommandPeace":true,"priority":10,"sourceQuestionIds":"Q-MON-023","sourceRuleIds":["MON-050"],"speciesKey":"PLAGUE_DOCTOR","status":"ACTIVE"}</t>
  </si>
  <si>
    <t xml:space="preserve">3826a86e1010a3d57c9b5107c00866737bd7a5bee0f471307d69a6814eafdc6b</t>
  </si>
  <si>
    <t xml:space="preserve">{"abilityId":"MON-051","abilityKind":"PLAYER_COMMAND","automationStatus":"AUTOMATED_ACCEPTED","combatAllowed":true,"combatBehavior":"Разрешается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ходы.\n\n[MON-051] «Не обращайте внимания — я потягиваюсь»\nНормативная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Q-MON-024.\nПриоритетные авторские дельты (заменяют только прямо пересекающиеся ветви):\n[Q-MON-024]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числа.","idUnique":1,"nameRu":"Не обращайте внимания — я потягиваюсь","nodeRef":"MON-051","peaceAllowed":true,"peaceBehavior":"Мирная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части.\n\n[MON-051] «Не обращайте внимания — я потягиваюсь»\nНормативная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Q-MON-024.\nПриоритетные авторские дельты (заменяют только прямо пересекающиеся ветви):\n[Q-MON-024]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числа.","playerCommandCombat":true,"playerCommandPeace":true,"priority":10,"sourceQuestionIds":"Q-MON-024","sourceRuleIds":["MON-051"],"speciesKey":"PLAGUE_DOCTOR","status":"ACTIVE"}</t>
  </si>
  <si>
    <t xml:space="preserve">c5f7c8e9c5c34f2e911acc55a47acaf62fe2c000334431dd226478848a22e004</t>
  </si>
  <si>
    <t xml:space="preserve">{"abilityId":"MON-052","abilityKind":"PLAYER_COMMAND","automationStatus":"AUTOMATED_ACCEPTED","combatAllowed":true,"combatBehavior":"Разрешается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ходы.\n\n[MON-052] «Какое здоровье, какая воля к жизни!»\nпри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активировать.","idUnique":1,"nameRu":"Какое здоровье, какая воля к жизни!","nodeRef":"MON-052","peaceAllowed":false,"peaceBehavior":"Игрок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боя.","playerCommandCombat":true,"playerCommandPeace":false,"priority":10,"sourceQuestionIds":"","sourceRuleIds":["MON-052"],"speciesKey":"PLAGUE_DOCTOR","status":"ACTIVE"}</t>
  </si>
  <si>
    <t xml:space="preserve">6a20735824c055725063ffdc111ededf92d9d07aebcd9fb24eb4b12c11bb4593</t>
  </si>
  <si>
    <t xml:space="preserve">{"abilityId":"MON-053","abilityKind":"PLAYER_COMMAND","automationStatus":"AUTOMATED_ACCEPTED","combatAllowed":true,"combatBehavior":"Разрешается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ходы.\n\n[MON-053] «Сражайся, больной!»\nувеличить S и D на R20/2; длительность R20/4 минут/ходов; при завершении однократно нанести отдельный R20 урона от яда.","idUnique":1,"nameRu":"Сражайся, больной!","nodeRef":"MON-053","peaceAllowed":true,"peaceBehavior":"Мирная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части.\n\n[MON-053] «Сражайся, больной!»\nувеличить S и D на R20/2; длительность R20/4 минут/ходов; при завершении однократно нанести отдельный R20 урона от яда.","playerCommandCombat":true,"playerCommandPeace":true,"priority":10,"sourceQuestionIds":"","sourceRuleIds":["MON-053"],"speciesKey":"PLAGUE_DOCTOR","status":"ACTIVE"}</t>
  </si>
  <si>
    <t xml:space="preserve">aeede76b1ee719903c03dbaa61d2f8bfee0c729712eecec882be221e140569ea</t>
  </si>
  <si>
    <t xml:space="preserve">{"abilityId":"MON-054","abilityKind":"PASSIVE_OR_AUTOMATIC","automationStatus":"AUTOMATED_ACCEPTED","combatAllowed":true,"combatBehavior":"Разрешается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ходы.\n\n[MON-054] «Масштабная эпидемия»\nНормативная база (действует во всей непротиворечащей части):\nувеличить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местоположение.\nПриоритетные авторские дельты (заменяют только прямо пересекающиеся ветви):\n[AQ2-001]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infectionOrder.","idUnique":1,"nameRu":"Масштабная эпидемия","nodeRef":"MON-054","peaceAllowed":false,"peaceBehavior":"Игрок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боя.","playerCommandCombat":false,"playerCommandPeace":false,"priority":10,"sourceQuestionIds":"","sourceRuleIds":["MON-054"],"speciesKey":"PLAGUE_DOCTOR","status":"ACTIVE"}</t>
  </si>
  <si>
    <t xml:space="preserve">7c0efeb7d48b81d24d18c387a020897e686bd68b762808c6a284a4defc900dfe</t>
  </si>
  <si>
    <t xml:space="preserve">{"abilityId":"MON-055","abilityKind":"PLAYER_COMMAND","automationStatus":"AUTOMATED_ACCEPTED","combatAllowed":true,"combatBehavior":"Разрешается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ходы.\n\n[MON-055] «Вакцинация»\nНормативная база (действует во всей непротиворечащей части):\nгарантированно дать неуязвимость к ассистентам всех других Чумных докторов.\nПриоритетные авторские дельты (заменяют только прямо пересекающиеся ветви):\n[Q-MON-025]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персонажа.","idUnique":1,"nameRu":"Вакцинация","nodeRef":"MON-055","peaceAllowed":true,"peaceBehavior":"Мирная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части.\n\n[MON-055] «Вакцинация»\nНормативная база (действует во всей непротиворечащей части):\nгарантированно дать неуязвимость к ассистентам всех других Чумных докторов.\nПриоритетные авторские дельты (заменяют только прямо пересекающиеся ветви):\n[Q-MON-025]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персонажа.","playerCommandCombat":true,"playerCommandPeace":true,"priority":10,"sourceQuestionIds":"Q-MON-025","sourceRuleIds":["MON-055"],"speciesKey":"PLAGUE_DOCTOR","status":"ACTIVE"}</t>
  </si>
  <si>
    <t xml:space="preserve">f62e3580ec7ce4f249c3cf7a25b923eb0ff6c1d79355e3cc41884bf6de52e2c6</t>
  </si>
  <si>
    <t xml:space="preserve">{"abilityId":"MON-056","abilityKind":"PLAYER_COMMAND","automationStatus":"AUTOMATED_ACCEPTED","combatAllowed":true,"combatBehavior":"Разрешается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ходы.\n\n[MON-056] «Самое надёжное лекарство»: активный эффект\nНормативная база (действует во всей непротиворечащей части):\nгарантированно уничтожить ассистентов и воспламенить случайную часть тела цели.\nПриоритетные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заменить случайную часть тела одним binary burning по Q-CORE-030\n\n[MON-057] «Самое надёжное лекарство»: огнестойкость Доктора\nне выполнять проверки самообладания из-за боли от горения; огонь наносит 5 HP за минуту/ход вместо 10.","idUnique":1,"nameRu":"Самое надёжное лекарство","nodeRef":"MON-056","peaceAllowed":true,"peaceBehavior":"Мирная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части.\n\n[MON-056] «Самое надёжное лекарство»: активный эффект\nНормативная база (действует во всей непротиворечащей части):\nгарантированно уничтожить ассистентов и воспламенить случайную часть тела цели.\nПриоритетные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заменить случайную часть тела одним binary burning по Q-CORE-030\n\n[MON-057] «Самое надёжное лекарство»: огнестойкость Доктора\nне выполнять проверки самообладания из-за боли от горения; огонь наносит 5 HP за минуту/ход вместо 10.","playerCommandCombat":true,"playerCommandPeace":false,"priority":10,"sourceQuestionIds":"","sourceRuleIds":["MON-056","MON-057"],"speciesKey":"PLAGUE_DOCTOR","status":"ACTIVE"}</t>
  </si>
  <si>
    <t xml:space="preserve">152698202b871efbb69280d2df441759a161f8b13c0a1e5e3d452cea8e7eb019</t>
  </si>
  <si>
    <t xml:space="preserve">{"abilityId":"MON-061","abilityKind":"PASSIVE_OR_AUTOMATIC","automationStatus":"AUTOMATED_ACCEPTED","combatAllowed":true,"combatBehavior":"Разрешается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ходы.\n\n[MON-061] «Мёртвый вестник»: базовые пассивы\nубрать штрафы S−5,D−5,M−5; Доктор не чувствует боли и не может потерять сознание; к числу действий серии прибавить 1; минимум действий в ход =2.\n\n[MON-062] «Мёртвый вестник»: костяной клинок\nвыдвижение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урон=R+L+S_mod.\n\n[MON-063] Костяной клинок: гарантированное заражение\nбез проверки Z гарантированно заразить цель ассистентами.","idUnique":1,"nameRu":"Мёртвый вестник","nodeRef":"MON-061","peaceAllowed":true,"peaceBehavior":"Мирная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части.\n\n[MON-061] «Мёртвый вестник»: базовые пассивы\nубрать штрафы S−5,D−5,M−5; Доктор не чувствует боли и не может потерять сознание; к числу действий серии прибавить 1; минимум действий в ход =2.\n\n[MON-062] «Мёртвый вестник»: костяной клинок\nвыдвижение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урон=R+L+S_mod.\n\n[MON-063] Костяной клинок: гарантированное заражение\nбез проверки Z гарантированно заразить цель ассистентами.","playerCommandCombat":false,"playerCommandPeace":false,"priority":10,"sourceQuestionIds":"","sourceRuleIds":["MON-061","MON-062","MON-063"],"speciesKey":"PLAGUE_DOCTOR","status":"ACTIVE"}</t>
  </si>
  <si>
    <t xml:space="preserve">bff910453977738efa4f3d0ea5ac6dd863d946aba1bab3a2138af57e6a73b814</t>
  </si>
  <si>
    <t xml:space="preserve">{"abilityId":"MON-066","abilityKind":"PASSIVE_OR_AUTOMATIC","automationStatus":"AUTOMATED_ACCEPTED","combatAllowed":true,"combatBehavior":"Разрешается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ходы.\n\n[MON-066] «Распределение сил»: первые шесть ходов\nНормативная база (действует во всей непротиворечащей части):\nна ходах 1–6 увеличить S и D до 35; с 7-го вернуть обычные итоговые значения.\nПриоритетные авторские дельты (заменяют только прямо пересекающиеся ветви):\n[Q-MON-032]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образом.\n\n[MON-067] «Распределение сил»: неожиданное нападение\nавтоматически считать упреждение Доктора успешным.","idUnique":1,"nameRu":"Распределение сил","nodeRef":"MON-066","peaceAllowed":false,"peaceBehavior":"Игрок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боя.","playerCommandCombat":false,"playerCommandPeace":false,"priority":10,"sourceQuestionIds":"Q-MON-032","sourceRuleIds":["MON-066","MON-067"],"speciesKey":"PLAGUE_DOCTOR","status":"ACTIVE"}</t>
  </si>
  <si>
    <t xml:space="preserve">1af15bd43ca40310bc26394a395b332d8d2c4b44bbc4a58c55c11c7e1b359799</t>
  </si>
  <si>
    <t xml:space="preserve">{"abilityId":"MON-073","abilityKind":"PASSIVE_OR_AUTOMATIC","automationStatus":"AUTOMATED_ACCEPTED","combatAllowed":true,"combatBehavior":"Разрешается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ходы.\n\n[MON-073] «Одержимый познанием»\nприродный спасбросок брони R20×2; +10 к защите от ментальных воздействий; +10 к обнаружению.","idUnique":1,"nameRu":"Одержимый познанием","nodeRef":"MON-073","peaceAllowed":false,"peaceBehavior":"Игрок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боя.","playerCommandCombat":false,"playerCommandPeace":false,"priority":10,"sourceQuestionIds":"","sourceRuleIds":["MON-073"],"speciesKey":"PLAGUE_DOCTOR","status":"ACTIVE"}</t>
  </si>
  <si>
    <t xml:space="preserve">10ddf72c4c408196c5b7a2967ee8dc67dc6240c2ab9e8b58230c392f09439cf9</t>
  </si>
  <si>
    <t xml:space="preserve">{"abilityId":"MON-071","abilityKind":"PLAYER_COMMAND","automationStatus":"AUTOMATED_ACCEPTED","combatAllowed":true,"combatBehavior":"Разрешается по агрегированным карточкам canonicalBehaviorCards; в бою учитываются указанная цена действий, боевые защиты, координаты и ходы.\n\n[MON-071] «Выжгу до тла»: защитное применение\nНормативная база (действует во всей непротиворечащей части):\nспособность не тратит действий; при успешном блоке атакующий загорается до нанесения удара, исходная атака не достигает Доктора.\nПриоритетные авторские дельты (заменяют только прямо пересекающиеся ветви):\n[Q-MON-035]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блока.\n\n[MON-072] «Выжгу до тла»: струя и экипировка\nНормативная база (действует во всей непротиворечащей части):\nна каждую попавшую под струю цель наложить горение на случайные R6 элементов экипировки; если R6=6, горят все элементы, включая рюкзак при наличии.\nПриоритетные авторские дельты (заменяют только прямо пересекающиеся ветви):\n[Q-MON-035]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дракона)","idUnique":1,"nameRu":"Выжгу до тла","nodeRef":"MON-071","peaceAllowed":false,"peaceBehavior":"Игрок не может воспользоваться способностью в мирной ситуации; активная команда доступна только в бою либо эффект не определён вне боя.","playerCommandCombat":true,"playerCommandPeace":false,"priority":10,"sourceQuestionIds":"Q-MON-035; Q-MON-036","sourceRuleIds":["MON-071","MON-072"],"speciesKey":"PLAGUE_DOCTOR","status":"ACTIVE"}</t>
  </si>
  <si>
    <t xml:space="preserve">bd521b65050d895db506a1f783e0f4fec52524c43841602869a98caebb63f9c0</t>
  </si>
  <si>
    <t xml:space="preserve">ABILITY_CONTEXT</t>
  </si>
  <si>
    <t xml:space="preserve">SYM-027 COMBAT</t>
  </si>
  <si>
    <t xml:space="preserve">{"abilityContextId":"CTX-SYM-027-COMBAT","abilityId":"SYM-027","actionCost":"[SYM-027] объявление; цена 30 ОЭ и 1 действие.\nR=1: носитель без сознания 30 минут/до конца боя.","allowed":true,"armorPolicy":"Общий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ходы.\n\n[SYM-027] Регенерация\nR=1: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C.","context":"COMBAT","cooldown":"[SYM-027] R=1: носитель без сознания 30 минут/до конца боя.","denialReason":"","duration":"[SYM-027] R=1: носитель без сознания 30 минут/до конца боя.","effect":"[SYM-027]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C.","errorCodes":"ERR_PRECONDITION; ERR_TARGET; ERR_RESOURCE; ERR_ACTION_COST; ERR_RULE_SPECIFIC","idUnique":1,"inputs":"[SYM-027] один чистый R20 (активация и величина).","manualChoice":"Только прямо указанные частной карточкой выборы.","playerCommandAvailable":true,"preconditions":"[SYM-027] способность доступна; ОЭ≥30.","resourceCost":"[SYM-027] объявление; цена 30 ОЭ и 1 действие.\nОЭ≥30.\nR=5–17: HP += 2R.\nR=18–19: восстановить 50 HP и удалить все травмы.\nR=20: восстановить HP полностью, удалить все травмы и косметические дефекты, снижающие C.","rollDefinition":"[SYM-027] один чистый R20 (активация и величина).\nR=1: носитель без сознания 30 минут/до конца боя.\nR=2–4: нет лечения.\nR=5–17: HP += 2R.\nR=18–19: восстановить 50 HP и удалить все травмы.\nR=20: восстановить HP полностью, удалить все травмы и косметические дефекты, снижающие C.","ruleIds":"SYM-027; CORE-229; SYM-010; SYM-011","stateWrites":"[SYM-027] HP/травмы либо бессознательность.","targetSelector":"[SYM-027] собственный носитель.","timeCost":"Боевые ходы/действия по частной карточке.","trigger":"[SYM-027] объявление; цена 30 ОЭ и 1 действие."}</t>
  </si>
  <si>
    <t xml:space="preserve">eaa372807d084523d8a2ecbe794f5928eccb424e5fb66ab9f63ed67799a4957f</t>
  </si>
  <si>
    <t xml:space="preserve">SYM-027 PEACE</t>
  </si>
  <si>
    <t xml:space="preserve">{"abilityContextId":"CTX-SYM-027-PEACE","abilityId":"SYM-027","actionCost":"Боевые действия не расходуются вне боя. Частная длительность/условия сохраняются:\n[SYM-027] объявление; цена 30 ОЭ и 1 действие.\nR=1: носитель без сознания 30 минут/до конца боя.","allowed":true,"armorPolicy":"Общий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части.\n\n[SYM-027] Регенерация\nR=1: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C.","context":"PEACE","cooldown":"[SYM-027] R=1: носитель без сознания 30 минут/до конца боя.","denialReason":"","duration":"[SYM-027] R=1: носитель без сознания 30 минут/до конца боя.","effect":"[SYM-027]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C.","errorCodes":"ERR_PRECONDITION; ERR_TARGET; ERR_RESOURCE; ERR_ACTION_COST; ERR_RULE_SPECIFIC","idUnique":1,"inputs":"[SYM-027] один чистый R20 (активация и величина).","manualChoice":"Мастер подтверждает немоделируемые контакт, дистанцию и согласие цели по Q-APP-001.","playerCommandAvailable":true,"preconditions":"[SYM-027] способность доступна; ОЭ≥30.","resourceCost":"[SYM-027] объявление; цена 30 ОЭ и 1 действие.\nОЭ≥30.\nR=5–17: HP += 2R.\nR=18–19: восстановить 50 HP и удалить все травмы.\nR=20: восстановить HP полностью, удалить все травмы и косметические дефекты, снижающие C.","rollDefinition":"[SYM-027] один чистый R20 (активация и величина).\nR=1: носитель без сознания 30 минут/до конца боя.\nR=2–4: нет лечения.\nR=5–17: HP += 2R.\nR=18–19: восстановить 50 HP и удалить все травмы.\nR=20: восстановить HP полностью, удалить все травмы и косметические дефекты, снижающие C.","ruleIds":"SYM-027; Q-APP-001; SYM-010; SYM-011","stateWrites":"[SYM-027] HP/травмы либо бессознательность.","targetSelector":"[SYM-027] собственный носитель.","timeCost":"Виртуальное время только если прямо установлено частной карточкой; иначе 0.","trigger":"[SYM-027] объявление; цена 30 ОЭ и 1 действие."}</t>
  </si>
  <si>
    <t xml:space="preserve">be48a43a17865f1d8c1da227f7030af0a9dfb12e1abe3d207b202dd701d4c339</t>
  </si>
  <si>
    <t xml:space="preserve">SYM-028 COMBAT</t>
  </si>
  <si>
    <t xml:space="preserve">{"abilityContextId":"CTX-SYM-028-COMBAT","abilityId":"SYM-028","actionCost":"[SYM-028] Нормативная база (действует во всей непротиворечащей части):\nR=1: Ткач отключён на 30 минут/4 хода.\nДля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эффекта.\n[Q-SYM-008] Способность немедленно и без расходования действий носителя объявляется при потере сознания от тяжёлого ранения","allowed":true,"armorPolicy":"Общий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урон.","atomicityAudit":"[SYM-028]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замены.","behavior":"Разрешается по агрегированным карточкам canonicalBehaviorCards; в бою учитываются указанная цена действий, боевые защиты, координаты и ходы.\n\n[SYM-028] Замена органа\nНормативная база (действует во всей непротиворечащей части):\nR=1: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смерть.\n[Q-SYM-008]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погибнуть.","context":"COMBAT","cooldown":"[SYM-028] Нормативная база (действует во всей непротиворечащей части):\nR=1: Ткач отключён на 30 минут/4 хода.\nR≥3: клетки заменяют функцию органа на R/3 ходов; носитель сохраняет дееспособность в тяжёлом ранении, время до смерти ×4.\nДля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замены.","denialReason":"","duration":"[SYM-028] Нормативная база (действует во всей непротиворечащей части):\nR=1: Ткач отключён на 30 минут/4 хода.\nR≥3: клетки заменяют функцию органа на R/3 ходов; носитель сохраняет дееспособность в тяжёлом ранении, время до смерти ×4.\nДля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замены.","effect":"[SYM-028] Нормативная база (действует во всей непротиворечащей части):\nR=1: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смерть.\n[Q-SYM-008]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погибнуть.","errorCodes":"ERR_PRECONDITION; ERR_TARGET; ERR_RESOURCE; ERR_ACTION_COST; ERR_RULE_SPECIFIC","idUnique":1,"inputs":"[SYM-028] один чистый R20 R.","manualChoice":"[SYM-028] ручное объявление либо автоматическая потеря сознания от тяжёлого ранения; цена 50 ОЭ.","playerCommandAvailable":true,"preconditions":"[SYM-028] способность изучена, ОЭ≥50, есть уничтоженный внутренний орган.","resourceCost":"[SYM-028] ручное объявление либо автоматическая потеря сознания от тяжёлого ранения; цена 50 ОЭ.\nспособность изучена, ОЭ≥50, есть уничтоженный внутренний орган.\n[Q-SYM-007]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R20.\nНа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HP=1.\nЛюбая новая потеря хотя бы 1 HP во время тяжёлого ранения вызывает окончательную смерть.","rollDefinition":"[SYM-028] один чистый R20 R.\nR=1: Ткач отключён на 30 минут/4 хода.\nR=2: активация неуспешна.\nR≥3: клетки заменяют функцию органа на R/3 ходов; носитель сохраняет дееспособность в тяжёлом ранении, время до смерти ×4.\nДля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R20.\nНа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замены.\nНа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HP=1.","ruleIds":"SYM-028; CORE-229; SYM-010; SYM-011","stateWrites":"[SYM-028] временная функция органа, продление таймера смерти; возможно постоянное восстановление.","targetSelector":"[SYM-028] носитель с уничтоженным внутренним органом.","timeCost":"Боевые ходы/действия по частной карточке.","trigger":"[SYM-028] ручное объявление либо автоматическая потеря сознания от тяжёлого ранения; цена 50 ОЭ."}</t>
  </si>
  <si>
    <t xml:space="preserve">4252c059e024ce9ee6e1ce129ee1837696aeac0ac24bbc31ce1d1959ea5e8eeb</t>
  </si>
  <si>
    <t xml:space="preserve">SYM-028 PEACE</t>
  </si>
  <si>
    <t xml:space="preserve">{"abilityContextId":"CTX-SYM-028-PEACE","abilityId":"SYM-028","actionCost":"Боевые действия не расходуются вне боя. Частная длительность/условия сохраняются:\n[SYM-028] Нормативная база (действует во всей непротиворечащей части):\nR=1: Ткач отключён на 30 минут/4 хода.\nДля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эффекта.\n[Q-SYM-008] Способность немедленно и без расходования действий носителя объявляется при потере сознания от тяжёлого ранения","allowed":true,"armorPolicy":"Общий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урон.","atomicityAudit":"[SYM-028]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части.\n\n[SYM-028] Замена органа\nНормативная база (действует во всей непротиворечащей части):\nR=1: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смерть.\n[Q-SYM-008]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погибнуть.","context":"PEACE","cooldown":"[SYM-028] Нормативная база (действует во всей непротиворечащей части):\nR=1: Ткач отключён на 30 минут/4 хода.\nR≥3: клетки заменяют функцию органа на R/3 ходов; носитель сохраняет дееспособность в тяжёлом ранении, время до смерти ×4.\nДля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замены.","denialReason":"","duration":"[SYM-028] Нормативная база (действует во всей непротиворечащей части):\nR=1: Ткач отключён на 30 минут/4 хода.\nR≥3: клетки заменяют функцию органа на R/3 ходов; носитель сохраняет дееспособность в тяжёлом ранении, время до смерти ×4.\nДля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замены.","effect":"[SYM-028] Нормативная база (действует во всей непротиворечащей части):\nR=1: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смерть.\n[Q-SYM-008]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погибнуть.","errorCodes":"ERR_PRECONDITION; ERR_TARGET; ERR_RESOURCE; ERR_ACTION_COST; ERR_RULE_SPECIFIC","idUnique":1,"inputs":"[SYM-028] один чистый R20 R.","manualChoice":"[SYM-028] ручное объявление либо автоматическая потеря сознания от тяжёлого ранения; цена 50 ОЭ.","playerCommandAvailable":true,"preconditions":"[SYM-028] способность изучена, ОЭ≥50, есть уничтоженный внутренний орган.","resourceCost":"[SYM-028] ручное объявление либо автоматическая потеря сознания от тяжёлого ранения; цена 50 ОЭ.\nспособность изучена, ОЭ≥50, есть уничтоженный внутренний орган.\n[Q-SYM-007]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R20.\nНа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HP=1.\nЛюбая новая потеря хотя бы 1 HP во время тяжёлого ранения вызывает окончательную смерть.","rollDefinition":"[SYM-028] один чистый R20 R.\nR=1: Ткач отключён на 30 минут/4 хода.\nR=2: активация неуспешна.\nR≥3: клетки заменяют функцию органа на R/3 ходов; носитель сохраняет дееспособность в тяжёлом ранении, время до смерти ×4.\nДля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R20.\nНа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замены.\nНа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HP=1.","ruleIds":"SYM-028; Q-APP-001; SYM-010; SYM-011","stateWrites":"[SYM-028] временная функция органа, продление таймера смерти; возможно постоянное восстановление.","targetSelector":"[SYM-028] носитель с уничтоженным внутренним органом.","timeCost":"Виртуальное время только если прямо установлено частной карточкой; иначе 0.","trigger":"[SYM-028] ручное объявление либо автоматическая потеря сознания от тяжёлого ранения; цена 50 ОЭ."}</t>
  </si>
  <si>
    <t xml:space="preserve">713cb7d301d391170444a50b7a7c37e6604b2ea024295834629e13b1b5b78dc3</t>
  </si>
  <si>
    <t xml:space="preserve">SYM-029 COMBAT</t>
  </si>
  <si>
    <t xml:space="preserve">{"abilityContextId":"CTX-SYM-029-COMBAT","abilityId":"SYM-029","actionCost":"[SYM-029] касание ладонью раны; цена 20 ОЭ и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ходы.\n\n[SYM-029] Внешняя регенерация\nR=1: цель теряет 10 HP. R=2–4: нет эффекта. R=5–19: цель восстанавливает 2R HP. R=20: цель восстанавливает 50 HP, все травмы и косметические дефекты, снижающие C.","context":"COMBAT","cooldown":"Нет, если не указан.","denialReason":"","duration":"Мгновенно, если срок не указан.","effect":"[SYM-029] R=1: цель теряет 10 HP. R=2–4: нет эффекта. R=5–19: цель восстанавливает 2R HP. R=20: цель восстанавливает 50 HP, все травмы и косметические дефекты, снижающие C.","errorCodes":"ERR_PRECONDITION; ERR_TARGET; ERR_RESOURCE; ERR_ACTION_COST; ERR_RULE_SPECIFIC","idUnique":1,"inputs":"[SYM-029] один чистый R20 R.","manualChoice":"Только прямо указанные частной карточкой выборы.","playerCommandAvailable":true,"preconditions":"[SYM-029] физический контакт, ОЭ≥20.","resourceCost":"[SYM-029] касание ладонью раны; цена 20 ОЭ и 1 действие.\nфизический контакт, ОЭ≥20.\nR=1: цель теряет 10 HP.\nR=5–19: цель восстанавливает 2R HP.\nR=20: цель восстанавливает 50 HP, все травмы и косметические дефекты, снижающие C.","rollDefinition":"[SYM-029] один чистый R20 R.\nR=1: цель теряет 10 HP.\nR=2–4: нет эффекта.\nR=5–19: цель восстанавливает 2R HP.\nR=20: цель восстанавливает 50 HP, все травмы и косметические дефекты, снижающие C.","ruleIds":"SYM-029; CORE-229; SYM-010; SYM-011","stateWrites":"[SYM-029] HP/травмы цели.","targetSelector":"[SYM-029] живое существо.","timeCost":"Боевые ходы/действия по частной карточке.","trigger":"[SYM-029] касание ладонью раны; цена 20 ОЭ и 1 действие."}</t>
  </si>
  <si>
    <t xml:space="preserve">88cbb58af56d79499fd4b845e00aeefae5722103f139ee7312413b8eb1564104</t>
  </si>
  <si>
    <t xml:space="preserve">SYM-029 PEACE</t>
  </si>
  <si>
    <t xml:space="preserve">{"abilityContextId":"CTX-SYM-029-PEACE","abilityId":"SYM-029","actionCost":"Боевые действия не расходуются вне боя. Частная длительность/условия сохраняются:\n[SYM-029] касание ладонью раны; цена 20 ОЭ и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части.\n\n[SYM-029] Внешняя регенерация\nR=1: цель теряет 10 HP. R=2–4: нет эффекта. R=5–19: цель восстанавливает 2R HP. R=20: цель восстанавливает 50 HP, все травмы и косметические дефекты, снижающие C.","context":"PEACE","cooldown":"Нет, если не указан.","denialReason":"","duration":"Мгновенно, если срок не указан.","effect":"[SYM-029] R=1: цель теряет 10 HP. R=2–4: нет эффекта. R=5–19: цель восстанавливает 2R HP. R=20: цель восстанавливает 50 HP, все травмы и косметические дефекты, снижающие C.","errorCodes":"ERR_PRECONDITION; ERR_TARGET; ERR_RESOURCE; ERR_ACTION_COST; ERR_RULE_SPECIFIC","idUnique":1,"inputs":"[SYM-029] один чистый R20 R.","manualChoice":"Мастер подтверждает немоделируемые контакт, дистанцию и согласие цели по Q-APP-001.","playerCommandAvailable":true,"preconditions":"[SYM-029] физический контакт, ОЭ≥20.","resourceCost":"[SYM-029] касание ладонью раны; цена 20 ОЭ и 1 действие.\nфизический контакт, ОЭ≥20.\nR=1: цель теряет 10 HP.\nR=5–19: цель восстанавливает 2R HP.\nR=20: цель восстанавливает 50 HP, все травмы и косметические дефекты, снижающие C.","rollDefinition":"[SYM-029] один чистый R20 R.\nR=1: цель теряет 10 HP.\nR=2–4: нет эффекта.\nR=5–19: цель восстанавливает 2R HP.\nR=20: цель восстанавливает 50 HP, все травмы и косметические дефекты, снижающие C.","ruleIds":"SYM-029; Q-APP-001; SYM-010; SYM-011","stateWrites":"[SYM-029] HP/травмы цели.","targetSelector":"[SYM-029] живое существо.","timeCost":"Виртуальное время только если прямо установлено частной карточкой; иначе 0.","trigger":"[SYM-029] касание ладонью раны; цена 20 ОЭ и 1 действие."}</t>
  </si>
  <si>
    <t xml:space="preserve">b360627239af77840ddf23245463bbcd85e829177c453193d3c14f699145ac09</t>
  </si>
  <si>
    <t xml:space="preserve">SYM-030 COMBAT</t>
  </si>
  <si>
    <t xml:space="preserve">{"abilityContextId":"CTX-SYM-030-COMBAT","abilityId":"SYM-030","actionCost":"[SYM-030] объявление; цена 50 ОЭ и 1 действие.\nНормативная база (действует во всей непротиворечащей части):\nR=1: дополнительно сжечь 100 ОЭ; если 100 больше оставшегося запаса, установить недееспособность Ткача до 4 часов сна.\nДля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эффекта.\nДополнительное отключение наступает только там, где оно прямо указано, в частности у Ткача при неудаче «Дублирования органов».","allowed":true,"armorPolicy":"Общий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ходы.\n\n[SYM-030] Дублирование органов\nНормативная база (действует во всей непротиворечащей части):\nR≥2: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органов».","context":"COMBAT","cooldown":"[SYM-030] Нормативная база (действует во всей непротиворечащей части):\nR≥2: наложить «Задвоенные органы» на R/2 ходов.\nR=1: дополнительно сжечь 100 ОЭ; если 100 больше оставшегося запаса, установить недееспособность Ткача до 4 часов сна.\nДля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эффекта.\nДополнительное отключение наступает только там, где оно прямо указано, в частности у Ткача при неудаче «Дублирования органов».","denialReason":"","duration":"[SYM-030] Нормативная база (действует во всей непротиворечащей части):\nR≥2: наложить «Задвоенные органы» на R/2 ходов.\nR=1: дополнительно сжечь 100 ОЭ; если 100 больше оставшегося запаса, установить недееспособность Ткача до 4 часов сна.\nДля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эффекта.\nДополнительное отключение наступает только там, где оно прямо указано, в частности у Ткача при неудаче «Дублирования органов».","effect":"[SYM-030] Нормативная база (действует во всей непротиворечащей части):\nR≥2: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органов».","errorCodes":"ERR_PRECONDITION; ERR_TARGET; ERR_RESOURCE; ERR_ACTION_COST; ERR_RULE_SPECIFIC","idUnique":1,"inputs":"[SYM-030] один чистый R20 R.","manualChoice":"Только прямо указанные частной карточкой выборы.","playerCommandAvailable":true,"preconditions":"[SYM-030] ОЭ≥50.","resourceCost":"[SYM-030] объявление; цена 50 ОЭ и 1 действие.\nОЭ≥50.\nЕсли при эффекте HP должны стать ≤0, вместо тяжёлого ранения установить HP=1 и снять эффект.\nR=1: дополнительно сжечь 100 ОЭ; если 100 больше оставшегося запаса, установить недееспособность Ткача до 4 часов сна.\n[Q-SYM-009] При обязательной потере ОЭ текущий запас уменьшается не ниже 0; энергетический долг не создаётся.","rollDefinition":"[SYM-030] один чистый R20 R.\nЕсли при эффекте HP должны стать ≤0, вместо тяжёлого ранения установить HP=1 и снять эффект.\nR=1: дополнительно сжечь 100 ОЭ; если 100 больше оставшегося запаса, установить недееспособность Ткача до 4 часов сна.\nДля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эффекта.","ruleIds":"SYM-030; CORE-229; SYM-010; SYM-011","stateWrites":"[SYM-030] одноразовое предотвращение тяжёлого ранения либо штраф симбионту.","targetSelector":"[SYM-030] носитель.","timeCost":"Боевые ходы/действия по частной карточке.","trigger":"[SYM-030] объявление; цена 50 ОЭ и 1 действие."}</t>
  </si>
  <si>
    <t xml:space="preserve">58d297c75158a940946a240d1e33e67b0e7e140b6c22501e0f2949f56a8a7d3a</t>
  </si>
  <si>
    <t xml:space="preserve">SYM-030 PEACE</t>
  </si>
  <si>
    <t xml:space="preserve">{"abilityContextId":"CTX-SYM-030-PEACE","abilityId":"SYM-030","actionCost":"0","allowed":false,"armorPolicy":"NOT_APPLICABLE","atomicityAudit":"Записать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выполняется","ruleIds":"SYM-030; Q-APP-002","stateWrites":"Нет","targetSelector":"Не выбирается","timeCost":"0","trigger":"Попытка объявления в запрещённом контексте"}</t>
  </si>
  <si>
    <t xml:space="preserve">68dc56613b7202eaf6a5c4b34f4a7107351e52a22f2a64bfc699b29988e36f98</t>
  </si>
  <si>
    <t xml:space="preserve">SYM-032 COMBAT</t>
  </si>
  <si>
    <t xml:space="preserve">{"abilityContextId":"CTX-SYM-032-COMBAT","abilityId":"SYM-032","actionCost":"[SYM-032] объявление; цена 100 ОЭ и 1 действие.\nНормативная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ходы.\n\n[SYM-032] Анаболический форсаж\nНормативная база (действует во всей непротиворечащей части):\nA≥2: S += A/2, D += A/2 на T/4 ходов. A=1: вместо этого S +=20, D +=20 на 5 ходов и каждый ход носитель атакует случайную цель в поле зрения.\nПриоритетные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CQA-007.\nВ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возвращаются.","context":"COMBAT","cooldown":"[SYM-032] Нормативная база (действует во всей непротиворечащей части):\nA≥2: S += A/2, D += A/2 на T/4 ходов.\nA=1: вместо этого S +=20, D +=20 на 5 ходов и каждый ход носитель атакует случайную цель в поле зрения.\nДля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значение.","denialReason":"","duration":"[SYM-032] Нормативная база (действует во всей непротиворечащей части):\nA≥2: S += A/2, D += A/2 на T/4 ходов.\nA=1: вместо этого S +=20, D +=20 на 5 ходов и каждый ход носитель атакует случайную цель в поле зрения.\nДля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значение.","effect":"[SYM-032] Нормативная база (действует во всей непротиворечащей части):\nA≥2: S += A/2, D += A/2 на T/4 ходов. A=1: вместо этого S +=20, D +=20 на 5 ходов и каждый ход носитель атакует случайную цель в поле зрения.\nПриоритетные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CQA-007.\nВ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возвращаются.","errorCodes":"ERR_PRECONDITION; ERR_TARGET; ERR_RESOURCE; ERR_ACTION_COST; ERR_RULE_SPECIFIC","idUnique":1,"inputs":"[SYM-032] первый R20 A (активация/бонус), отдельный R20 T (длительность).","manualChoice":"Только прямо указанные частной карточкой выборы.","playerCommandAvailable":true,"preconditions":"[SYM-032] ОЭ≥100.","resourceCost":"[SYM-032] объявление; цена 100 ОЭ и 1 действие.\nОЭ≥100.\n100 ОЭ остаются израсходованными, повторного броска нет.\nВне боя специальная ветвь не возникает; затраты 100 ОЭ не возвращаются.","rollDefinition":"[SYM-032] первый R20 A (активация/бонус), отдельный R20 T (длительность).\nA≥2: S += A/2, D += A/2 на T/4 ходов.\nA=1: вместо этого S +=20, D +=20 на 5 ходов и каждый ход носитель атакует случайную цель в поле зрения.\nДля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эффекта.","ruleIds":"SYM-032; CORE-229; SYM-010; SYM-011","stateWrites":"[SYM-032] временные модификаторы и при единице потеря самоконтроля.","targetSelector":"[SYM-032] носитель.","timeCost":"Боевые ходы/действия по частной карточке.","trigger":"[SYM-032] объявление; цена 100 ОЭ и 1 действие."}</t>
  </si>
  <si>
    <t xml:space="preserve">e1356026d7e6cc0fec3b066f439d237b6b5b5e1a7a8849be5f5ac57770f3b626</t>
  </si>
  <si>
    <t xml:space="preserve">SYM-032 PEACE</t>
  </si>
  <si>
    <t xml:space="preserve">{"abilityContextId":"CTX-SYM-032-PEACE","abilityId":"SYM-032","actionCost":"Боевые действия не расходуются вне боя. Частная длительность/условия сохраняются:\n[SYM-032] объявление; цена 100 ОЭ и 1 действие.\nНормативная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атомарная операция по Q-APP-001/002; цена, бросок и положительный эффект — по SYM-032. Натуральная 1 вне боя не исполняется (Q-APP-004).\n\n[SYM-032] Анаболический форсаж\nНормативная база (действует во всей непротиворечащей части):\nA≥2: S += A/2, D += A/2 на T/4 ходов. A=1: вместо этого S +=20, D +=20 на 5 ходов и каждый ход носитель атакует случайную цель в поле зрения.\nПриоритетные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CQA-007.\nВ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возвращаются.","context":"PEACE","cooldown":"[SYM-032] Нормативная база (действует во всей непротиворечащей части):\nA≥2: S += A/2, D += A/2 на T/4 ходов.\nA=1: вместо этого S +=20, D +=20 на 5 ходов и каждый ход носитель атакует случайную цель в поле зрения.\nДля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значение.","denialReason":"","duration":"[SYM-032] Нормативная база (действует во всей непротиворечащей части):\nA≥2: S += A/2, D += A/2 на T/4 ходов.\nA=1: вместо этого S +=20, D +=20 на 5 ходов и каждый ход носитель атакует случайную цель в поле зрения.\nДля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значение.","effect":"[SYM-032] Нормативная база (действует во всей непротиворечащей части):\nA≥2: S += A/2, D += A/2 на T/4 ходов. A=1: вместо этого S +=20, D +=20 на 5 ходов и каждый ход носитель атакует случайную цель в поле зрения.\nПриоритетные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CQA-007.\nВ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возвращаются.","errorCodes":"ERR_PRECONDITION; ERR_TARGET; ERR_RESOURCE; ERR_ACTION_COST; ERR_RULE_SPECIFIC","idUnique":1,"inputs":"[SYM-032] первый R20 A (активация/бонус), отдельный R20 T (длительность).","manualChoice":"Мастер подтверждает немоделируемые контакт, дистанцию и согласие цели по Q-APP-001.","playerCommandAvailable":true,"preconditions":"[SYM-032] ОЭ≥100.","resourceCost":"[SYM-032] объявление; цена 100 ОЭ и 1 действие.\nОЭ≥100.\n100 ОЭ остаются израсходованными, повторного броска нет.\nВне боя специальная ветвь не возникает; затраты 100 ОЭ не возвращаются.","rollDefinition":"[SYM-032] первый R20 A (активация/бонус), отдельный R20 T (длительность).\nA≥2: S += A/2, D += A/2 на T/4 ходов.\nA=1: вместо этого S +=20, D +=20 на 5 ходов и каждый ход носитель атакует случайную цель в поле зрения.\nДля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эффекта.","ruleIds":"SYM-032; Q-APP-001; SYM-010; SYM-011","stateWrites":"[SYM-032] временные модификаторы и при единице потеря самоконтроля.","targetSelector":"[SYM-032] носитель.","timeCost":"Виртуальное время только если прямо установлено частной карточкой; иначе 0.","trigger":"[SYM-032] объявление; цена 100 ОЭ и 1 действие."}</t>
  </si>
  <si>
    <t xml:space="preserve">dee5afce064af67064e600e7b17f2cddfcd6d51e8e17cecce8d72ba44c4e4ebf</t>
  </si>
  <si>
    <t xml:space="preserve">SYM-034 COMBAT</t>
  </si>
  <si>
    <t xml:space="preserve">{"abilityContextId":"CTX-SYM-034-COMBAT","abilityId":"SYM-034","actionCost":"[SYM-034] 1 действие.\nНормативная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ходы.\n\n[SYM-034] Абсолютная регенерация\nНормативная база (действует во всей непротиворечащей части):\nR=2–3: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способности.\n[Q-SYM-014]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дерева.","context":"COMBAT","cooldown":"[SYM-034] Нормативная база (действует во всей непротиворечащей части):\nR≥4: на R/4 ходов установить количество HP носителя 1000, запретить потерю дееспособности; каждая рана регенерирует через 2 хода.\nR=1: Ткач отключён на сутки и деградирует до L=4.\nДля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способности.","denialReason":"","duration":"[SYM-034] Нормативная база (действует во всей непротиворечащей части):\nR≥4: на R/4 ходов установить количество HP носителя 1000, запретить потерю дееспособности; каждая рана регенерирует через 2 хода.\nR=1: Ткач отключён на сутки и деградирует до L=4.\nДля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способности.","effect":"[SYM-034] Нормативная база (действует во всей непротиворечащей части):\nR=2–3: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способности.\n[Q-SYM-014]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дерева.","errorCodes":"ERR_PRECONDITION; ERR_TARGET; ERR_RESOURCE; ERR_ACTION_COST; ERR_RULE_SPECIFIC","idUnique":1,"inputs":"[SYM-034] один чистый R20 R.","manualChoice":"Только прямо указанные частной карточкой выборы.","playerCommandAvailable":true,"preconditions":"[SYM-034] способность доступна.","resourceCost":"[SYM-034] объявление; списать весь текущий ОЭ, но команда допустима только при ОЭ≥200\nR≥4: на R/4 ходов установить количество HP носителя 1000, запретить потерю дееспособности; каждая рана регенерирует через 2 хода.\n[Q-SYM-013] После окончания способности временное значение 1000 снимается, а текущие HP становятся равны min(текущие HP при эффекте, обычный максимум HP).\nТкач становится 4 уровня; изученные узлы 5–6 уровней помечаются утраченными и недоступны, ранее потраченный на них опыт не возвращается.\nцена — вся энергия, не фиксированные 200.","rollDefinition":"[SYM-034] один чистый R20 R.\nR=2–3: нет основного эффекта, вся энергия потрачена.\nR=1: Ткач отключён на сутки и деградирует до L=4.\nДля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эффекта.\n[Q-SYM-013] После окончания способности временное значение 1000 снимается, а текущие HP становятся равны min(текущие HP при эффекте, обычный максимум HP).","ruleIds":"SYM-034; CORE-229; SYM-010; SYM-011","stateWrites":"[SYM-034] временный режим абсолютной регенерации либо деградация.","targetSelector":"[SYM-034] носитель.","timeCost":"Боевые ходы/действия по частной карточке.","trigger":"[SYM-034] объявление; списать весь текущий ОЭ, но команда допустима только при ОЭ≥200; 1 действие."}</t>
  </si>
  <si>
    <t xml:space="preserve">182772af5a3dbdfb80c16b7c9e9417639f976639829a08fc5ff1c8c9ede81f30</t>
  </si>
  <si>
    <t xml:space="preserve">SYM-034 PEACE</t>
  </si>
  <si>
    <t xml:space="preserve">{"abilityContextId":"CTX-SYM-034-PEACE","abilityId":"SYM-034","actionCost":"0","allowed":false,"armorPolicy":"NOT_APPLICABLE","atomicityAudit":"Записать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выполняется","ruleIds":"SYM-034; Q-APP-002","stateWrites":"Нет","targetSelector":"Не выбирается","timeCost":"0","trigger":"Попытка объявления в запрещённом контексте"}</t>
  </si>
  <si>
    <t xml:space="preserve">cff920c9abd19a0ffbde00e84390c2251cdac2b2bef40543aa8d9b53bae097e3</t>
  </si>
  <si>
    <t xml:space="preserve">SYM-031 COMBAT</t>
  </si>
  <si>
    <t xml:space="preserve">{"abilityContextId":"CTX-SYM-031-COMBAT","abilityId":"SYM-031","actionCost":"[SYM-031] объявление выстрела; цена 40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ходы.\n\n[SYM-031] Выстрел регенерона\nНормативная база (действует во всей непротиворечащей части):\nR=2–4: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сохраняются.","context":"COMBAT","cooldown":"[SYM-031] Нормативная база (действует во всей непротиворечащей части):","denialReason":"","duration":"[SYM-031] Нормативная база (действует во всей непротиворечащей части):","effect":"[SYM-031] Нормативная база (действует во всей непротиворечащей части):\nR=2–4: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сохраняются.","errorCodes":"ERR_PRECONDITION; ERR_TARGET; ERR_RESOURCE; ERR_ACTION_COST; ERR_RULE_SPECIFIC","idUnique":1,"inputs":"[SYM-031] активационный R20 R; категория контакта; при R=1 — два новых независимых R20: R_damage и R_penetration.","manualChoice":"Только прямо указанные частной карточкой выборы.","playerCommandAvailable":true,"preconditions":"[SYM-031] валидная дальняя цель; ОЭ≥40.","resourceCost":"[SYM-031] объявление выстрела; цена 40 ОЭ и 1 действие.\nОЭ≥40.\nR≥5 и попадание: голая кожа → +2R HP; проницаемая одежда → +R HP; герметичная одежда → 0.","rollDefinition":"[SYM-031] активационный R20 R; категория контакта; при R=1 — два новых независимых R20: R_damage и R_penetration.\nR=2–4: нет эффекта.\nR=1: вместо лечения кристаллизованная колючка наносит 2×R_damage урона, пробитие = R_penetration.\nстандартные дальняя атака/защита; активационная единица только выбирает ветку осложнения и не подставляется в формулы урона/пробития.","ruleIds":"SYM-031; CORE-229; SYM-010; SYM-011","stateWrites":"[SYM-031] лечение либо атака колючкой.","targetSelector":"[SYM-031] выбранная цель.","timeCost":"Боевые ходы/действия по частной карточке.","trigger":"[SYM-031] объявление выстрела; цена 40 ОЭ и 1 действие."}</t>
  </si>
  <si>
    <t xml:space="preserve">76b8cb9b8dd1efe47fa55501d420d7ca79719eef9968b6619549457e84587517</t>
  </si>
  <si>
    <t xml:space="preserve">SYM-031 PEACE</t>
  </si>
  <si>
    <t xml:space="preserve">{"abilityContextId":"CTX-SYM-031-PEACE","abilityId":"SYM-031","actionCost":"0","allowed":false,"armorPolicy":"NOT_APPLICABLE","atomicityAudit":"Записать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выполняется","ruleIds":"SYM-031; Q-APP-002","stateWrites":"Нет","targetSelector":"Не выбирается","timeCost":"0","trigger":"Попытка объявления в запрещённом контексте"}</t>
  </si>
  <si>
    <t xml:space="preserve">3e6f1772f2a9159df3d346f126a3733b6d9128e7890fa73917d16772465c553c</t>
  </si>
  <si>
    <t xml:space="preserve">SYM-033 COMBAT</t>
  </si>
  <si>
    <t xml:space="preserve">{"abilityContextId":"CTX-SYM-033-COMBAT","abilityId":"SYM-033","actionCost":"[SYM-033] объявление; цена 100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ходы.\n\n[SYM-033] Адреналиновая реанимация\nНормативная база (действует во всей непротиворечащей части):\nR=2–4: активация неуспешна. R≥5: выполнить попадание и пробитие; если шип достиг плоти, вывести цель из тяжёлого ранения, установить HP=1. R=1: «добить цель».\nПриоритетные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происходит.","context":"COMBAT","cooldown":"[SYM-033] Нормативная база (действует во всей непротиворечащей части):","denialReason":"","duration":"[SYM-033] Нормативная база (действует во всей непротиворечащей части):","effect":"[SYM-033] Нормативная база (действует во всей непротиворечащей части):\nR=2–4: активация неуспешна. R≥5: выполнить попадание и пробитие; если шип достиг плоти, вывести цель из тяжёлого ранения, установить HP=1. R=1: «добить цель».\nПриоритетные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происходит.","errorCodes":"ERR_PRECONDITION; ERR_TARGET; ERR_RESOURCE; ERR_ACTION_COST; ERR_RULE_SPECIFIC","idUnique":1,"inputs":"[SYM-033] чистый R20 R, одновременно активация и пробитие=3R.","manualChoice":"Только прямо указанные частной карточкой выборы.","playerCommandAvailable":true,"preconditions":"[SYM-033] ОЭ≥100; цель допустима.","resourceCost":"[SYM-033] объявление; цена 100 ОЭ и 1 действие.\nОЭ≥100; цель допустима.\nR≥5: выполнить попадание и пробитие; если шип достиг плоти, вывести цель из тяжёлого ранения, установить HP=1.","rollDefinition":"[SYM-033] чистый R20 R, одновременно активация и пробитие=3R.\nR=2–4: активация неуспешна.\nR≥5: выполнить попадание и пробитие; если шип достиг плоти, вывести цель из тяжёлого ранения, установить HP=1.\nR=1: «добить цель».","ruleIds":"SYM-033; CORE-229; SYM-010; SYM-011","stateWrites":"[SYM-033] реанимация либо фатальный исход.","targetSelector":"[SYM-033] цель в тяжёлом ранении.","timeCost":"Боевые ходы/действия по частной карточке.","trigger":"[SYM-033] объявление; цена 100 ОЭ и 1 действие."}</t>
  </si>
  <si>
    <t xml:space="preserve">f5efc0b404808f863e59dde00ebffa389fc661712f9eadc2f6849d57c39e68f6</t>
  </si>
  <si>
    <t xml:space="preserve">SYM-033 PEACE</t>
  </si>
  <si>
    <t xml:space="preserve">{"abilityContextId":"CTX-SYM-033-PEACE","abilityId":"SYM-033","actionCost":"Боевые действия не расходуются вне боя. Частная длительность/условия сохраняются:\n[SYM-033] объявление; цена 100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части.\n\n[SYM-033] Адреналиновая реанимация\nНормативная база (действует во всей непротиворечащей части):\nR=2–4: активация неуспешна. R≥5: выполнить попадание и пробитие; если шип достиг плоти, вывести цель из тяжёлого ранения, установить HP=1. R=1: «добить цель».\nПриоритетные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происходит.","context":"PEACE","cooldown":"[SYM-033] Нормативная база (действует во всей непротиворечащей части):","denialReason":"","duration":"[SYM-033] Нормативная база (действует во всей непротиворечащей части):","effect":"[SYM-033] Нормативная база (действует во всей непротиворечащей части):\nR=2–4: активация неуспешна. R≥5: выполнить попадание и пробитие; если шип достиг плоти, вывести цель из тяжёлого ранения, установить HP=1. R=1: «добить цель».\nПриоритетные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происходит.","errorCodes":"ERR_PRECONDITION; ERR_TARGET; ERR_RESOURCE; ERR_ACTION_COST; ERR_RULE_SPECIFIC","idUnique":1,"inputs":"[SYM-033] чистый R20 R, одновременно активация и пробитие=3R.","manualChoice":"Мастер подтверждает немоделируемые контакт, дистанцию и согласие цели по Q-APP-001.","playerCommandAvailable":true,"preconditions":"[SYM-033] ОЭ≥100; цель допустима.","resourceCost":"[SYM-033] объявление; цена 100 ОЭ и 1 действие.\nОЭ≥100; цель допустима.\nR≥5: выполнить попадание и пробитие; если шип достиг плоти, вывести цель из тяжёлого ранения, установить HP=1.","rollDefinition":"[SYM-033] чистый R20 R, одновременно активация и пробитие=3R.\nR=2–4: активация неуспешна.\nR≥5: выполнить попадание и пробитие; если шип достиг плоти, вывести цель из тяжёлого ранения, установить HP=1.\nR=1: «добить цель».","ruleIds":"SYM-033; Q-APP-001; SYM-010; SYM-011","stateWrites":"[SYM-033] реанимация либо фатальный исход.","targetSelector":"[SYM-033] цель в тяжёлом ранении.","timeCost":"Виртуальное время только если прямо установлено частной карточкой; иначе 0.","trigger":"[SYM-033] объявление; цена 100 ОЭ и 1 действие."}</t>
  </si>
  <si>
    <t xml:space="preserve">9a4dc45d3bebe77a2062fd8f2ef4d47bde31e956c16577d9137b75ad35bec25b</t>
  </si>
  <si>
    <t xml:space="preserve">SYM-035 COMBAT</t>
  </si>
  <si>
    <t xml:space="preserve">{"abilityContextId":"CTX-SYM-035-COMBAT","abilityId":"SYM-035","actionCost":"[SYM-035] контактное применение; цена 150 ОЭ и 1 действие.\nчистый R20 R, T в ходах/минутах.\nНормативная база (действует во всей непротиворечащей части):\n[Q-SYM-015] Сохранение мозга и части тела не проверяется – это игровая условность; цель воскресает с 1 HP вне тяжёлого ранения, Ткач сохраняется в носителе.\nT считается в ходах в бою и полных минутах вне боя по правилу перехода режимов Q-CORE-063.","allowed":true,"armorPolicy":"Общий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ходы.\n\n[SYM-035] Абсолютная реанимация\nНормативная база (действует во всей непротиворечащей части):\nесли R=1, цель любой степени повреждения воскресает с I=1 независимо от формулы. Иначе воскрешение успешно только если R − 4T &gt; 0.\nПриоритетные авторские дельты (заменяют только прямо пересекающиеся ветви):\n[Q-SYM-015]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Q-CORE-063.","context":"COMBAT","cooldown":"[SYM-035] чистый R20 R, T в ходах/минутах.\nНормативная база (действует во всей непротиворечащей части):\n[Q-SYM-015] Сохранение мозга и части тела не проверяется – это игровая условность; цель воскресает с 1 HP вне тяжёлого ранения, Ткач сохраняется в носителе.\nT считается в ходах в бою и полных минутах вне боя по правилу перехода режимов Q-CORE-063.","denialReason":"","duration":"[SYM-035] чистый R20 R, T в ходах/минутах.\nНормативная база (действует во всей непротиворечащей части):\n[Q-SYM-015] Сохранение мозга и части тела не проверяется – это игровая условность; цель воскресает с 1 HP вне тяжёлого ранения, Ткач сохраняется в носителе.\nT считается в ходах в бою и полных минутах вне боя по правилу перехода режимов Q-CORE-063.","effect":"[SYM-035] Нормативная база (действует во всей непротиворечащей части):\nесли R=1, цель любой степени повреждения воскресает с I=1 независимо от формулы. Иначе воскрешение успешно только если R − 4T &gt; 0.\nПриоритетные авторские дельты (заменяют только прямо пересекающиеся ветви):\n[Q-SYM-015]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Q-CORE-063.","errorCodes":"ERR_PRECONDITION; ERR_TARGET; ERR_RESOURCE; ERR_ACTION_COST; ERR_RULE_SPECIFIC","idUnique":1,"inputs":"[SYM-035] чистый R20 R, T в ходах/минутах.","manualChoice":"Только прямо указанные частной карточкой выборы.","playerCommandAvailable":true,"preconditions":"[SYM-035] ОЭ≥150; известен T — время с момента смерти.","resourceCost":"[SYM-035] контактное применение; цена 150 ОЭ и 1 действие.\nОЭ≥150; известен T — время с момента смерти.\n[Q-SYM-015] Сохранение мозга и части тела не проверяется – это игровая условность; цель воскресает с 1 HP вне тяжёлого ранения, Ткач сохраняется в носителе.","rollDefinition":"[SYM-035] чистый R20 R, T в ходах/минутах.\nесли R=1, цель любой степени повреждения воскресает с I=1 независимо от формулы.","ruleIds":"SYM-035; CORE-229; SYM-010; SYM-011","stateWrites":"[SYM-035] цель возвращается к жизни либо остаётся мёртвой; Ткач вводится в тело цели по описанию.","targetSelector":"[SYM-035] погибший персонаж.","timeCost":"Боевые ходы/действия по частной карточке.","trigger":"[SYM-035] контактное применение; цена 150 ОЭ и 1 действие."}</t>
  </si>
  <si>
    <t xml:space="preserve">5819f6d4c8040cb6677059db6f7dd5dc52accb2858a4f13deacbadac635f643d</t>
  </si>
  <si>
    <t xml:space="preserve">SYM-035 PEACE</t>
  </si>
  <si>
    <t xml:space="preserve">{"abilityContextId":"CTX-SYM-035-PEACE","abilityId":"SYM-035","actionCost":"Боевые действия не расходуются вне боя. Частная длительность/условия сохраняются:\n[SYM-035] контактное применение; цена 150 ОЭ и 1 действие.\nчистый R20 R, T в ходах/минутах.\nНормативная база (действует во всей непротиворечащей части):\n[Q-SYM-015] Сохранение мозга и части тела не проверяется – это игровая условность; цель воскресает с 1 HP вне тяжёлого ранения, Ткач сохраняется в носителе.\nT считается в ходах в бою и полных минутах вне боя по правилу перехода режимов Q-CORE-063.","allowed":true,"armorPolicy":"Общий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части.\n\n[SYM-035] Абсолютная реанимация\nНормативная база (действует во всей непротиворечащей части):\nесли R=1, цель любой степени повреждения воскресает с I=1 независимо от формулы. Иначе воскрешение успешно только если R − 4T &gt; 0.\nПриоритетные авторские дельты (заменяют только прямо пересекающиеся ветви):\n[Q-SYM-015]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Q-CORE-063.","context":"PEACE","cooldown":"[SYM-035] чистый R20 R, T в ходах/минутах.\nНормативная база (действует во всей непротиворечащей части):\n[Q-SYM-015] Сохранение мозга и части тела не проверяется – это игровая условность; цель воскресает с 1 HP вне тяжёлого ранения, Ткач сохраняется в носителе.\nT считается в ходах в бою и полных минутах вне боя по правилу перехода режимов Q-CORE-063.","denialReason":"","duration":"[SYM-035] чистый R20 R, T в ходах/минутах.\nНормативная база (действует во всей непротиворечащей части):\n[Q-SYM-015] Сохранение мозга и части тела не проверяется – это игровая условность; цель воскресает с 1 HP вне тяжёлого ранения, Ткач сохраняется в носителе.\nT считается в ходах в бою и полных минутах вне боя по правилу перехода режимов Q-CORE-063.","effect":"[SYM-035] Нормативная база (действует во всей непротиворечащей части):\nесли R=1, цель любой степени повреждения воскресает с I=1 независимо от формулы. Иначе воскрешение успешно только если R − 4T &gt; 0.\nПриоритетные авторские дельты (заменяют только прямо пересекающиеся ветви):\n[Q-SYM-015]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Q-CORE-063.","errorCodes":"ERR_PRECONDITION; ERR_TARGET; ERR_RESOURCE; ERR_ACTION_COST; ERR_RULE_SPECIFIC","idUnique":1,"inputs":"[SYM-035] чистый R20 R, T в ходах/минутах.","manualChoice":"Мастер подтверждает немоделируемые контакт, дистанцию и согласие цели по Q-APP-001.","playerCommandAvailable":true,"preconditions":"[SYM-035] ОЭ≥150; известен T — время с момента смерти.","resourceCost":"[SYM-035] контактное применение; цена 150 ОЭ и 1 действие.\nОЭ≥150; известен T — время с момента смерти.\n[Q-SYM-015] Сохранение мозга и части тела не проверяется – это игровая условность; цель воскресает с 1 HP вне тяжёлого ранения, Ткач сохраняется в носителе.","rollDefinition":"[SYM-035] чистый R20 R, T в ходах/минутах.\nесли R=1, цель любой степени повреждения воскресает с I=1 независимо от формулы.","ruleIds":"SYM-035; Q-APP-001; SYM-010; SYM-011","stateWrites":"[SYM-035] цель возвращается к жизни либо остаётся мёртвой; Ткач вводится в тело цели по описанию.","targetSelector":"[SYM-035] погибший персонаж.","timeCost":"Виртуальное время только если прямо установлено частной карточкой; иначе 0.","trigger":"[SYM-035] контактное применение; цена 150 ОЭ и 1 действие."}</t>
  </si>
  <si>
    <t xml:space="preserve">444b9c5c0c6d9c03538f1c7ced22e90db9d12460cb279a774241ce2611565938</t>
  </si>
  <si>
    <t xml:space="preserve">SYM-036 COMBAT</t>
  </si>
  <si>
    <t xml:space="preserve">{"abilityContextId":"CTX-SYM-036-COMBAT","abilityId":"SYM-036","actionCost":"[SYM-036] объявление; цена 150 ОЭ и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ходы.\n\n[SYM-036] Облако регенерона\nсоздать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правилу.","context":"COMBAT","cooldown":"Нет, если не указан.","denialReason":"","duration":"Мгновенно, если срок не указан.","effect":"[SYM-036]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правилу.","errorCodes":"ERR_PRECONDITION; ERR_TARGET; ERR_RESOURCE; ERR_ACTION_COST; ERR_RULE_SPECIFIC","idUnique":1,"inputs":"[SYM-036] чистый R20 радиуса.","manualChoice":"Только прямо указанные частной карточкой выборы.","playerCommandAvailable":true,"preconditions":"[SYM-036] ОЭ≥150.","resourceCost":"[SYM-036] объявление; цена 150 ОЭ и 1 действие.\nОЭ≥150.\nсоздать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правилу.","rollDefinition":"[SYM-036] чистый R20 радиуса.\nсоздать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правилу.","ruleIds":"SYM-036; CORE-229; SYM-010; SYM-011","stateWrites":"[SYM-036] массовое лечение, включая союзников и противников.","targetSelector":"[SYM-036] все живые существа в области.","timeCost":"Боевые ходы/действия по частной карточке.","trigger":"[SYM-036] объявление; цена 150 ОЭ и 1 действие."}</t>
  </si>
  <si>
    <t xml:space="preserve">64314e26183519078c04114798e70e118f8e9eed3ff374da8302698951379c97</t>
  </si>
  <si>
    <t xml:space="preserve">SYM-036 PEACE</t>
  </si>
  <si>
    <t xml:space="preserve">{"abilityContextId":"CTX-SYM-036-PEACE","abilityId":"SYM-036","actionCost":"0","allowed":false,"armorPolicy":"NOT_APPLICABLE","atomicityAudit":"Записать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выполняется","ruleIds":"SYM-036; Q-APP-002","stateWrites":"Нет","targetSelector":"Не выбирается","timeCost":"0","trigger":"Попытка объявления в запрещённом контексте"}</t>
  </si>
  <si>
    <t xml:space="preserve">748f59c0c050bddf31936228c5d66feb7f336c2130e13c7ce5b756bef13eaf70</t>
  </si>
  <si>
    <t xml:space="preserve">SYM-039 COMBAT</t>
  </si>
  <si>
    <t xml:space="preserve">{"abilityContextId":"CTX-SYM-039-COMBAT","abilityId":"SYM-039","actionCost":"[SYM-039] 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ходы.\n\n[SYM-039] Смертельный яд\nНормативная база (действует во всей непротиворечащей части):\nноситель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яда.","context":"COMBAT","cooldown":"[SYM-039] Нормативная база (действует во всей непротиворечащей части):\nЦель получает за ход R20/5 + L урона в течение R20/2 ходов.\nПри нанесении на оружие урон за ход делится пополам; остальные параметры неизменны.\nДля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заново.\nсоздаётся периодический эффект с зафиксированными величиной и сроком; повторное применение обновляет, а не складывает эффект.\n[SYM-181]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свободны.","denialReason":"","duration":"[SYM-039] Нормативная база (действует во всей непротиворечащей части):\nЦель получает за ход R20/5 + L урона в течение R20/2 ходов.\nПри нанесении на оружие урон за ход делится пополам; остальные параметры неизменны.\nДля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заново.\nсоздаётся периодический эффект с зафиксированными величиной и сроком; повторное применение обновляет, а не складывает эффект.\n[SYM-181]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свободны.","effect":"[SYM-039] Нормативная база (действует во всей непротиворечащей части):\nноситель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яда.","errorCodes":"ERR_PRECONDITION; ERR_TARGET; ERR_RESOURCE; ERR_ACTION_COST; ERR_RULE_SPECIFIC","idUnique":1,"inputs":"[SYM-039] L; отдельный R20 урона, отдельный R20 длительности; способ доставки.\n[SYM-181] текущий тип, выбранный тип, таймер.\n[SYM-183] текущий вид яда, выбранный экземпляр предмета или пищи, профиль SYM-039/SYM-042/SYM-045.","manualChoice":"Только прямо указанные частной карточкой выборы.","playerCommandAvailable":true,"preconditions":"[SYM-039] Тайпан не подавлен Жабой.\n[SYM-181] есть как минимум два изученных типа; Тайпан не подавлен Жабой.\n[SYM-183] Тайпан активен; выбранный вид яда уже действует в крови; цель допустима по профильному правилу.","resourceCost":"[SYM-039]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расходуется.\nобщие вопросы дозы/тика и округления — Q-SYM-005, Q-SYM-017.\n[SYM-183] Без расхода ОЭ выполнить одну атомарную мирную операцию и зафиксировать на выбранном экземпляре одну дозу текущего яда.\nНа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меняются.\nВ пище доза хранится до употребления и после проглатывания применяет полный профиль яда.","rollDefinition":"[SYM-039] L; отдельный R20 урона, отдельный R20 длительности; способ доставки.\nЦель получает за ход R20/5 + L урона в течение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эффекта.","ruleIds":"SYM-039; CORE-229; SYM-010; SYM-011","stateWrites":"[SYM-039] создаётся периодический эффект с зафиксированными величиной и сроком; повторное применение обновляет, а не складывает эффект.\n[SYM-181] по завершении activePoisonType заменён новым; способности доставки используют тип, превалирующий в момент объявления.\n[SYM-183] предмет или пища получает ссылку на вид яда и профиль его применения.","targetSelector":"[SYM-039] носитель и отравленная цель.","timeCost":"Боевые ходы/действия по частной карточке.","trigger":"[SYM-039] выбран режим «смертельный»; яд попал в кровоток либо проглоченную пищу цели.\n[SYM-181] игрок выбирает другой изученный тип яда.\n[SYM-183] игрок выбирает команду нанесения текущего активного яда вне боя."}</t>
  </si>
  <si>
    <t xml:space="preserve">3a17ae66c009ab385e7deac3ac1ecf6a06f7d2922d9451d00bdccfc3abb64fff</t>
  </si>
  <si>
    <t xml:space="preserve">SYM-039 PEACE</t>
  </si>
  <si>
    <t xml:space="preserve">{"abilityContextId":"CTX-SYM-039-PEACE","abilityId":"SYM-039","actionCost":"Боевые действия не расходуются вне боя. Частная длительность/условия сохраняются:\n[SYM-039] 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узла.\n\n[SYM-039] Смертельный яд\nНормативная база (действует во всей непротиворечащей части):\nноситель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яда.","context":"PEACE","cooldown":"[SYM-039] Нормативная база (действует во всей непротиворечащей части):\nЦель получает за ход R20/5 + L урона в течение R20/2 ходов.\nПри нанесении на оружие урон за ход делится пополам; остальные параметры неизменны.\nДля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заново.\nсоздаётся периодический эффект с зафиксированными величиной и сроком; повторное применение обновляет, а не складывает эффект.\n[SYM-181]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свободны.","denialReason":"","duration":"[SYM-039] Нормативная база (действует во всей непротиворечащей части):\nЦель получает за ход R20/5 + L урона в течение R20/2 ходов.\nПри нанесении на оружие урон за ход делится пополам; остальные параметры неизменны.\nДля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заново.\nсоздаётся периодический эффект с зафиксированными величиной и сроком; повторное применение обновляет, а не складывает эффект.\n[SYM-181]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свободны.","effect":"[SYM-039] Нормативная база (действует во всей непротиворечащей части):\nноситель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яда.","errorCodes":"ERR_PRECONDITION; ERR_TARGET; ERR_RESOURCE; ERR_ACTION_COST; ERR_RULE_SPECIFIC","idUnique":1,"inputs":"[SYM-039] L; отдельный R20 урона, отдельный R20 длительности; способ доставки.\n[SYM-181] текущий тип, выбранный тип, таймер.\n[SYM-183] текущий вид яда, выбранный экземпляр предмета или пищи, профиль SYM-039/SYM-042/SYM-045.","manualChoice":"Мастер подтверждает немоделируемые контакт, дистанцию и согласие цели по Q-APP-001.","playerCommandAvailable":true,"preconditions":"[SYM-039] Тайпан не подавлен Жабой.\n[SYM-181] есть как минимум два изученных типа; Тайпан не подавлен Жабой.\n[SYM-183] Тайпан активен; выбранный вид яда уже действует в крови; цель допустима по профильному правилу.","resourceCost":"[SYM-039]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расходуется.\nобщие вопросы дозы/тика и округления — Q-SYM-005, Q-SYM-017.\n[SYM-183] Без расхода ОЭ выполнить одну атомарную мирную операцию и зафиксировать на выбранном экземпляре одну дозу текущего яда.\nНа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меняются.\nВ пище доза хранится до употребления и после проглатывания применяет полный профиль яда.","rollDefinition":"[SYM-039] L; отдельный R20 урона, отдельный R20 длительности; способ доставки.\nЦель получает за ход R20/5 + L урона в течение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эффекта.","ruleIds":"SYM-039; Q-APP-001; SYM-010; SYM-011","stateWrites":"[SYM-039] создаётся периодический эффект с зафиксированными величиной и сроком; повторное применение обновляет, а не складывает эффект.\n[SYM-181] по завершении activePoisonType заменён новым; способности доставки используют тип, превалирующий в момент объявления.\n[SYM-183] предмет или пища получает ссылку на вид яда и профиль его применения.","targetSelector":"[SYM-039] носитель и отравленная цель.","timeCost":"Виртуальное время только если прямо установлено частной карточкой; иначе 0.","trigger":"[SYM-039] выбран режим «смертельный»; яд попал в кровоток либо проглоченную пищу цели.\n[SYM-181] игрок выбирает другой изученный тип яда.\n[SYM-183] игрок выбирает команду нанесения текущего активного яда вне боя."}</t>
  </si>
  <si>
    <t xml:space="preserve">990914a57027c6e1564974a691e6aec6ceca33ddb7af729b55bc67a5f0066cba</t>
  </si>
  <si>
    <t xml:space="preserve">SYM-040 COMBAT</t>
  </si>
  <si>
    <t xml:space="preserve">{"abilityContextId":"CTX-SYM-040-COMBAT","abilityId":"SYM-040","actionCost":"[SYM-040] объявление; цена 10 ОЭ и 1 действие.\nНормативная база (действует во всей непротиворечащей части):\nR=1: носитель получает −1 к серии приёмов на 1 час/до конца боя.","allowed":true,"armorPolicy":"Общий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урон.","atomicityAudit":"[SYM-040] Один раз за каждую успешную безоружную атаку или успешную проверку борьбы цели накладывается яд, активный в крови носителя в момент контакта.","behavior":"Разрешается по агрегированным карточкам canonicalBehaviorCards; в бою учитываются указанная цена действий, боевые защиты, координаты и ходы.\n\n[SYM-040] Проницаемая кожа\nНормативная база (действует во всей непротиворечащей части):\nR≥4: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боя.\nПриоритетные авторские дельты (заменяют только прямо пересекающиеся ветви):\n[Q-SYM-018]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яд.","context":"COMBAT","cooldown":"[SYM-040] Нормативная база (действует во всей непротиворечащей части):\nR=1: носитель получает −1 к серии приёмов на 1 час/до конца боя.\n[Q-SYM-018]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удалён.\nсрок существования проницаемой зоны не указан.","denialReason":"","duration":"[SYM-040] Нормативная база (действует во всей непротиворечащей части):\nR=1: носитель получает −1 к серии приёмов на 1 час/до конца боя.\n[Q-SYM-018]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удалён.\nсрок существования проницаемой зоны не указан.","effect":"[SYM-040] Нормативная база (действует во всей непротиворечащей части):\nR≥4: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боя.\nПриоритетные авторские дельты (заменяют только прямо пересекающиеся ветви):\n[Q-SYM-018]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яд.","errorCodes":"ERR_PRECONDITION; ERR_TARGET; ERR_RESOURCE; ERR_ACTION_COST; ERR_RULE_SPECIFIC","idUnique":1,"inputs":"[SYM-040] чистый R20 активации, область тела.","manualChoice":"Только прямо указанные частной карточкой выборы.","playerCommandAvailable":true,"preconditions":"[SYM-040] в крови вырабатывается яд; ОЭ≥10.","resourceCost":"[SYM-040] объявление; цена 10 ОЭ и 1 действие.\nОЭ≥10.\n[Q-SYM-018]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удалён.\nДополнительные контакты не требуют новой активации и не расходуют ОЭ.","rollDefinition":"[SYM-040] чистый R20 активации, область тела.\nR=2–3: нет эффекта.\nR=1: носитель получает −1 к серии приёмов на 1 час/до конца боя.","ruleIds":"SYM-040; CORE-229; SYM-010; SYM-011","stateWrites":"[SYM-040] подготовлена контактная зона либо наложен штраф серии.","targetSelector":"[SYM-040] выбранная область тела и цель.","timeCost":"Боевые ходы/действия по частной карточке.","trigger":"[SYM-040] объявление; цена 10 ОЭ и 1 действие."}</t>
  </si>
  <si>
    <t xml:space="preserve">2c2bbb95d324cc2e3921bfb5cdf58e90c183be3194638eb7d7e105f96f7167d5</t>
  </si>
  <si>
    <t xml:space="preserve">SYM-040 PEACE</t>
  </si>
  <si>
    <t xml:space="preserve">{"abilityContextId":"CTX-SYM-040-PEACE","abilityId":"SYM-040","actionCost":"Боевые действия не расходуются вне боя. Частная длительность/условия сохраняются:\n[SYM-040] объявление; цена 10 ОЭ и 1 действие.\nНормативная база (действует во всей непротиворечащей части):\nR=1: носитель получает −1 к серии приёмов на 1 час/до конца боя.","allowed":true,"armorPolicy":"Общий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урон.","atomicityAudit":"[SYM-040] Один раз за каждую успешную безоружную атаку или успешную проверку борьбы цели накладывается яд, активный в крови носителя в момент контакта.","behavior":"Мирная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части.\n\n[SYM-040] Проницаемая кожа\nНормативная база (действует во всей непротиворечащей части):\nR≥4: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боя.\nПриоритетные авторские дельты (заменяют только прямо пересекающиеся ветви):\n[Q-SYM-018]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яд.","context":"PEACE","cooldown":"[SYM-040] Нормативная база (действует во всей непротиворечащей части):\nR=1: носитель получает −1 к серии приёмов на 1 час/до конца боя.\n[Q-SYM-018]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удалён.\nсрок существования проницаемой зоны не указан.","denialReason":"","duration":"[SYM-040] Нормативная база (действует во всей непротиворечащей части):\nR=1: носитель получает −1 к серии приёмов на 1 час/до конца боя.\n[Q-SYM-018]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удалён.\nсрок существования проницаемой зоны не указан.","effect":"[SYM-040] Нормативная база (действует во всей непротиворечащей части):\nR≥4: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боя.\nПриоритетные авторские дельты (заменяют только прямо пересекающиеся ветви):\n[Q-SYM-018]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яд.","errorCodes":"ERR_PRECONDITION; ERR_TARGET; ERR_RESOURCE; ERR_ACTION_COST; ERR_RULE_SPECIFIC","idUnique":1,"inputs":"[SYM-040] чистый R20 активации, область тела.","manualChoice":"Мастер подтверждает немоделируемые контакт, дистанцию и согласие цели по Q-APP-001.","playerCommandAvailable":true,"preconditions":"[SYM-040] в крови вырабатывается яд; ОЭ≥10.","resourceCost":"[SYM-040] объявление; цена 10 ОЭ и 1 действие.\nОЭ≥10.\n[Q-SYM-018]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удалён.\nДополнительные контакты не требуют новой активации и не расходуют ОЭ.","rollDefinition":"[SYM-040] чистый R20 активации, область тела.\nR=2–3: нет эффекта.\nR=1: носитель получает −1 к серии приёмов на 1 час/до конца боя.","ruleIds":"SYM-040; Q-APP-001; SYM-010; SYM-011","stateWrites":"[SYM-040] подготовлена контактная зона либо наложен штраф серии.","targetSelector":"[SYM-040] выбранная область тела и цель.","timeCost":"Виртуальное время только если прямо установлено частной карточкой; иначе 0.","trigger":"[SYM-040] объявление; цена 10 ОЭ и 1 действие."}</t>
  </si>
  <si>
    <t xml:space="preserve">4dcebee01fd259e41808d5bc12f395490dfe9405a3d57d30fbdf0a5982075c0d</t>
  </si>
  <si>
    <t xml:space="preserve">SYM-041 COMBAT</t>
  </si>
  <si>
    <t xml:space="preserve">{"abilityContextId":"CTX-SYM-041-COMBAT","abilityId":"SYM-041","actionCost":"[SYM-041] объявление; цена 10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ходы.\n\n[SYM-041] Плевок ядом\nНормативная база (действует во всей непротиворечащей части):\nR20≥4: выполнить дальнюю атаку; пробитие=R12; если сгусток достиг кожи, наложить текущий яд. R20=2–3: нет эффекта. R20=1: носитель теряет 10 HP.\nПриоритетные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замены.","context":"COMBAT","cooldown":"[SYM-041] Нормативная база (действует во всей непротиворечащей части):","denialReason":"","duration":"[SYM-041] Нормативная база (действует во всей непротиворечащей части):","effect":"[SYM-041] Нормативная база (действует во всей непротиворечащей части):\nR20≥4: выполнить дальнюю атаку; пробитие=R12; если сгусток достиг кожи, наложить текущий яд. R20=2–3: нет эффекта. R20=1: носитель теряет 10 HP.\nПриоритетные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сохраняются.\n[Q-SYM-075]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замены.","errorCodes":"ERR_PRECONDITION; ERR_TARGET; ERR_RESOURCE; ERR_ACTION_COST; ERR_RULE_SPECIFIC","idUnique":1,"inputs":"[SYM-041] отдельный R20 активации; R12 пробития; текущий яд.","manualChoice":"Только прямо указанные частной карточкой выборы.","playerCommandAvailable":true,"preconditions":"[SYM-041] Тайпан не подавлен; выбран яд; ОЭ≥10.","resourceCost":"[SYM-041] объявление; цена 10 ОЭ и 1 действие.\nОЭ≥10.\nR20=1: носитель теряет 10 HP.","rollDefinition":"[SYM-041] отдельный R20 активации\nR12 пробития; текущий яд.\nR20≥4: выполнить дальнюю атаку; пробитие=R12; если сгусток достиг кожи, наложить текущий яд.\nR20=2–3: нет эффекта.\nR20=1: носитель теряет 10 HP.\n[Q-SYM-075] При попадании Плевка ядом немедленно уничтожается внешний элемент обычной одежды или лёгкой брони со спасброском не выше R6.","ruleIds":"SYM-041; CORE-229; SYM-010; SYM-011","stateWrites":"[SYM-041] яд на цели либо самоповреждение; при контакте слизь инициирует неопределённый коррозионный эффект на одежде/лёгкой броне.","targetSelector":"[SYM-041] цель.","timeCost":"Боевые ходы/действия по частной карточке.","trigger":"[SYM-041] объявление; цена 10 ОЭ и 1 действие."}</t>
  </si>
  <si>
    <t xml:space="preserve">906d586ccf0b17f19d02a87cbe9d742e49b05765a06fe7a7ae4ddb61944d6d70</t>
  </si>
  <si>
    <t xml:space="preserve">SYM-041 PEACE</t>
  </si>
  <si>
    <t xml:space="preserve">{"abilityContextId":"CTX-SYM-041-PEACE","abilityId":"SYM-041","actionCost":"0","allowed":false,"armorPolicy":"NOT_APPLICABLE","atomicityAudit":"Записать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выполняется","ruleIds":"SYM-041; Q-APP-002","stateWrites":"Нет","targetSelector":"Не выбирается","timeCost":"0","trigger":"Попытка объявления в запрещённом контексте"}</t>
  </si>
  <si>
    <t xml:space="preserve">89fadf35b1a32b6e206b9010e707bf321753aa82ff83ea99528b9e3a4076c967</t>
  </si>
  <si>
    <t xml:space="preserve">SYM-042 COMBAT</t>
  </si>
  <si>
    <t xml:space="preserve">{"abilityContextId":"CTX-SYM-042-COMBAT","abilityId":"SYM-042","actionCost":"[SYM-042] 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ходы.\n\n[SYM-042] Ослабляющий яд\nНормативная база (действует во всей непротиворечащей части):\nноситель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заново.\n[Q-SYM-019] Сила снижения K рассчитывается как max(0, R20 + L − Z). При K=0 яд считается попавшим, но характеристики цели не изменяются.\n\n[SYM-181]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яда.","context":"COMBAT","cooldown":"[SYM-042] Нормативная база (действует во всей непротиворечащей части):\nРассчитать K=R20+L−Z_target; снизить S,D,M цели на K, но ни одну не ниже 1; срок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свободны.","denialReason":"","duration":"[SYM-042] Нормативная база (действует во всей непротиворечащей части):\nРассчитать K=R20+L−Z_target; снизить S,D,M цели на K, но ни одну не ниже 1; срок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свободны.","effect":"[SYM-042] Нормативная база (действует во всей непротиворечащей части):\nноситель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заново.\n[Q-SYM-019] Сила снижения K рассчитывается как max(0, R20 + L − Z). При K=0 яд считается попавшим, но характеристики цели не изменяются.\n[SYM-181]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яда.","errorCodes":"ERR_PRECONDITION; ERR_TARGET; ERR_RESOURCE; ERR_ACTION_COST; ERR_RULE_SPECIFIC","idUnique":1,"inputs":"[SYM-042] L, Z_target, R20 величины, отдельный R20 длительности, способ доставки.\n[SYM-181] текущий тип, выбранный тип, таймер.\n[SYM-183] текущий вид яда, выбранный экземпляр предмета или пищи, профиль SYM-039/SYM-042/SYM-045.","manualChoice":"Только прямо указанные частной карточкой выборы.","playerCommandAvailable":true,"preconditions":"[SYM-042] выбран ослабляющий режим; Тайпан не подавлен.\n[SYM-181] есть как минимум два изученных типа; Тайпан не подавлен Жабой.\n[SYM-183] Тайпан активен; выбранный вид яда уже действует в крови; цель допустима по профильному правилу.","resourceCost":"[SYM-042]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расходуется.\n[SYM-183] Без расхода ОЭ выполнить одну атомарную мирную операцию и зафиксировать на выбранном экземпляре одну дозу текущего яда.\nНа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меняются.\nВ пище доза хранится до употребления и после проглатывания применяет полный профиль яда.","rollDefinition":"[SYM-042] L, Z_target, R20 величины, отдельный R20 длительности, способ доставки.\nРассчитать K=R20+L−Z_target; снизить S,D,M цели на K, но ни одну не ниже 1; срок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эффекта.\n[Q-SYM-019] Сила снижения K рассчитывается как max(0, R20 + L − Z).\nПри K=0 яд считается попавшим, но характеристики цели не изменяются.","ruleIds":"SYM-042; CORE-229; SYM-010; SYM-011","stateWrites":"[SYM-042] временные модификаторы S,D,M.\n[SYM-181] по завершении activePoisonType заменён новым; способности доставки используют тип, превалирующий в момент объявления.\n[SYM-183] предмет или пища получает ссылку на вид яда и профиль его применения.","targetSelector":"[SYM-042] отравленная цель.","timeCost":"Боевые ходы/действия по частной карточке.","trigger":"[SYM-042] яд попал в кровоток/пищу.\n[SYM-181] игрок выбирает другой изученный тип яда.\n[SYM-183] игрок выбирает команду нанесения текущего активного яда вне боя."}</t>
  </si>
  <si>
    <t xml:space="preserve">67538699486c68b5157332fa5c74e525e5ba5bc07f6fa6b67dd81f86fb6de4b4</t>
  </si>
  <si>
    <t xml:space="preserve">SYM-042 PEACE</t>
  </si>
  <si>
    <t xml:space="preserve">{"abilityContextId":"CTX-SYM-042-PEACE","abilityId":"SYM-042","actionCost":"Боевые действия не расходуются вне боя. Частная длительность/условия сохраняются:\n[SYM-042] Нормативная база (действует во всей непротиворечащей части):\nДля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узла.\n\n[SYM-042] Ослабляющий яд\nНормативная база (действует во всей непротиворечащей части):\nноситель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заново.\n[Q-SYM-019] Сила снижения K рассчитывается как max(0, R20 + L − Z). При K=0 яд считается попавшим, но характеристики цели не изменяются.\n\n[SYM-181]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яда.","context":"PEACE","cooldown":"[SYM-042] Нормативная база (действует во всей непротиворечащей части):\nРассчитать K=R20+L−Z_target; снизить S,D,M цели на K, но ни одну не ниже 1; срок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свободны.","denialReason":"","duration":"[SYM-042] Нормативная база (действует во всей непротиворечащей части):\nРассчитать K=R20+L−Z_target; снизить S,D,M цели на K, но ни одну не ниже 1; срок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свободны.","effect":"[SYM-042] Нормативная база (действует во всей непротиворечащей части):\nноситель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заново.\n[Q-SYM-019] Сила снижения K рассчитывается как max(0, R20 + L − Z). При K=0 яд считается попавшим, но характеристики цели не изменяются.\n[SYM-181]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яда.","errorCodes":"ERR_PRECONDITION; ERR_TARGET; ERR_RESOURCE; ERR_ACTION_COST; ERR_RULE_SPECIFIC","idUnique":1,"inputs":"[SYM-042] L, Z_target, R20 величины, отдельный R20 длительности, способ доставки.\n[SYM-181] текущий тип, выбранный тип, таймер.\n[SYM-183] текущий вид яда, выбранный экземпляр предмета или пищи, профиль SYM-039/SYM-042/SYM-045.","manualChoice":"Мастер подтверждает немоделируемые контакт, дистанцию и согласие цели по Q-APP-001.","playerCommandAvailable":true,"preconditions":"[SYM-042] выбран ослабляющий режим; Тайпан не подавлен.\n[SYM-181] есть как минимум два изученных типа; Тайпан не подавлен Жабой.\n[SYM-183] Тайпан активен; выбранный вид яда уже действует в крови; цель допустима по профильному правилу.","resourceCost":"[SYM-042]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расходуется.\n[SYM-183] Без расхода ОЭ выполнить одну атомарную мирную операцию и зафиксировать на выбранном экземпляре одну дозу текущего яда.\nНа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меняются.\nВ пище доза хранится до употребления и после проглатывания применяет полный профиль яда.","rollDefinition":"[SYM-042] L, Z_target, R20 величины, отдельный R20 длительности, способ доставки.\nРассчитать K=R20+L−Z_target; снизить S,D,M цели на K, но ни одну не ниже 1; срок R20/2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эффекта.\n[Q-SYM-019] Сила снижения K рассчитывается как max(0, R20 + L − Z).\nПри K=0 яд считается попавшим, но характеристики цели не изменяются.","ruleIds":"SYM-042; Q-APP-001; SYM-010; SYM-011","stateWrites":"[SYM-042] временные модификаторы S,D,M.\n[SYM-181] по завершении activePoisonType заменён новым; способности доставки используют тип, превалирующий в момент объявления.\n[SYM-183] предмет или пища получает ссылку на вид яда и профиль его применения.","targetSelector":"[SYM-042] отравленная цель.","timeCost":"Виртуальное время только если прямо установлено частной карточкой; иначе 0.","trigger":"[SYM-042] яд попал в кровоток/пищу.\n[SYM-181] игрок выбирает другой изученный тип яда.\n[SYM-183] игрок выбирает команду нанесения текущего активного яда вне боя."}</t>
  </si>
  <si>
    <t xml:space="preserve">a5b1ab417033bd8ff84810a9f6e3c33e1454087e4e51306fbe11f4e3bbc70927</t>
  </si>
  <si>
    <t xml:space="preserve">SYM-043 COMBAT</t>
  </si>
  <si>
    <t xml:space="preserve">{"abilityContextId":"CTX-SYM-043-COMBAT","abilityId":"SYM-043","actionCost":"[SYM-043] объявление; цена 30 ОЭ и 1 действие.\nНормативная база (действует во всей непротиворечащей части):\nR=1: Тайпан отключён на 1 час/6 ходов.","allowed":true,"armorPolicy":"Общий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ходы.\n\n[SYM-043] Ядовитый шип\nНормативная база (действует во всей непротиворечащей части):\nR≥4: дальняя атака, пробитие=R+L, урон=R+L одной проверкой; если нанесён урон, наложить текущий яд. R=2–3: нет эффекта. R=1: Тайпан отключён на 1 час/6 ходов.\nПриоритетные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сохраняются.","context":"COMBAT","cooldown":"[SYM-043] Нормативная база (действует во всей непротиворечащей части):\nR=1: Тайпан отключён на 1 час/6 ходов.","denialReason":"","duration":"[SYM-043] Нормативная база (действует во всей непротиворечащей части):\nR=1: Тайпан отключён на 1 час/6 ходов.","effect":"[SYM-043] Нормативная база (действует во всей непротиворечащей части):\nR≥4: дальняя атака, пробитие=R+L, урон=R+L одной проверкой; если нанесён урон, наложить текущий яд. R=2–3: нет эффекта. R=1: Тайпан отключён на 1 час/6 ходов.\nПриоритетные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сохраняются.","errorCodes":"ERR_PRECONDITION; ERR_TARGET; ERR_RESOURCE; ERR_ACTION_COST; ERR_RULE_SPECIFIC","idUnique":1,"inputs":"[SYM-043] один чистый R20 R, текущий яд.","manualChoice":"Только прямо указанные частной карточкой выборы.","playerCommandAvailable":true,"preconditions":"[SYM-043] ОЭ≥30.","resourceCost":"[SYM-043] объявление; цена 30 ОЭ и 1 действие.\nОЭ≥30.","rollDefinition":"[SYM-043] один чистый R20 R, текущий яд.\nR≥4: дальняя атака, пробитие=R+L, урон=R+L одной проверкой; если нанесён урон, наложить текущий яд.\nR=2–3: нет эффекта.\nR=1: Тайпан отключён на 1 час/6 ходов.","ruleIds":"SYM-043; CORE-229; SYM-010; SYM-011","stateWrites":"[SYM-043] урон/яд либо отключение.","targetSelector":"[SYM-043] цель.","timeCost":"Боевые ходы/действия по частной карточке.","trigger":"[SYM-043] объявление; цена 30 ОЭ и 1 действие."}</t>
  </si>
  <si>
    <t xml:space="preserve">5bf932476961388533bdb698dfb89fe666f1a350b683acc995ee69a5c18e6a30</t>
  </si>
  <si>
    <t xml:space="preserve">SYM-043 PEACE</t>
  </si>
  <si>
    <t xml:space="preserve">{"abilityContextId":"CTX-SYM-043-PEACE","abilityId":"SYM-043","actionCost":"0","allowed":false,"armorPolicy":"NOT_APPLICABLE","atomicityAudit":"Записать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выполняется","ruleIds":"SYM-043; Q-APP-002","stateWrites":"Нет","targetSelector":"Не выбирается","timeCost":"0","trigger":"Попытка объявления в запрещённом контексте"}</t>
  </si>
  <si>
    <t xml:space="preserve">4e4956e0a97b0991b15bfcf00e14bf44a10105598c72842d31b977ce72fddb1b</t>
  </si>
  <si>
    <t xml:space="preserve">SYM-044 COMBAT</t>
  </si>
  <si>
    <t xml:space="preserve">{"abilityContextId":"CTX-SYM-044-COMBAT","abilityId":"SYM-044","actionCost":"[SYM-044] объявление; цена 50 ОЭ и 1 действие.\nНормативная база (действует во всей непротиворечащей части):\nA=1: носитель получает 20 урона и оглушение на 40 минут/3 хода.","allowed":true,"armorPolicy":"Общий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ходы.\n\n[SYM-044] Кумулятивный шип\nНормативная база (действует во всей непротиворечащей части):\nA≥4: пробитие=(A+L)×2, урон=D+L; при нанесении урона наложить текущий яд. A=2–3: нет эффекта. A=1: носитель получает 20 урона и оглушение на 40 минут/3 хода.\nПриоритетные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сохраняются.","context":"COMBAT","cooldown":"[SYM-044] Нормативная база (действует во всей непротиворечащей части):\nA=1: носитель получает 20 урона и оглушение на 40 минут/3 хода.","denialReason":"","duration":"[SYM-044] Нормативная база (действует во всей непротиворечащей части):\nA=1: носитель получает 20 урона и оглушение на 40 минут/3 хода.","effect":"[SYM-044] Нормативная база (действует во всей непротиворечащей части):\nA≥4: пробитие=(A+L)×2, урон=D+L; при нанесении урона наложить текущий яд. A=2–3: нет эффекта. A=1: носитель получает 20 урона и оглушение на 40 минут/3 хода.\nПриоритетные авторские дельты (заменяют только прямо пересекающиеся ветви):\n[Q-SYM-010]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сохраняются.","errorCodes":"ERR_PRECONDITION; ERR_TARGET; ERR_RESOURCE; ERR_ACTION_COST; ERR_RULE_SPECIFIC","idUnique":1,"inputs":"[SYM-044] первый R20 A (активация/пробитие), отдельный R20 D (урон), текущий яд.","manualChoice":"Только прямо указанные частной карточкой выборы.","playerCommandAvailable":true,"preconditions":"[SYM-044] ОЭ≥50.","resourceCost":"[SYM-044] объявление; цена 50 ОЭ и 1 действие.\nОЭ≥50.","rollDefinition":"[SYM-044] первый R20 A (активация/пробитие), отдельный R20 D (урон), текущий яд.\nA≥4: пробитие=(A+L)×2, урон=D+L; при нанесении урона наложить текущий яд.\nA=2–3: нет эффекта.\nA=1: носитель получает 20 урона и оглушение на 40 минут/3 хода.","ruleIds":"SYM-044; CORE-229; SYM-010; SYM-011","stateWrites":"[SYM-044] атака либо самоповреждение/оглушение.","targetSelector":"[SYM-044] цель.","timeCost":"Боевые ходы/действия по частной карточке.","trigger":"[SYM-044] объявление; цена 50 ОЭ и 1 действие."}</t>
  </si>
  <si>
    <t xml:space="preserve">bc5994479dad2832873e2b9ab02ab8ebcde884016c949b3e859bee36c7b8166c</t>
  </si>
  <si>
    <t xml:space="preserve">SYM-044 PEACE</t>
  </si>
  <si>
    <t xml:space="preserve">{"abilityContextId":"CTX-SYM-044-PEACE","abilityId":"SYM-044","actionCost":"0","allowed":false,"armorPolicy":"NOT_APPLICABLE","atomicityAudit":"Записать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выполняется","ruleIds":"SYM-044; Q-APP-002","stateWrites":"Нет","targetSelector":"Не выбирается","timeCost":"0","trigger":"Попытка объявления в запрещённом контексте"}</t>
  </si>
  <si>
    <t xml:space="preserve">06fbf9ea7c9ec2e1710361a677cff121b6df6df0401f203c34e59ab9b2d1310e</t>
  </si>
  <si>
    <t xml:space="preserve">SYM-045 COMBAT</t>
  </si>
  <si>
    <t xml:space="preserve">{"abilityContextId":"CTX-SYM-045-COMBAT","abilityId":"SYM-045","actionCost":"[SYM-045] Нормативная база (действует во всей непротиворечащей части):\nЕсли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ходы.\n\n[SYM-045] Парализующий яд\nНормативная база (действует во всей непротиворечащей части):\nноситель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яда.","context":"COMBAT","cooldown":"[SYM-045] Нормативная база (действует во всей непротиворечащей части):\nЕсли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свободны.","denialReason":"","duration":"[SYM-045] Нормативная база (действует во всей непротиворечащей части):\nЕсли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свободны.","effect":"[SYM-045] Нормативная база (действует во всей непротиворечащей части):\nноситель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яда.","errorCodes":"ERR_PRECONDITION; ERR_TARGET; ERR_RESOURCE; ERR_ACTION_COST; ERR_RULE_SPECIFIC","idUnique":1,"inputs":"[SYM-045] R20 проверки, L, Z цели, D4 зоны, отдельный R20 длительности, способ доставки.\n[SYM-181] текущий тип, выбранный тип, таймер.\n[SYM-183] текущий вид яда, выбранный экземпляр предмета или пищи, профиль SYM-039/SYM-042/SYM-045.","manualChoice":"Только прямо указанные частной карточкой выборы.","playerCommandAvailable":true,"preconditions":"[SYM-045] выбран парализующий режим; Тайпан не подавлен.\n[SYM-181] есть как минимум два изученных типа; Тайпан не подавлен Жабой.\n[SYM-183] Тайпан активен; выбранный вид яда уже действует в крови; цель допустима по профильному правилу.","resourceCost":"[SYM-045]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расходуется.\n[SYM-183] Без расхода ОЭ выполнить одну атомарную мирную операцию и зафиксировать на выбранном экземпляре одну дозу текущего яда.\nНа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меняются.\nВ пище доза хранится до употребления и после проглатывания применяет полный профиль яда.","rollDefinition":"[SYM-045] R20 проверки, L, Z цели, D4 зоны, отдельный R20 длительности, способ доставки.\nЕсли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эффекта.\nповторные применения могут выбирать другие действующие конечности; анатомия не-D4 требует решения.","ruleIds":"SYM-045; CORE-229; SYM-010; SYM-011","stateWrites":"[SYM-045] конечность получает состояние «онемела» до таймера.\n[SYM-181] по завершении activePoisonType заменён новым; способности доставки используют тип, превалирующий в момент объявления.\n[SYM-183] предмет или пища получает ссылку на вид яда и профиль его применения.","targetSelector":"[SYM-045] отравленная цель.","timeCost":"Боевые ходы/действия по частной карточке.","trigger":"[SYM-045] яд попал в кровоток/пищу.\n[SYM-181] игрок выбирает другой изученный тип яда.\n[SYM-183] игрок выбирает команду нанесения текущего активного яда вне боя."}</t>
  </si>
  <si>
    <t xml:space="preserve">d60eec2c021a18b6fe424a15eddefb3cd164eeb3e5dede5289f62a1a6ef580a0</t>
  </si>
  <si>
    <t xml:space="preserve">SYM-045 PEACE</t>
  </si>
  <si>
    <t xml:space="preserve">{"abilityContextId":"CTX-SYM-045-PEACE","abilityId":"SYM-045","actionCost":"Боевые действия не расходуются вне боя. Частная длительность/условия сохраняются:\n[SYM-045] Нормативная база (действует во всей непротиворечащей части):\nЕсли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атомарно.","behavior":"Вне боя игрок может мгновенной мирной командой выбрать этот изученный тип яда по SYM-181 и нанести активный яд на допустимый предмет или пищу по SYM-183/Q-APP-002. Контакт и допустимость цели подтверждает мастер; эффект конкретного яда разрешается по карточке узла.\n\n[SYM-045] Парализующий яд\nНормативная база (действует во всей непротиворечащей части):\nноситель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корпус\n\n[SYM-181] Переключение типа яда Тайпана\nНормативная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таймера.\n\n[SYM-183] Нанесение активного яда на предмет или пищу\nБез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яда.","context":"PEACE","cooldown":"[SYM-045] Нормативная база (действует во всей непротиворечащей части):\nЕсли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свободны.","denialReason":"","duration":"[SYM-045] Нормативная база (действует во всей непротиворечащей части):\nЕсли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яда»).\nВ течение следующего часа/6 полных ходов продолжает вырабатываться прежний яд, обычные действия носителя свободны.","effect":"[SYM-045] Нормативная база (действует во всей непротиворечащей части):\nноситель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заново.\n[Q-SYM-020]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корпус\n[SYM-181] Нормативная база (действует во всей непротиворечащей части):\nодновременно вырабатывать один тип из {смертельный, ослабляющий, парализующий}; смена завершается через 1 игровой час/6 боевых ходов.\nПриоритетные авторские дельты (заменяют только прямо пересекающиеся ветви):\n[Q-SYM-076]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таймера.\n[SYM-183] 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яда.","errorCodes":"ERR_PRECONDITION; ERR_TARGET; ERR_RESOURCE; ERR_ACTION_COST; ERR_RULE_SPECIFIC","idUnique":1,"inputs":"[SYM-045] R20 проверки, L, Z цели, D4 зоны, отдельный R20 длительности, способ доставки.\n[SYM-181] текущий тип, выбранный тип, таймер.\n[SYM-183] текущий вид яда, выбранный экземпляр предмета или пищи, профиль SYM-039/SYM-042/SYM-045.","manualChoice":"Мастер подтверждает немоделируемые контакт, дистанцию и согласие цели по Q-APP-001.","playerCommandAvailable":true,"preconditions":"[SYM-045] выбран парализующий режим; Тайпан не подавлен.\n[SYM-181] есть как минимум два изученных типа; Тайпан не подавлен Жабой.\n[SYM-183] Тайпан активен; выбранный вид яда уже действует в крови; цель допустима по профильному правилу.","resourceCost":"[SYM-045]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расходуется.\n[SYM-183] Без расхода ОЭ выполнить одну атомарную мирную операцию и зафиксировать на выбранном экземпляре одну дозу текущего яда.\nНа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меняются.\nВ пище доза хранится до употребления и после проглатывания применяет полный профиль яда.","rollDefinition":"[SYM-045] R20 проверки, L, Z цели, D4 зоны, отдельный R20 длительности, способ доставки.\nЕсли R20+L &gt; Z_target, случайно выбрать D4 одну действующую конечность; уже онемевшие перебрасывать; наложить запрет действий конечностью на R20/3 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эффекта.\nповторные применения могут выбирать другие действующие конечности; анатомия не-D4 требует решения.","ruleIds":"SYM-045; Q-APP-001; SYM-010; SYM-011","stateWrites":"[SYM-045] конечность получает состояние «онемела» до таймера.\n[SYM-181] по завершении activePoisonType заменён новым; способности доставки используют тип, превалирующий в момент объявления.\n[SYM-183] предмет или пища получает ссылку на вид яда и профиль его применения.","targetSelector":"[SYM-045] отравленная цель.","timeCost":"Виртуальное время только если прямо установлено частной карточкой; иначе 0.","trigger":"[SYM-045] яд попал в кровоток/пищу.\n[SYM-181] игрок выбирает другой изученный тип яда.\n[SYM-183] игрок выбирает команду нанесения текущего активного яда вне боя."}</t>
  </si>
  <si>
    <t xml:space="preserve">970a603fa660353e2111144f040f51f6bc4523bc1af4c910e3c342a99a2d87cb</t>
  </si>
  <si>
    <t xml:space="preserve">SYM-047 COMBAT</t>
  </si>
  <si>
    <t xml:space="preserve">{"abilityContextId":"CTX-SYM-047-COMBAT","abilityId":"SYM-047","actionCost":"[SYM-047]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ходы.\n\n[SYM-047] Безупречное зрение и подавление Двойного фокуса\nНормативная база (действует во всей непротиворечащей части):\nдобавить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подавляется.","context":"COMBAT","cooldown":"[SYM-047] Нормативная база (действует во всей непротиворечащей части):","denialReason":"","duration":"[SYM-047] Нормативная база (действует во всей непротиворечащей части):","effect":"[SYM-047] Нормативная база (действует во всей непротиворечащей части):\nдобавить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подавляется.","errorCodes":"ERR_PRECONDITION; ERR_TARGET; ERR_RESOURCE; ERR_ACTION_COST; ERR_RULE_SPECIFIC","idUnique":1,"inputs":"[SYM-047] базовая проверка обнаружения.","manualChoice":"Только прямо указанные частной карточкой выборы.","playerCommandAvailable":false,"preconditions":"[SYM-047] способность доступна.","resourceCost":"0 ОЭ, если частная карточка не устанавливает цену.","rollDefinition":"Без броска, если частная карточка не требует его.","ruleIds":"SYM-047; CORE-229; SYM-010; SYM-011","stateWrites":"[SYM-047] модифицирован визуальный бросок; эффект Хамелеона подавлен.","targetSelector":"[SYM-047] визуальные цели и Хамелеон.","timeCost":"Боевые ходы/действия по частной карточке.","trigger":"[SYM-047] визуальная проверка днём либо наличие обеих способностей."}</t>
  </si>
  <si>
    <t xml:space="preserve">fbbb88af78c7251e80cd639654754d291cedd11502e53453bd5db7214af45cda</t>
  </si>
  <si>
    <t xml:space="preserve">SYM-047 PEACE</t>
  </si>
  <si>
    <t xml:space="preserve">{"abilityContextId":"CTX-SYM-047-PEACE","abilityId":"SYM-047","actionCost":"Боевые действия не расходуются вне боя. Частная длительность/условия сохраняются:\n[SYM-047]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части.\n\n[SYM-047] Безупречное зрение и подавление Двойного фокуса\nНормативная база (действует во всей непротиворечащей части):\nдобавить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подавляется.","context":"PEACE","cooldown":"[SYM-047] Нормативная база (действует во всей непротиворечащей части):","denialReason":"","duration":"[SYM-047] Нормативная база (действует во всей непротиворечащей части):","effect":"[SYM-047] Нормативная база (действует во всей непротиворечащей части):\nдобавить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подавляется.","errorCodes":"ERR_PRECONDITION; ERR_TARGET; ERR_RESOURCE; ERR_ACTION_COST; ERR_RULE_SPECIFIC","idUnique":1,"inputs":"[SYM-047] базовая проверка обнаружения.","manualChoice":"Мастер подтверждает немоделируемые контакт, дистанцию и согласие цели по Q-APP-001.","playerCommandAvailable":false,"preconditions":"[SYM-047] способность доступна.","resourceCost":"0 ОЭ, если частная карточка не устанавливает цену.","rollDefinition":"Без броска, если частная карточка не требует его.","ruleIds":"SYM-047; Q-APP-001; SYM-010; SYM-011","stateWrites":"[SYM-047] модифицирован визуальный бросок; эффект Хамелеона подавлен.","targetSelector":"[SYM-047] визуальные цели и Хамелеон.","timeCost":"Виртуальное время только если прямо установлено частной карточкой; иначе 0.","trigger":"[SYM-047] визуальная проверка днём либо наличие обеих способностей."}</t>
  </si>
  <si>
    <t xml:space="preserve">e48bc6ccae617fed4d09ab46af74687b5e58d015bcaec174f11d546e57dfe5b4</t>
  </si>
  <si>
    <t xml:space="preserve">SYM-048 COMBAT</t>
  </si>
  <si>
    <t xml:space="preserve">{"abilityContextId":"CTX-SYM-048-COMBAT","abilityId":"SYM-048","actionCost":"Если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ходы.\n\n[SYM-048] Абсолютное ночное зрение\nудалить штраф к осмотру, вызванный временем суток или тёмным помещением.","context":"COMBAT","cooldown":"[SYM-048] удалить штраф к осмотру, вызванный временем суток или тёмным помещением.","denialReason":"","duration":"[SYM-048] удалить штраф к осмотру, вызванный временем суток или тёмным помещением.","effect":"[SYM-048] удалить штраф к осмотру, вызванный временем суток или тёмным помещением.","errorCodes":"ERR_PRECONDITION; ERR_TARGET; ERR_RESOURCE; ERR_ACTION_COST; ERR_RULE_SPECIFIC","idUnique":1,"inputs":"[SYM-048] штраф темноты.","manualChoice":"Только прямо указанные частной карточкой выборы.","playerCommandAvailable":false,"preconditions":"[SYM-048] способность доступна.","resourceCost":"0 ОЭ, если частная карточка не устанавливает цену.","rollDefinition":"Без броска, если частная карточка не требует его.","ruleIds":"SYM-048; CORE-229; SYM-010; SYM-011","stateWrites":"[SYM-048] проверка выполняется без указанного штрафа.","targetSelector":"Цель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карточке.","trigger":"[SYM-048] осмотр в тёмное время/помещении."}</t>
  </si>
  <si>
    <t xml:space="preserve">adfbdb6257804039bee4b0afc92ea6853b5bf44dad591a712013d5534d4d856e</t>
  </si>
  <si>
    <t xml:space="preserve">SYM-048 PEACE</t>
  </si>
  <si>
    <t xml:space="preserve">{"abilityContextId":"CTX-SYM-048-PEACE","abilityId":"SYM-048","actionCost":"Боевые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части.\n\n[SYM-048] Абсолютное ночное зрение\nудалить штраф к осмотру, вызванный временем суток или тёмным помещением.","context":"PEACE","cooldown":"[SYM-048] удалить штраф к осмотру, вызванный временем суток или тёмным помещением.","denialReason":"","duration":"[SYM-048] удалить штраф к осмотру, вызванный временем суток или тёмным помещением.","effect":"[SYM-048] удалить штраф к осмотру, вызванный временем суток или тёмным помещением.","errorCodes":"ERR_PRECONDITION; ERR_TARGET; ERR_RESOURCE; ERR_ACTION_COST; ERR_RULE_SPECIFIC","idUnique":1,"inputs":"[SYM-048] штраф темноты.","manualChoice":"Мастер подтверждает немоделируемые контакт, дистанцию и согласие цели по Q-APP-001.","playerCommandAvailable":false,"preconditions":"[SYM-048] способность доступна.","resourceCost":"0 ОЭ, если частная карточка не устанавливает цену.","rollDefinition":"Без броска, если частная карточка не требует его.","ruleIds":"SYM-048; Q-APP-001; SYM-010; SYM-011","stateWrites":"[SYM-048] проверка выполняется без указанного штрафа.","targetSelector":"Цель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0.","trigger":"[SYM-048] осмотр в тёмное время/помещении."}</t>
  </si>
  <si>
    <t xml:space="preserve">5cb6cd4188ec68fa8bf24609aa1b6b1d199d74a91da29ce6d721efd98247d614</t>
  </si>
  <si>
    <t xml:space="preserve">SYM-049 COMBAT</t>
  </si>
  <si>
    <t xml:space="preserve">{"abilityContextId":"CTX-SYM-049-COMBAT","abilityId":"SYM-049","actionCost":"Если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ходы.\n\n[SYM-049] Абсолютное обоняние\nдобавить +15.","context":"COMBAT","cooldown":"Нет, если не указан.","denialReason":"","duration":"Мгновенно, если срок не указан.","effect":"[SYM-049] добавить +15.","errorCodes":"ERR_PRECONDITION; ERR_TARGET; ERR_RESOURCE; ERR_ACTION_COST; ERR_RULE_SPECIFIC","idUnique":1,"inputs":"[SYM-049] базовая проверка.","manualChoice":"Только прямо указанные частной карточкой выборы.","playerCommandAvailable":false,"preconditions":"[SYM-049] запах может быть воспринят.","resourceCost":"0 ОЭ, если частная карточка не устанавливает цену.","rollDefinition":"Без броска, если частная карточка не требует его.","ruleIds":"SYM-049; CORE-229; SYM-010; SYM-011","stateWrites":"[SYM-049] модифицированный результат.","targetSelector":"[SYM-049] запаховая цель.","timeCost":"Боевые ходы/действия по частной карточке.","trigger":"[SYM-049] механически значимая проверка обоняния в боевой сцене."}</t>
  </si>
  <si>
    <t xml:space="preserve">b40a9de6cba73690a951803b42198af69dde953187937b6db42ac8d9b56c32b1</t>
  </si>
  <si>
    <t xml:space="preserve">SYM-049 PEACE</t>
  </si>
  <si>
    <t xml:space="preserve">{"abilityContextId":"CTX-SYM-049-PEACE","abilityId":"SYM-049","actionCost":"0","allowed":false,"armorPolicy":"NOT_APPLICABLE","atomicityAudit":"Записать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выполняется","ruleIds":"SYM-049; Q-APP-002","stateWrites":"Нет","targetSelector":"Не выбирается","timeCost":"0","trigger":"Попытка объявления в запрещённом контексте"}</t>
  </si>
  <si>
    <t xml:space="preserve">dc6989a767e2c94d204d812c0db83b81fc6f6c95d4c8ca9625d082c258fd4412</t>
  </si>
  <si>
    <t xml:space="preserve">SYM-050 COMBAT</t>
  </si>
  <si>
    <t xml:space="preserve">{"abilityContextId":"CTX-SYM-050-COMBAT","abilityId":"SYM-050","actionCost":"Если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ходы.\n\n[SYM-050] Абсолютный слух\nдобавить +15 к слуху.","context":"COMBAT","cooldown":"Нет, если не указан.","denialReason":"","duration":"Мгновенно, если срок не указан.","effect":"[SYM-050] добавить +15 к слуху.","errorCodes":"ERR_PRECONDITION; ERR_TARGET; ERR_RESOURCE; ERR_ACTION_COST; ERR_RULE_SPECIFIC","idUnique":1,"inputs":"[SYM-050] базовая проверка.","manualChoice":"Только прямо указанные частной карточкой выборы.","playerCommandAvailable":false,"preconditions":"[SYM-050] звук достижим.","resourceCost":"0 ОЭ, если частная карточка не устанавливает цену.","rollDefinition":"Без броска, если частная карточка не требует его.","ruleIds":"SYM-050; CORE-229; SYM-010; SYM-011","stateWrites":"[SYM-050] модифицированный результат.","targetSelector":"[SYM-050] звуковая цель.","timeCost":"Боевые ходы/действия по частной карточке.","trigger":"[SYM-050] проверка слуха в боевой сцене."}</t>
  </si>
  <si>
    <t xml:space="preserve">02f94d8fc7caf2a25cfdc3d61bd6d62e081756c50f0863bdb83afc4faa679fa1</t>
  </si>
  <si>
    <t xml:space="preserve">SYM-050 PEACE</t>
  </si>
  <si>
    <t xml:space="preserve">{"abilityContextId":"CTX-SYM-050-PEACE","abilityId":"SYM-050","actionCost":"0","allowed":false,"armorPolicy":"NOT_APPLICABLE","atomicityAudit":"Записать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выполняется","ruleIds":"SYM-050; Q-APP-002","stateWrites":"Нет","targetSelector":"Не выбирается","timeCost":"0","trigger":"Попытка объявления в запрещённом контексте"}</t>
  </si>
  <si>
    <t xml:space="preserve">5852916ee31d4ab3f36f173b380601a763f61495089c196307ff0b5302865601</t>
  </si>
  <si>
    <t xml:space="preserve">SYM-051 COMBAT</t>
  </si>
  <si>
    <t xml:space="preserve">{"abilityContextId":"CTX-SYM-051-COMBAT","abilityId":"SYM-051","actionCost":"[SYM-051] пассивно — невозможность зрения; активно — объявление, цена 10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ходы.\n\n[SYM-051] Звуковая картина\nНормативная база (действует во всей непротиворечащей части):\nпассивно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отдельно.","context":"COMBAT","cooldown":"[SYM-051] Нормативная база (действует во всей непротиворечащей части):","denialReason":"","duration":"[SYM-051] Нормативная база (действует во всей непротиворечащей части):","effect":"[SYM-051] Нормативная база (действует во всей непротиворечащей части):\nпассивно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отдельно.","errorCodes":"ERR_PRECONDITION; ERR_TARGET; ERR_RESOURCE; ERR_ACTION_COST; ERR_RULE_SPECIFIC","idUnique":1,"inputs":"[SYM-051] чистый R20 R.","manualChoice":"Только прямо указанные частной карточкой выборы.","playerCommandAvailable":true,"preconditions":"[SYM-051] цель известна; в радиусе 100 м; препятствия звукопроницаемы.","resourceCost":"[SYM-051] пассивно — невозможность зрения; активно — объявление, цена 10 ОЭ и 1 действие.\nБазовые значения, текущие и максимальные HP/ОЭ не раскрываются, если способность не называет их отдельно.","rollDefinition":"[SYM-051] чистый R20 R.\nАктивно: R=1–3 — нет данных\nR=4–10 — местоположение\nR=11–17 — местоположение и все характеристики\nR=18–20 — также виды симбионтов.","ruleIds":"SYM-051; CORE-229; SYM-010; SYM-011","stateWrites":"[SYM-051] раскрывается информация заданной глубины.","targetSelector":"[SYM-051] известная цель.","timeCost":"Боевые ходы/действия по частной карточке.","trigger":"[SYM-051] пассивно — невозможность зрения; активно — объявление, цена 10 ОЭ и 1 действие."}</t>
  </si>
  <si>
    <t xml:space="preserve">673aabfe8b527903f469d7d206f9b21f121cc677d877e28bcea7013254901672</t>
  </si>
  <si>
    <t xml:space="preserve">SYM-051 PEACE</t>
  </si>
  <si>
    <t xml:space="preserve">{"abilityContextId":"CTX-SYM-051-PEACE","abilityId":"SYM-051","actionCost":"Боевые действия не расходуются вне боя. Частная длительность/условия сохраняются:\n[SYM-051] пассивно — невозможность зрения; активно — объявление, цена 10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части.\n\n[SYM-051] Звуковая картина\nНормативная база (действует во всей непротиворечащей части):\nпассивно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отдельно.","context":"PEACE","cooldown":"[SYM-051] Нормативная база (действует во всей непротиворечащей части):","denialReason":"","duration":"[SYM-051] Нормативная база (действует во всей непротиворечащей части):","effect":"[SYM-051] Нормативная база (действует во всей непротиворечащей части):\nпассивно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отдельно.","errorCodes":"ERR_PRECONDITION; ERR_TARGET; ERR_RESOURCE; ERR_ACTION_COST; ERR_RULE_SPECIFIC","idUnique":1,"inputs":"[SYM-051] чистый R20 R.","manualChoice":"Мастер подтверждает немоделируемые контакт, дистанцию и согласие цели по Q-APP-001.","playerCommandAvailable":true,"preconditions":"[SYM-051] цель известна; в радиусе 100 м; препятствия звукопроницаемы.","resourceCost":"[SYM-051] пассивно — невозможность зрения; активно — объявление, цена 10 ОЭ и 1 действие.\nБазовые значения, текущие и максимальные HP/ОЭ не раскрываются, если способность не называет их отдельно.","rollDefinition":"[SYM-051] чистый R20 R.\nАктивно: R=1–3 — нет данных\nR=4–10 — местоположение\nR=11–17 — местоположение и все характеристики\nR=18–20 — также виды симбионтов.","ruleIds":"SYM-051; Q-APP-001; SYM-010; SYM-011","stateWrites":"[SYM-051] раскрывается информация заданной глубины.","targetSelector":"[SYM-051] известная цель.","timeCost":"Виртуальное время только если прямо установлено частной карточкой; иначе 0.","trigger":"[SYM-051] пассивно — невозможность зрения; активно — объявление, цена 10 ОЭ и 1 действие."}</t>
  </si>
  <si>
    <t xml:space="preserve">b447ae26be701aefec30cd233271d56130646e482f7314ba5fc221a96f23a58c</t>
  </si>
  <si>
    <t xml:space="preserve">SYM-052 COMBAT</t>
  </si>
  <si>
    <t xml:space="preserve">{"abilityContextId":"CTX-SYM-052-COMBAT","abilityId":"SYM-052","actionCost":"Если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ходы.\n\n[SYM-052] Восприятие хищника\nисключить из расчёта все модификаторы маскировки обнаруживаемой цели; саму проверку обнаружения сохранить.","context":"COMBAT","cooldown":"Нет, если не указан.","denialReason":"","duration":"Мгновенно, если срок не указан.","effect":"[SYM-052] исключить из расчёта все модификаторы маскировки обнаруживаемой цели; саму проверку обнаружения сохранить.","errorCodes":"ERR_PRECONDITION; ERR_TARGET; ERR_RESOURCE; ERR_ACTION_COST; ERR_RULE_SPECIFIC","idUnique":1,"inputs":"[SYM-052] модификаторы маскировки цели.","manualChoice":"Только прямо указанные частной карточкой выборы.","playerCommandAvailable":false,"preconditions":"[SYM-052] способность доступна.","resourceCost":"0 ОЭ, если частная карточка не устанавливает цену.","rollDefinition":"Без броска, если частная карточка не требует его.","ruleIds":"SYM-052; CORE-229; SYM-010; SYM-011","stateWrites":"[SYM-052] цель обнаруживается как находящаяся в открытом поле.","targetSelector":"[SYM-052] обнаруживаемые цели.","timeCost":"Боевые ходы/действия по частной карточке.","trigger":"[SYM-052] проверка обнаружения."}</t>
  </si>
  <si>
    <t xml:space="preserve">8b96e77e4f87cc996ae7cd3101f5466ae9ec2c26dbae30b49b2291e33ab68202</t>
  </si>
  <si>
    <t xml:space="preserve">SYM-052 PEACE</t>
  </si>
  <si>
    <t xml:space="preserve">{"abilityContextId":"CTX-SYM-052-PEACE","abilityId":"SYM-052","actionCost":"Боевые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части.\n\n[SYM-052] Восприятие хищника\nисключить из расчёта все модификаторы маскировки обнаруживаемой цели; саму проверку обнаружения сохранить.","context":"PEACE","cooldown":"Нет, если не указан.","denialReason":"","duration":"Мгновенно, если срок не указан.","effect":"[SYM-052] исключить из расчёта все модификаторы маскировки обнаруживаемой цели; саму проверку обнаружения сохранить.","errorCodes":"ERR_PRECONDITION; ERR_TARGET; ERR_RESOURCE; ERR_ACTION_COST; ERR_RULE_SPECIFIC","idUnique":1,"inputs":"[SYM-052] модификаторы маскировки цели.","manualChoice":"Мастер подтверждает немоделируемые контакт, дистанцию и согласие цели по Q-APP-001.","playerCommandAvailable":false,"preconditions":"[SYM-052] способность доступна.","resourceCost":"0 ОЭ, если частная карточка не устанавливает цену.","rollDefinition":"Без броска, если частная карточка не требует его.","ruleIds":"SYM-052; Q-APP-001; SYM-010; SYM-011","stateWrites":"[SYM-052] цель обнаруживается как находящаяся в открытом поле.","targetSelector":"[SYM-052] обнаруживаемые цели.","timeCost":"Виртуальное время только если прямо установлено частной карточкой; иначе 0.","trigger":"[SYM-052] проверка обнаружения."}</t>
  </si>
  <si>
    <t xml:space="preserve">c52e744239061a32853e0a5204dccd447ff5324811648adf3078ca66f7a1e4a0</t>
  </si>
  <si>
    <t xml:space="preserve">SYM-054 COMBAT</t>
  </si>
  <si>
    <t xml:space="preserve">{"abilityContextId":"CTX-SYM-054-COMBAT","abilityId":"SYM-054","actionCost":"Если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ходы.\n\n[SYM-054] Развивайся, ученик\nW_bonus=max(0,min(4L,20−W_base)); W=W_base+W_bonus. Если Учитель — единственный симбионт, I_bonus=max(0,min(4L,20−I_base)), I=I_base+I_bonus.","context":"COMBAT","cooldown":"Нет, если не указан.","denialReason":"","duration":"Мгновенно, если срок не указан.","effect":"[SYM-054] W_bonus=max(0,min(4L,20−W_base)); W=W_base+W_bonus. Если Учитель — единственный симбионт, I_bonus=max(0,min(4L,20−I_base)), I=I_base+I_bonus.","errorCodes":"ERR_PRECONDITION; ERR_TARGET; ERR_RESOURCE; ERR_ACTION_COST; ERR_RULE_SPECIFIC","idUnique":1,"inputs":"[SYM-054] L, базовые W/I, число симбионтов.","manualChoice":"Только прямо указанные частной карточкой выборы.","playerCommandAvailable":false,"preconditions":"[SYM-054] Учитель активен.","resourceCost":"0 ОЭ, если частная карточка не устанавливает цену.","rollDefinition":"[SYM-054] W_bonus=max(0,min(4L,20−W_base))\nW=W_base+W_bonus.\nЕсли Учитель — единственный симбионт, I_bonus=max(0,min(4L,20−I_base)), I=I_base+I_bonus.","ruleIds":"SYM-054; CORE-229; SYM-010; SYM-011","stateWrites":"[SYM-054] производные W/I; при гибели/удалении вернуть исходные значения; при появлении другого симбионта убрать бонус I.","targetSelector":"[SYM-054] носитель.","timeCost":"Боевые ходы/действия по частной карточке.","trigger":"[SYM-054] изменение L или состава симбионтов."}</t>
  </si>
  <si>
    <t xml:space="preserve">6479e3ab5bb3c5bd6a200d130f062ff0937822bf8f3a03fbb6b128cf1bedfb25</t>
  </si>
  <si>
    <t xml:space="preserve">SYM-054 PEACE</t>
  </si>
  <si>
    <t xml:space="preserve">{"abilityContextId":"CTX-SYM-054-PEACE","abilityId":"SYM-054","actionCost":"Боевые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части.\n\n[SYM-054] Развивайся, ученик\nW_bonus=max(0,min(4L,20−W_base)); W=W_base+W_bonus. Если Учитель — единственный симбионт, I_bonus=max(0,min(4L,20−I_base)), I=I_base+I_bonus.","context":"PEACE","cooldown":"Нет, если не указан.","denialReason":"","duration":"Мгновенно, если срок не указан.","effect":"[SYM-054] W_bonus=max(0,min(4L,20−W_base)); W=W_base+W_bonus. Если Учитель — единственный симбионт, I_bonus=max(0,min(4L,20−I_base)), I=I_base+I_bonus.","errorCodes":"ERR_PRECONDITION; ERR_TARGET; ERR_RESOURCE; ERR_ACTION_COST; ERR_RULE_SPECIFIC","idUnique":1,"inputs":"[SYM-054] L, базовые W/I, число симбионтов.","manualChoice":"Мастер подтверждает немоделируемые контакт, дистанцию и согласие цели по Q-APP-001.","playerCommandAvailable":false,"preconditions":"[SYM-054] Учитель активен.","resourceCost":"0 ОЭ, если частная карточка не устанавливает цену.","rollDefinition":"[SYM-054] W_bonus=max(0,min(4L,20−W_base))\nW=W_base+W_bonus.\nЕсли Учитель — единственный симбионт, I_bonus=max(0,min(4L,20−I_base)), I=I_base+I_bonus.","ruleIds":"SYM-054; Q-APP-001; SYM-010; SYM-011","stateWrites":"[SYM-054] производные W/I; при гибели/удалении вернуть исходные значения; при появлении другого симбионта убрать бонус I.","targetSelector":"[SYM-054] носитель.","timeCost":"Виртуальное время только если прямо установлено частной карточкой; иначе 0.","trigger":"[SYM-054] изменение L или состава симбионтов."}</t>
  </si>
  <si>
    <t xml:space="preserve">324045482b2e15a6889975b2d9cb14212d1e1e69848fa50798e33dd7c41f67de</t>
  </si>
  <si>
    <t xml:space="preserve">SYM-055 COMBAT</t>
  </si>
  <si>
    <t xml:space="preserve">{"abilityContextId":"CTX-SYM-055-COMBAT","abilityId":"SYM-055","actionCost":"0","allowed":false,"armorPolicy":"NOT_APPLICABLE","atomicityAudit":"Записать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ресурсов.","context":"COMBAT","cooldown":"Нет","denialReason":"Контекст COMBAT прямо не разрешён принятым решением автоматизации.","duration":"Нет","effect":"Нет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выполняется","ruleIds":"SYM-055; Q-APP-002","stateWrites":"Нет","targetSelector":"Не выбирается","timeCost":"0","trigger":"Попытка объявления в запрещённом контексте"}</t>
  </si>
  <si>
    <t xml:space="preserve">8abdf72f5bd9ebd85a834a9775a75f670f362527dc41b3005876481c66d36895</t>
  </si>
  <si>
    <t xml:space="preserve">SYM-055 PEACE</t>
  </si>
  <si>
    <t xml:space="preserve">{"abilityContextId":"CTX-SYM-055-PEACE","abilityId":"SYM-055","actionCost":"Боевые действия не расходуются вне боя. Частная длительность/условия сохраняются:\n[SYM-055] мастер подтверждает каждый полный час словесной ролевой игры.\nПосле ручного подтверждения часа равновероятно выбрать один присутствующий симбионт, кроме Учителя, и начислить ему 1 XP.","allowed":true,"armorPolicy":"Общий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урон.","atomicityAudit":"[SYM-055] выбранный симбионт получает 1 XP; событие журналируется.","behavior":"Мирная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части.\n\n[SYM-055] Век живи — век учись\nПриложение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создаётся.","context":"PEACE","cooldown":"[SYM-055] мастер подтверждает каждый полный час словесной ролевой игры.\nПосле ручного подтверждения часа равновероятно выбрать один присутствующий симбионт, кроме Учителя, и начислить ему 1 XP.","denialReason":"","duration":"[SYM-055] мастер подтверждает каждый полный час словесной ролевой игры.\nПосле ручного подтверждения часа равновероятно выбрать один присутствующий симбионт, кроме Учителя, и начислить ему 1 XP.","effect":"[SYM-055] 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создаётся.","errorCodes":"ERR_PRECONDITION; ERR_TARGET; ERR_RESOURCE; ERR_ACTION_COST; ERR_RULE_SPECIFIC","idUnique":1,"inputs":"[SYM-055] набор симбионтов носителя, кроме Учителя; их состояние активности.","manualChoice":"[SYM-055] мастер подтверждает каждый полный час словесной ролевой игры.\nПосле ручного подтверждения часа равновероятно выбрать один присутствующий симбионт, кроме Учителя, и начислить ему 1 XP.","playerCommandAvailable":false,"preconditions":"[SYM-055] Учитель присутствует; подтверждение не создаётся одной промоткой времени.","resourceCost":"0 ОЭ, если частная карточка не устанавливает цену.","rollDefinition":"Без броска, если частная карточка не требует его.","ruleIds":"SYM-055; Q-APP-001; SYM-010; SYM-011","stateWrites":"[SYM-055] выбранный симбионт получает 1 XP; событие журналируется.","targetSelector":"[SYM-055] остальные его симбионты.","timeCost":"Виртуальное время только если прямо установлено частной карточкой; иначе 0.","trigger":"[SYM-055] мастер подтверждает каждый полный час словесной ролевой игры."}</t>
  </si>
  <si>
    <t xml:space="preserve">2d6d0432d70011d3cdce12f78a5d4df9e00ac717def8ace2853a5498c72b4479</t>
  </si>
  <si>
    <t xml:space="preserve">SYM-056 COMBAT</t>
  </si>
  <si>
    <t xml:space="preserve">{"abilityContextId":"CTX-SYM-056-COMBAT","abilityId":"SYM-056","actionCost":"[SYM-056] объявление; цена 60 ОЭ и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ходы.\n\n[SYM-056] Практикуйтесь, ученики\nкаждому прочему симбионту установить currentOE=maxOE.","context":"COMBAT","cooldown":"Нет, если не указан.","denialReason":"","duration":"Мгновенно, если срок не указан.","effect":"[SYM-056] каждому прочему симбионту установить currentOE=maxOE.","errorCodes":"ERR_PRECONDITION; ERR_TARGET; ERR_RESOURCE; ERR_ACTION_COST; ERR_RULE_SPECIFIC","idUnique":1,"inputs":"[SYM-056] прочие симбионты и их maxOE.","manualChoice":"Только прямо указанные частной карточкой выборы.","playerCommandAvailable":true,"preconditions":"[SYM-056] ОЭ Учителя≥60.","resourceCost":"[SYM-056] объявление; цена 60 ОЭ и 1 действие.\nОЭ Учителя≥60.\nполное восстановление чужих ОЭ\nОЭ Учителя уменьшаются на 60.","rollDefinition":"[SYM-056] каждому прочему симбионту установить currentOE=maxOE.","ruleIds":"SYM-056; CORE-229; SYM-010; SYM-011","stateWrites":"[SYM-056] полное восстановление чужих ОЭ; ОЭ Учителя уменьшаются на 60.","targetSelector":"[SYM-056] все прочие симбионты носителя.","timeCost":"Боевые ходы/действия по частной карточке.","trigger":"[SYM-056] объявление; цена 60 ОЭ и 1 действие."}</t>
  </si>
  <si>
    <t xml:space="preserve">3fbb1668619932991526c4b987535e09ea20d0c95bb6eff021ecbcea0b364e15</t>
  </si>
  <si>
    <t xml:space="preserve">SYM-056 PEACE</t>
  </si>
  <si>
    <t xml:space="preserve">{"abilityContextId":"CTX-SYM-056-PEACE","abilityId":"SYM-056","actionCost":"Боевые действия не расходуются вне боя. Частная длительность/условия сохраняются:\n[SYM-056] объявление; цена 60 ОЭ и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части.\n\n[SYM-056] Практикуйтесь, ученики\nкаждому прочему симбионту установить currentOE=maxOE.","context":"PEACE","cooldown":"Нет, если не указан.","denialReason":"","duration":"Мгновенно, если срок не указан.","effect":"[SYM-056] каждому прочему симбионту установить currentOE=maxOE.","errorCodes":"ERR_PRECONDITION; ERR_TARGET; ERR_RESOURCE; ERR_ACTION_COST; ERR_RULE_SPECIFIC","idUnique":1,"inputs":"[SYM-056] прочие симбионты и их maxOE.","manualChoice":"Мастер подтверждает немоделируемые контакт, дистанцию и согласие цели по Q-APP-001.","playerCommandAvailable":true,"preconditions":"[SYM-056] ОЭ Учителя≥60.","resourceCost":"[SYM-056] объявление; цена 60 ОЭ и 1 действие.\nОЭ Учителя≥60.\nполное восстановление чужих ОЭ\nОЭ Учителя уменьшаются на 60.","rollDefinition":"[SYM-056] каждому прочему симбионту установить currentOE=maxOE.","ruleIds":"SYM-056; Q-APP-001; SYM-010; SYM-011","stateWrites":"[SYM-056] полное восстановление чужих ОЭ; ОЭ Учителя уменьшаются на 60.","targetSelector":"[SYM-056] все прочие симбионты носителя.","timeCost":"Виртуальное время только если прямо установлено частной карточкой; иначе 0.","trigger":"[SYM-056] объявление; цена 60 ОЭ и 1 действие."}</t>
  </si>
  <si>
    <t xml:space="preserve">3188d74822a4dba6d08046addd300d43c67b6f593f15c0154fa194aa1f01e164</t>
  </si>
  <si>
    <t xml:space="preserve">SYM-057 COMBAT</t>
  </si>
  <si>
    <t xml:space="preserve">{"abilityContextId":"CTX-SYM-057-COMBAT","abilityId":"SYM-057","actionCost":"[SYM-057] голая ладонь удерживается на голой коже цели 10 секунд/1 полный боевой ход; базовая цена 40 ОЭ.\nНормативная база (действует во всей непротиворечащей части):\nПри триггере заявленное целью действие расходуется, но ОЭ её отменённой способности не списываются.","allowed":true,"armorPolicy":"Общий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ходы.\n\n[SYM-057] Свети, ученик\nНормативная база (действует во всей непротиворечащей части):\nR≥5: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Учителя.\nПриоритетные авторские дельты (заменяют только прямо пересекающиеся ветви):\n[Q-SYM-023]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эффектом.","context":"COMBAT","cooldown":"[SYM-057] голая ладонь удерживается на голой коже цели 10 секунд/1 полный боевой ход; базовая цена 40 ОЭ.\nНормативная база (действует во всей непротиворечащей части):\n[Q-SYM-023] При наложении Учитель платит 40 ОЭ; маркер действует без срока до первого подходящего применения.","denialReason":"","duration":"[SYM-057] голая ладонь удерживается на голой коже цели 10 секунд/1 полный боевой ход; базовая цена 40 ОЭ.\nНормативная база (действует во всей непротиворечащей части):\n[Q-SYM-023] При наложении Учитель платит 40 ОЭ; маркер действует без срока до первого подходящего применения.","effect":"[SYM-057] Нормативная база (действует во всей непротиворечащей части):\nR≥5: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Учителя.\nПриоритетные авторские дельты (заменяют только прямо пересекающиеся ветви):\n[Q-SYM-023]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эффектом.","errorCodes":"ERR_PRECONDITION; ERR_TARGET; ERR_RESOURCE; ERR_ACTION_COST; ERR_RULE_SPECIFIC","idUnique":1,"inputs":"[SYM-057] R20 активации; пул активных способностей; их цены/цели.","manualChoice":"Только прямо указанные частной карточкой выборы.","playerCommandAvailable":false,"preconditions":"[SYM-057] контакт не прерван; есть допустимые активные способности симбионтов носителя Учителя.","resourceCost":"[SYM-057] голая ладонь удерживается на голой коже цели 10 секунд/1 полный боевой ход; базовая цена 40 ОЭ.\nR20 активации; пул активных способностей; их цены/цели.\nПри R=1 полностью обнулить ОЭ всех симбионтов носителя Учителя.\n[Q-SYM-023] При наложении Учитель платит 40 ОЭ; маркер действует без срока до первого подходящего применения.\nПри триггере заявленное целью действие расходуется, но ОЭ её отменённой способности не списываются.","rollDefinition":"[SYM-057] R20 активации; пул активных способностей; их цены/цели.\nПри R=1 полностью обнулить ОЭ всех симбионтов носителя Учителя.","ruleIds":"SYM-057; CORE-229; SYM-010; SYM-011","stateWrites":"[SYM-057] следующая способность цели подменена; маркер расходован.","targetSelector":"[SYM-057] цель и её следующая способность.","timeCost":"Боевые ходы/действия по частной карточке.","trigger":"[SYM-057] голая ладонь удерживается на голой коже цели 10 секунд/1 полный боевой ход; базовая цена 40 ОЭ."}</t>
  </si>
  <si>
    <t xml:space="preserve">8c67e4f3ba31aafafb46a36b92f751bae4ceafa06d0be7784f4f978f630b4df2</t>
  </si>
  <si>
    <t xml:space="preserve">SYM-057 PEACE</t>
  </si>
  <si>
    <t xml:space="preserve">{"abilityContextId":"CTX-SYM-057-PEACE","abilityId":"SYM-057","actionCost":"0","allowed":false,"armorPolicy":"NOT_APPLICABLE","atomicityAudit":"Записать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выполняется","ruleIds":"SYM-057; Q-APP-002","stateWrites":"Нет","targetSelector":"Не выбирается","timeCost":"0","trigger":"Попытка объявления в запрещённом контексте"}</t>
  </si>
  <si>
    <t xml:space="preserve">e8d017474e85047f75d95a4b85a8e8f5aa9747fbf9aef3b7016239b3d95ddc0b</t>
  </si>
  <si>
    <t xml:space="preserve">SYM-058 COMBAT</t>
  </si>
  <si>
    <t xml:space="preserve">{"abilityContextId":"CTX-SYM-058-COMBAT","abilityId":"SYM-058","actionCost":"[SYM-058] объявление; цена 20 ОЭ и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ходы.\n\n[SYM-058] Берегись невежд, ученик\nгарантированно обнаружить всех носителей Трогра в радиусе 5R метров, игнорируя любые препятствия.","context":"COMBAT","cooldown":"Нет, если не указан.","denialReason":"","duration":"Мгновенно, если срок не указан.","effect":"[SYM-058] гарантированно обнаружить всех носителей Трогра в радиусе 5R метров, игнорируя любые препятствия.","errorCodes":"ERR_PRECONDITION; ERR_TARGET; ERR_RESOURCE; ERR_ACTION_COST; ERR_RULE_SPECIFIC","idUnique":1,"inputs":"[SYM-058] чистый R20 R.","manualChoice":"Только прямо указанные частной карточкой выборы.","playerCommandAvailable":true,"preconditions":"[SYM-058] ОЭ≥20.","resourceCost":"[SYM-058] объявление; цена 20 ОЭ и 1 действие.\nОЭ≥20.","rollDefinition":"[SYM-058] чистый R20 R.","ruleIds":"SYM-058; CORE-229; SYM-010; SYM-011","stateWrites":"[SYM-058] раскрыты позиции подходящих целей.","targetSelector":"[SYM-058] носители Трогра.","timeCost":"Боевые ходы/действия по частной карточке.","trigger":"[SYM-058] объявление; цена 20 ОЭ и 1 действие."}</t>
  </si>
  <si>
    <t xml:space="preserve">07bd016e14ff134243bb3773b474e2e16e34dbe1620b2befb4255f887bd597bc</t>
  </si>
  <si>
    <t xml:space="preserve">SYM-058 PEACE</t>
  </si>
  <si>
    <t xml:space="preserve">{"abilityContextId":"CTX-SYM-058-PEACE","abilityId":"SYM-058","actionCost":"0","allowed":false,"armorPolicy":"NOT_APPLICABLE","atomicityAudit":"Записать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выполняется","ruleIds":"SYM-058; Q-APP-002","stateWrites":"Нет","targetSelector":"Не выбирается","timeCost":"0","trigger":"Попытка объявления в запрещённом контексте"}</t>
  </si>
  <si>
    <t xml:space="preserve">d34fee9a885810cb2bb7afeb618f1b5d40835e6431cdd99acc21fb371d9dddcc</t>
  </si>
  <si>
    <t xml:space="preserve">SYM-059 COMBAT</t>
  </si>
  <si>
    <t xml:space="preserve">{"abilityContextId":"CTX-SYM-059-COMBAT","abilityId":"SYM-059","actionCost":"[SYM-059]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ходы.\n\n[SYM-059] Внимай, ученик\nНормативная база (действует во всей непротиворечащей части):\nприменить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оригиналу.\nПриоритетные авторские дельты (заменяют только прямо пересекающиеся ветви):\n[Q-SYM-024]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просматриваются.","context":"COMBAT","cooldown":"[SYM-059] Нормативная база (действует во всей непротиворечащей части):\nL=уровень Учителя, проверки — характеристиками его носителя; оплатить большую из цен (не сумму); затем отключить Учителя на сутки.","denialReason":"","duration":"[SYM-059] Нормативная база (действует во всей непротиворечащей части):\nL=уровень Учителя, проверки — характеристиками его носителя; оплатить большую из цен (не сумму); затем отключить Учителя на сутки.","effect":"[SYM-059] Нормативная база (действует во всей непротиворечащей части):\nприменить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оригиналу.\nПриоритетные авторские дельты (заменяют только прямо пересекающиеся ветви):\n[Q-SYM-024]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просматриваются.","errorCodes":"ERR_PRECONDITION; ERR_TARGET; ERR_RESOURCE; ERR_ACTION_COST; ERR_RULE_SPECIFIC","idUnique":1,"inputs":"[SYM-059] последняя активная способность цели, цена 60 ОЭ и цена оригинала.","manualChoice":"Только прямо указанные частной карточкой выборы.","playerCommandAvailable":true,"preconditions":"[SYM-059] цель допустимой расы/дальности и ранее применяла активную способность; копия разрешима.","resourceCost":"[SYM-059] последняя активная способность цели, цена 60 ОЭ и цена оригинала.\n[Q-SYM-024]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ценой.\nКопировать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отключается.","rollDefinition":"[SYM-059] L=уровень Учителя, проверки — характеристиками его носителя; оплатить большую из цен (не сумму); затем отключить Учителя на сутки.","ruleIds":"SYM-059; CORE-229; SYM-010; SYM-011","stateWrites":"[SYM-059] разрешена копия, Учитель отключён.","targetSelector":"[SYM-059] Единый или Вольный в 15 м.","timeCost":"Боевые ходы/действия по частной карточке.","trigger":"[SYM-059] объявление копирования."}</t>
  </si>
  <si>
    <t xml:space="preserve">ff0b58f87bd11ab0557d5e8f336a18086240ecc26c67c0dca00781ee7548631f</t>
  </si>
  <si>
    <t xml:space="preserve">SYM-059 PEACE</t>
  </si>
  <si>
    <t xml:space="preserve">{"abilityContextId":"CTX-SYM-059-PEACE","abilityId":"SYM-059","actionCost":"Боевые действия не расходуются вне боя. Частная длительность/условия сохраняются:\n[SYM-059]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части.\n\n[SYM-059] Внимай, ученик\nНормативная база (действует во всей непротиворечащей части):\nприменить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оригиналу.\nПриоритетные авторские дельты (заменяют только прямо пересекающиеся ветви):\n[Q-SYM-024]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просматриваются.","context":"PEACE","cooldown":"[SYM-059] Нормативная база (действует во всей непротиворечащей части):\nL=уровень Учителя, проверки — характеристиками его носителя; оплатить большую из цен (не сумму); затем отключить Учителя на сутки.","denialReason":"","duration":"[SYM-059] Нормативная база (действует во всей непротиворечащей части):\nL=уровень Учителя, проверки — характеристиками его носителя; оплатить большую из цен (не сумму); затем отключить Учителя на сутки.","effect":"[SYM-059] Нормативная база (действует во всей непротиворечащей части):\nприменить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оригиналу.\nПриоритетные авторские дельты (заменяют только прямо пересекающиеся ветви):\n[Q-SYM-024]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просматриваются.","errorCodes":"ERR_PRECONDITION; ERR_TARGET; ERR_RESOURCE; ERR_ACTION_COST; ERR_RULE_SPECIFIC","idUnique":1,"inputs":"[SYM-059] последняя активная способность цели, цена 60 ОЭ и цена оригинала.","manualChoice":"Мастер подтверждает немоделируемые контакт, дистанцию и согласие цели по Q-APP-001.","playerCommandAvailable":true,"preconditions":"[SYM-059] цель допустимой расы/дальности и ранее применяла активную способность; копия разрешима.","resourceCost":"[SYM-059] последняя активная способность цели, цена 60 ОЭ и цена оригинала.\n[Q-SYM-024]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ценой.\nКопировать можно только способность с единой фиксированной ценой в ОЭ и разрешимым эффектом.\n[Q-SYM-025] Если у цели нет последней использованной допустимой активной способности, «Внимай, ученик» объявить нельзя: ОЭ не расходуются и Учитель не отключается.","rollDefinition":"[SYM-059] L=уровень Учителя, проверки — характеристиками его носителя; оплатить большую из цен (не сумму); затем отключить Учителя на сутки.","ruleIds":"SYM-059; Q-APP-001; SYM-010; SYM-011","stateWrites":"[SYM-059] разрешена копия, Учитель отключён.","targetSelector":"[SYM-059] Единый или Вольный в 15 м.","timeCost":"Виртуальное время только если прямо установлено частной карточкой; иначе 0.","trigger":"[SYM-059] объявление копирования."}</t>
  </si>
  <si>
    <t xml:space="preserve">351576bc0a201ea8d0480b7ca51251ef9b594090f9bfb0994f56cd735bff747b</t>
  </si>
  <si>
    <t xml:space="preserve">SYM-061 COMBAT</t>
  </si>
  <si>
    <t xml:space="preserve">{"abilityContextId":"CTX-SYM-061-COMBAT","abilityId":"SYM-061","actionCost":"Если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ходы.\n\n[SYM-061] Подкожный панцирь\nдобавить L к броне поражённой зоны, складывая с носимой бронёй.","context":"COMBAT","cooldown":"Нет, если не указан.","denialReason":"","duration":"Мгновенно, если срок не указан.","effect":"[SYM-061] добавить L к броне поражённой зоны, складывая с носимой бронёй.","errorCodes":"ERR_PRECONDITION; ERR_TARGET; ERR_RESOURCE; ERR_ACTION_COST; ERR_RULE_SPECIFIC","idUnique":1,"inputs":"[SYM-061] L, тип оружия, носимая броня.","manualChoice":"Только прямо указанные частной карточкой выборы.","playerCommandAvailable":false,"preconditions":"[SYM-061] Броненосец активен.","resourceCost":"0 ОЭ, если частная карточка не устанавливает цену.","rollDefinition":"Без броска, если частная карточка не требует его.","ruleIds":"SYM-061; CORE-229; SYM-010; SYM-011","stateWrites":"[SYM-061] повышенный спасбросок/показатель брони.","targetSelector":"[SYM-061] все зоны тела.","timeCost":"Боевые ходы/действия по частной карточке.","trigger":"[SYM-061] получение удара."}</t>
  </si>
  <si>
    <t xml:space="preserve">0d50867cd8b403a58278957b1e91d632aa66bb6b6efd9ee7c2e6cb18392ff912</t>
  </si>
  <si>
    <t xml:space="preserve">SYM-061 PEACE</t>
  </si>
  <si>
    <t xml:space="preserve">{"abilityContextId":"CTX-SYM-061-PEACE","abilityId":"SYM-061","actionCost":"Боевые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части.\n\n[SYM-061] Подкожный панцирь\nдобавить L к броне поражённой зоны, складывая с носимой бронёй.","context":"PEACE","cooldown":"Нет, если не указан.","denialReason":"","duration":"Мгновенно, если срок не указан.","effect":"[SYM-061] добавить L к броне поражённой зоны, складывая с носимой бронёй.","errorCodes":"ERR_PRECONDITION; ERR_TARGET; ERR_RESOURCE; ERR_ACTION_COST; ERR_RULE_SPECIFIC","idUnique":1,"inputs":"[SYM-061] L, тип оружия, носимая броня.","manualChoice":"Мастер подтверждает немоделируемые контакт, дистанцию и согласие цели по Q-APP-001.","playerCommandAvailable":false,"preconditions":"[SYM-061] Броненосец активен.","resourceCost":"0 ОЭ, если частная карточка не устанавливает цену.","rollDefinition":"Без броска, если частная карточка не требует его.","ruleIds":"SYM-061; Q-APP-001; SYM-010; SYM-011","stateWrites":"[SYM-061] повышенный спасбросок/показатель брони.","targetSelector":"[SYM-061] все зоны тела.","timeCost":"Виртуальное время только если прямо установлено частной карточкой; иначе 0.","trigger":"[SYM-061] получение удара."}</t>
  </si>
  <si>
    <t xml:space="preserve">127488623109e8e16266124f4e9a93a6014f743ec7d487c69520260b209bdb57</t>
  </si>
  <si>
    <t xml:space="preserve">SYM-062 COMBAT</t>
  </si>
  <si>
    <t xml:space="preserve">{"abilityContextId":"CTX-SYM-062-COMBAT","abilityId":"SYM-062","actionCost":"Если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ходы.\n\n[SYM-062] Здоров как буйвол\nZ = Z_base + L; при гибели/удалении вернуть базовое.","context":"COMBAT","cooldown":"Нет, если не указан.","denialReason":"","duration":"Мгновенно, если срок не указан.","effect":"[SYM-062] Z = Z_base + L; при гибели/удалении вернуть базовое.","errorCodes":"ERR_PRECONDITION; ERR_TARGET; ERR_RESOURCE; ERR_ACTION_COST; ERR_RULE_SPECIFIC","idUnique":1,"inputs":"[SYM-062] базовое Z, L.","manualChoice":"Только прямо указанные частной карточкой выборы.","playerCommandAvailable":false,"preconditions":"[SYM-062] способность доступна.","resourceCost":"0 ОЭ, если частная карточка не устанавливает цену.","rollDefinition":"[SYM-062] Z = Z_base + L; при гибели/удалении вернуть базовое.","ruleIds":"SYM-062; CORE-229; SYM-010; SYM-011","stateWrites":"[SYM-062] пересчитать Z и зависимые значения.","targetSelector":"Цель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карточке.","trigger":"[SYM-062] изменение L/наличия симбионта."}</t>
  </si>
  <si>
    <t xml:space="preserve">9a98977ae02f51ce7fc1a5eab6ff5daf48df09544707ecd9b21da53c592f50d6</t>
  </si>
  <si>
    <t xml:space="preserve">SYM-062 PEACE</t>
  </si>
  <si>
    <t xml:space="preserve">{"abilityContextId":"CTX-SYM-062-PEACE","abilityId":"SYM-062","actionCost":"Боевые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части.\n\n[SYM-062] Здоров как буйвол\nZ = Z_base + L; при гибели/удалении вернуть базовое.","context":"PEACE","cooldown":"Нет, если не указан.","denialReason":"","duration":"Мгновенно, если срок не указан.","effect":"[SYM-062] Z = Z_base + L; при гибели/удалении вернуть базовое.","errorCodes":"ERR_PRECONDITION; ERR_TARGET; ERR_RESOURCE; ERR_ACTION_COST; ERR_RULE_SPECIFIC","idUnique":1,"inputs":"[SYM-062] базовое Z, L.","manualChoice":"Мастер подтверждает немоделируемые контакт, дистанцию и согласие цели по Q-APP-001.","playerCommandAvailable":false,"preconditions":"[SYM-062] способность доступна.","resourceCost":"0 ОЭ, если частная карточка не устанавливает цену.","rollDefinition":"[SYM-062] Z = Z_base + L; при гибели/удалении вернуть базовое.","ruleIds":"SYM-062; Q-APP-001; SYM-010; SYM-011","stateWrites":"[SYM-062] пересчитать Z и зависимые значения.","targetSelector":"Цель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0.","trigger":"[SYM-062] изменение L/наличия симбионта."}</t>
  </si>
  <si>
    <t xml:space="preserve">2615b7a7c7e4061c7605a55d8fc7ff422ef678ed49e828567e684e94a8b93930</t>
  </si>
  <si>
    <t xml:space="preserve">SYM-063 COMBAT</t>
  </si>
  <si>
    <t xml:space="preserve">{"abilityContextId":"CTX-SYM-063-COMBAT","abilityId":"SYM-063","actionCost":"Если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ходы.\n\n[SYM-063] Не вырубишь!\nотменить наложение оглушения.","context":"COMBAT","cooldown":"Нет, если не указан.","denialReason":"","duration":"Мгновенно, если срок не указан.","effect":"[SYM-063] отменить наложение оглушения.","errorCodes":"ERR_PRECONDITION; ERR_TARGET; ERR_RESOURCE; ERR_ACTION_COST; ERR_RULE_SPECIFIC","idUnique":1,"inputs":"[SYM-063] текущий HP, состояние.","manualChoice":"Только прямо указанные частной карточкой выборы.","playerCommandAvailable":false,"preconditions":"[SYM-063] текущий HP&gt;50.","resourceCost":"[SYM-063] текущий HP&gt;50.\nтекущий HP, состояние.\nпри HP≤50 иммунитета нет; иные формы потери сознания не названы.","rollDefinition":"Без броска, если частная карточка не требует его.","ruleIds":"SYM-063; CORE-229; SYM-010; SYM-011","stateWrites":"[SYM-063] состояние не применяется.","targetSelector":"Цель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карточке.","trigger":"[SYM-063] эффект пытается оглушить."}</t>
  </si>
  <si>
    <t xml:space="preserve">6669d2f500cf8605b53f02be37acb818c9b08aacd4433fcd33a77ea9e9e1202b</t>
  </si>
  <si>
    <t xml:space="preserve">SYM-063 PEACE</t>
  </si>
  <si>
    <t xml:space="preserve">{"abilityContextId":"CTX-SYM-063-PEACE","abilityId":"SYM-063","actionCost":"Боевые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части.\n\n[SYM-063] Не вырубишь!\nотменить наложение оглушения.","context":"PEACE","cooldown":"Нет, если не указан.","denialReason":"","duration":"Мгновенно, если срок не указан.","effect":"[SYM-063] отменить наложение оглушения.","errorCodes":"ERR_PRECONDITION; ERR_TARGET; ERR_RESOURCE; ERR_ACTION_COST; ERR_RULE_SPECIFIC","idUnique":1,"inputs":"[SYM-063] текущий HP, состояние.","manualChoice":"Мастер подтверждает немоделируемые контакт, дистанцию и согласие цели по Q-APP-001.","playerCommandAvailable":false,"preconditions":"[SYM-063] текущий HP&gt;50.","resourceCost":"[SYM-063] текущий HP&gt;50.\nтекущий HP, состояние.\nпри HP≤50 иммунитета нет; иные формы потери сознания не названы.","rollDefinition":"Без броска, если частная карточка не требует его.","ruleIds":"SYM-063; Q-APP-001; SYM-010; SYM-011","stateWrites":"[SYM-063] состояние не применяется.","targetSelector":"Цель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0.","trigger":"[SYM-063] эффект пытается оглушить."}</t>
  </si>
  <si>
    <t xml:space="preserve">6a73ece5a1a710db1c69ada93b85e5d091747384e816804cabbf3c0be8525213</t>
  </si>
  <si>
    <t xml:space="preserve">SYM-064 COMBAT</t>
  </si>
  <si>
    <t xml:space="preserve">{"abilityContextId":"CTX-SYM-064-COMBAT","abilityId":"SYM-064","actionCost":"Если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ходы.\n\n[SYM-064] Не подчиняюсь!\nдобавить +5.","context":"COMBAT","cooldown":"Нет, если не указан.","denialReason":"","duration":"Мгновенно, если срок не указан.","effect":"[SYM-064] добавить +5.","errorCodes":"ERR_PRECONDITION; ERR_TARGET; ERR_RESOURCE; ERR_ACTION_COST; ERR_RULE_SPECIFIC","idUnique":1,"inputs":"[SYM-064] базовый результат.","manualChoice":"Только прямо указанные частной карточкой выборы.","playerCommandAvailable":false,"preconditions":"[SYM-064] способность доступна.","resourceCost":"0 ОЭ, если частная карточка не устанавливает цену.","rollDefinition":"Без броска, если частная карточка не требует его.","ruleIds":"SYM-064; CORE-229; SYM-010; SYM-011","stateWrites":"[SYM-064] модифицированный результат сопротивления.","targetSelector":"Цель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карточке.","trigger":"[SYM-064] проверка сопротивления ментальному воздействию или способности Пингвина."}</t>
  </si>
  <si>
    <t xml:space="preserve">ed9b089debf22ebac50f3c3775289330e650a11266d05bd7ead430995aeefc2e</t>
  </si>
  <si>
    <t xml:space="preserve">SYM-064 PEACE</t>
  </si>
  <si>
    <t xml:space="preserve">{"abilityContextId":"CTX-SYM-064-PEACE","abilityId":"SYM-064","actionCost":"Боевые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части.\n\n[SYM-064] Не подчиняюсь!\nдобавить +5.","context":"PEACE","cooldown":"Нет, если не указан.","denialReason":"","duration":"Мгновенно, если срок не указан.","effect":"[SYM-064] добавить +5.","errorCodes":"ERR_PRECONDITION; ERR_TARGET; ERR_RESOURCE; ERR_ACTION_COST; ERR_RULE_SPECIFIC","idUnique":1,"inputs":"[SYM-064] базовый результат.","manualChoice":"Мастер подтверждает немоделируемые контакт, дистанцию и согласие цели по Q-APP-001.","playerCommandAvailable":false,"preconditions":"[SYM-064] способность доступна.","resourceCost":"0 ОЭ, если частная карточка не устанавливает цену.","rollDefinition":"Без броска, если частная карточка не требует его.","ruleIds":"SYM-064; Q-APP-001; SYM-010; SYM-011","stateWrites":"[SYM-064] модифицированный результат сопротивления.","targetSelector":"Цель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0.","trigger":"[SYM-064] проверка сопротивления ментальному воздействию или способности Пингвина."}</t>
  </si>
  <si>
    <t xml:space="preserve">1a815351306449de026c6ea84e829c9762e52a111d0d597595ea91c93855ed9c</t>
  </si>
  <si>
    <t xml:space="preserve">SYM-065 COMBAT</t>
  </si>
  <si>
    <t xml:space="preserve">{"abilityContextId":"CTX-SYM-065-COMBAT","abilityId":"SYM-065","actionCost":"Если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ходы.\n\n[SYM-065] Не сдвинешь!\nдобавить +10.","context":"COMBAT","cooldown":"Нет, если не указан.","denialReason":"","duration":"Мгновенно, если срок не указан.","effect":"[SYM-065] добавить +10.","errorCodes":"ERR_PRECONDITION; ERR_TARGET; ERR_RESOURCE; ERR_ACTION_COST; ERR_RULE_SPECIFIC","idUnique":1,"inputs":"[SYM-065] базовый результат.","manualChoice":"Только прямо указанные частной карточкой выборы.","playerCommandAvailable":false,"preconditions":"[SYM-065] способность доступна.","resourceCost":"0 ОЭ, если частная карточка не устанавливает цену.","rollDefinition":"Без броска, если частная карточка не требует его.","ruleIds":"SYM-065; CORE-229; SYM-010; SYM-011","stateWrites":"[SYM-065] модифицированная проверка.","targetSelector":"Цель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карточке.","trigger":"[SYM-065] встречная проверка против попытки сдвинуть."}</t>
  </si>
  <si>
    <t xml:space="preserve">e6a7cc45636f0a72fc71c8a7703acafd92595bd3cc25ac0aabb76b8d943e5df0</t>
  </si>
  <si>
    <t xml:space="preserve">SYM-065 PEACE</t>
  </si>
  <si>
    <t xml:space="preserve">{"abilityContextId":"CTX-SYM-065-PEACE","abilityId":"SYM-065","actionCost":"Боевые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части.\n\n[SYM-065] Не сдвинешь!\nдобавить +10.","context":"PEACE","cooldown":"Нет, если не указан.","denialReason":"","duration":"Мгновенно, если срок не указан.","effect":"[SYM-065] добавить +10.","errorCodes":"ERR_PRECONDITION; ERR_TARGET; ERR_RESOURCE; ERR_ACTION_COST; ERR_RULE_SPECIFIC","idUnique":1,"inputs":"[SYM-065] базовый результат.","manualChoice":"Мастер подтверждает немоделируемые контакт, дистанцию и согласие цели по Q-APP-001.","playerCommandAvailable":false,"preconditions":"[SYM-065] способность доступна.","resourceCost":"0 ОЭ, если частная карточка не устанавливает цену.","rollDefinition":"Без броска, если частная карточка не требует его.","ruleIds":"SYM-065; Q-APP-001; SYM-010; SYM-011","stateWrites":"[SYM-065] модифицированная проверка.","targetSelector":"Цель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0.","trigger":"[SYM-065] встречная проверка против попытки сдвинуть."}</t>
  </si>
  <si>
    <t xml:space="preserve">0dc2dc2f4a9a1a33959d38a0ec20d91c226c94c0ee7f7d31735e3b40b8bd10e4</t>
  </si>
  <si>
    <t xml:space="preserve">SYM-066 COMBAT</t>
  </si>
  <si>
    <t xml:space="preserve">{"abilityContextId":"CTX-SYM-066-COMBAT","abilityId":"SYM-066","actionCost":"[SYM-066] объявление допустимого защитного действия; цена 150 ОЭ и одно защитное действие.\nНормативная база (действует во всей непротиворечащей части):\nОн прикрывает носителя и другие союзные цели, чьи силуэты попадают в радиус действия способности (по ним нельзя заявлять атаки, пока щит действует).\nПри натуральной 1 персонаж не может заявлять никаких действий кроме освобождения рук, которое потребует 1 боевое действие или 1 минуту на их освобождение.\nне работает против атак без права на защитное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ходы.\n\n[SYM-066] Поднять щиты!\nНормативная база (действует во всей непротиворечащей части):\nR≥4: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персонажа.\nПриоритетные авторские дельты (заменяют только прямо пересекающиеся ветви):\n[Q-SYM-026]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освобождение.","context":"COMBAT","cooldown":"[SYM-066] Нормативная база (действует во всей непротиворечащей части):\nПри натуральной 1 персонаж не может заявлять никаких действий кроме освобождения рук, которое потребует 1 боевое действие или 1 минуту на их освобождение.","denialReason":"","duration":"[SYM-066] Нормативная база (действует во всей непротиворечащей части):\nПри натуральной 1 персонаж не может заявлять никаких действий кроме освобождения рук, которое потребует 1 боевое действие или 1 минуту на их освобождение.","effect":"[SYM-066] Нормативная база (действует во всей непротиворечащей части):\nR≥4: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персонажа.\nПриоритетные авторские дельты (заменяют только прямо пересекающиеся ветви):\n[Q-SYM-026]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освобождение.","errorCodes":"ERR_PRECONDITION; ERR_TARGET; ERR_RESOURCE; ERR_ACTION_COST; ERR_RULE_SPECIFIC","idUnique":1,"inputs":"[SYM-066] чистый R20 активации.","manualChoice":"Только прямо указанные частной карточкой выборы.","playerCommandAvailable":true,"preconditions":"[SYM-066] против атаки вообще можно заявить защиту; обе руки доступны; ОЭ≥150.","resourceCost":"[SYM-066] объявление допустимого защитного действия; цена 150 ОЭ и одно защитное действие.\nОЭ≥150.","rollDefinition":"[SYM-066] чистый R20 активации.\nR=2–3: защита не срабатывает.\nR=1: сковать обе руки персонажа.","ruleIds":"SYM-066; CORE-229; SYM-010; SYM-011","stateWrites":"[SYM-066] атака отражена либо руки скованы.","targetSelector":"[SYM-066] входящая атака.","timeCost":"Боевые ходы/действия по частной карточке.","trigger":"[SYM-066] объявление допустимого защитного действия; цена 150 ОЭ и одно защитное действие."}</t>
  </si>
  <si>
    <t xml:space="preserve">e34106ebfb536943a0f97f47b4c11b70c666456cd6715a1d433d4b3e58817584</t>
  </si>
  <si>
    <t xml:space="preserve">SYM-066 PEACE</t>
  </si>
  <si>
    <t xml:space="preserve">{"abilityContextId":"CTX-SYM-066-PEACE","abilityId":"SYM-066","actionCost":"0","allowed":false,"armorPolicy":"NOT_APPLICABLE","atomicityAudit":"Записать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выполняется","ruleIds":"SYM-066; Q-APP-002","stateWrites":"Нет","targetSelector":"Не выбирается","timeCost":"0","trigger":"Попытка объявления в запрещённом контексте"}</t>
  </si>
  <si>
    <t xml:space="preserve">43741ea41679be8ae0ca365358d6afbe098a3c09fb37d81feaaa35ca92556130</t>
  </si>
  <si>
    <t xml:space="preserve">SYM-068 COMBAT</t>
  </si>
  <si>
    <t xml:space="preserve">{"abilityContextId":"CTX-SYM-068-COMBAT","abilityId":"SYM-068","actionCost":"[SYM-068] Нормативная база (действует во всей непротиворечащей части):\nслюна вырабатывается в L раз больше обычной; стартовое горение 3 минуты/3 хода.","allowed":true,"armorPolicy":"Общий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ходы.\n\n[SYM-068] Горючая слюна\nНормативная база (действует во всей непротиворечащей части):\nслюна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слюны.\nПриоритетные авторские дельты (заменяют только прямо пересекающиеся ветви):\n[Q-SYM-027] Для передачи горения достаточно успешного попадания с итогом точности 19+; наносить урон или пробивать броню не требуется.","context":"COMBAT","cooldown":"[SYM-068] Нормативная база (действует во всей непротиворечащей части):\nслюна вырабатывается в L раз больше обычной; стартовое горение 3 минуты/3 хода.","denialReason":"","duration":"[SYM-068] Нормативная база (действует во всей непротиворечащей части):\nслюна вырабатывается в L раз больше обычной; стартовое горение 3 минуты/3 хода.","effect":"[SYM-068] Нормативная база (действует во всей непротиворечащей части):\nслюна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слюны.\nПриоритетные авторские дельты (заменяют только прямо пересекающиеся ветви):\n[Q-SYM-027] Для передачи горения достаточно успешного попадания с итогом точности 19+; наносить урон или пробивать броню не требуется.","errorCodes":"ERR_PRECONDITION; ERR_TARGET; ERR_RESOURCE; ERR_ACTION_COST; ERR_RULE_SPECIFIC","idUnique":1,"inputs":"[SYM-068] L; чистый результат меткости; оставшееся время горения.","manualChoice":"Только прямо указанные частной карточкой выборы.","playerCommandAvailable":true,"preconditions":"[SYM-068] слюна нанесена и продолжает гореть.","resourceCost":"0 ОЭ, если частная карточка не устанавливает цену.","rollDefinition":"Без броска, если частная карточка не требует его.","ruleIds":"SYM-068; CORE-229; SYM-010; SYM-011","stateWrites":"[SYM-068] создаётся/передаётся эффект горения.","targetSelector":"[SYM-068] объект, оружие или цель.","timeCost":"Боевые ходы/действия по частной карточке.","trigger":"[SYM-068] поджигание слюны либо попадание покрытым горящей слюной оружием."}</t>
  </si>
  <si>
    <t xml:space="preserve">485bbaf8fd91144e841dcb7440afa576ecfdb6bf02070a7120ac8544ba131e7e</t>
  </si>
  <si>
    <t xml:space="preserve">SYM-068 PEACE</t>
  </si>
  <si>
    <t xml:space="preserve">{"abilityContextId":"CTX-SYM-068-PEACE","abilityId":"SYM-068","actionCost":"Боевые действия не расходуются вне боя. Частная длительность/условия сохраняются:\n[SYM-068] Нормативная база (действует во всей непротиворечащей части):\nслюна вырабатывается в L раз больше обычной; стартовое горение 3 минуты/3 хода.","allowed":true,"armorPolicy":"Общий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части.\n\n[SYM-068] Горючая слюна\nНормативная база (действует во всей непротиворечащей части):\nслюна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слюны.\nПриоритетные авторские дельты (заменяют только прямо пересекающиеся ветви):\n[Q-SYM-027] Для передачи горения достаточно успешного попадания с итогом точности 19+; наносить урон или пробивать броню не требуется.","context":"PEACE","cooldown":"[SYM-068] Нормативная база (действует во всей непротиворечащей части):\nслюна вырабатывается в L раз больше обычной; стартовое горение 3 минуты/3 хода.","denialReason":"","duration":"[SYM-068] Нормативная база (действует во всей непротиворечащей части):\nслюна вырабатывается в L раз больше обычной; стартовое горение 3 минуты/3 хода.","effect":"[SYM-068] Нормативная база (действует во всей непротиворечащей части):\nслюна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слюны.\nПриоритетные авторские дельты (заменяют только прямо пересекающиеся ветви):\n[Q-SYM-027] Для передачи горения достаточно успешного попадания с итогом точности 19+; наносить урон или пробивать броню не требуется.","errorCodes":"ERR_PRECONDITION; ERR_TARGET; ERR_RESOURCE; ERR_ACTION_COST; ERR_RULE_SPECIFIC","idUnique":1,"inputs":"[SYM-068] L; чистый результат меткости; оставшееся время горения.","manualChoice":"Мастер подтверждает немоделируемые контакт, дистанцию и согласие цели по Q-APP-001.","playerCommandAvailable":true,"preconditions":"[SYM-068] слюна нанесена и продолжает гореть.","resourceCost":"0 ОЭ, если частная карточка не устанавливает цену.","rollDefinition":"Без броска, если частная карточка не требует его.","ruleIds":"SYM-068; Q-APP-001; SYM-010; SYM-011","stateWrites":"[SYM-068] создаётся/передаётся эффект горения.","targetSelector":"[SYM-068] объект, оружие или цель.","timeCost":"Виртуальное время только если прямо установлено частной карточкой; иначе 0.","trigger":"[SYM-068] поджигание слюны либо попадание покрытым горящей слюной оружием."}</t>
  </si>
  <si>
    <t xml:space="preserve">e0dc41411657867150a5899d50b90a9d170a744aecb310364fbff4b13cdef1a8</t>
  </si>
  <si>
    <t xml:space="preserve">SYM-069 COMBAT</t>
  </si>
  <si>
    <t xml:space="preserve">{"abilityContextId":"CTX-SYM-069-COMBAT","abilityId":"SYM-069","actionCost":"[SYM-069]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рта.\n[Q-SYM-028] Четыре минуты/четыре боевых хода считаются отдельно для каждого непрерывного эпизода воздействия огня на рот и глотку.","allowed":true,"armorPolicy":"Общий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ходы.\n\n[SYM-069] Огнеупорная глотка\nНормативная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рта.\nПриоритетные авторские дельты (заменяют только прямо пересекающиеся ветви):\n[Q-SYM-028]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правилам.","context":"COMBAT","cooldown":"[SYM-069]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рта.\n[Q-SYM-028] Четыре минуты/четыре боевых хода считаются отдельно для каждого непрерывного эпизода воздействия огня на рот и глотку.","denialReason":"","duration":"[SYM-069]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рта.\n[Q-SYM-028] Четыре минуты/четыре боевых хода считаются отдельно для каждого непрерывного эпизода воздействия огня на рот и глотку.","effect":"[SYM-069]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рта.\nПриоритетные авторские дельты (заменяют только прямо пересекающиеся ветви):\n[Q-SYM-028]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правилам.","errorCodes":"ERR_PRECONDITION; ERR_TARGET; ERR_RESOURCE; ERR_ACTION_COST; ERR_RULE_SPECIFIC","idUnique":1,"inputs":"[SYM-069] длительность воздействия.","manualChoice":"Только прямо указанные частной карточкой выборы.","playerCommandAvailable":false,"preconditions":"[SYM-069] способность доступна.","resourceCost":"0 ОЭ, если частная карточка не устанавливает цену.","rollDefinition":"Без броска, если частная карточка не требует его.","ruleIds":"SYM-069; CORE-229; SYM-010; SYM-011","stateWrites":"[SYM-069] локальный урон предотвращён в пределах времени.","targetSelector":"[SYM-069] глотка, рот, зубы, губы.","timeCost":"Боевые ходы/действия по частной карточке.","trigger":"[SYM-069] воздействие температуры пламени."}</t>
  </si>
  <si>
    <t xml:space="preserve">1d2596ee95be829d3dada80b3f8f4a72bf28b43a11e09007e5cd72cb5429643c</t>
  </si>
  <si>
    <t xml:space="preserve">SYM-069 PEACE</t>
  </si>
  <si>
    <t xml:space="preserve">{"abilityContextId":"CTX-SYM-069-PEACE","abilityId":"SYM-069","actionCost":"Боевые действия не расходуются вне боя. Частная длительность/условия сохраняются:\n[SYM-069]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рта.\n[Q-SYM-028] Четыре минуты/четыре боевых хода считаются отдельно для каждого непрерывного эпизода воздействия огня на рот и глотку.","allowed":true,"armorPolicy":"Общий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части.\n\n[SYM-069] Огнеупорная глотка\nНормативная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рта.\nПриоритетные авторские дельты (заменяют только прямо пересекающиеся ветви):\n[Q-SYM-028]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правилам.","context":"PEACE","cooldown":"[SYM-069]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рта.\n[Q-SYM-028] Четыре минуты/четыре боевых хода считаются отдельно для каждого непрерывного эпизода воздействия огня на рот и глотку.","denialReason":"","duration":"[SYM-069]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рта.\n[Q-SYM-028] Четыре минуты/четыре боевых хода считаются отдельно для каждого непрерывного эпизода воздействия огня на рот и глотку.","effect":"[SYM-069] Нормативная база (действует во всей непротиворечащей части):\nуказанные зоны не получают повреждений от температуры пламени до 4 минут/4 ходов; слюна не прилипает внутри рта.\nПриоритетные авторские дельты (заменяют только прямо пересекающиеся ветви):\n[Q-SYM-028]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правилам.","errorCodes":"ERR_PRECONDITION; ERR_TARGET; ERR_RESOURCE; ERR_ACTION_COST; ERR_RULE_SPECIFIC","idUnique":1,"inputs":"[SYM-069] длительность воздействия.","manualChoice":"Мастер подтверждает немоделируемые контакт, дистанцию и согласие цели по Q-APP-001.","playerCommandAvailable":false,"preconditions":"[SYM-069] способность доступна.","resourceCost":"0 ОЭ, если частная карточка не устанавливает цену.","rollDefinition":"Без броска, если частная карточка не требует его.","ruleIds":"SYM-069; Q-APP-001; SYM-010; SYM-011","stateWrites":"[SYM-069] локальный урон предотвращён в пределах времени.","targetSelector":"[SYM-069] глотка, рот, зубы, губы.","timeCost":"Виртуальное время только если прямо установлено частной карточкой; иначе 0.","trigger":"[SYM-069] воздействие температуры пламени."}</t>
  </si>
  <si>
    <t xml:space="preserve">6aea813e7f184f19734635c2c4701cd95b56e7e251d4eb645890981f26720e2b</t>
  </si>
  <si>
    <t xml:space="preserve">SYM-070 COMBAT</t>
  </si>
  <si>
    <t xml:space="preserve">{"abilityContextId":"CTX-SYM-070-COMBAT","abilityId":"SYM-070","actionCost":"Если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ходы.\n\n[SYM-070] Зубы-огниво\nгарантированно зажечь слюну без проверки.","context":"COMBAT","cooldown":"Нет, если не указан.","denialReason":"","duration":"Мгновенно, если срок не указан.","effect":"[SYM-070] гарантированно зажечь слюну без проверки.","errorCodes":"ERR_PRECONDITION; ERR_TARGET; ERR_RESOURCE; ERR_ACTION_COST; ERR_RULE_SPECIFIC","idUnique":1,"inputs":"[SYM-070] команда поджечь.","manualChoice":"Только прямо указанные частной карточкой выборы.","playerCommandAvailable":true,"preconditions":"[SYM-070] слюна находится во рту.","resourceCost":"0 ОЭ, если частная карточка не устанавливает цену.","rollDefinition":"Без броска, если частная карточка не требует его.","ruleIds":"SYM-070; CORE-229; SYM-010; SYM-011","stateWrites":"[SYM-070] слюна получает состояние «горит».","targetSelector":"[SYM-070] слюна во рту.","timeCost":"Боевые ходы/действия по частной карточке.","trigger":"[SYM-070] контакт зубов по воле носителя."}</t>
  </si>
  <si>
    <t xml:space="preserve">aa3741701232105a0ea4eef543ab26d5e5ac97cfb1ee5a07c067899de90a8dbf</t>
  </si>
  <si>
    <t xml:space="preserve">SYM-070 PEACE</t>
  </si>
  <si>
    <t xml:space="preserve">{"abilityContextId":"CTX-SYM-070-PEACE","abilityId":"SYM-070","actionCost":"Боевые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части.\n\n[SYM-070] Зубы-огниво\nгарантированно зажечь слюну без проверки.","context":"PEACE","cooldown":"Нет, если не указан.","denialReason":"","duration":"Мгновенно, если срок не указан.","effect":"[SYM-070] гарантированно зажечь слюну без проверки.","errorCodes":"ERR_PRECONDITION; ERR_TARGET; ERR_RESOURCE; ERR_ACTION_COST; ERR_RULE_SPECIFIC","idUnique":1,"inputs":"[SYM-070] команда поджечь.","manualChoice":"Мастер подтверждает немоделируемые контакт, дистанцию и согласие цели по Q-APP-001.","playerCommandAvailable":true,"preconditions":"[SYM-070] слюна находится во рту.","resourceCost":"0 ОЭ, если частная карточка не устанавливает цену.","rollDefinition":"Без броска, если частная карточка не требует его.","ruleIds":"SYM-070; Q-APP-001; SYM-010; SYM-011","stateWrites":"[SYM-070] слюна получает состояние «горит».","targetSelector":"[SYM-070] слюна во рту.","timeCost":"Виртуальное время только если прямо установлено частной карточкой; иначе 0.","trigger":"[SYM-070] контакт зубов по воле носителя."}</t>
  </si>
  <si>
    <t xml:space="preserve">ee19030dc22e4bb13258b9ca085e4452a2f67029af481c0a18beb7b3902c0510</t>
  </si>
  <si>
    <t xml:space="preserve">SYM-071 COMBAT</t>
  </si>
  <si>
    <t xml:space="preserve">{"abilityContextId":"CTX-SYM-071-COMBAT","abilityId":"SYM-071","actionCost":"[SYM-071] объявление; цена 30 ОЭ и 1 действие.\nНормативная база (действует во всей непротиворечащей части):\nA=1: обнулить все ОЭ Дракона и запретить восстановление симбиотическим отваром 1 час.\nДля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ходы.\n\n[SYM-071] Нагнетатель давления\nНормативная база (действует во всей непротиворечащей части):\nA≥4: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Q-CORE-030.","context":"COMBAT","cooldown":"[SYM-071] Нормативная база (действует во всей непротиворечащей части):\nA=1: обнулить все ОЭ Дракона и запретить восстановление симбиотическим отваром 1 час.\nДля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выполняется.","denialReason":"","duration":"[SYM-071] Нормативная база (действует во всей непротиворечащей части):\nA=1: обнулить все ОЭ Дракона и запретить восстановление симбиотическим отваром 1 час.\nДля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выполняется.","effect":"[SYM-071] Нормативная база (действует во всей непротиворечащей части):\nA≥4: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Q-CORE-030.","errorCodes":"ERR_PRECONDITION; ERR_TARGET; ERR_RESOURCE; ERR_ACTION_COST; ERR_RULE_SPECIFIC","idUnique":1,"inputs":"[SYM-071] первый R20 A (активация/длина), для каждой цели отдельный R6 экипировки.","manualChoice":"Только прямо указанные частной карточкой выборы.","playerCommandAvailable":true,"preconditions":"[SYM-071] есть горящая слюна; ОЭ≥30.","resourceCost":"[SYM-071] объявление; цена 30 ОЭ и 1 действие.\nОЭ≥30.\nA=1: обнулить все ОЭ Дракона и запретить восстановление симбиотическим отваром 1 час.\nмножественные эффекты горения либо потеря ресурса.","rollDefinition":"[SYM-071] первый R20 A (активация/длина), для каждой цели отдельный R6 экипировки.\nA≥4: длина струи A/4+L м; на каждую цель под струёй наложить горение на R6 элементов экипировки; при R6=6 горит вся экипировка, включая рюкзак.\nA=2–3: нет эффекта.\nA=1: обнулить все ОЭ Дракона и запретить восстановление симбиотическим отваром 1 час.\nДля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эффекта.\n[Q-SYM-029] После успешной активации строится отрезок от позиции носителя длиной R20/4+L метров и шириной 1 метр.\nКаждый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выполняется.","ruleIds":"SYM-071; CORE-229; SYM-010; SYM-011","stateWrites":"[SYM-071] множественные эффекты горения либо потеря ресурса.","targetSelector":"[SYM-071] все персонажи под струёй.","timeCost":"Боевые ходы/действия по частной карточке.","trigger":"[SYM-071] объявление; цена 30 ОЭ и 1 действие."}</t>
  </si>
  <si>
    <t xml:space="preserve">b39c0ccf7191a053b97da223157066e20f06a958de9c79655e427d8200fa11ae</t>
  </si>
  <si>
    <t xml:space="preserve">SYM-071 PEACE</t>
  </si>
  <si>
    <t xml:space="preserve">{"abilityContextId":"CTX-SYM-071-PEACE","abilityId":"SYM-071","actionCost":"0","allowed":false,"armorPolicy":"NOT_APPLICABLE","atomicityAudit":"Записать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выполняется","ruleIds":"SYM-071; Q-APP-002","stateWrites":"Нет","targetSelector":"Не выбирается","timeCost":"0","trigger":"Попытка объявления в запрещённом контексте"}</t>
  </si>
  <si>
    <t xml:space="preserve">7c6d5eb9500d94699b94f5c08e6017985371d3ea0254c7059867249808ddf681</t>
  </si>
  <si>
    <t xml:space="preserve">SYM-072 COMBAT</t>
  </si>
  <si>
    <t xml:space="preserve">{"abilityContextId":"CTX-SYM-072-COMBAT","abilityId":"SYM-072","actionCost":"[SYM-072]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ходы.\n\n[SYM-072] Долгое горение\nНормативная база (действует во всей непротиворечащей части):\nзаменить стартовую длительность на 6 ходов.\nПриоритетные авторские дельты (заменяют только прямо пересекающиеся ветви):\n[Q-SYM-077]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3.","context":"COMBAT","cooldown":"[SYM-072] Нормативная база (действует во всей непротиворечащей части):\nзаменить стартовую длительность на 6 ходов.\nПосле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3.","denialReason":"","duration":"[SYM-072] Нормативная база (действует во всей непротиворечащей части):\nзаменить стартовую длительность на 6 ходов.\nПосле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3.","effect":"[SYM-072] Нормативная база (действует во всей непротиворечащей части):\nзаменить стартовую длительность на 6 ходов.\nПриоритетные авторские дельты (заменяют только прямо пересекающиеся ветви):\n[Q-SYM-077]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3.","errorCodes":"ERR_PRECONDITION; ERR_TARGET; ERR_RESOURCE; ERR_ACTION_COST; ERR_RULE_SPECIFIC","idUnique":1,"inputs":"[SYM-072] базовая длительность 3; цена 30 ОЭ.","manualChoice":"Только прямо указанные частной карточкой выборы.","playerCommandAvailable":false,"preconditions":"[SYM-072] способность доступна; момент проверки достаточности ОЭ не определён.","resourceCost":"[SYM-072] создание эффекта горения; в строке способности напечатана цена 30 ОЭ одновременно с пометкой «Пассивный эффект».\nспособность доступна; момент проверки достаточности ОЭ не определён.\nбазовая длительность 3; цена 30 ОЭ.\n[Q-SYM-077] Строка «Стоимость: 30 ОЭ» считается опечаткой.","rollDefinition":"Без броска, если частная карточка не требует его.","ruleIds":"SYM-072; CORE-229; SYM-010; SYM-011","stateWrites":"[SYM-072] более длительное горение.","targetSelector":"[SYM-072] объекты и персонажи, подожжённые его слюной.","timeCost":"Боевые ходы/действия по частной карточке.","trigger":"[SYM-072] создание эффекта горения; в строке способности напечатана цена 30 ОЭ одновременно с пометкой «Пассивный эффект»."}</t>
  </si>
  <si>
    <t xml:space="preserve">2c2e8b63e675d5b97af1a62bd449cb547877f08566e1a0dbb46fef1808b3b50f</t>
  </si>
  <si>
    <t xml:space="preserve">SYM-072 PEACE</t>
  </si>
  <si>
    <t xml:space="preserve">{"abilityContextId":"CTX-SYM-072-PEACE","abilityId":"SYM-072","actionCost":"Боевые действия не расходуются вне боя. Частная длительность/условия сохраняются:\n[SYM-072]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части.\n\n[SYM-072] Долгое горение\nНормативная база (действует во всей непротиворечащей части):\nзаменить стартовую длительность на 6 ходов.\nПриоритетные авторские дельты (заменяют только прямо пересекающиеся ветви):\n[Q-SYM-077]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3.","context":"PEACE","cooldown":"[SYM-072] Нормативная база (действует во всей непротиворечащей части):\nзаменить стартовую длительность на 6 ходов.\nПосле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3.","denialReason":"","duration":"[SYM-072] Нормативная база (действует во всей непротиворечащей части):\nзаменить стартовую длительность на 6 ходов.\nПосле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3.","effect":"[SYM-072] Нормативная база (действует во всей непротиворечащей части):\nзаменить стартовую длительность на 6 ходов.\nПриоритетные авторские дельты (заменяют только прямо пересекающиеся ветви):\n[Q-SYM-077]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3.","errorCodes":"ERR_PRECONDITION; ERR_TARGET; ERR_RESOURCE; ERR_ACTION_COST; ERR_RULE_SPECIFIC","idUnique":1,"inputs":"[SYM-072] базовая длительность 3; цена 30 ОЭ.","manualChoice":"Мастер подтверждает немоделируемые контакт, дистанцию и согласие цели по Q-APP-001.","playerCommandAvailable":false,"preconditions":"[SYM-072] способность доступна; момент проверки достаточности ОЭ не определён.","resourceCost":"[SYM-072] создание эффекта горения; в строке способности напечатана цена 30 ОЭ одновременно с пометкой «Пассивный эффект».\nспособность доступна; момент проверки достаточности ОЭ не определён.\nбазовая длительность 3; цена 30 ОЭ.\n[Q-SYM-077] Строка «Стоимость: 30 ОЭ» считается опечаткой.","rollDefinition":"Без броска, если частная карточка не требует его.","ruleIds":"SYM-072; Q-APP-001; SYM-010; SYM-011","stateWrites":"[SYM-072] более длительное горение.","targetSelector":"[SYM-072] объекты и персонажи, подожжённые его слюной.","timeCost":"Виртуальное время только если прямо установлено частной карточкой; иначе 0.","trigger":"[SYM-072] создание эффекта горения; в строке способности напечатана цена 30 ОЭ одновременно с пометкой «Пассивный эффект»."}</t>
  </si>
  <si>
    <t xml:space="preserve">27a0c01cc50b4ad185a720c39d726f54e4a732d8c0d2add3056dccc7db557fd8</t>
  </si>
  <si>
    <t xml:space="preserve">SYM-073 COMBAT</t>
  </si>
  <si>
    <t xml:space="preserve">{"abilityContextId":"CTX-SYM-073-COMBAT","abilityId":"SYM-073","actionCost":"[SYM-073] объявление; цена 60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ходы.\n\n[SYM-073] Огненный шар\nНормативная база (действует во всей непротиворечащей части):\nA≥4: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радиусом».\nПриоритетные авторские дельты (заменяют только прямо пересекающиеся ветви):\n[Q-SYM-030]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шара.","context":"COMBAT","cooldown":"[SYM-073] Нормативная база (действует во всей непротиворечащей части):","denialReason":"","duration":"[SYM-073] Нормативная база (действует во всей непротиворечащей части):","effect":"[SYM-073] Нормативная база (действует во всей непротиворечащей части):\nA≥4: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радиусом».\nПриоритетные авторские дельты (заменяют только прямо пересекающиеся ветви):\n[Q-SYM-030]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шара.","errorCodes":"ERR_PRECONDITION; ERR_TARGET; ERR_RESOURCE; ERR_ACTION_COST; ERR_RULE_SPECIFIC","idUnique":1,"inputs":"[SYM-073] первый R20 A (активация/дальность), отдельный R12 R (радиус), отдельный R20 D (урон).","manualChoice":"Только прямо указанные частной карточкой выборы.","playerCommandAvailable":true,"preconditions":"[SYM-073] ОЭ≥60; возможность поджечь слюну.","resourceCost":"[SYM-073] объявление; цена 60 ОЭ и 1 действие.\nОЭ≥60; возможность поджечь слюну.","rollDefinition":"[SYM-073] первый R20 A (активация/дальность), отдельный R12 R (радиус), отдельный R20 D (урон).\nA≥4: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кожа.\nA=2–3: эффекта нет.\nA=1: применить под ноги носителя с «максимальной мощностью и радиусом».","ruleIds":"SYM-073; CORE-229; SYM-010; SYM-011","stateWrites":"[SYM-073] чистый площадной урон и горение.","targetSelector":"[SYM-073] точка и все в радиусе.","timeCost":"Боевые ходы/действия по частной карточке.","trigger":"[SYM-073] объявление; цена 60 ОЭ и 1 действие."}</t>
  </si>
  <si>
    <t xml:space="preserve">9f7a0354a20c7264dbb6060cb5e9a473b3fdcee9862eebbf0f08e81282ae3afd</t>
  </si>
  <si>
    <t xml:space="preserve">SYM-073 PEACE</t>
  </si>
  <si>
    <t xml:space="preserve">{"abilityContextId":"CTX-SYM-073-PEACE","abilityId":"SYM-073","actionCost":"0","allowed":false,"armorPolicy":"NOT_APPLICABLE","atomicityAudit":"Записать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выполняется","ruleIds":"SYM-073; Q-APP-002","stateWrites":"Нет","targetSelector":"Не выбирается","timeCost":"0","trigger":"Попытка объявления в запрещённом контексте"}</t>
  </si>
  <si>
    <t xml:space="preserve">30b0ef2aced93343b96a9b4916afb17136bc3dc37e34c295d3823ef8042820b2</t>
  </si>
  <si>
    <t xml:space="preserve">SYM-076 COMBAT</t>
  </si>
  <si>
    <t xml:space="preserve">{"abilityContextId":"CTX-SYM-076-COMBAT","abilityId":"SYM-076","actionCost":"[SYM-076]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ходы.\n\n[SYM-076] Трогровость\nНормативная база (действует во всей непротиворечащей части):\nза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L=5.\nПриоритетные авторские дельты (заменяют только прямо пересекающиеся ветви):\n[Q-SYM-032]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выдаётся.","context":"COMBAT","cooldown":"[SYM-076] Нормативная база (действует во всей непротиворечащей части):","denialReason":"","duration":"[SYM-076] Нормативная база (действует во всей непротиворечащей части):","effect":"[SYM-076] Нормативная база (действует во всей непротиворечащей части):\nза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L=5.\nПриоритетные авторские дельты (заменяют только прямо пересекающиеся ветви):\n[Q-SYM-032]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выдаётся.","errorCodes":"ERR_PRECONDITION; ERR_TARGET; ERR_RESOURCE; ERR_ACTION_COST; ERR_RULE_SPECIFIC","idUnique":1,"inputs":"[SYM-076] L, раса, базовые характеристики, поглощённые виды.","manualChoice":"Только прямо указанные частной карточкой выборы.","playerCommandAvailable":false,"preconditions":"[SYM-076] Трогр активен.","resourceCost":"[SYM-076] Опыт за это не начисляется и компенсация уже развитому Трогру не выдаётся.","rollDefinition":"[SYM-076] Если поглощён Учитель, минимум I и W=4 (складывается с «подавленным советником»).\nПосле поглощения одного из {Учитель, Дельфин} slotCost=2; обоих — 3.\nПоглощение Дельфина немедленно устанавливает L=5.\nсудьба способностей при принудительном L=5 не определена.","ruleIds":"SYM-076; CORE-229; SYM-010; SYM-011","stateWrites":"[SYM-076] пересчитаны характеристики, maxHP, слоты и уровень.","targetSelector":"[SYM-076] носитель.","timeCost":"Боевые ходы/действия по частной карточке.","trigger":"[SYM-076] изменение L или факт поглощения."}</t>
  </si>
  <si>
    <t xml:space="preserve">d56cb7df9856fcf02ce0011117561014f38bed2a00cacbb1ccfeb8cc4f30443a</t>
  </si>
  <si>
    <t xml:space="preserve">SYM-076 PEACE</t>
  </si>
  <si>
    <t xml:space="preserve">{"abilityContextId":"CTX-SYM-076-PEACE","abilityId":"SYM-076","actionCost":"Боевые действия не расходуются вне боя. Частная длительность/условия сохраняются:\n[SYM-076]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части.\n\n[SYM-076] Трогровость\nНормативная база (действует во всей непротиворечащей части):\nза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L=5.\nПриоритетные авторские дельты (заменяют только прямо пересекающиеся ветви):\n[Q-SYM-032]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выдаётся.","context":"PEACE","cooldown":"[SYM-076] Нормативная база (действует во всей непротиворечащей части):","denialReason":"","duration":"[SYM-076] Нормативная база (действует во всей непротиворечащей части):","effect":"[SYM-076] Нормативная база (действует во всей непротиворечащей части):\nза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L=5.\nПриоритетные авторские дельты (заменяют только прямо пересекающиеся ветви):\n[Q-SYM-032]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выдаётся.","errorCodes":"ERR_PRECONDITION; ERR_TARGET; ERR_RESOURCE; ERR_ACTION_COST; ERR_RULE_SPECIFIC","idUnique":1,"inputs":"[SYM-076] L, раса, базовые характеристики, поглощённые виды.","manualChoice":"Мастер подтверждает немоделируемые контакт, дистанцию и согласие цели по Q-APP-001.","playerCommandAvailable":false,"preconditions":"[SYM-076] Трогр активен.","resourceCost":"[SYM-076] Опыт за это не начисляется и компенсация уже развитому Трогру не выдаётся.","rollDefinition":"[SYM-076] Если поглощён Учитель, минимум I и W=4 (складывается с «подавленным советником»).\nПосле поглощения одного из {Учитель, Дельфин} slotCost=2; обоих — 3.\nПоглощение Дельфина немедленно устанавливает L=5.\nсудьба способностей при принудительном L=5 не определена.","ruleIds":"SYM-076; Q-APP-001; SYM-010; SYM-011","stateWrites":"[SYM-076] пересчитаны характеристики, maxHP, слоты и уровень.","targetSelector":"[SYM-076] носитель.","timeCost":"Виртуальное время только если прямо установлено частной карточкой; иначе 0.","trigger":"[SYM-076] изменение L или факт поглощения."}</t>
  </si>
  <si>
    <t xml:space="preserve">0a1096a30f4525f81051eeb1b4611de24c5369e8f7554330279fc3c8b0efe993</t>
  </si>
  <si>
    <t xml:space="preserve">SYM-077 COMBAT</t>
  </si>
  <si>
    <t xml:space="preserve">{"abilityContextId":"CTX-SYM-077-COMBAT","abilityId":"SYM-077","actionCost":"[SYM-077]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ходы.\n\n[SYM-077] Трогр крушить!\nНормативная база (действует во всей непротиворечащей части):\nбонус к S = floor(totalLostHP/10); сбросить в конце схватки.\nПриоритетные авторские дельты (заменяют только прямо пересекающиеся ветви):\n[Q-SYM-033]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обнуляются.","context":"COMBAT","cooldown":"[SYM-077] Нормативная база (действует во всей непротиворечащей части):","denialReason":"","duration":"[SYM-077] Нормативная база (действует во всей непротиворечащей части):","effect":"[SYM-077] Нормативная база (действует во всей непротиворечащей части):\nбонус к S = floor(totalLostHP/10); сбросить в конце схватки.\nПриоритетные авторские дельты (заменяют только прямо пересекающиеся ветви):\n[Q-SYM-033]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обнуляются.","errorCodes":"ERR_PRECONDITION; ERR_TARGET; ERR_RESOURCE; ERR_ACTION_COST; ERR_RULE_SPECIFIC","idUnique":1,"inputs":"[SYM-077] суммарные потерянные HP в схватке.","manualChoice":"Только прямо указанные частной карточкой выборы.","playerCommandAvailable":false,"preconditions":"[SYM-077] способность доступна и не отключена «ЫЫЫ…».","resourceCost":"[SYM-077] потеря HP во время текущей схватки.\nсуммарные потерянные HP в схватке.\n[Q-SYM-033] Считается суммарное количество фактически потерянных HP за текущую схватку, включая повторную потерю восстановленных HP.","rollDefinition":"[SYM-077] бонус к S = floor(totalLostHP/10); сбросить в конце схватки.","ruleIds":"SYM-077; CORE-229; SYM-010; SYM-011","stateWrites":"[SYM-077] динамический бонус силы.","targetSelector":"Цель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карточке.","trigger":"[SYM-077] потеря HP во время текущей схватки."}</t>
  </si>
  <si>
    <t xml:space="preserve">e89178cefa7956d9891c1cfb18e6da957415e73a86818a3e8d2802f0b1a89a9c</t>
  </si>
  <si>
    <t xml:space="preserve">SYM-077 PEACE</t>
  </si>
  <si>
    <t xml:space="preserve">{"abilityContextId":"CTX-SYM-077-PEACE","abilityId":"SYM-077","actionCost":"0","allowed":false,"armorPolicy":"NOT_APPLICABLE","atomicityAudit":"Записать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выполняется","ruleIds":"SYM-077; Q-APP-002","stateWrites":"Нет","targetSelector":"Не выбирается","timeCost":"0","trigger":"Попытка объявления в запрещённом контексте"}</t>
  </si>
  <si>
    <t xml:space="preserve">b69bfc8beaf7449737d89af1616fdf14bd72be519b525560aea106ac9d2db8e5</t>
  </si>
  <si>
    <t xml:space="preserve">SYM-078 COMBAT</t>
  </si>
  <si>
    <t xml:space="preserve">{"abilityContextId":"CTX-SYM-078-COMBAT","abilityId":"SYM-078","actionCost":"[SYM-078] объявление; цена 50 ОЭ и 1 действие.\nНормативная база (действует во всей непротиворечащей части):\nРазница 1–8: глухота 30 минут/6 ходов.\n9–18: глухота + «страх» (−1 действие в серии) на тот же срок.\n&gt;18: бессознательность 5 минут/1 ход.","allowed":true,"armorPolicy":"Общий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ходы.\n\n[SYM-078] WAAAGH!!!\nНормативная база (действует во всей непротиворечащей части):\nесли A≤B, нет эффекта. Разница 1–8: глухота 30 минут/6 ходов. 9–18: глухота + «страх» (−1 действие в серии) на тот же срок. &gt;18: бессознательность 5 минут/1 ход.\nПриоритетные авторские дельты (заменяют только прямо пересекающиеся ветви):\n[Q-SYM-034]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цель.","context":"COMBAT","cooldown":"[SYM-078] Нормативная база (действует во всей непротиворечащей части):\nРазница 1–8: глухота 30 минут/6 ходов.\n9–18: глухота + «страх» (−1 действие в серии) на тот же срок.\n&gt;18: бессознательность 5 минут/1 ход.","denialReason":"","duration":"[SYM-078] Нормативная база (действует во всей непротиворечащей части):\nРазница 1–8: глухота 30 минут/6 ходов.\n9–18: глухота + «страх» (−1 действие в серии) на тот же срок.\n&gt;18: бессознательность 5 минут/1 ход.","effect":"[SYM-078] Нормативная база (действует во всей непротиворечащей части):\nесли A≤B, нет эффекта. Разница 1–8: глухота 30 минут/6 ходов. 9–18: глухота + «страх» (−1 действие в серии) на тот же срок. &gt;18: бессознательность 5 минут/1 ход.\nПриоритетные авторские дельты (заменяют только прямо пересекающиеся ветви):\n[Q-SYM-034]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цель.","errorCodes":"ERR_PRECONDITION; ERR_TARGET; ERR_RESOURCE; ERR_ACTION_COST; ERR_RULE_SPECIFIC","idUnique":1,"inputs":"[SYM-078] A=R20+10 Трогра, проверка M цели B, разница A−B.","manualChoice":"Только прямо указанные частной карточкой выборы.","playerCommandAvailable":true,"preconditions":"[SYM-078] до оплаты currentOE≥2000.","resourceCost":"[SYM-078] объявление; цена 50 ОЭ и 1 действие.","rollDefinition":"[SYM-078] A=R20+10 Трогра, проверка M цели B, разница A−B.","ruleIds":"SYM-078; CORE-229; SYM-010; SYM-011","stateWrites":"[SYM-078] состояние по диапазону.","targetSelector":"[SYM-078] выбранная цель.","timeCost":"Боевые ходы/действия по частной карточке.","trigger":"[SYM-078] объявление; цена 50 ОЭ и 1 действие."}</t>
  </si>
  <si>
    <t xml:space="preserve">dd16cff29fabdfec6802018fe2f651228e6a642f2f01a2f2bb8d4c96857b4b30</t>
  </si>
  <si>
    <t xml:space="preserve">SYM-078 PEACE</t>
  </si>
  <si>
    <t xml:space="preserve">{"abilityContextId":"CTX-SYM-078-PEACE","abilityId":"SYM-078","actionCost":"0","allowed":false,"armorPolicy":"NOT_APPLICABLE","atomicityAudit":"Записать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выполняется","ruleIds":"SYM-078; Q-APP-002","stateWrites":"Нет","targetSelector":"Не выбирается","timeCost":"0","trigger":"Попытка объявления в запрещённом контексте"}</t>
  </si>
  <si>
    <t xml:space="preserve">6e12426042a1b8c613563ed867744b3223dd5f336ae28819d3d13b74a62393c6</t>
  </si>
  <si>
    <t xml:space="preserve">SYM-079 COMBAT</t>
  </si>
  <si>
    <t xml:space="preserve">{"abilityContextId":"CTX-SYM-079-COMBAT","abilityId":"SYM-079","actionCost":"Если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ходы.\n\n[SYM-079] Мой дубина — твой башка!\nесли навыка нет — выдать высокий уровень без занятия слота; если есть — повысить на 3, не выше абсолютного.","context":"COMBAT","cooldown":"Нет, если не указан.","denialReason":"","duration":"Мгновенно, если срок не указан.","effect":"[SYM-079] если навыка нет — выдать высокий уровень без занятия слота; если есть — повысить на 3, не выше абсолютного.","errorCodes":"ERR_PRECONDITION; ERR_TARGET; ERR_RESOURCE; ERR_ACTION_COST; ERR_RULE_SPECIFIC","idUnique":1,"inputs":"[SYM-079] наличие/уровень навыка.","manualChoice":"Только прямо указанные частной карточкой выборы.","playerCommandAvailable":false,"preconditions":"[SYM-079] узел куплен.","resourceCost":"0 ОЭ, если частная карточка не устанавливает цену.","rollDefinition":"Без броска, если частная карточка не требует его.","ruleIds":"SYM-079; CORE-229; SYM-010; SYM-011","stateWrites":"[SYM-079] навык изменён постоянно.","targetSelector":"[SYM-079] навык грубого оружия.","timeCost":"Боевые ходы/действия по частной карточке.","trigger":"[SYM-079] изучение способности."}</t>
  </si>
  <si>
    <t xml:space="preserve">ee48d76fc9960d947468fcba6c595607110e00c4ea85c397bc8cb94fe1f4e545</t>
  </si>
  <si>
    <t xml:space="preserve">SYM-079 PEACE</t>
  </si>
  <si>
    <t xml:space="preserve">{"abilityContextId":"CTX-SYM-079-PEACE","abilityId":"SYM-079","actionCost":"Боевые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части.\n\n[SYM-079] Мой дубина — твой башка!\nесли навыка нет — выдать высокий уровень без занятия слота; если есть — повысить на 3, не выше абсолютного.","context":"PEACE","cooldown":"Нет, если не указан.","denialReason":"","duration":"Мгновенно, если срок не указан.","effect":"[SYM-079] если навыка нет — выдать высокий уровень без занятия слота; если есть — повысить на 3, не выше абсолютного.","errorCodes":"ERR_PRECONDITION; ERR_TARGET; ERR_RESOURCE; ERR_ACTION_COST; ERR_RULE_SPECIFIC","idUnique":1,"inputs":"[SYM-079] наличие/уровень навыка.","manualChoice":"Мастер подтверждает немоделируемые контакт, дистанцию и согласие цели по Q-APP-001.","playerCommandAvailable":false,"preconditions":"[SYM-079] узел куплен.","resourceCost":"0 ОЭ, если частная карточка не устанавливает цену.","rollDefinition":"Без броска, если частная карточка не требует его.","ruleIds":"SYM-079; Q-APP-001; SYM-010; SYM-011","stateWrites":"[SYM-079] навык изменён постоянно.","targetSelector":"[SYM-079] навык грубого оружия.","timeCost":"Виртуальное время только если прямо установлено частной карточкой; иначе 0.","trigger":"[SYM-079] изучение способности."}</t>
  </si>
  <si>
    <t xml:space="preserve">d3195588d02f8c897fbc1a854c2a031ec2b512dc7cf65f436746a523418ae70f</t>
  </si>
  <si>
    <t xml:space="preserve">SYM-080 COMBAT</t>
  </si>
  <si>
    <t xml:space="preserve">{"abilityContextId":"CTX-SYM-080-COMBAT","abilityId":"SYM-080","actionCost":"[SYM-080] объявление; цена 20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ходы.\n\n[SYM-080] ЫЫЫ…\nНормативная база (действует во всей непротиворечащей части):\nесли итог &lt;10, носитель не чувствует боль любой силы и отключает эффект «Трогр крушить!».\nПриоритетные авторские дельты (заменяют только прямо пересекающиеся ветви):\n[Q-SYM-035]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болью.","context":"COMBAT","cooldown":"[SYM-080] Нормативная база (действует во всей непротиворечащей части):\n[Q-SYM-035] Эффект действует до конца текущей схватки.\nЕго обязательное механическое последствие — немедленно обнулить и до конца эффекта запретить накопление бонуса «Трогр крушить!».","denialReason":"","duration":"[SYM-080] Нормативная база (действует во всей непротиворечащей части):\n[Q-SYM-035] Эффект действует до конца текущей схватки.\nЕго обязательное механическое последствие — немедленно обнулить и до конца эффекта запретить накопление бонуса «Трогр крушить!».","effect":"[SYM-080] Нормативная база (действует во всей непротиворечащей части):\nесли итог &lt;10, носитель не чувствует боль любой силы и отключает эффект «Трогр крушить!».\nПриоритетные авторские дельты (заменяют только прямо пересекающиеся ветви):\n[Q-SYM-035]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болью.","errorCodes":"ERR_PRECONDITION; ERR_TARGET; ERR_RESOURCE; ERR_ACTION_COST; ERR_RULE_SPECIFIC","idUnique":1,"inputs":"[SYM-080] проверка I со всеми модификаторами.","manualChoice":"Только прямо указанные частной карточкой выборы.","playerCommandAvailable":true,"preconditions":"[SYM-080] ОЭ≥20.","resourceCost":"[SYM-080] объявление; цена 20 ОЭ и 1 действие.\nОЭ≥20.","rollDefinition":"Без броска, если частная карточка не требует его.","ruleIds":"SYM-080; CORE-229; SYM-010; SYM-011","stateWrites":"[SYM-080] состояние нечувствительности к боли; бонус SYM-077 снят/заблокирован.","targetSelector":"Цель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карточке.","trigger":"[SYM-080] объявление; цена 20 ОЭ и 1 действие."}</t>
  </si>
  <si>
    <t xml:space="preserve">c90a6edf54eb82b10a359575988760159a6c42d7c4fb5692164cbad90ef68fc7</t>
  </si>
  <si>
    <t xml:space="preserve">SYM-080 PEACE</t>
  </si>
  <si>
    <t xml:space="preserve">{"abilityContextId":"CTX-SYM-080-PEACE","abilityId":"SYM-080","actionCost":"0","allowed":false,"armorPolicy":"NOT_APPLICABLE","atomicityAudit":"Записать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выполняется","ruleIds":"SYM-080; Q-APP-002","stateWrites":"Нет","targetSelector":"Не выбирается","timeCost":"0","trigger":"Попытка объявления в запрещённом контексте"}</t>
  </si>
  <si>
    <t xml:space="preserve">8f65f8c7febd7c7cbccf153ca40ac2218a08a08332d2af16e3647b56b40fcc5d</t>
  </si>
  <si>
    <t xml:space="preserve">SYM-081 COMBAT</t>
  </si>
  <si>
    <t xml:space="preserve">{"abilityContextId":"CTX-SYM-081-COMBAT","abilityId":"SYM-081","actionCost":"Если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ходы.\n\n[SYM-081] Утолщённые кости\nдобавить +4 к спасброску брони; сложить с носимыми доспехами.","context":"COMBAT","cooldown":"Нет, если не указан.","denialReason":"","duration":"Мгновенно, если срок не указан.","effect":"[SYM-081] добавить +4 к спасброску брони; сложить с носимыми доспехами.","errorCodes":"ERR_PRECONDITION; ERR_TARGET; ERR_RESOURCE; ERR_ACTION_COST; ERR_RULE_SPECIFIC","idUnique":1,"inputs":"[SYM-081] носимая броня.","manualChoice":"Только прямо указанные частной карточкой выборы.","playerCommandAvailable":false,"preconditions":"[SYM-081] выбрана эта XOR-ветвь.","resourceCost":"0 ОЭ, если частная карточка не устанавливает цену.","rollDefinition":"Без броска, если частная карточка не требует его.","ruleIds":"SYM-081; CORE-229; SYM-010; SYM-011","stateWrites":"[SYM-081] повышенная защита.","targetSelector":"Цель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карточке.","trigger":"[SYM-081] спасбросок брони любой зоны."}</t>
  </si>
  <si>
    <t xml:space="preserve">c127e7843aa41f94fcf940834e1953546df1a7b5c32b471c27ef213298bcc271</t>
  </si>
  <si>
    <t xml:space="preserve">SYM-081 PEACE</t>
  </si>
  <si>
    <t xml:space="preserve">{"abilityContextId":"CTX-SYM-081-PEACE","abilityId":"SYM-081","actionCost":"Боевые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части.\n\n[SYM-081] Утолщённые кости\nдобавить +4 к спасброску брони; сложить с носимыми доспехами.","context":"PEACE","cooldown":"Нет, если не указан.","denialReason":"","duration":"Мгновенно, если срок не указан.","effect":"[SYM-081] добавить +4 к спасброску брони; сложить с носимыми доспехами.","errorCodes":"ERR_PRECONDITION; ERR_TARGET; ERR_RESOURCE; ERR_ACTION_COST; ERR_RULE_SPECIFIC","idUnique":1,"inputs":"[SYM-081] носимая броня.","manualChoice":"Мастер подтверждает немоделируемые контакт, дистанцию и согласие цели по Q-APP-001.","playerCommandAvailable":false,"preconditions":"[SYM-081] выбрана эта XOR-ветвь.","resourceCost":"0 ОЭ, если частная карточка не устанавливает цену.","rollDefinition":"Без броска, если частная карточка не требует его.","ruleIds":"SYM-081; Q-APP-001; SYM-010; SYM-011","stateWrites":"[SYM-081] повышенная защита.","targetSelector":"Цель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0.","trigger":"[SYM-081] спасбросок брони любой зоны."}</t>
  </si>
  <si>
    <t xml:space="preserve">865043386041d3d78c162139076c17121f9ede1c3ec745abd8dc2cfdba39a5b8</t>
  </si>
  <si>
    <t xml:space="preserve">SYM-082 COMBAT</t>
  </si>
  <si>
    <t xml:space="preserve">{"abilityContextId":"CTX-SYM-082-COMBAT","abilityId":"SYM-082","actionCost":"Если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урон.","atomicityAudit":"[SYM-082] Хранить source=ABILITY_OVERRIDE, confirmed=false и исходный rawFace=1.","behavior":"Разрешается по агрегированным карточкам canonicalBehaviorCards; в бою учитываются указанная цена действий, боевые защиты, координаты и ходы.\n\n[SYM-082] Гениальная тупость\nПри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запускается.","context":"COMBAT","cooldown":"Нет, если не указан.","denialReason":"","duration":"Мгновенно, если срок не указан.","effect":"[SYM-082] 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запускается.","errorCodes":"ERR_PRECONDITION; ERR_TARGET; ERR_RESOURCE; ERR_ACTION_COST; ERR_RULE_SPECIFIC","idUnique":1,"inputs":"[SYM-082] натуральный результат.","manualChoice":"Только прямо указанные частной карточкой выборы.","playerCommandAvailable":false,"preconditions":"[SYM-082] выбрана эта XOR-ветвь.","resourceCost":"0 ОЭ, если частная карточка не устанавливает цену.","rollDefinition":"Без броска, если частная карточка не требует его.","ruleIds":"SYM-082; CORE-229; SYM-010; SYM-011","stateWrites":"[SYM-082] Проверка считается критически успешной первой градации; в бою итог определяется CORE-229.","targetSelector":"Цель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карточке.","trigger":"[SYM-082] чистый результат проверки I равен 1."}</t>
  </si>
  <si>
    <t xml:space="preserve">7af8f206d0e7f0d1655d67eabd69146e298beb36b55bc55b51f5780c2217c0d1</t>
  </si>
  <si>
    <t xml:space="preserve">SYM-082 PEACE</t>
  </si>
  <si>
    <t xml:space="preserve">{"abilityContextId":"CTX-SYM-082-PEACE","abilityId":"SYM-082","actionCost":"Боевые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урон.","atomicityAudit":"[SYM-082] Хранить source=ABILITY_OVERRIDE, confirmed=false и исходный rawFace=1.","behavior":"Мирная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части.\n\n[SYM-082] Гениальная тупость\nПри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запускается.","context":"PEACE","cooldown":"Нет, если не указан.","denialReason":"","duration":"Мгновенно, если срок не указан.","effect":"[SYM-082] 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запускается.","errorCodes":"ERR_PRECONDITION; ERR_TARGET; ERR_RESOURCE; ERR_ACTION_COST; ERR_RULE_SPECIFIC","idUnique":1,"inputs":"[SYM-082] натуральный результат.","manualChoice":"Мастер подтверждает немоделируемые контакт, дистанцию и согласие цели по Q-APP-001.","playerCommandAvailable":false,"preconditions":"[SYM-082] выбрана эта XOR-ветвь.","resourceCost":"0 ОЭ, если частная карточка не устанавливает цену.","rollDefinition":"Без броска, если частная карточка не требует его.","ruleIds":"SYM-082; Q-APP-001; SYM-010; SYM-011","stateWrites":"[SYM-082] Проверка считается критически успешной первой градации; в бою итог определяется CORE-229.","targetSelector":"Цель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0.","trigger":"[SYM-082] чистый результат проверки I равен 1."}</t>
  </si>
  <si>
    <t xml:space="preserve">3666b95c77e8b31d7dbca198ff042f82e4739ce88ceeba5348c0a0ef74c2c3d0</t>
  </si>
  <si>
    <t xml:space="preserve">SYM-084 COMBAT</t>
  </si>
  <si>
    <t xml:space="preserve">{"abilityContextId":"CTX-SYM-084-COMBAT","abilityId":"SYM-084","actionCost":"[SYM-085] Нормативная база (действует во всей непротиворечащей части):\nПосле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тела.\n[Q-SYM-036] Проникновение в добровольного, бессознательного или полностью обездвиженного Единого/Вольного занимает 1 действие.\nПосле сна начинается 24-часовая перезапись, на время которой тело недееспособно; затем управление получает личность исходного хозяина Хранителя.","allowed":true,"armorPolicy":"Общий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ходы.\n\n[SYM-084] Резервная копия: выход и параметры вне тела\nвывести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восстанавливать.\n\n[SYM-085] Резервная копия: захват нового тела\nНормативная база (действует во всей непротиворечащей части):\nдля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тела.\nПриоритетные авторские дельты (заменяют только прямо пересекающиеся ветви):\n[Q-SYM-036]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Хранителя.\n[Q-SYM-074]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участвуют.","context":"COMBAT","cooldown":"[SYM-084] вывести Хранителя из тела; создать отдельного персонажа с HP=5L, каждой характеристикой =2L, сроком жизни вне тела L суток\n[SYM-085] Нормативная база (действует во всей непротиворечащей части):\nПосле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тела.\nПосле сна начинается 24-часовая перезапись, на время которой тело недееспособно; затем управление получает личность исходного хозяина Хранителя.","denialReason":"","duration":"[SYM-084] вывести Хранителя из тела; создать отдельного персонажа с HP=5L, каждой характеристикой =2L, сроком жизни вне тела L суток\n[SYM-085] Нормативная база (действует во всей непротиворечащей части):\nПосле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тела.\nПосле сна начинается 24-часовая перезапись, на время которой тело недееспособно; затем управление получает личность исходного хозяина Хранителя.","effect":"[SYM-084]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восстанавливать.\n[SYM-085] Нормативная база (действует во всей непротиворечащей части):\nдля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тела.\nПриоритетные авторские дельты (заменяют только прямо пересекающиеся ветви):\n[Q-SYM-036]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Хранителя.\n[Q-SYM-074]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участвуют.","errorCodes":"ERR_PRECONDITION; ERR_TARGET; ERR_RESOURCE; ERR_ACTION_COST; ERR_RULE_SPECIFIC","idUnique":1,"inputs":"[SYM-084] L, сохранённая личность, текущие ОЭ.\n[SYM-085] текущие ОЭ Хранителя; симбионты тела и их ОЭ; прежние I,W,C; физические характеристики тела.","manualChoice":"Только прямо указанные частной карточкой выборы.","playerCommandAvailable":true,"preconditions":"[SYM-084] Хранитель жив.\n[SYM-085] цель допустимой расы; это не симбиотическое чудовище.","resourceCost":"[SYM-084] L, сохранённая личность, текущие ОЭ.\nвывести Хранителя из тела; создать отдельного персонажа с HP=5L, каждой характеристикой =2L, сроком жизни вне тела L суток\nОЭ вне подходящего тела не восстанавливать.\n[SYM-085] текущие ОЭ Хранителя; симбионты тела и их ОЭ; прежние I,W,C; физические характеристики тела.\nдля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тела.\n[Q-SYM-074] Сравниваются текущие ОЭ обоих симбионтов непосредственно перед боем.\nХранитель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участвуют.","rollDefinition":"[SYM-084] вывести Хранителя из тела; создать отдельного персонажа с HP=5L, каждой характеристикой =2L, сроком жизни вне тела L суток","ruleIds":"SYM-084; SYM-085; CORE-229; SYM-010; SYM-011","stateWrites":"[SYM-084] Хранитель становится самостоятельной боевой сущностью с таймером жизни.\n[SYM-085] тело получает личность прежнего носителя и Хранителя в слоте.","targetSelector":"[SYM-084] погибший носитель.\n[SYM-085] новое тело Единого или Вольного.","timeCost":"Боевые ходы/действия по частной карточке.","trigger":"[SYM-084] смерть носителя.\n[SYM-085] проникновение через рот/анус."}</t>
  </si>
  <si>
    <t xml:space="preserve">88e54139c1a97257ce71500b05530a681ff06cdf0b092d0ca3589ba07b6d9ac9</t>
  </si>
  <si>
    <t xml:space="preserve">SYM-084 PEACE</t>
  </si>
  <si>
    <t xml:space="preserve">{"abilityContextId":"CTX-SYM-084-PEACE","abilityId":"SYM-084","actionCost":"Боевые действия не расходуются вне боя. Частная длительность/условия сохраняются:\n[SYM-085] Нормативная база (действует во всей непротиворечащей части):\nПосле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тела.\n[Q-SYM-036] Проникновение в добровольного, бессознательного или полностью обездвиженного Единого/Вольного занимает 1 действие.\nПосле сна начинается 24-часовая перезапись, на время которой тело недееспособно; затем управление получает личность исходного хозяина Хранителя.","allowed":true,"armorPolicy":"Общий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части.\n\n[SYM-084] Резервная копия: выход и параметры вне тела\nвывести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восстанавливать.\n\n[SYM-085] Резервная копия: захват нового тела\nНормативная база (действует во всей непротиворечащей части):\nдля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тела.\nПриоритетные авторские дельты (заменяют только прямо пересекающиеся ветви):\n[Q-SYM-036]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Хранителя.\n[Q-SYM-074]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участвуют.","context":"PEACE","cooldown":"[SYM-084] вывести Хранителя из тела; создать отдельного персонажа с HP=5L, каждой характеристикой =2L, сроком жизни вне тела L суток\n[SYM-085] Нормативная база (действует во всей непротиворечащей части):\nПосле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тела.\nПосле сна начинается 24-часовая перезапись, на время которой тело недееспособно; затем управление получает личность исходного хозяина Хранителя.","denialReason":"","duration":"[SYM-084] вывести Хранителя из тела; создать отдельного персонажа с HP=5L, каждой характеристикой =2L, сроком жизни вне тела L суток\n[SYM-085] Нормативная база (действует во всей непротиворечащей части):\nПосле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тела.\nПосле сна начинается 24-часовая перезапись, на время которой тело недееспособно; затем управление получает личность исходного хозяина Хранителя.","effect":"[SYM-084]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восстанавливать.\n[SYM-085] Нормативная база (действует во всей непротиворечащей части):\nдля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тела.\nПриоритетные авторские дельты (заменяют только прямо пересекающиеся ветви):\n[Q-SYM-036]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Хранителя.\n[Q-SYM-074]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участвуют.","errorCodes":"ERR_PRECONDITION; ERR_TARGET; ERR_RESOURCE; ERR_ACTION_COST; ERR_RULE_SPECIFIC","idUnique":1,"inputs":"[SYM-084] L, сохранённая личность, текущие ОЭ.\n[SYM-085] текущие ОЭ Хранителя; симбионты тела и их ОЭ; прежние I,W,C; физические характеристики тела.","manualChoice":"Мастер подтверждает немоделируемые контакт, дистанцию и согласие цели по Q-APP-001.","playerCommandAvailable":true,"preconditions":"[SYM-084] Хранитель жив.\n[SYM-085] цель допустимой расы; это не симбиотическое чудовище.","resourceCost":"[SYM-084] L, сохранённая личность, текущие ОЭ.\nвывести Хранителя из тела; создать отдельного персонажа с HP=5L, каждой характеристикой =2L, сроком жизни вне тела L суток\nОЭ вне подходящего тела не восстанавливать.\n[SYM-085] текущие ОЭ Хранителя; симбионты тела и их ОЭ; прежние I,W,C; физические характеристики тела.\nдля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восстановления.\nПосле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тела.\n[Q-SYM-074] Сравниваются текущие ОЭ обоих симбионтов непосредственно перед боем.\nХранитель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участвуют.","rollDefinition":"[SYM-084] вывести Хранителя из тела; создать отдельного персонажа с HP=5L, каждой характеристикой =2L, сроком жизни вне тела L суток","ruleIds":"SYM-084; SYM-085; Q-APP-001; SYM-010; SYM-011","stateWrites":"[SYM-084] Хранитель становится самостоятельной боевой сущностью с таймером жизни.\n[SYM-085] тело получает личность прежнего носителя и Хранителя в слоте.","targetSelector":"[SYM-084] погибший носитель.\n[SYM-085] новое тело Единого или Вольного.","timeCost":"Виртуальное время только если прямо установлено частной карточкой; иначе 0.","trigger":"[SYM-084] смерть носителя.\n[SYM-085] проникновение через рот/анус."}</t>
  </si>
  <si>
    <t xml:space="preserve">67bb2de4961f23f8e31d256ff52780304412351ece1a7f2eecb15082819fddd7</t>
  </si>
  <si>
    <t xml:space="preserve">SYM-086 COMBAT</t>
  </si>
  <si>
    <t xml:space="preserve">{"abilityContextId":"CTX-SYM-086-COMBAT","abilityId":"SYM-086","actionCost":"[SYM-086] объявление; цена 100 ОЭ и 1 действие.\nвыполнить атаку; пробитие=R12; если броня пробита и R20+10&gt;Z_target, полностью обездвижить цель на 2 хода/2 минуты.\nвсе мышцы расслаблены, действия движения недоступны.","allowed":true,"armorPolicy":"Общий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ходы.\n\n[SYM-086] Парализующее жало\nвыполнить атаку; пробитие=R12; если броня пробита и R20+10&gt;Z_target, полностью обездвижить цель на 2 хода/2 минуты.","context":"COMBAT","cooldown":"[SYM-086] выполнить атаку; пробитие=R12; если броня пробита и R20+10&gt;Z_target, полностью обездвижить цель на 2 хода/2 минуты.","denialReason":"","duration":"[SYM-086] выполнить атаку; пробитие=R12; если броня пробита и R20+10&gt;Z_target, полностью обездвижить цель на 2 хода/2 минуты.","effect":"[SYM-086] выполнить атаку; пробитие=R12; если броня пробита и R20+10&gt;Z_target, полностью обездвижить цель на 2 хода/2 минуты.","errorCodes":"ERR_PRECONDITION; ERR_TARGET; ERR_RESOURCE; ERR_ACTION_COST; ERR_RULE_SPECIFIC","idUnique":1,"inputs":"[SYM-086] R12 пробития, отдельный R20 проверки, Z цели.","manualChoice":"Только прямо указанные частной карточкой выборы.","playerCommandAvailable":true,"preconditions":"[SYM-086] ОЭ≥100; физический контакт/попадание.","resourceCost":"[SYM-086] объявление; цена 100 ОЭ и 1 действие.\nОЭ≥100; физический контакт/попадание.","rollDefinition":"[SYM-086] R12 пробития, отдельный R20 проверки, Z цели.\nвыполнить атаку; пробитие=R12; если броня пробита и R20+10&gt;Z_target, полностью обездвижить цель на 2 хода/2 минуты.","ruleIds":"SYM-086; CORE-229; SYM-010; SYM-011","stateWrites":"[SYM-086] все мышцы расслаблены, действия движения недоступны.","targetSelector":"[SYM-086] цель.","timeCost":"Боевые ходы/действия по частной карточке.","trigger":"[SYM-086] объявление; цена 100 ОЭ и 1 действие."}</t>
  </si>
  <si>
    <t xml:space="preserve">5d9769a6064d8f4e4bd896ba96817cf5b958d329317e26be3567509ddae24f44</t>
  </si>
  <si>
    <t xml:space="preserve">SYM-086 PEACE</t>
  </si>
  <si>
    <t xml:space="preserve">{"abilityContextId":"CTX-SYM-086-PEACE","abilityId":"SYM-086","actionCost":"0","allowed":false,"armorPolicy":"NOT_APPLICABLE","atomicityAudit":"Записать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выполняется","ruleIds":"SYM-086; Q-APP-002","stateWrites":"Нет","targetSelector":"Не выбирается","timeCost":"0","trigger":"Попытка объявления в запрещённом контексте"}</t>
  </si>
  <si>
    <t xml:space="preserve">a595d161272879311553fafaec913fa170f16bcae1a403b529ffd5a85429048f</t>
  </si>
  <si>
    <t xml:space="preserve">SYM-087 COMBAT</t>
  </si>
  <si>
    <t xml:space="preserve">{"abilityContextId":"CTX-SYM-087-COMBAT","abilityId":"SYM-087","actionCost":"[SYM-087] объявление; цена 10 ОЭ и 1 действие.\nНормативная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органов».\nправило включено как часть механики выбора нового тела, а не социальная проверка.","allowed":true,"armorPolicy":"Общий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ходы.\n\n[SYM-087] Оценка тела\nНормативная база (действует во всей непротиворечащей части):\nR≥5: раскрыть S,D,M,Z цели; R=2–4: данных нет; R=1: дополнительно потерять 100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органов».","context":"COMBAT","cooldown":"[SYM-087]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органов».\nправило включено как часть механики выбора нового тела, а не социальная проверка.","denialReason":"","duration":"[SYM-087]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органов».\nправило включено как часть механики выбора нового тела, а не социальная проверка.","effect":"[SYM-087] Нормативная база (действует во всей непротиворечащей части):\nR≥5: раскрыть S,D,M,Z цели; R=2–4: данных нет; R=1: дополнительно потерять 100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органов».","errorCodes":"ERR_PRECONDITION; ERR_TARGET; ERR_RESOURCE; ERR_ACTION_COST; ERR_RULE_SPECIFIC","idUnique":1,"inputs":"[SYM-087] чистый R20.","manualChoice":"Только прямо указанные частной карточкой выборы.","playerCommandAvailable":true,"preconditions":"[SYM-087] Хранитель вне тела.","resourceCost":"[SYM-087] объявление; цена 10 ОЭ и 1 действие.\nR=1: дополнительно потерять 100 ОЭ.\n[Q-SYM-009] При обязательной потере ОЭ текущий запас уменьшается не ниже 0; энергетический долг не создаётся.","rollDefinition":"[SYM-087] чистый R20.\nR=2–4: данных нет\nR=1: дополнительно потерять 100 ОЭ.","ruleIds":"SYM-087; CORE-229; SYM-010; SYM-011","stateWrites":"[SYM-087] информация раскрыта либо энергия потеряна.","targetSelector":"[SYM-087] цель.","timeCost":"Боевые ходы/действия по частной карточке.","trigger":"[SYM-087] объявление; цена 10 ОЭ и 1 действие."}</t>
  </si>
  <si>
    <t xml:space="preserve">f003b8784d5923552cde6472f49aec189efa41a5c1c080e39b0a89abf6905876</t>
  </si>
  <si>
    <t xml:space="preserve">SYM-087 PEACE</t>
  </si>
  <si>
    <t xml:space="preserve">{"abilityContextId":"CTX-SYM-087-PEACE","abilityId":"SYM-087","actionCost":"Боевые действия не расходуются вне боя. Частная длительность/условия сохраняются:\n[SYM-087] объявление; цена 10 ОЭ и 1 действие.\nНормативная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органов».\nправило включено как часть механики выбора нового тела, а не социальная проверка.","allowed":true,"armorPolicy":"Общий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части.\n\n[SYM-087] Оценка тела\nНормативная база (действует во всей непротиворечащей части):\nR≥5: раскрыть S,D,M,Z цели; R=2–4: данных нет; R=1: дополнительно потерять 100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органов».","context":"PEACE","cooldown":"[SYM-087]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органов».\nправило включено как часть механики выбора нового тела, а не социальная проверка.","denialReason":"","duration":"[SYM-087]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органов».\nправило включено как часть механики выбора нового тела, а не социальная проверка.","effect":"[SYM-087] Нормативная база (действует во всей непротиворечащей части):\nR≥5: раскрыть S,D,M,Z цели; R=2–4: данных нет; R=1: дополнительно потерять 100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органов».","errorCodes":"ERR_PRECONDITION; ERR_TARGET; ERR_RESOURCE; ERR_ACTION_COST; ERR_RULE_SPECIFIC","idUnique":1,"inputs":"[SYM-087] чистый R20.","manualChoice":"Мастер подтверждает немоделируемые контакт, дистанцию и согласие цели по Q-APP-001.","playerCommandAvailable":true,"preconditions":"[SYM-087] Хранитель вне тела.","resourceCost":"[SYM-087] объявление; цена 10 ОЭ и 1 действие.\nR=1: дополнительно потерять 100 ОЭ.\n[Q-SYM-009] При обязательной потере ОЭ текущий запас уменьшается не ниже 0; энергетический долг не создаётся.","rollDefinition":"[SYM-087] чистый R20.\nR=2–4: данных нет\nR=1: дополнительно потерять 100 ОЭ.","ruleIds":"SYM-087; Q-APP-001; SYM-010; SYM-011","stateWrites":"[SYM-087] информация раскрыта либо энергия потеряна.","targetSelector":"[SYM-087] цель.","timeCost":"Виртуальное время только если прямо установлено частной карточкой; иначе 0.","trigger":"[SYM-087] объявление; цена 10 ОЭ и 1 действие."}</t>
  </si>
  <si>
    <t xml:space="preserve">6691f05f9cc685d6c538917804237e441472ef7e31b2279542c38c295bd33601</t>
  </si>
  <si>
    <t xml:space="preserve">SYM-088 COMBAT</t>
  </si>
  <si>
    <t xml:space="preserve">{"abilityContextId":"CTX-SYM-088-COMBAT","abilityId":"SYM-088","actionCost":"Если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ходы.\n\n[SYM-088] Присоски и коготки\nразрешить безопасное перемещение по любой поверхности в любой плоскости, включая стены и потолок.","context":"COMBAT","cooldown":"Нет, если не указан.","denialReason":"","duration":"Мгновенно, если срок не указан.","effect":"[SYM-088] разрешить безопасное перемещение по любой поверхности в любой плоскости, включая стены и потолок.","errorCodes":"ERR_PRECONDITION; ERR_TARGET; ERR_RESOURCE; ERR_ACTION_COST; ERR_RULE_SPECIFIC","idUnique":1,"inputs":"[SYM-088] поверхность/плоскость.","manualChoice":"Только прямо указанные частной карточкой выборы.","playerCommandAvailable":false,"preconditions":"[SYM-088] способность доступна.","resourceCost":"0 ОЭ, если частная карточка не устанавливает цену.","rollDefinition":"Без броска, если частная карточка не требует его.","ruleIds":"SYM-088; CORE-229; SYM-010; SYM-011","stateWrites":"[SYM-088] позиция изменяется без штрафа поверхности.","targetSelector":"Цель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карточке.","trigger":"[SYM-088] перемещение."}</t>
  </si>
  <si>
    <t xml:space="preserve">33554aa067ce7c5347500c57ba5f99d58893e7c1d7fc56b662534a7721993b41</t>
  </si>
  <si>
    <t xml:space="preserve">SYM-088 PEACE</t>
  </si>
  <si>
    <t xml:space="preserve">{"abilityContextId":"CTX-SYM-088-PEACE","abilityId":"SYM-088","actionCost":"Боевые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части.\n\n[SYM-088] Присоски и коготки\nразрешить безопасное перемещение по любой поверхности в любой плоскости, включая стены и потолок.","context":"PEACE","cooldown":"Нет, если не указан.","denialReason":"","duration":"Мгновенно, если срок не указан.","effect":"[SYM-088] разрешить безопасное перемещение по любой поверхности в любой плоскости, включая стены и потолок.","errorCodes":"ERR_PRECONDITION; ERR_TARGET; ERR_RESOURCE; ERR_ACTION_COST; ERR_RULE_SPECIFIC","idUnique":1,"inputs":"[SYM-088] поверхность/плоскость.","manualChoice":"Мастер подтверждает немоделируемые контакт, дистанцию и согласие цели по Q-APP-001.","playerCommandAvailable":false,"preconditions":"[SYM-088] способность доступна.","resourceCost":"0 ОЭ, если частная карточка не устанавливает цену.","rollDefinition":"Без броска, если частная карточка не требует его.","ruleIds":"SYM-088; Q-APP-001; SYM-010; SYM-011","stateWrites":"[SYM-088] позиция изменяется без штрафа поверхности.","targetSelector":"Цель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0.","trigger":"[SYM-088] перемещение."}</t>
  </si>
  <si>
    <t xml:space="preserve">e600c21ecf9bfb41bb2c0c1ad40b509dab80127cbc654543fc70ac1afeeea22e</t>
  </si>
  <si>
    <t xml:space="preserve">SYM-089 COMBAT</t>
  </si>
  <si>
    <t xml:space="preserve">{"abilityContextId":"CTX-SYM-089-COMBAT","abilityId":"SYM-089","actionCost":"[SYM-089] замирание и объявление; цена 10 ОЭ и 1 действие.\nНормативная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ходы.\n\n[SYM-089] Маскировка «Хамелеон» Хранителя\nНормативная база (действует во всей непротиворечащей части):\nR≥4: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органов».","context":"COMBAT","cooldown":"[SYM-089]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органов».","denialReason":"","duration":"[SYM-089]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органов».","effect":"[SYM-089] Нормативная база (действует во всей непротиворечащей части):\nR≥4: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органов».","errorCodes":"ERR_PRECONDITION; ERR_TARGET; ERR_RESOURCE; ERR_ACTION_COST; ERR_RULE_SPECIFIC","idUnique":1,"inputs":"[SYM-089] чистый R20.","manualChoice":"Только прямо указанные частной карточкой выборы.","playerCommandAvailable":true,"preconditions":"[SYM-089] неподвижность.","resourceCost":"[SYM-089] замирание и объявление; цена 10 ОЭ и 1 действие.\nR=1: дополнительно потерять 200 ОЭ.\n[Q-SYM-009] При обязательной потере ОЭ текущий запас уменьшается не ниже 0; энергетический долг не создаётся.","rollDefinition":"[SYM-089] чистый R20.\nR=2–3: эффекта нет.\nR=1: дополнительно потерять 200 ОЭ.","ruleIds":"SYM-089; CORE-229; SYM-010; SYM-011","stateWrites":"[SYM-089] состояние маскировки либо потеря энергии.","targetSelector":"[SYM-089] наблюдатели.","timeCost":"Боевые ходы/действия по частной карточке.","trigger":"[SYM-089] замирание и объявление; цена 10 ОЭ и 1 действие."}</t>
  </si>
  <si>
    <t xml:space="preserve">72827ed833b2033431f89071868a2e95baed316532e35e08cef19f41b9f6f9f8</t>
  </si>
  <si>
    <t xml:space="preserve">SYM-089 PEACE</t>
  </si>
  <si>
    <t xml:space="preserve">{"abilityContextId":"CTX-SYM-089-PEACE","abilityId":"SYM-089","actionCost":"Боевые действия не расходуются вне боя. Частная длительность/условия сохраняются:\n[SYM-089] замирание и объявление; цена 10 ОЭ и 1 действие.\nНормативная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части.\n\n[SYM-089] Маскировка «Хамелеон» Хранителя\nНормативная база (действует во всей непротиворечащей части):\nR≥4: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органов».","context":"PEACE","cooldown":"[SYM-089]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органов».","denialReason":"","duration":"[SYM-089]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органов».","effect":"[SYM-089] Нормативная база (действует во всей непротиворечащей части):\nR≥4: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органов».","errorCodes":"ERR_PRECONDITION; ERR_TARGET; ERR_RESOURCE; ERR_ACTION_COST; ERR_RULE_SPECIFIC","idUnique":1,"inputs":"[SYM-089] чистый R20.","manualChoice":"Мастер подтверждает немоделируемые контакт, дистанцию и согласие цели по Q-APP-001.","playerCommandAvailable":true,"preconditions":"[SYM-089] неподвижность.","resourceCost":"[SYM-089] замирание и объявление; цена 10 ОЭ и 1 действие.\nR=1: дополнительно потерять 200 ОЭ.\n[Q-SYM-009] При обязательной потере ОЭ текущий запас уменьшается не ниже 0; энергетический долг не создаётся.","rollDefinition":"[SYM-089] чистый R20.\nR=2–3: эффекта нет.\nR=1: дополнительно потерять 200 ОЭ.","ruleIds":"SYM-089; Q-APP-001; SYM-010; SYM-011","stateWrites":"[SYM-089] состояние маскировки либо потеря энергии.","targetSelector":"[SYM-089] наблюдатели.","timeCost":"Виртуальное время только если прямо установлено частной карточкой; иначе 0.","trigger":"[SYM-089] замирание и объявление; цена 10 ОЭ и 1 действие."}</t>
  </si>
  <si>
    <t xml:space="preserve">698b8d7927e42673dc90ec61350859a941cf33f41373135f5c83127ef88a598c</t>
  </si>
  <si>
    <t xml:space="preserve">SYM-090 COMBAT</t>
  </si>
  <si>
    <t xml:space="preserve">{"abilityContextId":"CTX-SYM-090-COMBAT","abilityId":"SYM-090","actionCost":"Если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ходы.\n\n[SYM-090] Кромсатель\nзаменить формулу максимума на maxOE=200×L; текущий ОЭ не восстанавливать.","context":"COMBAT","cooldown":"Нет, если не указан.","denialReason":"","duration":"Мгновенно, если срок не указан.","effect":"[SYM-090] заменить формулу максимума на maxOE=200×L; текущий ОЭ не восстанавливать.","errorCodes":"ERR_PRECONDITION; ERR_TARGET; ERR_RESOURCE; ERR_ACTION_COST; ERR_RULE_SPECIFIC","idUnique":1,"inputs":"[SYM-090] L, currentOE.","manualChoice":"Только прямо указанные частной карточкой выборы.","playerCommandAvailable":false,"preconditions":"[SYM-090] узел изучен.","resourceCost":"[SYM-090] заменить формулу максимума на maxOE=200×L; текущий ОЭ не восстанавливать.","rollDefinition":"[SYM-090] заменить формулу максимума на maxOE=200×L; текущий ОЭ не восстанавливать.","ruleIds":"SYM-090; CORE-229; SYM-010; SYM-011","stateWrites":"[SYM-090] максимум увеличен.","targetSelector":"Цель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карточке.","trigger":"[SYM-090] изучение способности или изменение L."}</t>
  </si>
  <si>
    <t xml:space="preserve">8f18c598456d4d4887f759d33a343a015c3a74fe1e0dad69b3b853833f04d619</t>
  </si>
  <si>
    <t xml:space="preserve">SYM-090 PEACE</t>
  </si>
  <si>
    <t xml:space="preserve">{"abilityContextId":"CTX-SYM-090-PEACE","abilityId":"SYM-090","actionCost":"Боевые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части.\n\n[SYM-090] Кромсатель\nзаменить формулу максимума на maxOE=200×L; текущий ОЭ не восстанавливать.","context":"PEACE","cooldown":"Нет, если не указан.","denialReason":"","duration":"Мгновенно, если срок не указан.","effect":"[SYM-090] заменить формулу максимума на maxOE=200×L; текущий ОЭ не восстанавливать.","errorCodes":"ERR_PRECONDITION; ERR_TARGET; ERR_RESOURCE; ERR_ACTION_COST; ERR_RULE_SPECIFIC","idUnique":1,"inputs":"[SYM-090] L, currentOE.","manualChoice":"Мастер подтверждает немоделируемые контакт, дистанцию и согласие цели по Q-APP-001.","playerCommandAvailable":false,"preconditions":"[SYM-090] узел изучен.","resourceCost":"[SYM-090] заменить формулу максимума на maxOE=200×L; текущий ОЭ не восстанавливать.","rollDefinition":"[SYM-090] заменить формулу максимума на maxOE=200×L; текущий ОЭ не восстанавливать.","ruleIds":"SYM-090; Q-APP-001; SYM-010; SYM-011","stateWrites":"[SYM-090] максимум увеличен.","targetSelector":"Цель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0.","trigger":"[SYM-090] изучение способности или изменение L."}</t>
  </si>
  <si>
    <t xml:space="preserve">5ad831faa2b5bb772aaa2412806f98ca7ffffb5013388ff5cbbb6add4529be0f</t>
  </si>
  <si>
    <t xml:space="preserve">SYM-091 COMBAT</t>
  </si>
  <si>
    <t xml:space="preserve">{"abilityContextId":"CTX-SYM-091-COMBAT","abilityId":"SYM-091","actionCost":"[SYM-091] 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дальней.\n[Q-SYM-037] Взлёт и посадка требуют по 1 боевому действию.\nПри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падает.\nПри любой причине состояние полёта снимается немедленно до новых действий.","allowed":true,"armorPolicy":"Общий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ходы.\n\n[SYM-091] Крылья Хранителя\nНормативная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дальней.\nПриоритетные авторские дельты (заменяют только прямо пересекающиеся ветви):\n[Q-SYM-037]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падает.\nФинальная приоритетная нормализация:\nПри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возобновляет.","context":"COMBAT","cooldown":"[SYM-091] время/ходы полёта.\nНормативная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падает.","denialReason":"","duration":"[SYM-091] время/ходы полёта.\nНормативная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падает.","effect":"[SYM-091] 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дальней.\nПриоритетные авторские дельты (заменяют только прямо пересекающиеся ветви):\n[Q-SYM-037]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падает.\nФинальная приоритетная нормализация:\nПри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возобновляет.","errorCodes":"ERR_PRECONDITION; ERR_TARGET; ERR_RESOURCE; ERR_ACTION_COST; ERR_RULE_SPECIFIC","idUnique":1,"inputs":"[SYM-091] время/ходы полёта.","manualChoice":"Только прямо указанные частной карточкой выборы.","playerCommandAvailable":true,"preconditions":"[SYM-091] ОЭ хватает на очередной интервал.","resourceCost":"[SYM-091] ОЭ хватает на очередной интервал.\nза каждую минуту/боевой ход полёта списывать 20 ОЭ; в полёте добавить +10 к уклонению от ближней атаки и +20 от дальней.\nПри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падает.","rollDefinition":"Без броска, если частная карточка не требует его.","ruleIds":"SYM-091; CORE-229; SYM-010; SYM-011","stateWrites":"[SYM-091] состояние полёта и модификаторы защиты.","targetSelector":"Цель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карточке.","trigger":"[SYM-091] начало/продолжение полёта."}</t>
  </si>
  <si>
    <t xml:space="preserve">c23432a6aefe178065f629b0f70902a8d2cc9ea6ea38530e91815e091f911047</t>
  </si>
  <si>
    <t xml:space="preserve">SYM-091 PEACE</t>
  </si>
  <si>
    <t xml:space="preserve">{"abilityContextId":"CTX-SYM-091-PEACE","abilityId":"SYM-091","actionCost":"Боевые действия не расходуются вне боя. Частная длительность/условия сохраняются:\n[SYM-091] 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дальней.\n[Q-SYM-037] Взлёт и посадка требуют по 1 боевому действию.\nПри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падает.\nПри любой причине состояние полёта снимается немедленно до новых действий.","allowed":true,"armorPolicy":"Общий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части.\n\n[SYM-091] Крылья Хранителя\nНормативная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дальней.\nПриоритетные авторские дельты (заменяют только прямо пересекающиеся ветви):\n[Q-SYM-037]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падает.\nФинальная приоритетная нормализация:\nПри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возобновляет.","context":"PEACE","cooldown":"[SYM-091] время/ходы полёта.\nНормативная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падает.","denialReason":"","duration":"[SYM-091] время/ходы полёта.\nНормативная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падает.","effect":"[SYM-091] Нормативная база (действует во всей непротиворечащей части):\nза каждую минуту/боевой ход полёта списывать 20 ОЭ; в полёте добавить +10 к уклонению от ближней атаки и +20 от дальней.\nПриоритетные авторские дельты (заменяют только прямо пересекающиеся ветви):\n[Q-SYM-037]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падает.\nФинальная приоритетная нормализация:\nПри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возобновляет.","errorCodes":"ERR_PRECONDITION; ERR_TARGET; ERR_RESOURCE; ERR_ACTION_COST; ERR_RULE_SPECIFIC","idUnique":1,"inputs":"[SYM-091] время/ходы полёта.","manualChoice":"Мастер подтверждает немоделируемые контакт, дистанцию и согласие цели по Q-APP-001.","playerCommandAvailable":true,"preconditions":"[SYM-091] ОЭ хватает на очередной интервал.","resourceCost":"[SYM-091] ОЭ хватает на очередной интервал.\nза каждую минуту/боевой ход полёта списывать 20 ОЭ; в полёте добавить +10 к уклонению от ближней атаки и +20 от дальней.\nПри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падает.","rollDefinition":"Без броска, если частная карточка не требует его.","ruleIds":"SYM-091; Q-APP-001; SYM-010; SYM-011","stateWrites":"[SYM-091] состояние полёта и модификаторы защиты.","targetSelector":"Цель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0.","trigger":"[SYM-091] начало/продолжение полёта."}</t>
  </si>
  <si>
    <t xml:space="preserve">837c98219c7674af1c9655326faf461a6789ec83341e59a763caec98540c0b2e</t>
  </si>
  <si>
    <t xml:space="preserve">SYM-093 COMBAT</t>
  </si>
  <si>
    <t xml:space="preserve">{"abilityContextId":"CTX-SYM-093-COMBAT","abilityId":"SYM-093","actionCost":"[SYM-093]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ходы.\n\n[SYM-093] Попутчики\nНормативная база (действует во всей непротиворечащей части):\nсохранить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потерять.\nПриоритетные авторские дельты (заменяют только прямо пересекающиеся ветви):\n[Q-SYM-039]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вместимость","context":"COMBAT","cooldown":"[SYM-093] Нормативная база (действует во всей непротиворечащей части):","denialReason":"","duration":"[SYM-093] Нормативная база (действует во всей непротиворечащей части):","effect":"[SYM-093] Нормативная база (действует во всей непротиворечащей части):\nсохранить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потерять.\nПриоритетные авторские дельты (заменяют только прямо пересекающиеся ветви):\n[Q-SYM-039]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вместимость","errorCodes":"ERR_PRECONDITION; ERR_TARGET; ERR_RESOURCE; ERR_ACTION_COST; ERR_RULE_SPECIFIC","idUnique":1,"inputs":"[SYM-093] генетический материал остальных симбионтов, их уровни; раса нового тела.","manualChoice":"Только прямо указанные частной карточкой выборы.","playerCommandAvailable":false,"preconditions":"[SYM-093] исходный носитель — Единый.","resourceCost":"[SYM-093] генетический материал остальных симбионтов, их уровни; раса нового тела.\nсохранить материал исходного набора.\nПри заселении Вольного материал потерять.\nХранитель не дублируется, текущие ОЭ новых симбионтов равны 0 и тем же отдыхом не восстанавливаются.\nвосстановлен набор либо материал удалён.","rollDefinition":"Без броска, если частная карточка не требует его.","ruleIds":"SYM-093; CORE-229; SYM-010; SYM-011","stateWrites":"[SYM-093] восстановлен набор либо материал удалён.","targetSelector":"[SYM-093] новое тело.","timeCost":"Боевые ходы/действия по частной карточке.","trigger":"[SYM-093] смерть исходного носителя, затем заселение."}</t>
  </si>
  <si>
    <t xml:space="preserve">3d7dec625e6d6b88be3d69bcaab74c96471cad35d2f3ff97f3ef207dc8cadfa6</t>
  </si>
  <si>
    <t xml:space="preserve">SYM-093 PEACE</t>
  </si>
  <si>
    <t xml:space="preserve">{"abilityContextId":"CTX-SYM-093-PEACE","abilityId":"SYM-093","actionCost":"0","allowed":false,"armorPolicy":"NOT_APPLICABLE","atomicityAudit":"Записать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выполняется","ruleIds":"SYM-093; Q-APP-002","stateWrites":"Нет","targetSelector":"Не выбирается","timeCost":"0","trigger":"Попытка объявления в запрещённом контексте"}</t>
  </si>
  <si>
    <t xml:space="preserve">cc9c141df264baceee0ddc121ec00a7b90053bfc28073f7b0ee58363dec066a8</t>
  </si>
  <si>
    <t xml:space="preserve">SYM-094 COMBAT</t>
  </si>
  <si>
    <t xml:space="preserve">{"abilityContextId":"CTX-SYM-094-COMBAT","abilityId":"SYM-094","actionCost":"[SYM-094] объявление; цена 30 ОЭ и 1 действие.\nНормативная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ходы.\n\n[SYM-094] Кислотная пушка\nНормативная база (действует во всей непротиворечащей части):\nA≥3: стандартная дальняя атака, пробитие=A, урон=D+L; A=2: нет эффекта; A=1: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органов».","context":"COMBAT","cooldown":"[SYM-094]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органов».","denialReason":"","duration":"[SYM-094] Нормативная база (действует во всей непротиворечащей части):\nДополнительное отключение наступает только там, где оно прямо указано, в частности у Ткача при неудаче «Дублирования органов».","effect":"[SYM-094] Нормативная база (действует во всей непротиворечащей части):\nA≥3: стандартная дальняя атака, пробитие=A, урон=D+L; A=2: нет эффекта; A=1: дополнительно потерять 200 ОЭ.\nПриоритетные авторские дельты (заменяют только прямо пересекающиеся ветви):\n[Q-SYM-009]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органов».","errorCodes":"ERR_PRECONDITION; ERR_TARGET; ERR_RESOURCE; ERR_ACTION_COST; ERR_RULE_SPECIFIC","idUnique":1,"inputs":"[SYM-094] первый R20 A (активация/пробитие), отдельный R20 D (урон).","manualChoice":"Только прямо указанные частной карточкой выборы.","playerCommandAvailable":true,"preconditions":"[SYM-094] цель ≤30 м; ОЭ≥30.","resourceCost":"[SYM-094] объявление; цена 30 ОЭ и 1 действие.\nОЭ≥30.\nA=1: дополнительно потерять 200 ОЭ.\n[Q-SYM-009] При обязательной потере ОЭ текущий запас уменьшается не ниже 0; энергетический долг не создаётся.","rollDefinition":"[SYM-094] первый R20 A (активация/пробитие), отдельный R20 D (урон).\nA≥3: стандартная дальняя атака, пробитие=A, урон=D+L\nA=2: нет эффекта\nA=1: дополнительно потерять 200 ОЭ.","ruleIds":"SYM-094; CORE-229; SYM-010; SYM-011","stateWrites":"[SYM-094] урон либо потеря энергии.","targetSelector":"[SYM-094] цель.","timeCost":"Боевые ходы/действия по частной карточке.","trigger":"[SYM-094] объявление; цена 30 ОЭ и 1 действие."}</t>
  </si>
  <si>
    <t xml:space="preserve">fe18fdb95938ef84bdc2b8fab07b0fbc6037f23e334944912261eeb571cffb0c</t>
  </si>
  <si>
    <t xml:space="preserve">SYM-094 PEACE</t>
  </si>
  <si>
    <t xml:space="preserve">{"abilityContextId":"CTX-SYM-094-PEACE","abilityId":"SYM-094","actionCost":"0","allowed":false,"armorPolicy":"NOT_APPLICABLE","atomicityAudit":"Записать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выполняется","ruleIds":"SYM-094; Q-APP-002","stateWrites":"Нет","targetSelector":"Не выбирается","timeCost":"0","trigger":"Попытка объявления в запрещённом контексте"}</t>
  </si>
  <si>
    <t xml:space="preserve">1df3c1191623db076c73843d04c1bef1b1ca4edaca872018fa647018a5b2e5cf</t>
  </si>
  <si>
    <t xml:space="preserve">SYM-096 COMBAT</t>
  </si>
  <si>
    <t xml:space="preserve">{"abilityContextId":"CTX-SYM-096-COMBAT","abilityId":"SYM-096","actionCost":"[SYM-096]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ходы.\n\n[SYM-096] Личность Советника\nНормативная база (действует во всей непротиворечащей части):\nопределить собственные I=R20+8, затем W=отдельный R20+8; игрок выбирает отдельный набор навыков; число слотов рассчитывается по W Советника как у носителя.\nПриоритетные авторские дельты (заменяют только прямо пересекающиеся ветви):\n[Q-SYM-040] Строка «Стоимость: 30 ОЭ» считается опечаткой. «Личность» бесплатно и автоматически создаёт характеристики и навыки Советника при получении симбионта.","context":"COMBAT","cooldown":"[SYM-096] Нормативная база (действует во всей непротиворечащей части):","denialReason":"","duration":"[SYM-096] Нормативная база (действует во всей непротиворечащей части):","effect":"[SYM-096] Нормативная база (действует во всей непротиворечащей части):\nопределить собственные I=R20+8, затем W=отдельный R20+8; игрок выбирает отдельный набор навыков; число слотов рассчитывается по W Советника как у носителя.\nПриоритетные авторские дельты (заменяют только прямо пересекающиеся ветви):\n[Q-SYM-040] Строка «Стоимость: 30 ОЭ» считается опечаткой. «Личность» бесплатно и автоматически создаёт характеристики и навыки Советника при получении симбионта.","errorCodes":"ERR_PRECONDITION; ERR_TARGET; ERR_RESOURCE; ERR_ACTION_COST; ERR_RULE_SPECIFIC","idUnique":1,"inputs":"[SYM-096] два последовательных чистых R20; правила слотов навыков.","manualChoice":"Только прямо указанные частной карточкой выборы.","playerCommandAvailable":false,"preconditions":"[SYM-096] способность уровня 1 считается изученной.","resourceCost":"[SYM-096] [Q-SYM-040] Строка «Стоимость: 30 ОЭ» считается опечаткой.\nв карточке указана стоимость 30 ОЭ, хотя способность пассивная и maxOE L1=20.","rollDefinition":"[SYM-096] два последовательных чистых R20; правила слотов навыков.\nопределить собственные I=R20+8, затем W=отдельный R20+8; игрок выбирает отдельный набор навыков; число слотов рассчитывается по W Советника как у носителя.\nв карточке указана стоимость 30 ОЭ, хотя способность пассивная и maxOE L1=20.","ruleIds":"SYM-096; CORE-229; SYM-010; SYM-011","stateWrites":"[SYM-096] создана отдельная сущность характеристик/навыков.","targetSelector":"Цель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карточке.","trigger":"[SYM-096] создание персонажа/получение способности."}</t>
  </si>
  <si>
    <t xml:space="preserve">d3a8c65fd8264a408b768fd91698d1e388e2a37329dd74291c549935ceddd336</t>
  </si>
  <si>
    <t xml:space="preserve">SYM-096 PEACE</t>
  </si>
  <si>
    <t xml:space="preserve">{"abilityContextId":"CTX-SYM-096-PEACE","abilityId":"SYM-096","actionCost":"Боевые действия не расходуются вне боя. Частная длительность/условия сохраняются:\n[SYM-096]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части.\n\n[SYM-096] Личность Советника\nНормативная база (действует во всей непротиворечащей части):\nопределить собственные I=R20+8, затем W=отдельный R20+8; игрок выбирает отдельный набор навыков; число слотов рассчитывается по W Советника как у носителя.\nПриоритетные авторские дельты (заменяют только прямо пересекающиеся ветви):\n[Q-SYM-040] Строка «Стоимость: 30 ОЭ» считается опечаткой. «Личность» бесплатно и автоматически создаёт характеристики и навыки Советника при получении симбионта.","context":"PEACE","cooldown":"[SYM-096] Нормативная база (действует во всей непротиворечащей части):","denialReason":"","duration":"[SYM-096] Нормативная база (действует во всей непротиворечащей части):","effect":"[SYM-096] Нормативная база (действует во всей непротиворечащей части):\nопределить собственные I=R20+8, затем W=отдельный R20+8; игрок выбирает отдельный набор навыков; число слотов рассчитывается по W Советника как у носителя.\nПриоритетные авторские дельты (заменяют только прямо пересекающиеся ветви):\n[Q-SYM-040] Строка «Стоимость: 30 ОЭ» считается опечаткой. «Личность» бесплатно и автоматически создаёт характеристики и навыки Советника при получении симбионта.","errorCodes":"ERR_PRECONDITION; ERR_TARGET; ERR_RESOURCE; ERR_ACTION_COST; ERR_RULE_SPECIFIC","idUnique":1,"inputs":"[SYM-096] два последовательных чистых R20; правила слотов навыков.","manualChoice":"Мастер подтверждает немоделируемые контакт, дистанцию и согласие цели по Q-APP-001.","playerCommandAvailable":false,"preconditions":"[SYM-096] способность уровня 1 считается изученной.","resourceCost":"[SYM-096] [Q-SYM-040] Строка «Стоимость: 30 ОЭ» считается опечаткой.\nв карточке указана стоимость 30 ОЭ, хотя способность пассивная и maxOE L1=20.","rollDefinition":"[SYM-096] два последовательных чистых R20; правила слотов навыков.\nопределить собственные I=R20+8, затем W=отдельный R20+8; игрок выбирает отдельный набор навыков; число слотов рассчитывается по W Советника как у носителя.\nв карточке указана стоимость 30 ОЭ, хотя способность пассивная и maxOE L1=20.","ruleIds":"SYM-096; Q-APP-001; SYM-010; SYM-011","stateWrites":"[SYM-096] создана отдельная сущность характеристик/навыков.","targetSelector":"Цель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0.","trigger":"[SYM-096] создание персонажа/получение способности."}</t>
  </si>
  <si>
    <t xml:space="preserve">b607284c8f6c204a08265ef7c9e2a0650d172141f92978a913da812ea3320af1</t>
  </si>
  <si>
    <t xml:space="preserve">SYM-097 COMBAT</t>
  </si>
  <si>
    <t xml:space="preserve">{"abilityContextId":"CTX-SYM-097-COMBAT","abilityId":"SYM-097","actionCost":"Если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ходы.\n\n[SYM-097] Я здесь самый умный\nI_adviser=I_base+L.","context":"COMBAT","cooldown":"Нет, если не указан.","denialReason":"","duration":"Мгновенно, если срок не указан.","effect":"[SYM-097] I_adviser=I_base+L.","errorCodes":"ERR_PRECONDITION; ERR_TARGET; ERR_RESOURCE; ERR_ACTION_COST; ERR_RULE_SPECIFIC","idUnique":1,"inputs":"[SYM-097] базовый I Советника, L.","manualChoice":"Только прямо указанные частной карточкой выборы.","playerCommandAvailable":false,"preconditions":"[SYM-097] способность доступна.","resourceCost":"0 ОЭ, если частная карточка не устанавливает цену.","rollDefinition":"[SYM-097] I_adviser=I_base+L.","ruleIds":"SYM-097; CORE-229; SYM-010; SYM-011","stateWrites":"[SYM-097] пересчитать I и производные.","targetSelector":"Цель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карточке.","trigger":"[SYM-097] изменение L."}</t>
  </si>
  <si>
    <t xml:space="preserve">52d094f30b112ba890ee9f5f083a2db099d34d5efccea7634e9633d4472ec632</t>
  </si>
  <si>
    <t xml:space="preserve">SYM-097 PEACE</t>
  </si>
  <si>
    <t xml:space="preserve">{"abilityContextId":"CTX-SYM-097-PEACE","abilityId":"SYM-097","actionCost":"Боевые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части.\n\n[SYM-097] Я здесь самый умный\nI_adviser=I_base+L.","context":"PEACE","cooldown":"Нет, если не указан.","denialReason":"","duration":"Мгновенно, если срок не указан.","effect":"[SYM-097] I_adviser=I_base+L.","errorCodes":"ERR_PRECONDITION; ERR_TARGET; ERR_RESOURCE; ERR_ACTION_COST; ERR_RULE_SPECIFIC","idUnique":1,"inputs":"[SYM-097] базовый I Советника, L.","manualChoice":"Мастер подтверждает немоделируемые контакт, дистанцию и согласие цели по Q-APP-001.","playerCommandAvailable":false,"preconditions":"[SYM-097] способность доступна.","resourceCost":"0 ОЭ, если частная карточка не устанавливает цену.","rollDefinition":"[SYM-097] I_adviser=I_base+L.","ruleIds":"SYM-097; Q-APP-001; SYM-010; SYM-011","stateWrites":"[SYM-097] пересчитать I и производные.","targetSelector":"Цель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0.","trigger":"[SYM-097] изменение L."}</t>
  </si>
  <si>
    <t xml:space="preserve">466251e9ae6c27d52e699638603d1467139712a35421fffc5b623e94971257ea</t>
  </si>
  <si>
    <t xml:space="preserve">SYM-098 COMBAT</t>
  </si>
  <si>
    <t xml:space="preserve">{"abilityContextId":"CTX-SYM-098-COMBAT","abilityId":"SYM-098","actionCost":"Если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ходы.\n\n[SYM-098] Доступ к органам чувств\nразрешить Советнику отдельную от носителя проверку восприятия.","context":"COMBAT","cooldown":"Нет, если не указан.","denialReason":"","duration":"Мгновенно, если срок не указан.","effect":"[SYM-098] разрешить Советнику отдельную от носителя проверку восприятия.","errorCodes":"ERR_PRECONDITION; ERR_TARGET; ERR_RESOURCE; ERR_ACTION_COST; ERR_RULE_SPECIFIC","idUnique":1,"inputs":"[SYM-098] характеристики/навыки Советника.","manualChoice":"Только прямо указанные частной карточкой выборы.","playerCommandAvailable":false,"preconditions":"[SYM-098] органы чувств носителя функционируют.","resourceCost":"0 ОЭ, если частная карточка не устанавливает цену.","rollDefinition":"Без броска, если частная карточка не требует его.","ruleIds":"SYM-098; CORE-229; SYM-010; SYM-011","stateWrites":"[SYM-098] появляется независимый результат обнаружения.","targetSelector":"[SYM-098] внешняя среда через носителя.","timeCost":"Боевые ходы/действия по частной карточке.","trigger":"[SYM-098] требуется осмотр/внимательность."}</t>
  </si>
  <si>
    <t xml:space="preserve">b10839122a2e5f0ac1375cd00bc2b7eaa2ea96d99a95a6e29388d8e9e932119d</t>
  </si>
  <si>
    <t xml:space="preserve">SYM-098 PEACE</t>
  </si>
  <si>
    <t xml:space="preserve">{"abilityContextId":"CTX-SYM-098-PEACE","abilityId":"SYM-098","actionCost":"Боевые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части.\n\n[SYM-098] Доступ к органам чувств\nразрешить Советнику отдельную от носителя проверку восприятия.","context":"PEACE","cooldown":"Нет, если не указан.","denialReason":"","duration":"Мгновенно, если срок не указан.","effect":"[SYM-098] разрешить Советнику отдельную от носителя проверку восприятия.","errorCodes":"ERR_PRECONDITION; ERR_TARGET; ERR_RESOURCE; ERR_ACTION_COST; ERR_RULE_SPECIFIC","idUnique":1,"inputs":"[SYM-098] характеристики/навыки Советника.","manualChoice":"Мастер подтверждает немоделируемые контакт, дистанцию и согласие цели по Q-APP-001.","playerCommandAvailable":false,"preconditions":"[SYM-098] органы чувств носителя функционируют.","resourceCost":"0 ОЭ, если частная карточка не устанавливает цену.","rollDefinition":"Без броска, если частная карточка не требует его.","ruleIds":"SYM-098; Q-APP-001; SYM-010; SYM-011","stateWrites":"[SYM-098] появляется независимый результат обнаружения.","targetSelector":"[SYM-098] внешняя среда через носителя.","timeCost":"Виртуальное время только если прямо установлено частной карточкой; иначе 0.","trigger":"[SYM-098] требуется осмотр/внимательность."}</t>
  </si>
  <si>
    <t xml:space="preserve">f06db8ee1e2714f478bd926c9cba8c48ed9fc472d62aedc35814d9723febcc50</t>
  </si>
  <si>
    <t xml:space="preserve">SYM-099 COMBAT</t>
  </si>
  <si>
    <t xml:space="preserve">{"abilityContextId":"CTX-SYM-099-COMBAT","abilityId":"SYM-099","actionCost":"[SYM-099] 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ОЭ.\nВозврат против воли Советника занимает 5 минут/1 ход.\n[Q-SYM-041]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управления.\nПри нехватке первой суммы передача невозможна, при нехватке последующей контроль возвращается носителю до действий.","allowed":true,"armorPolicy":"Общий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ходы.\n\n[SYM-099] Принимаю управление\nНормативная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ход.\nПриоритетные авторские дельты (заменяют только прямо пересекающиеся ветви):\n[Q-SYM-041]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носителя.","context":"COMBAT","cooldown":"[SYM-099] набор навыков обоих, ОЭ, время/ходы.\nНормативная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ОЭ.\nВозврат против воли Советника занимает 5 минут/1 ход.\n[Q-SYM-041]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управления.\nДобровольный возврат в начале хода бесплатен, принудительный занимает полный ход/5 минут.","denialReason":"","duration":"[SYM-099] набор навыков обоих, ОЭ, время/ходы.\nНормативная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ОЭ.\nВозврат против воли Советника занимает 5 минут/1 ход.\n[Q-SYM-041]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управления.\nДобровольный возврат в начале хода бесплатен, принудительный занимает полный ход/5 минут.","effect":"[SYM-099] 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ход.\nПриоритетные авторские дельты (заменяют только прямо пересекающиеся ветви):\n[Q-SYM-041]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носителя.","errorCodes":"ERR_PRECONDITION; ERR_TARGET; ERR_RESOURCE; ERR_ACTION_COST; ERR_RULE_SPECIFIC","idUnique":1,"inputs":"[SYM-099] набор навыков обоих, ОЭ, время/ходы.","manualChoice":"Только прямо указанные частной карточкой выборы.","playerCommandAvailable":true,"preconditions":"[SYM-099] Советник активен.","resourceCost":"[SYM-099] набор навыков обоих, ОЭ, время/ходы.\nна время контроля заменить набор навыков тела на набор Советника; каждые 5 минут/1 боевой ход списывать 10 ОЭ.\n[Q-SYM-041]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управления.\nАвтоматическое управление от «Системы устойчивости» ОЭ не расходует и прекращается при возвращении ясного сознания носителя.\nпри нехватке ОЭ поведение не задано.","rollDefinition":"Без броска, если частная карточка не требует его.","ruleIds":"SYM-099; CORE-229; SYM-010; SYM-011","stateWrites":"[SYM-099] контроллер тела и набор навыков переключены.","targetSelector":"[SYM-099] Советник / тело.","timeCost":"Боевые ходы/действия по частной карточке.","trigger":"[SYM-099] добровольная передача управления."}</t>
  </si>
  <si>
    <t xml:space="preserve">92956d9ce68a406abf9ea0d0d8525a39f59a23745601191d9bd5ec61e60a5593</t>
  </si>
  <si>
    <t xml:space="preserve">SYM-099 PEACE</t>
  </si>
  <si>
    <t xml:space="preserve">{"abilityContextId":"CTX-SYM-099-PEACE","abilityId":"SYM-099","actionCost":"Боевые действия не расходуются вне боя. Частная длительность/условия сохраняются:\n[SYM-099] 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ОЭ.\nВозврат против воли Советника занимает 5 минут/1 ход.\n[Q-SYM-041]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управления.\nПри нехватке первой суммы передача невозможна, при нехватке последующей контроль возвращается носителю до действий.","allowed":true,"armorPolicy":"Общий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части.\n\n[SYM-099] Принимаю управление\nНормативная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ход.\nПриоритетные авторские дельты (заменяют только прямо пересекающиеся ветви):\n[Q-SYM-041]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носителя.","context":"PEACE","cooldown":"[SYM-099] набор навыков обоих, ОЭ, время/ходы.\nНормативная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ОЭ.\nВозврат против воли Советника занимает 5 минут/1 ход.\n[Q-SYM-041]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управления.\nДобровольный возврат в начале хода бесплатен, принудительный занимает полный ход/5 минут.","denialReason":"","duration":"[SYM-099] набор навыков обоих, ОЭ, время/ходы.\nНормативная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ОЭ.\nВозврат против воли Советника занимает 5 минут/1 ход.\n[Q-SYM-041]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управления.\nДобровольный возврат в начале хода бесплатен, принудительный занимает полный ход/5 минут.","effect":"[SYM-099] Нормативная база (действует во всей непротиворечащей части):\nна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ход.\nПриоритетные авторские дельты (заменяют только прямо пересекающиеся ветви):\n[Q-SYM-041]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носителя.","errorCodes":"ERR_PRECONDITION; ERR_TARGET; ERR_RESOURCE; ERR_ACTION_COST; ERR_RULE_SPECIFIC","idUnique":1,"inputs":"[SYM-099] набор навыков обоих, ОЭ, время/ходы.","manualChoice":"Мастер подтверждает немоделируемые контакт, дистанцию и согласие цели по Q-APP-001.","playerCommandAvailable":true,"preconditions":"[SYM-099] Советник активен.","resourceCost":"[SYM-099] набор навыков обоих, ОЭ, время/ходы.\nна время контроля заменить набор навыков тела на набор Советника; каждые 5 минут/1 боевой ход списывать 10 ОЭ.\n[Q-SYM-041]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управления.\nАвтоматическое управление от «Системы устойчивости» ОЭ не расходует и прекращается при возвращении ясного сознания носителя.\nпри нехватке ОЭ поведение не задано.","rollDefinition":"Без броска, если частная карточка не требует его.","ruleIds":"SYM-099; Q-APP-001; SYM-010; SYM-011","stateWrites":"[SYM-099] контроллер тела и набор навыков переключены.","targetSelector":"[SYM-099] Советник / тело.","timeCost":"Виртуальное время только если прямо установлено частной карточкой; иначе 0.","trigger":"[SYM-099] добровольная передача управления."}</t>
  </si>
  <si>
    <t xml:space="preserve">b269faa1491f7c67a5c286639947fad77427fcfc69ac24155428808f73984b31</t>
  </si>
  <si>
    <t xml:space="preserve">SYM-100 COMBAT</t>
  </si>
  <si>
    <t xml:space="preserve">{"abilityContextId":"CTX-SYM-100-COMBAT","abilityId":"SYM-100","actionCost":"Если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ходы.\n\n[SYM-100] Система устойчивости\nавтоматически передать управление Советнику без расхода ОЭ до возвращения ясного сознания носителя.","context":"COMBAT","cooldown":"Нет, если не указан.","denialReason":"","duration":"Мгновенно, если срок не указан.","effect":"[SYM-100] автоматически передать управление Советнику без расхода ОЭ до возвращения ясного сознания носителя.","errorCodes":"ERR_PRECONDITION; ERR_TARGET; ERR_RESOURCE; ERR_ACTION_COST; ERR_RULE_SPECIFIC","idUnique":1,"inputs":"[SYM-100] тип состояния носителя.","manualChoice":"Только прямо указанные частной карточкой выборы.","playerCommandAvailable":false,"preconditions":"[SYM-100] тело физически дееспособно; Советник активен.","resourceCost":"[SYM-100] автоматически передать управление Советнику без расхода ОЭ до возвращения ясного сознания носителя.","rollDefinition":"Без броска, если частная карточка не требует его.","ruleIds":"SYM-100; CORE-229; SYM-010; SYM-011","stateWrites":"[SYM-100] тело продолжает действовать под Советником.","targetSelector":"[SYM-100] тело носителя.","timeCost":"Боевые ходы/действия по частной карточке.","trigger":"[SYM-100] носитель оглушён, уснул/потерял сознание, самоконтроль либо ментальный контроль."}</t>
  </si>
  <si>
    <t xml:space="preserve">15f4a4dfc1180778f4aaa30c0e4930940a22cde3812b54b8a873cf00072dbb6b</t>
  </si>
  <si>
    <t xml:space="preserve">SYM-100 PEACE</t>
  </si>
  <si>
    <t xml:space="preserve">{"abilityContextId":"CTX-SYM-100-PEACE","abilityId":"SYM-100","actionCost":"0","allowed":false,"armorPolicy":"NOT_APPLICABLE","atomicityAudit":"Записать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выполняется","ruleIds":"SYM-100; Q-APP-002","stateWrites":"Нет","targetSelector":"Не выбирается","timeCost":"0","trigger":"Попытка объявления в запрещённом контексте"}</t>
  </si>
  <si>
    <t xml:space="preserve">5bae1bc3f39ed2850c385f520b73f58cf9d357226ba52eac327e9a344e965423</t>
  </si>
  <si>
    <t xml:space="preserve">SYM-101 COMBAT</t>
  </si>
  <si>
    <t xml:space="preserve">{"abilityContextId":"CTX-SYM-101-COMBAT","abilityId":"SYM-101","actionCost":"[SYM-101] Советник по собственной воле соглашается; цена 100 ОЭ и 1 действие, если проверка в бою.\nНормативная база (действует во всей непротиворечащей части):\nпередать интеллект Советника на одну проверку, затем отключить Советника на 12 часов.\nНавык и остальные модификаторы используются у носителя; после проверки Советник отключается на 12 часов.","allowed":true,"armorPolicy":"Общий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ходы.\n\n[SYM-101] Дар мудрости\nНормативная база (действует во всей непротиворечащей части):\nпередать интеллект Советника на одну проверку, затем отключить Советника на 12 часов.\nПриоритетные авторские дельты (заменяют только прямо пересекающиеся ветви):\n[Q-SYM-042]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часов.","context":"COMBAT","cooldown":"[SYM-101] Нормативная база (действует во всей непротиворечащей части):\nпередать интеллект Советника на одну проверку, затем отключить Советника на 12 часов.\nНавык и остальные модификаторы используются у носителя; после проверки Советник отключается на 12 часов.","denialReason":"","duration":"[SYM-101] Нормативная база (действует во всей непротиворечащей части):\nпередать интеллект Советника на одну проверку, затем отключить Советника на 12 часов.\nНавык и остальные модификаторы используются у носителя; после проверки Советник отключается на 12 часов.","effect":"[SYM-101] Нормативная база (действует во всей непротиворечащей части):\nпередать интеллект Советника на одну проверку, затем отключить Советника на 12 часов.\nПриоритетные авторские дельты (заменяют только прямо пересекающиеся ветви):\n[Q-SYM-042]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часов.","errorCodes":"ERR_PRECONDITION; ERR_TARGET; ERR_RESOURCE; ERR_ACTION_COST; ERR_RULE_SPECIFIC","idUnique":1,"inputs":"[SYM-101] I Советника, предстоящая одна проверка I носителя.","manualChoice":"Только прямо указанные частной карточкой выборы.","playerCommandAvailable":true,"preconditions":"[SYM-101] ОЭ≥100.","resourceCost":"[SYM-101] Советник по собственной воле соглашается; цена 100 ОЭ и 1 действие, если проверка в бою.\nОЭ≥100.","rollDefinition":"Без броска, если частная карточка не требует его.","ruleIds":"SYM-101; CORE-229; SYM-010; SYM-011","stateWrites":"[SYM-101] одна проверка изменена; Советник отключён.","targetSelector":"[SYM-101] носитель.","timeCost":"Боевые ходы/действия по частной карточке.","trigger":"[SYM-101] Советник по собственной воле соглашается; цена 100 ОЭ и 1 действие, если проверка в бою."}</t>
  </si>
  <si>
    <t xml:space="preserve">1a022571b2cff06c51f74216e2925c6ba32685052326d41e44242d26fb66adcc</t>
  </si>
  <si>
    <t xml:space="preserve">SYM-101 PEACE</t>
  </si>
  <si>
    <t xml:space="preserve">{"abilityContextId":"CTX-SYM-101-PEACE","abilityId":"SYM-101","actionCost":"Боевые действия не расходуются вне боя. Частная длительность/условия сохраняются:\n[SYM-101] Советник по собственной воле соглашается; цена 100 ОЭ и 1 действие, если проверка в бою.\nНормативная база (действует во всей непротиворечащей части):\nпередать интеллект Советника на одну проверку, затем отключить Советника на 12 часов.\nНавык и остальные модификаторы используются у носителя; после проверки Советник отключается на 12 часов.","allowed":true,"armorPolicy":"Общий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части.\n\n[SYM-101] Дар мудрости\nНормативная база (действует во всей непротиворечащей части):\nпередать интеллект Советника на одну проверку, затем отключить Советника на 12 часов.\nПриоритетные авторские дельты (заменяют только прямо пересекающиеся ветви):\n[Q-SYM-042]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часов.","context":"PEACE","cooldown":"[SYM-101] Нормативная база (действует во всей непротиворечащей части):\nпередать интеллект Советника на одну проверку, затем отключить Советника на 12 часов.\nНавык и остальные модификаторы используются у носителя; после проверки Советник отключается на 12 часов.","denialReason":"","duration":"[SYM-101] Нормативная база (действует во всей непротиворечащей части):\nпередать интеллект Советника на одну проверку, затем отключить Советника на 12 часов.\nНавык и остальные модификаторы используются у носителя; после проверки Советник отключается на 12 часов.","effect":"[SYM-101] Нормативная база (действует во всей непротиворечащей части):\nпередать интеллект Советника на одну проверку, затем отключить Советника на 12 часов.\nПриоритетные авторские дельты (заменяют только прямо пересекающиеся ветви):\n[Q-SYM-042]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часов.","errorCodes":"ERR_PRECONDITION; ERR_TARGET; ERR_RESOURCE; ERR_ACTION_COST; ERR_RULE_SPECIFIC","idUnique":1,"inputs":"[SYM-101] I Советника, предстоящая одна проверка I носителя.","manualChoice":"Мастер подтверждает немоделируемые контакт, дистанцию и согласие цели по Q-APP-001.","playerCommandAvailable":true,"preconditions":"[SYM-101] ОЭ≥100.","resourceCost":"[SYM-101] Советник по собственной воле соглашается; цена 100 ОЭ и 1 действие, если проверка в бою.\nОЭ≥100.","rollDefinition":"Без броска, если частная карточка не требует его.","ruleIds":"SYM-101; Q-APP-001; SYM-010; SYM-011","stateWrites":"[SYM-101] одна проверка изменена; Советник отключён.","targetSelector":"[SYM-101] носитель.","timeCost":"Виртуальное время только если прямо установлено частной карточкой; иначе 0.","trigger":"[SYM-101] Советник по собственной воле соглашается; цена 100 ОЭ и 1 действие, если проверка в бою."}</t>
  </si>
  <si>
    <t xml:space="preserve">bd574b8b85194d80651d7f3cf4404cdb287ddaf41a217005f989f67546dcda42</t>
  </si>
  <si>
    <t xml:space="preserve">SYM-103 COMBAT</t>
  </si>
  <si>
    <t xml:space="preserve">{"abilityContextId":"CTX-SYM-103-COMBAT","abilityId":"SYM-103","actionCost":"[SYM-103]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ходы.\n\n[SYM-103] Кровопийца\nНормативная база (действует во всей непротиворечащей части):\nдобавить L к урону.\nПриоритетные авторские дельты (заменяют только прямо пересекающиеся ветви):\n[Q-SYM-043]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получают.","context":"COMBAT","cooldown":"[SYM-103] Нормативная база (действует во всей непротиворечащей части):","denialReason":"","duration":"[SYM-103] Нормативная база (действует во всей непротиворечащей части):","effect":"[SYM-103] Нормативная база (действует во всей непротиворечащей части):\nдобавить L к урону.\nПриоритетные авторские дельты (заменяют только прямо пересекающиеся ветви):\n[Q-SYM-043]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получают.","errorCodes":"ERR_PRECONDITION; ERR_TARGET; ERR_RESOURCE; ERR_ACTION_COST; ERR_RULE_SPECIFIC","idUnique":1,"inputs":"[SYM-103] базовый урон, L.","manualChoice":"Только прямо указанные частной карточкой выборы.","playerCommandAvailable":false,"preconditions":"[SYM-103] Клещ активен.","resourceCost":"0 ОЭ, если частная карточка не устанавливает цену.","rollDefinition":"Без броска, если частная карточка не требует его.","ruleIds":"SYM-103; CORE-229; SYM-010; SYM-011","stateWrites":"[SYM-103] повышенный урон.","targetSelector":"[SYM-103] рукопашная цель.","timeCost":"Боевые ходы/действия по частной карточке.","trigger":"[SYM-103] рукопашная атака правой рукой."}</t>
  </si>
  <si>
    <t xml:space="preserve">b3363a03981ac5017b7c438f0af9e07cfd1036e85d290bd0871e84ee1cb1db36</t>
  </si>
  <si>
    <t xml:space="preserve">SYM-103 PEACE</t>
  </si>
  <si>
    <t xml:space="preserve">{"abilityContextId":"CTX-SYM-103-PEACE","abilityId":"SYM-103","actionCost":"0","allowed":false,"armorPolicy":"NOT_APPLICABLE","atomicityAudit":"Записать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выполняется","ruleIds":"SYM-103; Q-APP-002","stateWrites":"Нет","targetSelector":"Не выбирается","timeCost":"0","trigger":"Попытка объявления в запрещённом контексте"}</t>
  </si>
  <si>
    <t xml:space="preserve">f8789a78e99131b1585e497a7d57923f9cf79ac2ae93f23efbe4723dfddefb2f</t>
  </si>
  <si>
    <t xml:space="preserve">SYM-104 COMBAT</t>
  </si>
  <si>
    <t xml:space="preserve">{"abilityContextId":"CTX-SYM-104-COMBAT","abilityId":"SYM-104","actionCost":"[SYM-104]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ходы.\n\n[SYM-104] Вкус крови\nНормативная база (действует во всей непротиворечащей части):\nбез проверки раскрыть расу, значения всех характеристик, навыки, виды и уровни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отдельно.","context":"COMBAT","cooldown":"[SYM-104] Нормативная база (действует во всей непротиворечащей части):","denialReason":"","duration":"[SYM-104] Нормативная база (действует во всей непротиворечащей части):","effect":"[SYM-104] Нормативная база (действует во всей непротиворечащей части):\nбез проверки раскрыть расу, значения всех характеристик, навыки, виды и уровни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отдельно.","errorCodes":"ERR_PRECONDITION; ERR_TARGET; ERR_RESOURCE; ERR_ACTION_COST; ERR_RULE_SPECIFIC","idUnique":1,"inputs":"[SYM-104] карточка цели.","manualChoice":"Только прямо указанные частной карточкой выборы.","playerCommandAvailable":true,"preconditions":"[SYM-104] кровь принадлежит идентифицируемой цели.","resourceCost":"[SYM-104] Базовые значения, текущие и максимальные HP/ОЭ не раскрываются, если способность не называет их отдельно.","rollDefinition":"Без броска, если частная карточка не требует его.","ruleIds":"SYM-104; CORE-229; SYM-010; SYM-011","stateWrites":"[SYM-104] информация помечается известной носителю.","targetSelector":"[SYM-104] цель, чья кровь попробована пастью.","timeCost":"Боевые ходы/действия по частной карточке.","trigger":"[SYM-104] пасть контактирует с кровью цели."}</t>
  </si>
  <si>
    <t xml:space="preserve">d97f216eafa99c996a614882f4b1f014a514c66f4e7b1561bd727a07a2ad9e99</t>
  </si>
  <si>
    <t xml:space="preserve">SYM-104 PEACE</t>
  </si>
  <si>
    <t xml:space="preserve">{"abilityContextId":"CTX-SYM-104-PEACE","abilityId":"SYM-104","actionCost":"Боевые действия не расходуются вне боя. Частная длительность/условия сохраняются:\n[SYM-104]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части.\n\n[SYM-104] Вкус крови\nНормативная база (действует во всей непротиворечащей части):\nбез проверки раскрыть расу, значения всех характеристик, навыки, виды и уровни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отдельно.","context":"PEACE","cooldown":"[SYM-104] Нормативная база (действует во всей непротиворечащей части):","denialReason":"","duration":"[SYM-104] Нормативная база (действует во всей непротиворечащей части):","effect":"[SYM-104] Нормативная база (действует во всей непротиворечащей части):\nбез проверки раскрыть расу, значения всех характеристик, навыки, виды и уровни симбионтов.\nПриоритетные авторские дельты (заменяют только прямо пересекающиеся ветви):\n[Q-SYM-022]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отдельно.","errorCodes":"ERR_PRECONDITION; ERR_TARGET; ERR_RESOURCE; ERR_ACTION_COST; ERR_RULE_SPECIFIC","idUnique":1,"inputs":"[SYM-104] карточка цели.","manualChoice":"Мастер подтверждает немоделируемые контакт, дистанцию и согласие цели по Q-APP-001.","playerCommandAvailable":true,"preconditions":"[SYM-104] кровь принадлежит идентифицируемой цели.","resourceCost":"[SYM-104] Базовые значения, текущие и максимальные HP/ОЭ не раскрываются, если способность не называет их отдельно.","rollDefinition":"Без броска, если частная карточка не требует его.","ruleIds":"SYM-104; Q-APP-001; SYM-010; SYM-011","stateWrites":"[SYM-104] информация помечается известной носителю.","targetSelector":"[SYM-104] цель, чья кровь попробована пастью.","timeCost":"Виртуальное время только если прямо установлено частной карточкой; иначе 0.","trigger":"[SYM-104] пасть контактирует с кровью цели."}</t>
  </si>
  <si>
    <t xml:space="preserve">97364e8fe42acc6e53e29ac392b3577d9cd30c668cd10bf85a777998e44fe13e</t>
  </si>
  <si>
    <t xml:space="preserve">SYM-105 COMBAT</t>
  </si>
  <si>
    <t xml:space="preserve">{"abilityContextId":"CTX-SYM-105-COMBAT","abilityId":"SYM-105","actionCost":"[SYM-105] объявление; цена 30 ОЭ и 1 действие.\nR=1: Клещ отключён на 1 час/6 ходов.","allowed":true,"armorPolicy":"Общий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ходы.\n\n[SYM-105] Выстрел кровью\nR≥3: стандартная дальняя атака, пробитие=R+L, урон=R+L одной проверкой. R=2: нет эффекта. R=1: Клещ отключён на 1 час/6 ходов.","context":"COMBAT","cooldown":"[SYM-105] R=1: Клещ отключён на 1 час/6 ходов.","denialReason":"","duration":"[SYM-105] R=1: Клещ отключён на 1 час/6 ходов.","effect":"[SYM-105] R≥3: стандартная дальняя атака, пробитие=R+L, урон=R+L одной проверкой. R=2: нет эффекта. R=1: Клещ отключён на 1 час/6 ходов.","errorCodes":"ERR_PRECONDITION; ERR_TARGET; ERR_RESOURCE; ERR_ACTION_COST; ERR_RULE_SPECIFIC","idUnique":1,"inputs":"[SYM-105] один чистый R20 R.","manualChoice":"Только прямо указанные частной карточкой выборы.","playerCommandAvailable":true,"preconditions":"[SYM-105] цель в 5L м; ОЭ≥30.","resourceCost":"[SYM-105] объявление; цена 30 ОЭ и 1 действие.\nОЭ≥30.","rollDefinition":"[SYM-105] один чистый R20 R.\nR≥3: стандартная дальняя атака, пробитие=R+L, урон=R+L одной проверкой.\nR=2: нет эффекта.\nR=1: Клещ отключён на 1 час/6 ходов.","ruleIds":"SYM-105; CORE-229; SYM-010; SYM-011","stateWrites":"[SYM-105] атака либо отключение.","targetSelector":"[SYM-105] цель.","timeCost":"Боевые ходы/действия по частной карточке.","trigger":"[SYM-105] объявление; цена 30 ОЭ и 1 действие."}</t>
  </si>
  <si>
    <t xml:space="preserve">2f34077cd8955a4c9f78ecb83e770dead4401a8225ff316ca573097409413712</t>
  </si>
  <si>
    <t xml:space="preserve">SYM-105 PEACE</t>
  </si>
  <si>
    <t xml:space="preserve">{"abilityContextId":"CTX-SYM-105-PEACE","abilityId":"SYM-105","actionCost":"0","allowed":false,"armorPolicy":"NOT_APPLICABLE","atomicityAudit":"Записать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выполняется","ruleIds":"SYM-105; Q-APP-002","stateWrites":"Нет","targetSelector":"Не выбирается","timeCost":"0","trigger":"Попытка объявления в запрещённом контексте"}</t>
  </si>
  <si>
    <t xml:space="preserve">62dec9f04222a562a78aae04f6bd5cc313cd067ca13517421fcd69411e7e2b21</t>
  </si>
  <si>
    <t xml:space="preserve">SYM-106 COMBAT</t>
  </si>
  <si>
    <t xml:space="preserve">{"abilityContextId":"CTX-SYM-106-COMBAT","abilityId":"SYM-106","actionCost":"[SYM-106] объявление; цена 30 ОЭ; формирование занимает 1 минуту/1 ход.\nНормативная база (действует во всей непротиворечащей части):\n[Q-SYM-044] Выпускание когтей занимает одну полную минуту вне боя или весь боевой ход и стоит 30 ОЭ; дополнительное действие не добавляется.","allowed":true,"armorPolicy":"Общий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ходы.\n\n[SYM-106] Выпустить когти\nНормативная база (действует во всей непротиворечащей части):\nпо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ОЭ.\nПриоритетные авторские дельты (заменяют только прямо пересекающиеся ветви):\n[Q-SYM-044]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времени.","context":"COMBAT","cooldown":"[SYM-106] объявление; цена 30 ОЭ; формирование занимает 1 минуту/1 ход.\nНормативная база (действует во всей непротиворечащей части):\n[Q-SYM-044] Выпускание когтей занимает одну полную минуту вне боя или весь боевой ход и стоит 30 ОЭ; дополнительное действие не добавляется.","denialReason":"","duration":"[SYM-106] объявление; цена 30 ОЭ; формирование занимает 1 минуту/1 ход.\nНормативная база (действует во всей непротиворечащей части):\n[Q-SYM-044] Выпускание когтей занимает одну полную минуту вне боя или весь боевой ход и стоит 30 ОЭ; дополнительное действие не добавляется.","effect":"[SYM-106] Нормативная база (действует во всей непротиворечащей части):\nпо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ОЭ.\nПриоритетные авторские дельты (заменяют только прямо пересекающиеся ветви):\n[Q-SYM-044]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времени.","errorCodes":"ERR_PRECONDITION; ERR_TARGET; ERR_RESOURCE; ERR_ACTION_COST; ERR_RULE_SPECIFIC","idUnique":1,"inputs":"[SYM-106] атака когтями, отдельные R20 урона/пробития, S,D, навык рукопашного боя.","manualChoice":"Только прямо указанные частной карточкой выборы.","playerCommandAvailable":true,"preconditions":"[SYM-106] Клещ активен.","resourceCost":"[SYM-106] объявление; цена 30 ОЭ; формирование занимает 1 минуту/1 ход.\nРазрешить втянуть когти без ОЭ.\n[Q-SYM-044] Выпускание когтей занимает одну полную минуту вне боя или весь боевой ход и стоит 30 ОЭ; дополнительное действие не добавляется.\nКогти остаются выпущенными до втягивания, которое бесплатно и возможно в любой момент; новое выпускание снова требует полной цены и времени.","rollDefinition":"[SYM-106] атака когтями, отдельные R20 урона/пробития, S,D, навык рукопашного боя.\nпо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применять.","ruleIds":"SYM-106; CORE-229; SYM-010; SYM-011","stateWrites":"[SYM-106] рука экипирована/разэкипирована природным оружием.","targetSelector":"[SYM-106] рука носителя.","timeCost":"Боевые ходы/действия по частной карточке.","trigger":"[SYM-106] объявление; цена 30 ОЭ; формирование занимает 1 минуту/1 ход."}</t>
  </si>
  <si>
    <t xml:space="preserve">825d749df2689d3e84b7cd0146d4e2a1d171eb6bec4805ff924de1a68e964da0</t>
  </si>
  <si>
    <t xml:space="preserve">SYM-106 PEACE</t>
  </si>
  <si>
    <t xml:space="preserve">{"abilityContextId":"CTX-SYM-106-PEACE","abilityId":"SYM-106","actionCost":"Боевые действия не расходуются вне боя. Частная длительность/условия сохраняются:\n[SYM-106] объявление; цена 30 ОЭ; формирование занимает 1 минуту/1 ход.\nНормативная база (действует во всей непротиворечащей части):\n[Q-SYM-044] Выпускание когтей занимает одну полную минуту вне боя или весь боевой ход и стоит 30 ОЭ; дополнительное действие не добавляется.","allowed":true,"armorPolicy":"Общий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части.\n\n[SYM-106] Выпустить когти\nНормативная база (действует во всей непротиворечащей части):\nпо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ОЭ.\nПриоритетные авторские дельты (заменяют только прямо пересекающиеся ветви):\n[Q-SYM-044]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времени.","context":"PEACE","cooldown":"[SYM-106] объявление; цена 30 ОЭ; формирование занимает 1 минуту/1 ход.\nНормативная база (действует во всей непротиворечащей части):\n[Q-SYM-044] Выпускание когтей занимает одну полную минуту вне боя или весь боевой ход и стоит 30 ОЭ; дополнительное действие не добавляется.","denialReason":"","duration":"[SYM-106] объявление; цена 30 ОЭ; формирование занимает 1 минуту/1 ход.\nНормативная база (действует во всей непротиворечащей части):\n[Q-SYM-044] Выпускание когтей занимает одну полную минуту вне боя или весь боевой ход и стоит 30 ОЭ; дополнительное действие не добавляется.","effect":"[SYM-106] Нормативная база (действует во всей непротиворечащей части):\nпо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ОЭ.\nПриоритетные авторские дельты (заменяют только прямо пересекающиеся ветви):\n[Q-SYM-044]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времени.","errorCodes":"ERR_PRECONDITION; ERR_TARGET; ERR_RESOURCE; ERR_ACTION_COST; ERR_RULE_SPECIFIC","idUnique":1,"inputs":"[SYM-106] атака когтями, отдельные R20 урона/пробития, S,D, навык рукопашного боя.","manualChoice":"Мастер подтверждает немоделируемые контакт, дистанцию и согласие цели по Q-APP-001.","playerCommandAvailable":true,"preconditions":"[SYM-106] Клещ активен.","resourceCost":"[SYM-106] объявление; цена 30 ОЭ; формирование занимает 1 минуту/1 ход.\nРазрешить втянуть когти без ОЭ.\n[Q-SYM-044] Выпускание когтей занимает одну полную минуту вне боя или весь боевой ход и стоит 30 ОЭ; дополнительное действие не добавляется.\nКогти остаются выпущенными до втягивания, которое бесплатно и возможно в любой момент; новое выпускание снова требует полной цены и времени.","rollDefinition":"[SYM-106] атака когтями, отдельные R20 урона/пробития, S,D, навык рукопашного боя.\nпо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применять.","ruleIds":"SYM-106; Q-APP-001; SYM-010; SYM-011","stateWrites":"[SYM-106] рука экипирована/разэкипирована природным оружием.","targetSelector":"[SYM-106] рука носителя.","timeCost":"Виртуальное время только если прямо установлено частной карточкой; иначе 0.","trigger":"[SYM-106] объявление; цена 30 ОЭ; формирование занимает 1 минуту/1 ход."}</t>
  </si>
  <si>
    <t xml:space="preserve">2db89744cbe43a7be5fca0a8df11bc93bf6982f6e6a18566d91c5bb9580103f8</t>
  </si>
  <si>
    <t xml:space="preserve">SYM-107 COMBAT</t>
  </si>
  <si>
    <t xml:space="preserve">{"abilityContextId":"CTX-SYM-107-COMBAT","abilityId":"SYM-107","actionCost":"[SYM-107] выстрел; цена 60 ОЭ и 1 действие; последующее сокращение — 1 действие.\nНормативная база (действует во всей непротиворечащей части):\nR≥3: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цель.\nЗа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ходы.\n\n[SYM-107] Гарпун\nНормативная база (действует во всей непротиворечащей части):\nR≥3: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суток.\nПриоритетные авторские дельты (заменяют только прямо пересекающиеся ветви):\n[Q-SYM-045]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нельзя.","context":"COMBAT","cooldown":"[SYM-107] Нормативная база (действует во всей непротиворечащей части):\nПри потере гарпуна восстановление 8−L суток.","denialReason":"","duration":"[SYM-107] Нормативная база (действует во всей непротиворечащей части):\nПри потере гарпуна восстановление 8−L суток.","effect":"[SYM-107] Нормативная база (действует во всей непротиворечащей части):\nR≥3: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суток.\nПриоритетные авторские дельты (заменяют только прямо пересекающиеся ветви):\n[Q-SYM-045]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нельзя.","errorCodes":"ERR_PRECONDITION; ERR_TARGET; ERR_RESOURCE; ERR_ACTION_COST; ERR_RULE_SPECIFIC","idUnique":1,"inputs":"[SYM-107] чистый R20 активации; S, L; масса цели/груза.","manualChoice":"Только прямо указанные частной карточкой выборы.","playerCommandAvailable":false,"preconditions":"[SYM-107] цель ≤L м; ОЭ≥60.","resourceCost":"[SYM-107] выстрел; цена 60 ОЭ и 1 действие; последующее сокращение — 1 действие.\nОЭ≥60.","rollDefinition":"[SYM-107] чистый R20 активации\nR≥3: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цель.\nR=2: нет эффекта.\nR=1: выстрелить в случайную другую цель подходящей дальности, включая носителя.\nОбъект тяжелее S×L кг переместить нельзя.","ruleIds":"SYM-107; CORE-229; SYM-010; SYM-011","stateWrites":"[SYM-107] создаётся связь гарпуна и возможное перемещение.","targetSelector":"[SYM-107] цель или опора.","timeCost":"Боевые ходы/действия по частной карточке.","trigger":"[SYM-107] выстрел; цена 60 ОЭ и 1 действие; последующее сокращение — 1 действие."}</t>
  </si>
  <si>
    <t xml:space="preserve">d2ed1350220e1bfbce5fec29d4c43c2b4b3ee75fb06d51101dbe625d4a32b4d5</t>
  </si>
  <si>
    <t xml:space="preserve">SYM-107 PEACE</t>
  </si>
  <si>
    <t xml:space="preserve">{"abilityContextId":"CTX-SYM-107-PEACE","abilityId":"SYM-107","actionCost":"0","allowed":false,"armorPolicy":"NOT_APPLICABLE","atomicityAudit":"Записать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выполняется","ruleIds":"SYM-107; Q-APP-002","stateWrites":"Нет","targetSelector":"Не выбирается","timeCost":"0","trigger":"Попытка объявления в запрещённом контексте"}</t>
  </si>
  <si>
    <t xml:space="preserve">96d10c7d6c096cea1bf1b1a89bcc09e860b565db834527d5b6d5243476c5e640</t>
  </si>
  <si>
    <t xml:space="preserve">SYM-108 COMBAT</t>
  </si>
  <si>
    <t xml:space="preserve">{"abilityContextId":"CTX-SYM-108-COMBAT","abilityId":"SYM-108","actionCost":"Если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ходы.\n\n[SYM-108] Я — сила\nS=S_base+L; при гибели/удалении вернуть базовую.","context":"COMBAT","cooldown":"Нет, если не указан.","denialReason":"","duration":"Мгновенно, если срок не указан.","effect":"[SYM-108] S=S_base+L; при гибели/удалении вернуть базовую.","errorCodes":"ERR_PRECONDITION; ERR_TARGET; ERR_RESOURCE; ERR_ACTION_COST; ERR_RULE_SPECIFIC","idUnique":1,"inputs":"[SYM-108] базовая S, L.","manualChoice":"Только прямо указанные частной карточкой выборы.","playerCommandAvailable":false,"preconditions":"[SYM-108] способность доступна.","resourceCost":"0 ОЭ, если частная карточка не устанавливает цену.","rollDefinition":"[SYM-108] S=S_base+L; при гибели/удалении вернуть базовую.","ruleIds":"SYM-108; CORE-229; SYM-010; SYM-011","stateWrites":"[SYM-108] пересчитать S.","targetSelector":"Цель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карточке.","trigger":"[SYM-108] изменение L/наличия."}</t>
  </si>
  <si>
    <t xml:space="preserve">6ea76671512968c2cc62f79ae89bf8da2327902524b14d06f0203d5ce1674d22</t>
  </si>
  <si>
    <t xml:space="preserve">SYM-108 PEACE</t>
  </si>
  <si>
    <t xml:space="preserve">{"abilityContextId":"CTX-SYM-108-PEACE","abilityId":"SYM-108","actionCost":"Боевые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части.\n\n[SYM-108] Я — сила\nS=S_base+L; при гибели/удалении вернуть базовую.","context":"PEACE","cooldown":"Нет, если не указан.","denialReason":"","duration":"Мгновенно, если срок не указан.","effect":"[SYM-108] S=S_base+L; при гибели/удалении вернуть базовую.","errorCodes":"ERR_PRECONDITION; ERR_TARGET; ERR_RESOURCE; ERR_ACTION_COST; ERR_RULE_SPECIFIC","idUnique":1,"inputs":"[SYM-108] базовая S, L.","manualChoice":"Мастер подтверждает немоделируемые контакт, дистанцию и согласие цели по Q-APP-001.","playerCommandAvailable":false,"preconditions":"[SYM-108] способность доступна.","resourceCost":"0 ОЭ, если частная карточка не устанавливает цену.","rollDefinition":"[SYM-108] S=S_base+L; при гибели/удалении вернуть базовую.","ruleIds":"SYM-108; Q-APP-001; SYM-010; SYM-011","stateWrites":"[SYM-108] пересчитать S.","targetSelector":"Цель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0.","trigger":"[SYM-108] изменение L/наличия."}</t>
  </si>
  <si>
    <t xml:space="preserve">3e3c92da598bd180f088696bd4471e3416a02d1f19e2d9528ba8e6262bb2561a</t>
  </si>
  <si>
    <t xml:space="preserve">SYM-110 COMBAT</t>
  </si>
  <si>
    <t xml:space="preserve">{"abilityContextId":"CTX-SYM-110-COMBAT","abilityId":"SYM-110","actionCost":"Если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ходы.\n\n[SYM-110] Ноги сверчка\nдля защиты ноги добавить спасбросок R20, складывающийся с носимой бронёй; к прыжкам добавить +L.","context":"COMBAT","cooldown":"Нет, если не указан.","denialReason":"","duration":"Мгновенно, если срок не указан.","effect":"[SYM-110] для защиты ноги добавить спасбросок R20, складывающийся с носимой бронёй; к прыжкам добавить +L.","errorCodes":"ERR_PRECONDITION; ERR_TARGET; ERR_RESOURCE; ERR_ACTION_COST; ERR_RULE_SPECIFIC","idUnique":1,"inputs":"[SYM-110] отдельный R20 брони, носимая броня, L.","manualChoice":"Только прямо указанные частной карточкой выборы.","playerCommandAvailable":false,"preconditions":"[SYM-110] способность доступна.","resourceCost":"0 ОЭ, если частная карточка не устанавливает цену.","rollDefinition":"[SYM-110] отдельный R20 брони, носимая броня, L.\nдля защиты ноги добавить спасбросок R20, складывающийся с носимой бронёй; к прыжкам добавить +L.\nR20 бросается при каждом соответствующем попадании.","ruleIds":"SYM-110; CORE-229; SYM-010; SYM-011","stateWrites":"[SYM-110] защита/прыжок усилены.","targetSelector":"Цель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карточке.","trigger":"[SYM-110] попадание по ноге или проверка прыжка."}</t>
  </si>
  <si>
    <t xml:space="preserve">2c3b005ab59be14419d77b346129ae4ccce9ebeb54ff466c4b91955127556202</t>
  </si>
  <si>
    <t xml:space="preserve">SYM-110 PEACE</t>
  </si>
  <si>
    <t xml:space="preserve">{"abilityContextId":"CTX-SYM-110-PEACE","abilityId":"SYM-110","actionCost":"Боевые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части.\n\n[SYM-110] Ноги сверчка\nдля защиты ноги добавить спасбросок R20, складывающийся с носимой бронёй; к прыжкам добавить +L.","context":"PEACE","cooldown":"Нет, если не указан.","denialReason":"","duration":"Мгновенно, если срок не указан.","effect":"[SYM-110] для защиты ноги добавить спасбросок R20, складывающийся с носимой бронёй; к прыжкам добавить +L.","errorCodes":"ERR_PRECONDITION; ERR_TARGET; ERR_RESOURCE; ERR_ACTION_COST; ERR_RULE_SPECIFIC","idUnique":1,"inputs":"[SYM-110] отдельный R20 брони, носимая броня, L.","manualChoice":"Мастер подтверждает немоделируемые контакт, дистанцию и согласие цели по Q-APP-001.","playerCommandAvailable":false,"preconditions":"[SYM-110] способность доступна.","resourceCost":"0 ОЭ, если частная карточка не устанавливает цену.","rollDefinition":"[SYM-110] отдельный R20 брони, носимая броня, L.\nдля защиты ноги добавить спасбросок R20, складывающийся с носимой бронёй; к прыжкам добавить +L.\nR20 бросается при каждом соответствующем попадании.","ruleIds":"SYM-110; Q-APP-001; SYM-010; SYM-011","stateWrites":"[SYM-110] защита/прыжок усилены.","targetSelector":"Цель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0.","trigger":"[SYM-110] попадание по ноге или проверка прыжка."}</t>
  </si>
  <si>
    <t xml:space="preserve">26463b41ac984fa1078db883cf1a1068df7505de604b66945f806193588998ae</t>
  </si>
  <si>
    <t xml:space="preserve">SYM-111 COMBAT</t>
  </si>
  <si>
    <t xml:space="preserve">{"abilityContextId":"CTX-SYM-111-COMBAT","abilityId":"SYM-111","actionCost":"Если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ходы.\n\n[SYM-111] Чувствительные усы\nдобавить +5; электрические и поверхностные колебания доступны как сенсорные каналы.","context":"COMBAT","cooldown":"Нет, если не указан.","denialReason":"","duration":"Мгновенно, если срок не указан.","effect":"[SYM-111] добавить +5; электрические и поверхностные колебания доступны как сенсорные каналы.","errorCodes":"ERR_PRECONDITION; ERR_TARGET; ERR_RESOURCE; ERR_ACTION_COST; ERR_RULE_SPECIFIC","idUnique":1,"inputs":"[SYM-111] базовая проверка.","manualChoice":"Только прямо указанные частной карточкой выборы.","playerCommandAvailable":false,"preconditions":"[SYM-111] усы функционируют.","resourceCost":"0 ОЭ, если частная карточка не устанавливает цену.","rollDefinition":"Без броска, если частная карточка не требует его.","ruleIds":"SYM-111; CORE-229; SYM-010; SYM-011","stateWrites":"[SYM-111] модифицированное обнаружение.","targetSelector":"Цель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карточке.","trigger":"[SYM-111] проверка осмотра в боевой сцене."}</t>
  </si>
  <si>
    <t xml:space="preserve">f2f5aa7632baacc32b6d72fe4e34cf08d0f0969e4db778ed3a2cf2b6ad2b44a0</t>
  </si>
  <si>
    <t xml:space="preserve">SYM-111 PEACE</t>
  </si>
  <si>
    <t xml:space="preserve">{"abilityContextId":"CTX-SYM-111-PEACE","abilityId":"SYM-111","actionCost":"0","allowed":false,"armorPolicy":"NOT_APPLICABLE","atomicityAudit":"Записать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выполняется","ruleIds":"SYM-111; Q-APP-002","stateWrites":"Нет","targetSelector":"Не выбирается","timeCost":"0","trigger":"Попытка объявления в запрещённом контексте"}</t>
  </si>
  <si>
    <t xml:space="preserve">f97dd6094162f05c93b4cbe3273651efe3ded0ff31c833a0a7d7e479939b25ff</t>
  </si>
  <si>
    <t xml:space="preserve">SYM-112 COMBAT</t>
  </si>
  <si>
    <t xml:space="preserve">{"abilityContextId":"CTX-SYM-112-COMBAT","abilityId":"SYM-112","actionCost":"[SYM-112] объявление; цена 50 ОЭ и по умолчанию 1 действие.\nНормативная база (действует во всей непротиворечащей части):\nбросить один R20 и переместить прыжком на (R20)×2 метров; один раз за боевую ситуацию разрешить сократить дистанцию до противника без расхода действия.\n[Q-SYM-046]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урон.","atomicityAudit":"[SYM-112] бросить один R20 и переместить прыжком на (R20)×2 метров; один раз за боевую ситуацию разрешить сократить дистанцию до противника без расхода действия.\n[Q-SYM-046]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R20×2.","behavior":"Разрешается по агрегированным карточкам canonicalBehaviorCards; в бою учитываются указанная цена действий, боевые защиты, координаты и ходы.\n\n[SYM-112] Заряженный прыжок\nНормативная база (действует во всей непротиворечащей части):\nбросить один R20 и переместить прыжком на (R20)×2 метров; один раз за боевую ситуацию разрешить сократить дистанцию до противника без расхода действия.\nПриоритетные авторские дельты (заменяют только прямо пересекающиеся ветви):\n[Q-SYM-046]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вертикали.","context":"COMBAT","cooldown":"[SYM-112] Нормативная база (действует во всей непротиворечащей части):","denialReason":"","duration":"[SYM-112] Нормативная база (действует во всей непротиворечащей части):","effect":"[SYM-112] Нормативная база (действует во всей непротиворечащей части):\nбросить один R20 и переместить прыжком на (R20)×2 метров; один раз за боевую ситуацию разрешить сократить дистанцию до противника без расхода действия.\nПриоритетные авторские дельты (заменяют только прямо пересекающиеся ветви):\n[Q-SYM-046]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вертикали.","errorCodes":"ERR_PRECONDITION; ERR_TARGET; ERR_RESOURCE; ERR_ACTION_COST; ERR_RULE_SPECIFIC","idUnique":1,"inputs":"[SYM-112] чистый R20.","manualChoice":"Только прямо указанные частной карточкой выборы.","playerCommandAvailable":true,"preconditions":"[SYM-112] ОЭ≥50.","resourceCost":"[SYM-112] объявление; цена 50 ОЭ и по умолчанию 1 действие.\nОЭ≥50.\n[Q-SYM-046]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R20×2.\nцена ОЭ и бросок при бесплатном сокращении не уточнены.","rollDefinition":"[SYM-112] чистый R20.\nбросить один R20 и переместить прыжком на (R20)×2 метров; один раз за боевую ситуацию разрешить сократить дистанцию до противника без расхода действия.\n[Q-SYM-046]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R20×2.","ruleIds":"SYM-112; CORE-229; SYM-010; SYM-011","stateWrites":"[SYM-112] позиция/дистанция изменена; разовый флаг использован.","targetSelector":"Цель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карточке.","trigger":"[SYM-112] объявление; цена 50 ОЭ и по умолчанию 1 действие."}</t>
  </si>
  <si>
    <t xml:space="preserve">85e15aad875d7faf5712698ebd7d1578cba621797965cbd77375d8eea59f1f20</t>
  </si>
  <si>
    <t xml:space="preserve">SYM-112 PEACE</t>
  </si>
  <si>
    <t xml:space="preserve">{"abilityContextId":"CTX-SYM-112-PEACE","abilityId":"SYM-112","actionCost":"0","allowed":false,"armorPolicy":"NOT_APPLICABLE","atomicityAudit":"Записать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выполняется","ruleIds":"SYM-112; Q-APP-002","stateWrites":"Нет","targetSelector":"Не выбирается","timeCost":"0","trigger":"Попытка объявления в запрещённом контексте"}</t>
  </si>
  <si>
    <t xml:space="preserve">c2f3f8a6dc059ba92f4fe7573b55f4d615648f5ce4e5dc9ae77952cf288685e9</t>
  </si>
  <si>
    <t xml:space="preserve">SYM-113 COMBAT</t>
  </si>
  <si>
    <t xml:space="preserve">{"abilityContextId":"CTX-SYM-113-COMBAT","abilityId":"SYM-113","actionCost":"[SYM-113] объявление; цена 30 ОЭ и 1 действие.\nобычное действие без движения/симбионта прямо не снимает.","allowed":true,"armorPolicy":"Общий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ходы.\n\n[SYM-113] Маскировка под растение\nдобавить +5 к скрытности; снять эффект при движении или применении любой другой способности симбионта.","context":"COMBAT","cooldown":"Нет, если не указан.","denialReason":"","duration":"Мгновенно, если срок не указан.","effect":"[SYM-113] добавить +5 к скрытности; снять эффект при движении или применении любой другой способности симбионта.","errorCodes":"ERR_PRECONDITION; ERR_TARGET; ERR_RESOURCE; ERR_ACTION_COST; ERR_RULE_SPECIFIC","idUnique":1,"inputs":"[SYM-113] проверки скрытности.","manualChoice":"Только прямо указанные частной карточкой выборы.","playerCommandAvailable":true,"preconditions":"[SYM-113] фон/окружение — зелёные растения.","resourceCost":"[SYM-113] объявление; цена 30 ОЭ и 1 действие.","rollDefinition":"Без броска, если частная карточка не требует его.","ruleIds":"SYM-113; CORE-229; SYM-010; SYM-011","stateWrites":"[SYM-113] состояние растительной маскировки.","targetSelector":"Цель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карточке.","trigger":"[SYM-113] объявление; цена 30 ОЭ и 1 действие."}</t>
  </si>
  <si>
    <t xml:space="preserve">95efba2a7b528801b85c82b5b4997b0db1383cb29d26ee50afe63e2fbc12c2a3</t>
  </si>
  <si>
    <t xml:space="preserve">SYM-113 PEACE</t>
  </si>
  <si>
    <t xml:space="preserve">{"abilityContextId":"CTX-SYM-113-PEACE","abilityId":"SYM-113","actionCost":"0","allowed":false,"armorPolicy":"NOT_APPLICABLE","atomicityAudit":"Записать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выполняется","ruleIds":"SYM-113; Q-APP-002","stateWrites":"Нет","targetSelector":"Не выбирается","timeCost":"0","trigger":"Попытка объявления в запрещённом контексте"}</t>
  </si>
  <si>
    <t xml:space="preserve">8386db9df7c199d01a6d4cbaf3d2b66ae6eaa4f9868761f09cb411545acba375</t>
  </si>
  <si>
    <t xml:space="preserve">SYM-114 COMBAT</t>
  </si>
  <si>
    <t xml:space="preserve">{"abilityContextId":"CTX-SYM-114-COMBAT","abilityId":"SYM-114","actionCost":"[SYM-114] после прыжка &gt;20 м объявить попытку; цена 60 ОЭ и 1 действие по умолчанию.\nНормативная база (действует во всей непротиворечащей части):\nДо посадки персонаж не совершает иных действий, кроме изменения направления.","allowed":true,"armorPolicy":"Общий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ходы.\n\n[SYM-114] Крылья Сверчка\nНормативная база (действует во всей непротиворечащей части):\nA≤10: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точности.\nПриоритетные авторские дельты (заменяют только прямо пересекающиеся ветви):\n[Q-SYM-047]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боя.","context":"COMBAT","cooldown":"[SYM-114] Нормативная база (действует во всей непротиворечащей части):\nПри результате 10- увеличение прыжка разрешается в пределах текущего хода по тексту способности.\nПри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мастер.","denialReason":"","duration":"[SYM-114] Нормативная база (действует во всей непротиворечащей части):\nПри результате 10- увеличение прыжка разрешается в пределах текущего хода по тексту способности.\nПри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мастер.","effect":"[SYM-114] Нормативная база (действует во всей непротиворечащей части):\nA≤10: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точности.\nПриоритетные авторские дельты (заменяют только прямо пересекающиеся ветви):\n[Q-SYM-047]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боя.","errorCodes":"ERR_PRECONDITION; ERR_TARGET; ERR_RESOURCE; ERR_ACTION_COST; ERR_RULE_SPECIFIC","idUnique":1,"inputs":"[SYM-114] первый чистый R20 A; при A≤10 отдельный R20 multiplier; M,L,C (масса груза/экипировки без тела).","manualChoice":"Только прямо указанные частной карточкой выборы.","playerCommandAvailable":true,"preconditions":"[SYM-114] прыжок выполнен Заряженным прыжком; ОЭ≥60.","resourceCost":"[SYM-114] после прыжка &gt;20 м объявить попытку; цена 60 ОЭ и 1 действие по умолчанию.\nОЭ≥60.\n[Q-SYM-047] После прыжка более чем на 20 м персонаж отдельно оплачивает 60 ОЭ и выполняет проверку «Крыльев».","rollDefinition":"[SYM-114] первый чистый R20 A; при A≤10 отдельный R20 multiplier\nA≤10: увеличить дальность исходного прыжка в отдельный R20 раз.\nA≥11: начать полёт; max дальность max(0,M×L−C) км; при 0 приземлиться после прыжка.","ruleIds":"SYM-114; CORE-229; SYM-010; SYM-011","stateWrites":"[SYM-114] удлинённый прыжок либо полёт.","targetSelector":"Цель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карточке.","trigger":"[SYM-114] после прыжка &gt;20 м объявить попытку; цена 60 ОЭ и 1 действие по умолчанию."}</t>
  </si>
  <si>
    <t xml:space="preserve">5d499e7b88182e17230cbaf75a2efd90becf874a990b0e44d44ba5131ceab889</t>
  </si>
  <si>
    <t xml:space="preserve">SYM-114 PEACE</t>
  </si>
  <si>
    <t xml:space="preserve">{"abilityContextId":"CTX-SYM-114-PEACE","abilityId":"SYM-114","actionCost":"0","allowed":false,"armorPolicy":"NOT_APPLICABLE","atomicityAudit":"Записать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выполняется","ruleIds":"SYM-114; Q-APP-002","stateWrites":"Нет","targetSelector":"Не выбирается","timeCost":"0","trigger":"Попытка объявления в запрещённом контексте"}</t>
  </si>
  <si>
    <t xml:space="preserve">81007362a8f66d57cb8d0e6db0391b55400995c19efc16d9e6d4cb8613669606</t>
  </si>
  <si>
    <t xml:space="preserve">SYM-115 COMBAT</t>
  </si>
  <si>
    <t xml:space="preserve">{"abilityContextId":"CTX-SYM-115-COMBAT","abilityId":"SYM-115","actionCost":"Если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ходы.\n\n[SYM-115] Активные пилы\nсчитать ноги оружием; пробитие=R20+L; урон=отдельный R20+2L; S модифицирует урон, D — точность, рукопашный бой — общий; без навыка штраф не применять.","context":"COMBAT","cooldown":"Нет, если не указан.","denialReason":"","duration":"Мгновенно, если срок не указан.","effect":"[SYM-115] считать ноги оружием; пробитие=R20+L; урон=отдельный R20+2L; S модифицирует урон, D — точность, рукопашный бой — общий; без навыка штраф не применять.","errorCodes":"ERR_PRECONDITION; ERR_TARGET; ERR_RESOURCE; ERR_ACTION_COST; ERR_RULE_SPECIFIC","idUnique":1,"inputs":"[SYM-115] отдельные R20, L,S,D, навык рукопашного боя.","manualChoice":"Только прямо указанные частной карточкой выборы.","playerCommandAvailable":false,"preconditions":"[SYM-115] на ногах нет носимой брони.","resourceCost":"0 ОЭ, если частная карточка не устанавливает цену.","rollDefinition":"[SYM-115] отдельные R20, L,S,D, навык рукопашного боя.\nсчитать ноги оружием; пробитие=R20+L; урон=отдельный R20+2L","ruleIds":"SYM-115; CORE-229; SYM-010; SYM-011","stateWrites":"[SYM-115] разрешена оружейная атака ногой.","targetSelector":"[SYM-115] ноги.","timeCost":"Боевые ходы/действия по частной карточке.","trigger":"[SYM-115] атака ногой."}</t>
  </si>
  <si>
    <t xml:space="preserve">2e78aea053012d90721aca347eaa3b5952bdc2a6695914f04b1a46925a9f05ee</t>
  </si>
  <si>
    <t xml:space="preserve">SYM-115 PEACE</t>
  </si>
  <si>
    <t xml:space="preserve">{"abilityContextId":"CTX-SYM-115-PEACE","abilityId":"SYM-115","actionCost":"0","allowed":false,"armorPolicy":"NOT_APPLICABLE","atomicityAudit":"Записать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выполняется","ruleIds":"SYM-115; Q-APP-002","stateWrites":"Нет","targetSelector":"Не выбирается","timeCost":"0","trigger":"Попытка объявления в запрещённом контексте"}</t>
  </si>
  <si>
    <t xml:space="preserve">64d60401845863d46fe0ae52cc6649cdaf7f288c0b09d7ac39533e42934d663a</t>
  </si>
  <si>
    <t xml:space="preserve">SYM-117 COMBAT</t>
  </si>
  <si>
    <t xml:space="preserve">{"abilityContextId":"CTX-SYM-117-COMBAT","abilityId":"SYM-117","actionCost":"0","allowed":false,"armorPolicy":"NOT_APPLICABLE","atomicityAudit":"Записать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ресурсов.","context":"COMBAT","cooldown":"Нет","denialReason":"Контекст COMBAT прямо не разрешён принятым решением автоматизации.","duration":"Нет","effect":"Нет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выполняется","ruleIds":"SYM-117; Q-APP-002","stateWrites":"Нет","targetSelector":"Не выбирается","timeCost":"0","trigger":"Попытка объявления в запрещённом контексте"}</t>
  </si>
  <si>
    <t xml:space="preserve">839aa99cff722e9fbf50b8b9232fccacae52914e299faf61f3944740eeed1977</t>
  </si>
  <si>
    <t xml:space="preserve">SYM-117 PEACE</t>
  </si>
  <si>
    <t xml:space="preserve">{"abilityContextId":"CTX-SYM-117-PEACE","abilityId":"SYM-117","actionCost":"0 боевых действий","allowed":true,"armorPolicy":"NOT_APPLICABLE","atomicityAudit":"Одна атомарная операция: проверка предусловий → создание одного экземпляра → запись в инвентарь. После удаления Паука предмет сохраняется.","behavior":"Мгновенно создать ровно один отдельный WEB_ITEM. Не моделировать длительность, длину, объём, массу или общий переносимый вес. Не объединять автоматически с другими экземплярами.","context":"PEACE","cooldown":"Нет","denialReason":"","duration":"Постоянно до передачи, выбрасывания, мародёрства или иного удаления предмета","effect":"Создан один служебный предмет с вычисляемыми свойствами: loadCapacityKg=20×sourceLevelSnapshot; adhesionKgPerCm2=5×sourceLevelSnapshot.","errorCodes":"ERR_CONTEXT_FORBIDDEN; ERR_ENTITY_KIND; ERR_PRECONDITION","idUnique":1,"inputs":"sourceLevelSnapshot=L","manualChoice":"Игрок только подтверждает запуск способности","playerCommandAvailable":true,"preconditions":"Носитель имеет активного Паука и изученный SYM-117; EntityKind не CUSTOM_MONSTER.","resourceCost":"0 ОЭ","rollDefinition":"Нет броска","ruleIds":"SYM-117; CORE-224","stateWrites":"inventory += new WEB_ITEM; generatedObjectId=new UUID; sourceLevelSnapshot=L; massKg=null; stackPolicy=NEVER_AUTO_MERGE","targetSelector":"Инвентарь носителя","timeCost":"0; игровое и реальное время не продвигается","trigger":"Игрок запускает команду «Паутинные железы» вне боя."}</t>
  </si>
  <si>
    <t xml:space="preserve">d957ea0dd5f08da1337d5cc7f93c50717817bcfb8a90082f0ca1bbb9d6a957b0</t>
  </si>
  <si>
    <t xml:space="preserve">SYM-118 COMBAT</t>
  </si>
  <si>
    <t xml:space="preserve">{"abilityContextId":"CTX-SYM-118-COMBAT","abilityId":"SYM-118","actionCost":"Если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ходы.\n\n[SYM-118] Перемещение по паутине\nразрешить безопасное движение по паутине в любых направлениях, независимо от создателя нити.","context":"COMBAT","cooldown":"Нет, если не указан.","denialReason":"","duration":"Мгновенно, если срок не указан.","effect":"[SYM-118] разрешить безопасное движение по паутине в любых направлениях, независимо от создателя нити.","errorCodes":"ERR_PRECONDITION; ERR_TARGET; ERR_RESOURCE; ERR_ACTION_COST; ERR_RULE_SPECIFIC","idUnique":1,"inputs":"[SYM-118] направление/дистанция.","manualChoice":"Только прямо указанные частной карточкой выборы.","playerCommandAvailable":false,"preconditions":"[SYM-118] паутина выдерживает нагрузку.","resourceCost":"0 ОЭ, если частная карточка не устанавливает цену.","rollDefinition":"Без броска, если частная карточка не требует его.","ruleIds":"SYM-118; CORE-229; SYM-010; SYM-011","stateWrites":"[SYM-118] позиция меняется без специального риска.","targetSelector":"[SYM-118] любая паутина Паука.","timeCost":"Боевые ходы/действия по частной карточке.","trigger":"[SYM-118] перемещение по нити."}</t>
  </si>
  <si>
    <t xml:space="preserve">e5f96c1e38c4ebb9db9ba2018f1fba72411eafdcfa11f509340c8b0ef5fe77e6</t>
  </si>
  <si>
    <t xml:space="preserve">SYM-118 PEACE</t>
  </si>
  <si>
    <t xml:space="preserve">{"abilityContextId":"CTX-SYM-118-PEACE","abilityId":"SYM-118","actionCost":"0","allowed":false,"armorPolicy":"NOT_APPLICABLE","atomicityAudit":"Записать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выполняется","ruleIds":"SYM-118; Q-APP-002","stateWrites":"Нет","targetSelector":"Не выбирается","timeCost":"0","trigger":"Попытка объявления в запрещённом контексте"}</t>
  </si>
  <si>
    <t xml:space="preserve">9e32b74fd9d1ac470da15194d2d469c6316cedeee76b3af349b252251c537b78</t>
  </si>
  <si>
    <t xml:space="preserve">SYM-120 COMBAT</t>
  </si>
  <si>
    <t xml:space="preserve">{"abilityContextId":"CTX-SYM-120-COMBAT","abilityId":"SYM-120","actionCost":"[SYM-120] объявление; цена 30 ОЭ и 1 действие.\nНормативная база (действует во всей непротиворечащей части):\nОтсоединение нити от запястья занимает 1 минуту/1 действие.\nНоситель отсоединяет нить за 1 действие; цель освобождается за 1 действие и успешную проверку R20+S против 15+L.","allowed":true,"armorPolicy":"Общий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ходы.\n\n[SYM-120] Выстрел паутиной\nНормативная база (действует во всей непротиворечащей части):\nR≥3: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освобождения.\nПриоритетные авторские дельты (заменяют только прямо пересекающиеся ветви):\n[Q-SYM-050]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проверке.","context":"COMBAT","cooldown":"[SYM-120] Нормативная база (действует во всей непротиворечащей части):\nОтсоединение нити от запястья занимает 1 минуту/1 действие.","denialReason":"","duration":"[SYM-120] Нормативная база (действует во всей непротиворечащей части):\nОтсоединение нити от запястья занимает 1 минуту/1 действие.","effect":"[SYM-120] Нормативная база (действует во всей непротиворечащей части):\nR≥3: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освобождения.\nПриоритетные авторские дельты (заменяют только прямо пересекающиеся ветви):\n[Q-SYM-050]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проверке.","errorCodes":"ERR_PRECONDITION; ERR_TARGET; ERR_RESOURCE; ERR_ACTION_COST; ERR_RULE_SPECIFIC","idUnique":1,"inputs":"[SYM-120] чистый R20 активации, точность.","manualChoice":"Только прямо указанные частной карточкой выборы.","playerCommandAvailable":true,"preconditions":"[SYM-120] цель ≤L м; запястье доступно.","resourceCost":"[SYM-120] объявление; цена 30 ОЭ и 1 действие.","rollDefinition":"[SYM-120] чистый R20 активации, точность.\nR=2: нет эффекта.\nR=1: носитель запутан, −5 ко всем проверкам до освобождения.\nНоситель отсоединяет нить за 1 действие; цель освобождается за 1 действие и успешную проверку R20+S против 15+L.","ruleIds":"SYM-120; CORE-229; SYM-010; SYM-011","stateWrites":"[SYM-120] закреплённая линия либо самозапутывание.","targetSelector":"[SYM-120] твёрдый объект.","timeCost":"Боевые ходы/действия по частной карточке.","trigger":"[SYM-120] объявление; цена 30 ОЭ и 1 действие."}</t>
  </si>
  <si>
    <t xml:space="preserve">0d123f7a65e11ed2f0fd239d78760b64db517a0d6eb47c3415059c4c2f7ef228</t>
  </si>
  <si>
    <t xml:space="preserve">SYM-120 PEACE</t>
  </si>
  <si>
    <t xml:space="preserve">{"abilityContextId":"CTX-SYM-120-PEACE","abilityId":"SYM-120","actionCost":"0","allowed":false,"armorPolicy":"NOT_APPLICABLE","atomicityAudit":"Записать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выполняется","ruleIds":"SYM-120; Q-APP-002","stateWrites":"Нет","targetSelector":"Не выбирается","timeCost":"0","trigger":"Попытка объявления в запрещённом контексте"}</t>
  </si>
  <si>
    <t xml:space="preserve">d8f2f4134b73f02f34c623ac7aa4030c6fda4c5b383470b79440b28fb69587cb</t>
  </si>
  <si>
    <t xml:space="preserve">SYM-121 COMBAT</t>
  </si>
  <si>
    <t xml:space="preserve">{"abilityContextId":"CTX-SYM-121-COMBAT","abilityId":"SYM-121","actionCost":"[SYM-121] объявление; цена 50 ОЭ и 1 действие.\nНормативная база (действует во всей непротиворечащей части):\nR=1: руки носителя скованы на 20 минут/4 хода.\nНоситель отсоединяет нить за 1 действие; цель освобождается за 1 действие и успешную проверку R20+S против 15+L.","allowed":true,"armorPolicy":"Общий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ходы.\n\n[SYM-121] Ловчая сеть\nНормативная база (действует во всей непротиворечащей части):\nR≥3: выстрелить сетью 2×2 м; при попадании цель получает −5 ко всем проверкам до освобождения. R=2: нет эффекта. R=1: руки носителя скованы на 20 минут/4 хода.\nПриоритетные авторские дельты (заменяют только прямо пересекающиеся ветви):\n[Q-SYM-050]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проверке.","context":"COMBAT","cooldown":"[SYM-121] Нормативная база (действует во всей непротиворечащей части):\nR=1: руки носителя скованы на 20 минут/4 хода.","denialReason":"","duration":"[SYM-121] Нормативная база (действует во всей непротиворечащей части):\nR=1: руки носителя скованы на 20 минут/4 хода.","effect":"[SYM-121] Нормативная база (действует во всей непротиворечащей части):\nR≥3: выстрелить сетью 2×2 м; при попадании цель получает −5 ко всем проверкам до освобождения. R=2: нет эффекта. R=1: руки носителя скованы на 20 минут/4 хода.\nПриоритетные авторские дельты (заменяют только прямо пересекающиеся ветви):\n[Q-SYM-050]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проверке.","errorCodes":"ERR_PRECONDITION; ERR_TARGET; ERR_RESOURCE; ERR_ACTION_COST; ERR_RULE_SPECIFIC","idUnique":1,"inputs":"[SYM-121] чистый R20 активации, точность.","manualChoice":"Только прямо указанные частной карточкой выборы.","playerCommandAvailable":true,"preconditions":"[SYM-121] оба запястья не закрыты; ОЭ≥50.","resourceCost":"[SYM-121] объявление; цена 50 ОЭ и 1 действие.\nОЭ≥50.","rollDefinition":"[SYM-121] чистый R20 активации, точность.\nR≥3: выстрелить сетью 2×2 м; при попадании цель получает −5 ко всем проверкам до освобождения.\nR=2: нет эффекта.\nR=1: руки носителя скованы на 20 минут/4 хода.\nНоситель отсоединяет нить за 1 действие; цель освобождается за 1 действие и успешную проверку R20+S против 15+L.","ruleIds":"SYM-121; CORE-229; SYM-010; SYM-011","stateWrites":"[SYM-121] цель/носитель опутаны.","targetSelector":"[SYM-121] цель.","timeCost":"Боевые ходы/действия по частной карточке.","trigger":"[SYM-121] объявление; цена 50 ОЭ и 1 действие."}</t>
  </si>
  <si>
    <t xml:space="preserve">4f04e5ae4122de31e607fb124e9f3df950d6a42293cfe21dbd4b8ec4e8975956</t>
  </si>
  <si>
    <t xml:space="preserve">SYM-121 PEACE</t>
  </si>
  <si>
    <t xml:space="preserve">{"abilityContextId":"CTX-SYM-121-PEACE","abilityId":"SYM-121","actionCost":"0","allowed":false,"armorPolicy":"NOT_APPLICABLE","atomicityAudit":"Записать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выполняется","ruleIds":"SYM-121; Q-APP-002","stateWrites":"Нет","targetSelector":"Не выбирается","timeCost":"0","trigger":"Попытка объявления в запрещённом контексте"}</t>
  </si>
  <si>
    <t xml:space="preserve">8c4aa7bc26e8b65b08db3845f9a8b06c4363b310cfc7279ab05118a27245b844</t>
  </si>
  <si>
    <t xml:space="preserve">SYM-122 COMBAT</t>
  </si>
  <si>
    <t xml:space="preserve">{"abilityContextId":"CTX-SYM-122-COMBAT","abilityId":"SYM-122","actionCost":"Если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ходы.\n\n[SYM-122] Паучья ловкость\nD=D_base+L; при гибели/удалении вернуть базовую.","context":"COMBAT","cooldown":"Нет, если не указан.","denialReason":"","duration":"Мгновенно, если срок не указан.","effect":"[SYM-122] D=D_base+L; при гибели/удалении вернуть базовую.","errorCodes":"ERR_PRECONDITION; ERR_TARGET; ERR_RESOURCE; ERR_ACTION_COST; ERR_RULE_SPECIFIC","idUnique":1,"inputs":"[SYM-122] базовая D, L.","manualChoice":"Только прямо указанные частной карточкой выборы.","playerCommandAvailable":false,"preconditions":"[SYM-122] способность доступна.","resourceCost":"0 ОЭ, если частная карточка не устанавливает цену.","rollDefinition":"[SYM-122] D=D_base+L; при гибели/удалении вернуть базовую.","ruleIds":"SYM-122; CORE-229; SYM-010; SYM-011","stateWrites":"[SYM-122] пересчитать D.","targetSelector":"Цель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карточке.","trigger":"[SYM-122] изменение L/наличия."}</t>
  </si>
  <si>
    <t xml:space="preserve">c730c428fc3aeb777d41f7d51379c7607338237ce8436cdabccade531f586c70</t>
  </si>
  <si>
    <t xml:space="preserve">SYM-122 PEACE</t>
  </si>
  <si>
    <t xml:space="preserve">{"abilityContextId":"CTX-SYM-122-PEACE","abilityId":"SYM-122","actionCost":"Боевые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части.\n\n[SYM-122] Паучья ловкость\nD=D_base+L; при гибели/удалении вернуть базовую.","context":"PEACE","cooldown":"Нет, если не указан.","denialReason":"","duration":"Мгновенно, если срок не указан.","effect":"[SYM-122] D=D_base+L; при гибели/удалении вернуть базовую.","errorCodes":"ERR_PRECONDITION; ERR_TARGET; ERR_RESOURCE; ERR_ACTION_COST; ERR_RULE_SPECIFIC","idUnique":1,"inputs":"[SYM-122] базовая D, L.","manualChoice":"Мастер подтверждает немоделируемые контакт, дистанцию и согласие цели по Q-APP-001.","playerCommandAvailable":false,"preconditions":"[SYM-122] способность доступна.","resourceCost":"0 ОЭ, если частная карточка не устанавливает цену.","rollDefinition":"[SYM-122] D=D_base+L; при гибели/удалении вернуть базовую.","ruleIds":"SYM-122; Q-APP-001; SYM-010; SYM-011","stateWrites":"[SYM-122] пересчитать D.","targetSelector":"Цель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0.","trigger":"[SYM-122] изменение L/наличия."}</t>
  </si>
  <si>
    <t xml:space="preserve">5bc1c7577cc919fd0ac11680448a65cf660c3bf27e1d00e2974700400716cbaf</t>
  </si>
  <si>
    <t xml:space="preserve">SYM-124 COMBAT</t>
  </si>
  <si>
    <t xml:space="preserve">{"abilityContextId":"CTX-SYM-124-COMBAT","abilityId":"SYM-124","actionCost":"[SYM-124] носитель замирает и объявляет; цена 10 ОЭ и 1 действие.\nпосле смены одежды/брони прошёл 1 час прорастания хромоцветов.\nНормативная база (действует во всей непротиворечащей части):\nR=1: на 1 час окрас мухомора, −5 к скрытности и C-проверкам.","allowed":true,"armorPolicy":"Общий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ходы.\n\n[SYM-124] Статическая маскировка\nНормативная база (действует во всей непротиворечащей части):\nR≥3: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C-проверкам.\nПриоритетные авторские дельты (заменяют только прямо пересекающиеся ветви):\n[Q-SYM-051]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скрыться.","context":"COMBAT","cooldown":"[SYM-124] после смены одежды/брони прошёл 1 час прорастания хромоцветов.\nНормативная база (действует во всей непротиворечащей части):\nR=1: на 1 час окрас мухомора, −5 к скрытности и C-проверкам.","denialReason":"","duration":"[SYM-124] после смены одежды/брони прошёл 1 час прорастания хромоцветов.\nНормативная база (действует во всей непротиворечащей части):\nR=1: на 1 час окрас мухомора, −5 к скрытности и C-проверкам.","effect":"[SYM-124] Нормативная база (действует во всей непротиворечащей части):\nR≥3: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C-проверкам.\nПриоритетные авторские дельты (заменяют только прямо пересекающиеся ветви):\n[Q-SYM-051]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скрыться.","errorCodes":"ERR_PRECONDITION; ERR_TARGET; ERR_RESOURCE; ERR_ACTION_COST; ERR_RULE_SPECIFIC","idUnique":1,"inputs":"[SYM-124] чистый R20; размер предмета в руках.","manualChoice":"Только прямо указанные частной карточкой выборы.","playerCommandAvailable":true,"preconditions":"[SYM-124] после смены одежды/брони прошёл 1 час прорастания хромоцветов.","resourceCost":"[SYM-124] носитель замирает и объявляет; цена 10 ОЭ и 1 действие.","rollDefinition":"[SYM-124] чистый R20; размер предмета в руках.\nR=2: нет эффекта.\nR=1: на 1 час окрас мухомора, −5 к скрытности и C-проверкам.","ruleIds":"SYM-124; CORE-229; SYM-010; SYM-011","stateWrites":"[SYM-124] маскировка либо негативный окрас.","targetSelector":"[SYM-124] наблюдатели.","timeCost":"Боевые ходы/действия по частной карточке.","trigger":"[SYM-124] носитель замирает и объявляет; цена 10 ОЭ и 1 действие."}</t>
  </si>
  <si>
    <t xml:space="preserve">6e80e257ad8e3fb73a6c67c044879713d9112dcc6400a2e610eed157bcbd6c7d</t>
  </si>
  <si>
    <t xml:space="preserve">SYM-124 PEACE</t>
  </si>
  <si>
    <t xml:space="preserve">{"abilityContextId":"CTX-SYM-124-PEACE","abilityId":"SYM-124","actionCost":"0","allowed":false,"armorPolicy":"NOT_APPLICABLE","atomicityAudit":"Записать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выполняется","ruleIds":"SYM-124; Q-APP-002","stateWrites":"Нет","targetSelector":"Не выбирается","timeCost":"0","trigger":"Попытка объявления в запрещённом контексте"}</t>
  </si>
  <si>
    <t xml:space="preserve">0dfb6928429c56b078828778debdb677e171f5cdd5493c46b246dbbfe711ff71</t>
  </si>
  <si>
    <t xml:space="preserve">SYM-125 COMBAT</t>
  </si>
  <si>
    <t xml:space="preserve">{"abilityContextId":"CTX-SYM-125-COMBAT","abilityId":"SYM-125","actionCost":"[SYM-125]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ходы.\n\n[SYM-125] Атака из засады\nНормативная база (действует во всей непротиворечащей части):\nдобавить +L к меткости.\nПриоритетные авторские дельты (заменяют только прямо пересекающиеся ветви):\n[Q-SYM-051]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скрыться.","context":"COMBAT","cooldown":"[SYM-125] Нормативная база (действует во всей непротиворечащей части):","denialReason":"","duration":"[SYM-125] Нормативная база (действует во всей непротиворечащей части):","effect":"[SYM-125] Нормативная база (действует во всей непротиворечащей части):\nдобавить +L к меткости.\nПриоритетные авторские дельты (заменяют только прямо пересекающиеся ветви):\n[Q-SYM-051]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скрыться.","errorCodes":"ERR_PRECONDITION; ERR_TARGET; ERR_RESOURCE; ERR_ACTION_COST; ERR_RULE_SPECIFIC","idUnique":1,"inputs":"[SYM-125] L, проверка точности.","manualChoice":"Только прямо указанные частной карточкой выборы.","playerCommandAvailable":false,"preconditions":"[SYM-125] цель не видит атакующего.","resourceCost":"0 ОЭ, если частная карточка не устанавливает цену.","rollDefinition":"Без броска, если частная карточка не требует его.","ruleIds":"SYM-125; CORE-229; SYM-010; SYM-011","stateWrites":"[SYM-125] модифицированная атака.","targetSelector":"[SYM-125] цель.","timeCost":"Боевые ходы/действия по частной карточке.","trigger":"[SYM-125] любая атака из состояния маскировки."}</t>
  </si>
  <si>
    <t xml:space="preserve">f276d19c43259c3ce97577109b5460a87471e2022d6b68407d6b02fe113a49b7</t>
  </si>
  <si>
    <t xml:space="preserve">SYM-125 PEACE</t>
  </si>
  <si>
    <t xml:space="preserve">{"abilityContextId":"CTX-SYM-125-PEACE","abilityId":"SYM-125","actionCost":"0","allowed":false,"armorPolicy":"NOT_APPLICABLE","atomicityAudit":"Записать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выполняется","ruleIds":"SYM-125; Q-APP-002","stateWrites":"Нет","targetSelector":"Не выбирается","timeCost":"0","trigger":"Попытка объявления в запрещённом контексте"}</t>
  </si>
  <si>
    <t xml:space="preserve">42cb597515b874fb78f55be8b9c4ae6b52f75af09b72f348847432f3d2ed1af9</t>
  </si>
  <si>
    <t xml:space="preserve">SYM-126 COMBAT</t>
  </si>
  <si>
    <t xml:space="preserve">{"abilityContextId":"CTX-SYM-126-COMBAT","abilityId":"SYM-126","actionCost":"[SYM-126]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ходы.\n\n[SYM-126] Двойной фокус внимания\nНормативная база (действует во всей непротиворечащей части):\nдобавить +L.\nПриоритетные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подавляется.","context":"COMBAT","cooldown":"[SYM-126] Нормативная база (действует во всей непротиворечащей части):","denialReason":"","duration":"[SYM-126] Нормативная база (действует во всей непротиворечащей части):","effect":"[SYM-126] Нормативная база (действует во всей непротиворечащей части):\nдобавить +L.\nПриоритетные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подавляется.","errorCodes":"ERR_PRECONDITION; ERR_TARGET; ERR_RESOURCE; ERR_ACTION_COST; ERR_RULE_SPECIFIC","idUnique":1,"inputs":"[SYM-126] L.","manualChoice":"Только прямо указанные частной карточкой выборы.","playerCommandAvailable":false,"preconditions":"[SYM-126] у носителя нет действующей Совы с «Безупречным зрением».","resourceCost":"0 ОЭ, если частная карточка не устанавливает цену.","rollDefinition":"Без броска, если частная карточка не требует его.","ruleIds":"SYM-126; CORE-229; SYM-010; SYM-011","stateWrites":"[SYM-126] модифицированный осмотр.","targetSelector":"Цель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карточке.","trigger":"[SYM-126] проверка осмотра."}</t>
  </si>
  <si>
    <t xml:space="preserve">cd2797f2745ee1e17a08dee6551773d0db6ee6b9e49f24d52e3d26c1d1a5fb7d</t>
  </si>
  <si>
    <t xml:space="preserve">SYM-126 PEACE</t>
  </si>
  <si>
    <t xml:space="preserve">{"abilityContextId":"CTX-SYM-126-PEACE","abilityId":"SYM-126","actionCost":"Боевые действия не расходуются вне боя. Частная длительность/условия сохраняются:\n[SYM-126]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части.\n\n[SYM-126] Двойной фокус внимания\nНормативная база (действует во всей непротиворечащей части):\nдобавить +L.\nПриоритетные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подавляется.","context":"PEACE","cooldown":"[SYM-126] Нормативная база (действует во всей непротиворечащей части):","denialReason":"","duration":"[SYM-126] Нормативная база (действует во всей непротиворечащей части):","effect":"[SYM-126] Нормативная база (действует во всей непротиворечащей части):\nдобавить +L.\nПриоритетные авторские дельты (заменяют только прямо пересекающиеся ветви):\n[Q-SYM-021]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подавляется.","errorCodes":"ERR_PRECONDITION; ERR_TARGET; ERR_RESOURCE; ERR_ACTION_COST; ERR_RULE_SPECIFIC","idUnique":1,"inputs":"[SYM-126] L.","manualChoice":"Мастер подтверждает немоделируемые контакт, дистанцию и согласие цели по Q-APP-001.","playerCommandAvailable":false,"preconditions":"[SYM-126] у носителя нет действующей Совы с «Безупречным зрением».","resourceCost":"0 ОЭ, если частная карточка не устанавливает цену.","rollDefinition":"Без броска, если частная карточка не требует его.","ruleIds":"SYM-126; Q-APP-001; SYM-010; SYM-011","stateWrites":"[SYM-126] модифицированный осмотр.","targetSelector":"Цель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0.","trigger":"[SYM-126] проверка осмотра."}</t>
  </si>
  <si>
    <t xml:space="preserve">55e5ab143fb1dec8583dba2321635a0555522fb6698539a8b23993f125bd5138</t>
  </si>
  <si>
    <t xml:space="preserve">SYM-127 COMBAT</t>
  </si>
  <si>
    <t xml:space="preserve">{"abilityContextId":"CTX-SYM-127-COMBAT","abilityId":"SYM-127","actionCost":"[SYM-127] объявление; цена 60 ОЭ и 1 действие.\nпосле смены одежды/брони прошёл 1 час.\nR≥4: на 3R минут проверки обнаружения получают −2L, движение не снимает; крупный предмет в руках делит штраф пополам.\nR=1: на 1 час окрас мухомора с движущимися пятнами, −10 к скрытности и C-проверкам.","allowed":true,"armorPolicy":"Общий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ходы.\n\n[SYM-127] Динамическая маскировка\nR≥4: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C-проверкам.","context":"COMBAT","cooldown":"[SYM-127] после смены одежды/брони прошёл 1 час.\nR≥4: на 3R минут проверки обнаружения получают −2L, движение не снимает; крупный предмет в руках делит штраф пополам.\nR=1: на 1 час окрас мухомора с движущимися пятнами, −10 к скрытности и C-проверкам.","denialReason":"","duration":"[SYM-127] после смены одежды/брони прошёл 1 час.\nR≥4: на 3R минут проверки обнаружения получают −2L, движение не снимает; крупный предмет в руках делит штраф пополам.\nR=1: на 1 час окрас мухомора с движущимися пятнами, −10 к скрытности и C-проверкам.","effect":"[SYM-127] 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C-проверкам.","errorCodes":"ERR_PRECONDITION; ERR_TARGET; ERR_RESOURCE; ERR_ACTION_COST; ERR_RULE_SPECIFIC","idUnique":1,"inputs":"[SYM-127] один чистый R20 R (активация/длительность), L, предмет в руках.","manualChoice":"Только прямо указанные частной карточкой выборы.","playerCommandAvailable":true,"preconditions":"[SYM-127] после смены одежды/брони прошёл 1 час.","resourceCost":"[SYM-127] объявление; цена 60 ОЭ и 1 действие.","rollDefinition":"[SYM-127] один чистый R20 R (активация/длительность), L, предмет в руках.\nR=2–3: нет эффекта.\nR=1: на 1 час окрас мухомора с движущимися пятнами, −10 к скрытности и C-проверкам.","ruleIds":"SYM-127; CORE-229; SYM-010; SYM-011","stateWrites":"[SYM-127] длительная маскировка либо негативный окрас.","targetSelector":"[SYM-127] наблюдатели.","timeCost":"Боевые ходы/действия по частной карточке.","trigger":"[SYM-127] объявление; цена 60 ОЭ и 1 действие."}</t>
  </si>
  <si>
    <t xml:space="preserve">aaa360e39a4f8c6a1fe7c0583bea42b228d1b1bdf58deba27a00bebb9e9676ef</t>
  </si>
  <si>
    <t xml:space="preserve">SYM-127 PEACE</t>
  </si>
  <si>
    <t xml:space="preserve">{"abilityContextId":"CTX-SYM-127-PEACE","abilityId":"SYM-127","actionCost":"0","allowed":false,"armorPolicy":"NOT_APPLICABLE","atomicityAudit":"Записать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выполняется","ruleIds":"SYM-127; Q-APP-002","stateWrites":"Нет","targetSelector":"Не выбирается","timeCost":"0","trigger":"Попытка объявления в запрещённом контексте"}</t>
  </si>
  <si>
    <t xml:space="preserve">bf691ed0e316fe829ab39561ad54467df84060af133ee61a286cffd878695373</t>
  </si>
  <si>
    <t xml:space="preserve">SYM-128 COMBAT</t>
  </si>
  <si>
    <t xml:space="preserve">{"abilityContextId":"CTX-SYM-128-COMBAT","abilityId":"SYM-128","actionCost":"Если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ходы.\n\n[SYM-128] Сокрытие оружия\nне применять штраф/деление эффекта за крупные предметы; распространять маскировку на любые удерживаемые объекты.","context":"COMBAT","cooldown":"Нет, если не указан.","denialReason":"","duration":"Мгновенно, если срок не указан.","effect":"[SYM-128] не применять штраф/деление эффекта за крупные предметы; распространять маскировку на любые удерживаемые объекты.","errorCodes":"ERR_PRECONDITION; ERR_TARGET; ERR_RESOURCE; ERR_ACTION_COST; ERR_RULE_SPECIFIC","idUnique":1,"inputs":"[SYM-128] предметы в руках.","manualChoice":"Только прямо указанные частной карточкой выборы.","playerCommandAvailable":false,"preconditions":"[SYM-128] способность доступна.","resourceCost":"0 ОЭ, если частная карточка не устанавливает цену.","rollDefinition":"Без броска, если частная карточка не требует его.","ruleIds":"SYM-128; CORE-229; SYM-010; SYM-011","stateWrites":"[SYM-128] полный модификатор маскировки.","targetSelector":"[SYM-128] объекты в руках носителя.","timeCost":"Боевые ходы/действия по частной карточке.","trigger":"[SYM-128] расчёт статической/динамической маскировки."}</t>
  </si>
  <si>
    <t xml:space="preserve">6cab14e873816ee11ad21149762a3b16953eaa53cf52b0bf57049e53ffba59f3</t>
  </si>
  <si>
    <t xml:space="preserve">SYM-128 PEACE</t>
  </si>
  <si>
    <t xml:space="preserve">{"abilityContextId":"CTX-SYM-128-PEACE","abilityId":"SYM-128","actionCost":"Боевые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части.\n\n[SYM-128] Сокрытие оружия\nне применять штраф/деление эффекта за крупные предметы; распространять маскировку на любые удерживаемые объекты.","context":"PEACE","cooldown":"Нет, если не указан.","denialReason":"","duration":"Мгновенно, если срок не указан.","effect":"[SYM-128] не применять штраф/деление эффекта за крупные предметы; распространять маскировку на любые удерживаемые объекты.","errorCodes":"ERR_PRECONDITION; ERR_TARGET; ERR_RESOURCE; ERR_ACTION_COST; ERR_RULE_SPECIFIC","idUnique":1,"inputs":"[SYM-128] предметы в руках.","manualChoice":"Мастер подтверждает немоделируемые контакт, дистанцию и согласие цели по Q-APP-001.","playerCommandAvailable":false,"preconditions":"[SYM-128] способность доступна.","resourceCost":"0 ОЭ, если частная карточка не устанавливает цену.","rollDefinition":"Без броска, если частная карточка не требует его.","ruleIds":"SYM-128; Q-APP-001; SYM-010; SYM-011","stateWrites":"[SYM-128] полный модификатор маскировки.","targetSelector":"[SYM-128] объекты в руках носителя.","timeCost":"Виртуальное время только если прямо установлено частной карточкой; иначе 0.","trigger":"[SYM-128] расчёт статической/динамической маскировки."}</t>
  </si>
  <si>
    <t xml:space="preserve">fe9d80118374b4883c31224fe131bac3912f7a91a0d749ab3fb3c31e5e8245a7</t>
  </si>
  <si>
    <t xml:space="preserve">SYM-129 COMBAT</t>
  </si>
  <si>
    <t xml:space="preserve">{"abilityContextId":"CTX-SYM-129-COMBAT","abilityId":"SYM-129","actionCost":"[SYM-129] объявление; цена 300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ходы.\n\n[SYM-129] Внешняя фотосеть\nНормативная база (действует во всей непротиворечащей части):\nдать всем живым объектам в радиусе 4 м +L к скрытности.\nПриоритетные авторские дельты (заменяют только прямо пересекающиеся ветви):\n[Q-SYM-052]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L.","context":"COMBAT","cooldown":"[SYM-129] Нормативная база (действует во всей непротиворечащей части):\nОна действует до конца боевой ситуации, добровольного прекращения или отключения Хамелеона; повторные фотосети не складываются, применяется больший L.","denialReason":"","duration":"[SYM-129] Нормативная база (действует во всей непротиворечащей части):\nОна действует до конца боевой ситуации, добровольного прекращения или отключения Хамелеона; повторные фотосети не складываются, применяется больший L.","effect":"[SYM-129] Нормативная база (действует во всей непротиворечащей части):\nдать всем живым объектам в радиусе 4 м +L к скрытности.\nПриоритетные авторские дельты (заменяют только прямо пересекающиеся ветви):\n[Q-SYM-052]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L.","errorCodes":"ERR_PRECONDITION; ERR_TARGET; ERR_RESOURCE; ERR_ACTION_COST; ERR_RULE_SPECIFIC","idUnique":1,"inputs":"[SYM-129] L, состав области.","manualChoice":"Только прямо указанные частной карточкой выборы.","playerCommandAvailable":true,"preconditions":"[SYM-129] ОЭ≥300.","resourceCost":"[SYM-129] объявление; цена 300 ОЭ и 1 действие.\nОЭ≥300.","rollDefinition":"Без броска, если частная карточка не требует его.","ruleIds":"SYM-129; CORE-229; SYM-010; SYM-011","stateWrites":"[SYM-129] площадной бонус.","targetSelector":"[SYM-129] живые объекты в радиусе 4 м.","timeCost":"Боевые ходы/действия по частной карточке.","trigger":"[SYM-129] объявление; цена 300 ОЭ и 1 действие."}</t>
  </si>
  <si>
    <t xml:space="preserve">c3a50e2b5dbe09d08eab99bc19d56aa43ab8a72f0e0806759f31288e67770233</t>
  </si>
  <si>
    <t xml:space="preserve">SYM-129 PEACE</t>
  </si>
  <si>
    <t xml:space="preserve">{"abilityContextId":"CTX-SYM-129-PEACE","abilityId":"SYM-129","actionCost":"0","allowed":false,"armorPolicy":"NOT_APPLICABLE","atomicityAudit":"Записать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выполняется","ruleIds":"SYM-129; Q-APP-002","stateWrites":"Нет","targetSelector":"Не выбирается","timeCost":"0","trigger":"Попытка объявления в запрещённом контексте"}</t>
  </si>
  <si>
    <t xml:space="preserve">814a644823a03cc78931921c22ed0b4ec5c5ab164f7841005688b04ed5315323</t>
  </si>
  <si>
    <t xml:space="preserve">SYM-131#MI_MI_MI COMBAT</t>
  </si>
  <si>
    <t xml:space="preserve">{"abilityContextId":"CTX-SYM-131#MI_MI_MI-COMBAT","abilityId":"SYM-131#MI_MI_MI","actionCost":"[SYM-131]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переход.","context":"COMBAT","cooldown":"[SYM-131]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ERR_RULE_SPECIFIC","idUnique":1,"inputs":"[SYM-131] текущий и выбранный тип, таймер.","manualChoice":"Только прямо указанные частной карточкой выборы.","playerCommandAvailable":true,"preconditions":"[SYM-131] изучено больше одного типа; Пингвин не подавлен.","resourceCost":"0 ОЭ, если частная карточка не устанавливает цену.","rollDefinition":"Без броска, если частная карточка не требует его.","ruleIds":"SYM-131; CORE-229; SYM-010; SYM-011","stateWrites":"[SYM-131] по завершении новый тип становится активным.","targetSelector":"Цель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карточке.","trigger":"[SYM-131] команда сменить тип феромонов."}</t>
  </si>
  <si>
    <t xml:space="preserve">f9ab7e5d5661629f4d5e183431f4fc71fe45c6b9a4448c57f51473f7264d6b0e</t>
  </si>
  <si>
    <t xml:space="preserve">SYM-131#MI_MI_MI PEACE</t>
  </si>
  <si>
    <t xml:space="preserve">{"abilityContextId":"CTX-SYM-131#MI_MI_MI-PEACE","abilityId":"SYM-131#MI_MI_MI","actionCost":"Боевые действия не расходуются вне боя. Частная длительность/условия сохраняются:\n[SYM-131]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переход.","context":"PEACE","cooldown":"[SYM-131]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ERR_RULE_SPECIFIC","idUnique":1,"inputs":"[SYM-131] текущий и выбранный тип, таймер.","manualChoice":"Мастер подтверждает немоделируемые контакт, дистанцию и согласие цели по Q-APP-001.","playerCommandAvailable":true,"preconditions":"[SYM-131] изучено больше одного типа; Пингвин не подавлен.","resourceCost":"0 ОЭ, если частная карточка не устанавливает цену.","rollDefinition":"Без броска, если частная карточка не требует его.","ruleIds":"SYM-131; Q-APP-001; SYM-010; SYM-011","stateWrites":"[SYM-131] по завершении новый тип становится активным.","targetSelector":"Цель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0.","trigger":"[SYM-131] команда сменить тип феромонов."}</t>
  </si>
  <si>
    <t xml:space="preserve">f132a2a9db4affaa3e833ca350faad5a8660dc05081572c5edaeddb521742d34</t>
  </si>
  <si>
    <t xml:space="preserve">SYM-131#OH_NICE COMBAT</t>
  </si>
  <si>
    <t xml:space="preserve">{"abilityContextId":"CTX-SYM-131#OH_NICE-COMBAT","abilityId":"SYM-131#OH_NICE","actionCost":"[SYM-131]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переход.","context":"COMBAT","cooldown":"[SYM-131]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ERR_RULE_SPECIFIC","idUnique":1,"inputs":"[SYM-131] текущий и выбранный тип, таймер.","manualChoice":"Только прямо указанные частной карточкой выборы.","playerCommandAvailable":true,"preconditions":"[SYM-131] изучено больше одного типа; Пингвин не подавлен.","resourceCost":"0 ОЭ, если частная карточка не устанавливает цену.","rollDefinition":"Без броска, если частная карточка не требует его.","ruleIds":"SYM-131; CORE-229; SYM-010; SYM-011","stateWrites":"[SYM-131] по завершении новый тип становится активным.","targetSelector":"Цель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карточке.","trigger":"[SYM-131] команда сменить тип феромонов."}</t>
  </si>
  <si>
    <t xml:space="preserve">088dfb0158e64bb03a6ecc6996e23a19f56d10ab8e927a0e89f1b5ddd74d68d8</t>
  </si>
  <si>
    <t xml:space="preserve">SYM-131#OH_NICE PEACE</t>
  </si>
  <si>
    <t xml:space="preserve">{"abilityContextId":"CTX-SYM-131#OH_NICE-PEACE","abilityId":"SYM-131#OH_NICE","actionCost":"Боевые действия не расходуются вне боя. Частная длительность/условия сохраняются:\n[SYM-131]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переход.","context":"PEACE","cooldown":"[SYM-131]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ERR_RULE_SPECIFIC","idUnique":1,"inputs":"[SYM-131] текущий и выбранный тип, таймер.","manualChoice":"Мастер подтверждает немоделируемые контакт, дистанцию и согласие цели по Q-APP-001.","playerCommandAvailable":true,"preconditions":"[SYM-131] изучено больше одного типа; Пингвин не подавлен.","resourceCost":"0 ОЭ, если частная карточка не устанавливает цену.","rollDefinition":"Без броска, если частная карточка не требует его.","ruleIds":"SYM-131; Q-APP-001; SYM-010; SYM-011","stateWrites":"[SYM-131] по завершении новый тип становится активным.","targetSelector":"Цель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0.","trigger":"[SYM-131] команда сменить тип феромонов."}</t>
  </si>
  <si>
    <t xml:space="preserve">386d10e62bfc509edc3463f9823bc97e30c2f8bf4d9414bac3e80ffd2f8ff46e</t>
  </si>
  <si>
    <t xml:space="preserve">SYM-131#BLACK_WHITE_FEAR COMBAT</t>
  </si>
  <si>
    <t xml:space="preserve">{"abilityContextId":"CTX-SYM-131#BLACK_WHITE_FEAR-COMBAT","abilityId":"SYM-131#BLACK_WHITE_FEAR","actionCost":"[SYM-131]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переход.","context":"COMBAT","cooldown":"[SYM-131]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ERR_RULE_SPECIFIC","idUnique":1,"inputs":"[SYM-131] текущий и выбранный тип, таймер.","manualChoice":"Только прямо указанные частной карточкой выборы.","playerCommandAvailable":true,"preconditions":"[SYM-131] изучено больше одного типа; Пингвин не подавлен.","resourceCost":"0 ОЭ, если частная карточка не устанавливает цену.","rollDefinition":"Без броска, если частная карточка не требует его.","ruleIds":"SYM-131; CORE-229; SYM-010; SYM-011","stateWrites":"[SYM-131] по завершении новый тип становится активным.","targetSelector":"Цель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карточке.","trigger":"[SYM-131] команда сменить тип феромонов."}</t>
  </si>
  <si>
    <t xml:space="preserve">ca765073f9feaaa50d8b6ee9f191248da278764fbda88b96988326c891b621be</t>
  </si>
  <si>
    <t xml:space="preserve">SYM-131#BLACK_WHITE_FEAR PEACE</t>
  </si>
  <si>
    <t xml:space="preserve">{"abilityContextId":"CTX-SYM-131#BLACK_WHITE_FEAR-PEACE","abilityId":"SYM-131#BLACK_WHITE_FEAR","actionCost":"Боевые действия не расходуются вне боя. Частная длительность/условия сохраняются:\n[SYM-131]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части.\n\n[SYM-131] Базовый режим феромонов\nНормативная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переход.","context":"PEACE","cooldown":"[SYM-131]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минуту.","effect":"[SYM-131] Нормативная база (действует во всей непротиворечащей части):\nбазово единовременно вырабатывать ровно один выбранный тип; смена занимает 1 минуту/1 боевой ход.\nПриоритетные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ERR_RULE_SPECIFIC","idUnique":1,"inputs":"[SYM-131] текущий и выбранный тип, таймер.","manualChoice":"Мастер подтверждает немоделируемые контакт, дистанцию и согласие цели по Q-APP-001.","playerCommandAvailable":true,"preconditions":"[SYM-131] изучено больше одного типа; Пингвин не подавлен.","resourceCost":"0 ОЭ, если частная карточка не устанавливает цену.","rollDefinition":"Без броска, если частная карточка не требует его.","ruleIds":"SYM-131; Q-APP-001; SYM-010; SYM-011","stateWrites":"[SYM-131] по завершении новый тип становится активным.","targetSelector":"Цель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0.","trigger":"[SYM-131] команда сменить тип феромонов."}</t>
  </si>
  <si>
    <t xml:space="preserve">9a28f99e0eff778695579a868f510beaeac423449570b0a6b0c4558a544f9b2e</t>
  </si>
  <si>
    <t xml:space="preserve">SYM-132 COMBAT</t>
  </si>
  <si>
    <t xml:space="preserve">{"abilityContextId":"CTX-SYM-132-COMBAT","abilityId":"SYM-132","actionCost":"[SYM-132] объявление; цена 20 ОЭ и 1 действие.\nНормативная база (действует во всей непротиворечащей части):\nR≥4: цель получает +L S и +L D на R/5 минут/ходов.\nДля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ходы.\n\n[SYM-132] Чёрно-белая ярость\nНормативная база (действует во всей непротиворечащей части):\nR≥4: цель получает +L S и +L D на R/5 минут/ходов. R=2–3: нет эффекта. R=1: цель в течение 1 хода пытается убить носителя Пингвина.\nПриоритетные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недопустимой.","context":"COMBAT","cooldown":"[SYM-132] Нормативная база (действует во всей непротиворечащей части):\nR≥4: цель получает +L S и +L D на R/5 минут/ходов.\nR=1: цель в течение 1 хода пытается убить носителя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значение.","denialReason":"","duration":"[SYM-132] Нормативная база (действует во всей непротиворечащей части):\nR≥4: цель получает +L S и +L D на R/5 минут/ходов.\nR=1: цель в течение 1 хода пытается убить носителя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значение.","effect":"[SYM-132] Нормативная база (действует во всей непротиворечащей части):\nR≥4: цель получает +L S и +L D на R/5 минут/ходов. R=2–3: нет эффекта. R=1: цель в течение 1 хода пытается убить носителя Пингвина.\nПриоритетные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тексту.\n[Q-SYM-054]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недопустимой.","errorCodes":"ERR_PRECONDITION; ERR_TARGET; ERR_RESOURCE; ERR_ACTION_COST; ERR_RULE_SPECIFIC","idUnique":1,"inputs":"[SYM-132] один чистый R20 R.","manualChoice":"Только прямо указанные частной карточкой выборы.","playerCommandAvailable":true,"preconditions":"[SYM-132] цель в радиусе L м; Пингвин активен.","resourceCost":"[SYM-132] объявление; цена 20 ОЭ и 1 действие.","rollDefinition":"[SYM-132] один чистый R20 R.\nR=2–3: нет эффекта.\nR=1: цель в течение 1 хода пытается убить носителя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недопустимой.","ruleIds":"SYM-132; CORE-229; SYM-010; SYM-011","stateWrites":"[SYM-132] временный бафф либо принуждение.","targetSelector":"[SYM-132] выбранная цель.","timeCost":"Боевые ходы/действия по частной карточке.","trigger":"[SYM-132] объявление; цена 20 ОЭ и 1 действие."}</t>
  </si>
  <si>
    <t xml:space="preserve">3add14f8bfc742d3cc0b74240c81979d578f9d103fe65e34fb8ebd17990a829c</t>
  </si>
  <si>
    <t xml:space="preserve">SYM-132 PEACE</t>
  </si>
  <si>
    <t xml:space="preserve">{"abilityContextId":"CTX-SYM-132-PEACE","abilityId":"SYM-132","actionCost":"0","allowed":false,"armorPolicy":"NOT_APPLICABLE","atomicityAudit":"Записать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выполняется","ruleIds":"SYM-132; Q-APP-002","stateWrites":"Нет","targetSelector":"Не выбирается","timeCost":"0","trigger":"Попытка объявления в запрещённом контексте"}</t>
  </si>
  <si>
    <t xml:space="preserve">8630e243d3f092805a163cefbec2a39089f91798d15df99668e828f3079560e5</t>
  </si>
  <si>
    <t xml:space="preserve">SYM-133 COMBAT</t>
  </si>
  <si>
    <t xml:space="preserve">{"abilityContextId":"CTX-SYM-133-COMBAT","abilityId":"SYM-133","actionCost":"[SYM-133]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ходы.\n\n[SYM-133] Чёрно-белый контроль\nНормативная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переход.","context":"COMBAT","cooldown":"[SYM-133]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ERR_RULE_SPECIFIC","idUnique":1,"inputs":"[SYM-133] до двух типов либо команда отключения.","manualChoice":"Только прямо указанные частной карточкой выборы.","playerCommandAvailable":true,"preconditions":"[SYM-133] способность доступна.","resourceCost":"0 ОЭ, если частная карточка не устанавливает цену.","rollDefinition":"Без броска, если частная карточка не требует его.","ruleIds":"SYM-133; CORE-229; SYM-010; SYM-011","stateWrites":"[SYM-133] активный набор из 0–2 типов.","targetSelector":"Цель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карточке.","trigger":"[SYM-133] выбор режима."}</t>
  </si>
  <si>
    <t xml:space="preserve">cbccf69dc030c22867bd3416fb4ff61a0d807b6dbf8d98f0f49ae5992d77320b</t>
  </si>
  <si>
    <t xml:space="preserve">SYM-133 PEACE</t>
  </si>
  <si>
    <t xml:space="preserve">{"abilityContextId":"CTX-SYM-133-PEACE","abilityId":"SYM-133","actionCost":"Боевые действия не расходуются вне боя. Частная длительность/условия сохраняются:\n[SYM-133]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части.\n\n[SYM-133] Чёрно-белый контроль\nНормативная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переход.","context":"PEACE","cooldown":"[SYM-133]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минуту.","denialReason":"","duration":"[SYM-133]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набор.\nПолное отключение длится 2 хода/2 минуты, повторное включение выбранного типа — 1 ход/1 минуту.","effect":"[SYM-133] Нормативная база (действует во всей непротиворечащей части):\nразрешить одновременно до двух выбранных типов; разрешить полное отключение выработки, занимающее 2 минуты/2 хода.\nПриоритетные авторские дельты (заменяют только прямо пересекающиеся ветви):\n[Q-SYM-053]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переход.","errorCodes":"ERR_PRECONDITION; ERR_TARGET; ERR_RESOURCE; ERR_ACTION_COST; ERR_RULE_SPECIFIC","idUnique":1,"inputs":"[SYM-133] до двух типов либо команда отключения.","manualChoice":"Мастер подтверждает немоделируемые контакт, дистанцию и согласие цели по Q-APP-001.","playerCommandAvailable":true,"preconditions":"[SYM-133] способность доступна.","resourceCost":"0 ОЭ, если частная карточка не устанавливает цену.","rollDefinition":"Без броска, если частная карточка не требует его.","ruleIds":"SYM-133; Q-APP-001; SYM-010; SYM-011","stateWrites":"[SYM-133] активный набор из 0–2 типов.","targetSelector":"Цель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0.","trigger":"[SYM-133] выбор режима."}</t>
  </si>
  <si>
    <t xml:space="preserve">51cf1ff4c92ccbf4c745220b897d009de6aaeedf6f3e8eaf3a914fa334ecc33b</t>
  </si>
  <si>
    <t xml:space="preserve">SYM-134 COMBAT</t>
  </si>
  <si>
    <t xml:space="preserve">{"abilityContextId":"CTX-SYM-134-COMBAT","abilityId":"SYM-134","actionCost":"[SYM-134] объявление; явная цена ОЭ отсутствует, поэтому 0 ОЭ и 1 действие.\nНормативная база (действует во всей непротиворечащей части):\nA≥3: на A/4 минут/ходов увеличить радиус феромонов и дальность способностей на B метров.\nA=1: запретить выработку феромонов на 3 часа.\nДля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ходы.\n\n[SYM-134] Чёрно-белое смещение\nНормативная база (действует во всей непротиворечащей части):\nA≥3: на A/4 минут/ходов увеличить радиус феромонов и дальность способностей на B метров. A=2: нет эффекта. A=1: запретить выработку феромонов на 3 часа.\nПриоритетные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эффекта.","context":"COMBAT","cooldown":"[SYM-134] Нормативная база (действует во всей непротиворечащей части):\nA≥3: на A/4 минут/ходов увеличить радиус феромонов и дальность способностей на B метров.\nA=1: запретить выработку феромонов на 3 часа.\nДля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эффекта.","denialReason":"","duration":"[SYM-134] Нормативная база (действует во всей непротиворечащей части):\nA≥3: на A/4 минут/ходов увеличить радиус феромонов и дальность способностей на B метров.\nA=1: запретить выработку феромонов на 3 часа.\nДля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эффекта.","effect":"[SYM-134] Нормативная база (действует во всей непротиворечащей части):\nA≥3: на A/4 минут/ходов увеличить радиус феромонов и дальность способностей на B метров. A=2: нет эффекта. A=1: запретить выработку феромонов на 3 часа.\nПриоритетные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эффекта.","errorCodes":"ERR_PRECONDITION; ERR_TARGET; ERR_RESOURCE; ERR_ACTION_COST; ERR_RULE_SPECIFIC","idUnique":1,"inputs":"[SYM-134] первый R20 A (активация/длительность), отдельный R20 B (прибавка радиуса).","manualChoice":"Только прямо указанные частной карточкой выборы.","playerCommandAvailable":true,"preconditions":"[SYM-134] Пингвин активен.","resourceCost":"[SYM-134] объявление; явная цена ОЭ отсутствует, поэтому 0 ОЭ и 1 действие.","rollDefinition":"[SYM-134] первый R20 A (активация/длительность), отдельный R20 B (прибавка радиуса).\nA=2: нет эффекта.\nA=1: запретить выработку феромонов на 3 часа.\nДля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эффекта.","ruleIds":"SYM-134; CORE-229; SYM-010; SYM-011","stateWrites":"[SYM-134] временный бонус радиуса либо отключение.","targetSelector":"[SYM-134] его ауры и способности.","timeCost":"Боевые ходы/действия по частной карточке.","trigger":"[SYM-134] объявление; явная цена ОЭ отсутствует, поэтому 0 ОЭ и 1 действие."}</t>
  </si>
  <si>
    <t xml:space="preserve">f39058b35a202f233b6b665dfbbcbc1c5446ab1a9af818560647078e7ec5b67c</t>
  </si>
  <si>
    <t xml:space="preserve">SYM-134 PEACE</t>
  </si>
  <si>
    <t xml:space="preserve">{"abilityContextId":"CTX-SYM-134-PEACE","abilityId":"SYM-134","actionCost":"0","allowed":false,"armorPolicy":"NOT_APPLICABLE","atomicityAudit":"Записать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выполняется","ruleIds":"SYM-134; Q-APP-002","stateWrites":"Нет","targetSelector":"Не выбирается","timeCost":"0","trigger":"Попытка объявления в запрещённом контексте"}</t>
  </si>
  <si>
    <t xml:space="preserve">0b53e271005fcc1836ba1b5f697a831e0808206318081e8b7344a03469be0bb4</t>
  </si>
  <si>
    <t xml:space="preserve">SYM-135 COMBAT</t>
  </si>
  <si>
    <t xml:space="preserve">{"abilityContextId":"CTX-SYM-135-COMBAT","abilityId":"SYM-135","actionCost":"[SYM-135] объявление; цена 60 ОЭ и 1 действие.\nНормативная база (действует во всей непротиворечащей части):\nR≥3: на R/4 минут/ходов удвоить только числовые бонусы и штрафы эффектов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ходы.\n\n[SYM-135] Чёрно-белое доминирование\nНормативная база (действует во всей непротиворечащей части):\nR≥3: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дерева.","context":"COMBAT","cooldown":"[SYM-135] Нормативная база (действует во всей непротиворечащей части):\nR≥3: на R/4 минут/ходов удвоить только числовые бонусы и штрафы эффектов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эффекта.","denialReason":"","duration":"[SYM-135] Нормативная база (действует во всей непротиворечащей части):\nR≥3: на R/4 минут/ходов удвоить только числовые бонусы и штрафы эффектов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эффекта.","effect":"[SYM-135] Нормативная база (действует во всей непротиворечащей части):\nR≥3: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дерева.","errorCodes":"ERR_PRECONDITION; ERR_TARGET; ERR_RESOURCE; ERR_ACTION_COST; ERR_RULE_SPECIFIC","idUnique":1,"inputs":"[SYM-135] один чистый R20 R.","manualChoice":"Только прямо указанные частной карточкой выборы.","playerCommandAvailable":true,"preconditions":"[SYM-135] ОЭ≥60.","resourceCost":"[SYM-135] объявление; цена 60 ОЭ и 1 действие.\nОЭ≥60.\nНе удваивать радиус, длительность, стоимость, число целей и собственный множитель.\nУзел самого высокого утраченного уровня помечается утраченным и становится недоступным; ранее потраченный на него опыт не возвращается.","rollDefinition":"[SYM-135] один чистый R20 R.\nR=2: нет эффекта.\nR=1: Пингвин теряет один уровень.\nДля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эффекта.","ruleIds":"SYM-135; CORE-229; SYM-010; SYM-011","stateWrites":"[SYM-135] множитель эффектов либо L−1.","targetSelector":"[SYM-135] его эффекты.","timeCost":"Боевые ходы/действия по частной карточке.","trigger":"[SYM-135] объявление; цена 60 ОЭ и 1 действие."}</t>
  </si>
  <si>
    <t xml:space="preserve">5d4c845b49d61296f11654c152ced4d18f1af5db9566eead6486083470bb50ca</t>
  </si>
  <si>
    <t xml:space="preserve">SYM-135 PEACE</t>
  </si>
  <si>
    <t xml:space="preserve">{"abilityContextId":"CTX-SYM-135-PEACE","abilityId":"SYM-135","actionCost":"Боевые действия не расходуются вне боя. Частная длительность/условия сохраняются:\n[SYM-135] объявление; цена 60 ОЭ и 1 действие.\nНормативная база (действует во всей непротиворечащей части):\nR≥3: на R/4 минут/ходов удвоить только числовые бонусы и штрафы эффектов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части.\n\n[SYM-135] Чёрно-белое доминирование\nНормативная база (действует во всей непротиворечащей части):\nR≥3: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дерева.","context":"PEACE","cooldown":"[SYM-135] Нормативная база (действует во всей непротиворечащей части):\nR≥3: на R/4 минут/ходов удвоить только числовые бонусы и штрафы эффектов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эффекта.","denialReason":"","duration":"[SYM-135] Нормативная база (действует во всей непротиворечащей части):\nR≥3: на R/4 минут/ходов удвоить только числовые бонусы и штрафы эффектов Пингвина.\nДля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эффекта.","effect":"[SYM-135] Нормативная база (действует во всей непротиворечащей части):\nR≥3: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уровень.\nПриоритетные авторские дельты (заменяют только прямо пересекающиеся ветви):\n[Q-SYM-005]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эффекта.\n[Q-SYM-055]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дерева.","errorCodes":"ERR_PRECONDITION; ERR_TARGET; ERR_RESOURCE; ERR_ACTION_COST; ERR_RULE_SPECIFIC","idUnique":1,"inputs":"[SYM-135] один чистый R20 R.","manualChoice":"Мастер подтверждает немоделируемые контакт, дистанцию и согласие цели по Q-APP-001.","playerCommandAvailable":true,"preconditions":"[SYM-135] ОЭ≥60.","resourceCost":"[SYM-135] объявление; цена 60 ОЭ и 1 действие.\nОЭ≥60.\nНе удваивать радиус, длительность, стоимость, число целей и собственный множитель.\nУзел самого высокого утраченного уровня помечается утраченным и становится недоступным; ранее потраченный на него опыт не возвращается.","rollDefinition":"[SYM-135] один чистый R20 R.\nR=2: нет эффекта.\nR=1: Пингвин теряет один уровень.\nДля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эффекта.","ruleIds":"SYM-135; Q-APP-001; SYM-010; SYM-011","stateWrites":"[SYM-135] множитель эффектов либо L−1.","targetSelector":"[SYM-135] его эффекты.","timeCost":"Виртуальное время только если прямо установлено частной карточкой; иначе 0.","trigger":"[SYM-135] объявление; цена 60 ОЭ и 1 действие."}</t>
  </si>
  <si>
    <t xml:space="preserve">37e11ba9d87e2e75fb397c98c9fc28cd53f00fe625a66c3c34fa4d8e4a90fd63</t>
  </si>
  <si>
    <t xml:space="preserve">SYM-137 COMBAT</t>
  </si>
  <si>
    <t xml:space="preserve">{"abilityContextId":"CTX-SYM-137-COMBAT","abilityId":"SYM-137","actionCost":"[SYM-137] объявить одновременно с рукопашной атакой; цена 30 ОЭ (без отдельного действия сверх атаки).\nНормативная база (действует во всей непротиворечащей части):\nЕсли A&gt;22−L, оглушить поражённую цель на 5 минут/1 ход; если A&gt;20−L, отключить её симбионтов на тот же срок.\nA=1: носитель теряет сознание на 10 минут/2 хода, получает 30 урона, все его симбионты отключаются на тот же срок.","allowed":true,"armorPolicy":"Общий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ходы.\n\n[SYM-137] Контактный шокер\nНормативная база (действует во всей непротиворечащей части):\nноситель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срок.\nПриоритетные авторские дельты (заменяют только прямо пересекающиеся ветви):\n[Q-SYM-056] При промахе носитель получает и отдельный обратный урон R20 и все. Специальное последствие натуральной 1 применяется дополнительно по своему тексту.","context":"COMBAT","cooldown":"[SYM-137] Нормативная база (действует во всей непротиворечащей части):\nЕсли A&gt;22−L, оглушить поражённую цель на 5 минут/1 ход; если A&gt;20−L, отключить её симбионтов на тот же срок.\nA=1: носитель теряет сознание на 10 минут/2 хода, получает 30 урона, все его симбионты отключаются на тот же срок.","denialReason":"","duration":"[SYM-137] Нормативная база (действует во всей непротиворечащей части):\nЕсли A&gt;22−L, оглушить поражённую цель на 5 минут/1 ход; если A&gt;20−L, отключить её симбионтов на тот же срок.\nA=1: носитель теряет сознание на 10 минут/2 хода, получает 30 урона, все его симбионты отключаются на тот же срок.","effect":"[SYM-137] Нормативная база (действует во всей непротиворечащей части):\nноситель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срок.\nПриоритетные авторские дельты (заменяют только прямо пересекающиеся ветви):\n[Q-SYM-056] При промахе носитель получает и отдельный обратный урон R20 и все. Специальное последствие натуральной 1 применяется дополнительно по своему тексту.","errorCodes":"ERR_PRECONDITION; ERR_TARGET; ERR_RESOURCE; ERR_ACTION_COST; ERR_RULE_SPECIFIC","idUnique":1,"inputs":"[SYM-137] первый R20 A в пакете 2A (активация/урон/пороги), отдельный R20 B обратного урона; результат меткости.","manualChoice":"Только прямо указанные частной карточкой выборы.","playerCommandAvailable":true,"preconditions":"[SYM-137] ОЭ≥30.","resourceCost":"[SYM-137] объявить одновременно с рукопашной атакой; цена 30 ОЭ (без отдельного действия сверх атаки).\nОЭ≥30.","rollDefinition":"[SYM-137] первый R20 A в пакете 2A (активация/урон/пороги), отдельный R20 B обратного урона; результат меткости.\nA=1: носитель теряет сознание на 10 минут/2 хода, получает 30 урона, все его симбионты отключаются на тот же срок.\n[Q-SYM-056] При промахе носитель получает и отдельный обратный урон R20 и все.","ruleIds":"SYM-137; CORE-229; SYM-010; SYM-011","stateWrites":"[SYM-137] урон/контроль цели или носителя.","targetSelector":"[SYM-137] цель атаки.","timeCost":"Боевые ходы/действия по частной карточке.","trigger":"[SYM-137] объявить одновременно с рукопашной атакой; цена 30 ОЭ (без отдельного действия сверх атаки)."}</t>
  </si>
  <si>
    <t xml:space="preserve">6c4c52bcf2c87ef6ed4996fcb39303305a8f9bc670baab1cd1edfe7774db6149</t>
  </si>
  <si>
    <t xml:space="preserve">SYM-137 PEACE</t>
  </si>
  <si>
    <t xml:space="preserve">{"abilityContextId":"CTX-SYM-137-PEACE","abilityId":"SYM-137","actionCost":"0","allowed":false,"armorPolicy":"NOT_APPLICABLE","atomicityAudit":"Записать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выполняется","ruleIds":"SYM-137; Q-APP-002","stateWrites":"Нет","targetSelector":"Не выбирается","timeCost":"0","trigger":"Попытка объявления в запрещённом контексте"}</t>
  </si>
  <si>
    <t xml:space="preserve">96cd66f614587ef5fac44be0aa38d1f2f637145717b40ff3551f148eed89fa0c</t>
  </si>
  <si>
    <t xml:space="preserve">SYM-138 COMBAT</t>
  </si>
  <si>
    <t xml:space="preserve">{"abilityContextId":"CTX-SYM-138-COMBAT","abilityId":"SYM-138","actionCost":"[SYM-138] добавленная часть не учитывается при проверке инициации травмы.","allowed":true,"armorPolicy":"Общий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ходы.\n\n[SYM-138] Проводник\nдобавить +L к урону.","context":"COMBAT","cooldown":"[SYM-138] добавленная часть не учитывается при проверке инициации травмы.","denialReason":"","duration":"[SYM-138] добавленная часть не учитывается при проверке инициации травмы.","effect":"[SYM-138] добавить +L к урону.","errorCodes":"ERR_PRECONDITION; ERR_TARGET; ERR_RESOURCE; ERR_ACTION_COST; ERR_RULE_SPECIFIC","idUnique":1,"inputs":"[SYM-138] L, итоговый урон.","manualChoice":"Только прямо указанные частной карточкой выборы.","playerCommandAvailable":false,"preconditions":"[SYM-138] оружие цельнометаллическое.","resourceCost":"0 ОЭ, если частная карточка не устанавливает цену.","rollDefinition":"Без броска, если частная карточка не требует его.","ruleIds":"SYM-138; CORE-229; SYM-010; SYM-011","stateWrites":"[SYM-138] повышенный урон.","targetSelector":"[SYM-138] цель цельнометаллического оружия.","timeCost":"Боевые ходы/действия по частной карточке.","trigger":"[SYM-138] ближняя атака достигла цели и пробила броню."}</t>
  </si>
  <si>
    <t xml:space="preserve">390eef64d99ff79e1e087143223fb5b79cf301d6332f0dfff8d80440594d35c3</t>
  </si>
  <si>
    <t xml:space="preserve">SYM-138 PEACE</t>
  </si>
  <si>
    <t xml:space="preserve">{"abilityContextId":"CTX-SYM-138-PEACE","abilityId":"SYM-138","actionCost":"0","allowed":false,"armorPolicy":"NOT_APPLICABLE","atomicityAudit":"Записать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выполняется","ruleIds":"SYM-138; Q-APP-002","stateWrites":"Нет","targetSelector":"Не выбирается","timeCost":"0","trigger":"Попытка объявления в запрещённом контексте"}</t>
  </si>
  <si>
    <t xml:space="preserve">0b935aeec6d5f74aa132692152472fb6600175977a795efee7d9dd4fc2907971</t>
  </si>
  <si>
    <t xml:space="preserve">SYM-139 COMBAT</t>
  </si>
  <si>
    <t xml:space="preserve">{"abilityContextId":"CTX-SYM-139-COMBAT","abilityId":"SYM-139","actionCost":"[SYM-139] R20 A урона; защитные действия; при блоке отдельный R20.\nНормативная база (действует во всей непротиворечащей части):\nв начале каждого хода до действий списать 30 ОЭ и 10 HP.\nДуга существует до добровольного прекращения в свой ход (0 действий) или исчерпания ОЭ.\nИначе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урон.","atomicityAudit":"[SYM-139] [Q-SYM-057] В начале хода атомарно проверяются 30 ОЭ и 10 HP.","behavior":"Разрешается по агрегированным карточкам canonicalBehaviorCards; в бою учитываются указанная цена действий, боевые защиты, координаты и ходы.\n\n[SYM-139] Электрическая дуга\nНормативная база (действует во всей непротиворечащей части):\nв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урона.\nПриоритетные авторские дельты (заменяют только прямо пересекающиеся ветви):\n[Q-SYM-057]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недееспособности.","context":"COMBAT","cooldown":"[SYM-139] активация; затем начало каждого собственного хода.\nНормативная база (действует во всей непротиворечащей части):\nв начале каждого хода до действий списать 30 ОЭ и 10 HP.\nДуга существует до добровольного прекращения в свой ход (0 действий) или исчерпания ОЭ.\nA&gt;22−L → оглушение 1 ход/5 мин\nA&gt;20−L → отключение симбионтов на тот же срок","denialReason":"","duration":"[SYM-139] активация; затем начало каждого собственного хода.\nНормативная база (действует во всей непротиворечащей части):\nв начале каждого хода до действий списать 30 ОЭ и 10 HP.\nДуга существует до добровольного прекращения в свой ход (0 действий) или исчерпания ОЭ.\nA&gt;22−L → оглушение 1 ход/5 мин\nA&gt;20−L → отключение симбионтов на тот же срок","effect":"[SYM-139] Нормативная база (действует во всей непротиворечащей части):\nв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урона.\nПриоритетные авторские дельты (заменяют только прямо пересекающиеся ветви):\n[Q-SYM-057]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недееспособности.","errorCodes":"ERR_PRECONDITION; ERR_TARGET; ERR_RESOURCE; ERR_ACTION_COST; ERR_RULE_SPECIFIC","idUnique":1,"inputs":"[SYM-139] рукопашная меткость; R20 A урона; защитные действия; при блоке отдельный R20.","manualChoice":"Только прямо указанные частной карточкой выборы.","playerCommandAvailable":true,"preconditions":"[SYM-139] доступно 30 ОЭ и 10 HP на интервал.","resourceCost":"[SYM-139] доступно 30 ОЭ и 10 HP на интервал.\nв начале каждого хода до действий списать 30 ОЭ и 10 HP.\nДуга существует до добровольного прекращения в свой ход (0 действий) или исчерпания ОЭ.\n[Q-SYM-057] В начале хода атомарно проверяются 30 ОЭ и 10 HP.\nЕсли ОЭ меньше 30 или HP меньше 10, дуга прекращается до оплаты и ничего не списывается.","rollDefinition":"[SYM-139] R20 A урона; защитные действия; при блоке отдельный R20.\nA=1 → носитель получает специальное последствие SYM-137.\nПри активной дуге успешный блок рукопашной/цельнометаллической атаки отменяет её и наносит атакующему R20 урона.","ruleIds":"SYM-139; CORE-229; SYM-010; SYM-011","stateWrites":"[SYM-139] поддерживаемое оружие, атака/блок, ресурсные тики.","targetSelector":"[SYM-139] цель между ладонями или атакующий.","timeCost":"Боевые ходы/действия по частной карточке.","trigger":"[SYM-139] активация; затем начало каждого собственного хода."}</t>
  </si>
  <si>
    <t xml:space="preserve">dacea07de49a7db82989df3f578ca946170d622e1a82366c88552156b2f0d9e1</t>
  </si>
  <si>
    <t xml:space="preserve">SYM-139 PEACE</t>
  </si>
  <si>
    <t xml:space="preserve">{"abilityContextId":"CTX-SYM-139-PEACE","abilityId":"SYM-139","actionCost":"0","allowed":false,"armorPolicy":"NOT_APPLICABLE","atomicityAudit":"Записать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выполняется","ruleIds":"SYM-139; Q-APP-002","stateWrites":"Нет","targetSelector":"Не выбирается","timeCost":"0","trigger":"Попытка объявления в запрещённом контексте"}</t>
  </si>
  <si>
    <t xml:space="preserve">85d320cc2324371c8ee58ec96af2b738f9767d045f1fb4ee0792cf57ee67558b</t>
  </si>
  <si>
    <t xml:space="preserve">SYM-140 COMBAT</t>
  </si>
  <si>
    <t xml:space="preserve">{"abilityContextId":"CTX-SYM-140-COMBAT","abilityId":"SYM-140","actionCost":"[SYM-140]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ходы.\n\n[SYM-140] Шаровая молния\nпосле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SYM-137.","context":"COMBAT","cooldown":"[SYM-140] после двух полностью поддержанных предшествующих ходов дуги; в ход запуска.\nA&gt;21−L → оглушение цели 1 ход/5 мин\nA&gt;19−L → отключение её симбионтов на тот же срок\nдва предшествующих хода должны быть полными.","denialReason":"","duration":"[SYM-140] после двух полностью поддержанных предшествующих ходов дуги; в ход запуска.\nA&gt;21−L → оглушение цели 1 ход/5 мин\nA&gt;19−L → отключение её симбионтов на тот же срок\nдва предшествующих хода должны быть полными.","effect":"[SYM-140] 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SYM-137.","errorCodes":"ERR_PRECONDITION; ERR_TARGET; ERR_RESOURCE; ERR_ACTION_COST; ERR_RULE_SPECIFIC","idUnique":1,"inputs":"[SYM-140] один чистый R20 A.","manualChoice":"Только прямо указанные частной карточкой выборы.","playerCommandAvailable":false,"preconditions":"[SYM-140] дуга активна; оплатить очередное поддержание и 30 ОЭ способности; 1 действие.","resourceCost":"[SYM-140] дуга активна; оплатить очередное поддержание и 30 ОЭ способности","rollDefinition":"[SYM-140] один чистый R20 A.\nA=1 → специальное последствие носителю: сознание/30 урона/симбионты по SYM-137.","ruleIds":"SYM-140; CORE-229; SYM-010; SYM-011","stateWrites":"[SYM-140] урон и контроль; дуга снята.","targetSelector":"[SYM-140] цель ≤40 м.","timeCost":"Боевые ходы/действия по частной карточке.","trigger":"[SYM-140] после двух полностью поддержанных предшествующих ходов дуги; в ход запуска."}</t>
  </si>
  <si>
    <t xml:space="preserve">27dd22ef9c7b0fcc673ea64870d43181b8f3f7a867886eaa464055afcc63748f</t>
  </si>
  <si>
    <t xml:space="preserve">SYM-140 PEACE</t>
  </si>
  <si>
    <t xml:space="preserve">{"abilityContextId":"CTX-SYM-140-PEACE","abilityId":"SYM-140","actionCost":"0","allowed":false,"armorPolicy":"NOT_APPLICABLE","atomicityAudit":"Записать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выполняется","ruleIds":"SYM-140; Q-APP-002","stateWrites":"Нет","targetSelector":"Не выбирается","timeCost":"0","trigger":"Попытка объявления в запрещённом контексте"}</t>
  </si>
  <si>
    <t xml:space="preserve">24508cf2dffcddd4c30681181a1dea2e699e856abc6d742844e0f690746804fe</t>
  </si>
  <si>
    <t xml:space="preserve">SYM-141 COMBAT</t>
  </si>
  <si>
    <t xml:space="preserve">{"abilityContextId":"CTX-SYM-141-COMBAT","abilityId":"SYM-141","actionCost":"[SYM-141] 1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ходы.\n\n[SYM-141] Молния\nноситель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прекращается.","context":"COMBAT","cooldown":"[SYM-141] A&gt;21−L → оглушить цель 1 ход/5 мин\nA&gt;19−L → отключить её симбионтов на тот же срок.\nA=1 → носитель дополнительно теряет сознание на 2 хода/10 мин, получает 30 урона, все его симбионты отключаются на тот же срок.","denialReason":"","duration":"[SYM-141] A&gt;21−L → оглушить цель 1 ход/5 мин\nA&gt;19−L → отключить её симбионтов на тот же срок.\nA=1 → носитель дополнительно теряет сознание на 2 хода/10 мин, получает 30 урона, все его симбионты отключаются на тот же срок.","effect":"[SYM-141] 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прекращается.","errorCodes":"ERR_PRECONDITION; ERR_TARGET; ERR_RESOURCE; ERR_ACTION_COST; ERR_RULE_SPECIFIC","idUnique":1,"inputs":"[SYM-141] первый R20 A (активация, самоповреждение, пороги/единица), отдельный R20 D (урон цели).","manualChoice":"Только прямо указанные частной карточкой выборы.","playerCommandAvailable":false,"preconditions":"[SYM-141] дуга активна; ресурсов хватает.","resourceCost":"[SYM-141] при активной дуге сомкнуть ладони; оплатить поддержание и 100 ОЭ\nдуга активна; ресурсов хватает.","rollDefinition":"[SYM-141] первый R20 A (активация, самоповреждение, пороги/единица), отдельный R20 D (урон цели).\nA=1 → носитель дополнительно теряет сознание на 2 хода/10 мин, получает 30 урона, все его симбионты отключаются на тот же срок.\nКонтактный шокер отдельно не оплачивается, его обычный обратный урон не применяется; пороги относятся к первому R20, второй — только урон.","ruleIds":"SYM-141; CORE-229; SYM-010; SYM-011","stateWrites":"[SYM-141] самоповреждение, дальний урон/контроль, снятие дуги.","targetSelector":"[SYM-141] цель ≤60 м.","timeCost":"Боевые ходы/действия по частной карточке.","trigger":"[SYM-141] при активной дуге сомкнуть ладони; оплатить поддержание и 100 ОЭ; 1 действие."}</t>
  </si>
  <si>
    <t xml:space="preserve">48d713e53a7818996ed8103695a4b1f799bc97cc38548a8acdf3ea4e8a625b11</t>
  </si>
  <si>
    <t xml:space="preserve">SYM-141 PEACE</t>
  </si>
  <si>
    <t xml:space="preserve">{"abilityContextId":"CTX-SYM-141-PEACE","abilityId":"SYM-141","actionCost":"0","allowed":false,"armorPolicy":"NOT_APPLICABLE","atomicityAudit":"Записать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выполняется","ruleIds":"SYM-141; Q-APP-002","stateWrites":"Нет","targetSelector":"Не выбирается","timeCost":"0","trigger":"Попытка объявления в запрещённом контексте"}</t>
  </si>
  <si>
    <t xml:space="preserve">b387202a23e2fef1274634ba0088b18f2901050a41471652613fff37c00907d6</t>
  </si>
  <si>
    <t xml:space="preserve">SYM-142 COMBAT</t>
  </si>
  <si>
    <t xml:space="preserve">{"abilityContextId":"CTX-SYM-142-COMBAT","abilityId":"SYM-142","actionCost":"[SYM-142] объявление; цена 200 ОЭ; подготовка 1 минута/1 ход; в начале следующего круга до всех ходов — разрешение.\nНормативная база (действует во всей непротиворечащей части):\nв момент разрешения израсходовать все имеющиеся HP, отключить все симбионты носителя на 1 час, перевести носителя в тяжёлое ранение.\nКаждое попадание: 99 урона, гарантированное оглушение 3 хода и отключение всех симбионтов цели на 1 час.\nПопадание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ходы.\n\n[SYM-142] Цепная молния\nНормативная база (действует во всей непротиворечащей части):\nв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час.\nПриоритетные авторские дельты (заменяют только прямо пересекающиеся ветви):\n[Q-SYM-058]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возвращаются.","context":"COMBAT","cooldown":"[SYM-142] объявление; цена 200 ОЭ; подготовка 1 минута/1 ход; в начале следующего круга до всех ходов — разрешение.\nНормативная база (действует во всей непротиворечащей части):\nв момент разрешения израсходовать все имеющиеся HP, отключить все симбионты носителя на 1 час, перевести носителя в тяжёлое ранение.\nКаждое попадание: 99 урона, гарантированное оглушение 3 хода и отключение всех симбионтов цели на 1 час.\nПопадание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возвращаются.\nспособность разрешается до ходов всех персонажей.","denialReason":"","duration":"[SYM-142] объявление; цена 200 ОЭ; подготовка 1 минута/1 ход; в начале следующего круга до всех ходов — разрешение.\nНормативная база (действует во всей непротиворечащей части):\nв момент разрешения израсходовать все имеющиеся HP, отключить все симбионты носителя на 1 час, перевести носителя в тяжёлое ранение.\nКаждое попадание: 99 урона, гарантированное оглушение 3 хода и отключение всех симбионтов цели на 1 час.\nПопадание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возвращаются.\nспособность разрешается до ходов всех персонажей.","effect":"[SYM-142] Нормативная база (действует во всей непротиворечащей части):\nв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час.\nПриоритетные авторские дельты (заменяют только прямо пересекающиеся ветви):\n[Q-SYM-058]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возвращаются.","errorCodes":"ERR_PRECONDITION; ERR_TARGET; ERR_RESOURCE; ERR_ACTION_COST; ERR_RULE_SPECIFIC","idUnique":1,"inputs":"[SYM-142] радиус 3L м, R6 числа перескоков, список целей.","manualChoice":"Только прямо указанные частной карточкой выборы.","playerCommandAvailable":true,"preconditions":"[SYM-142] ОЭ≥200; подготовка завершена.","resourceCost":"[SYM-142] объявление; цена 200 ОЭ; подготовка 1 минута/1 ход; в начале следующего круга до всех ходов — разрешение.\nОЭ≥200; подготовка завершена.\nв момент разрешения израсходовать все имеющиеся HP, отключить все симбионты носителя на 1 час, перевести носителя в тяжёлое ранение.\nПопадание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возвращаются.","rollDefinition":"[SYM-142] радиус 3L м, R6 числа перескоков, список целей.\nВыбрать случайную первую цель в радиусе; затем выполнить R6 перескоков в «другую» случайную цель.\n[Q-SYM-058]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исключён.","ruleIds":"SYM-142; CORE-229; SYM-010; SYM-011","stateWrites":"[SYM-142] носитель тяжело ранен; цепь целей получает эффекты.","targetSelector":"[SYM-142] случайные цели.","timeCost":"Боевые ходы/действия по частной карточке.","trigger":"[SYM-142] объявление; цена 200 ОЭ; подготовка 1 минута/1 ход; в начале следующего круга до всех ходов — разрешение."}</t>
  </si>
  <si>
    <t xml:space="preserve">e8fadf5614f1a26b16a2998010741662dc6a061ca786a5b20fb998f12259a9d9</t>
  </si>
  <si>
    <t xml:space="preserve">SYM-142 PEACE</t>
  </si>
  <si>
    <t xml:space="preserve">{"abilityContextId":"CTX-SYM-142-PEACE","abilityId":"SYM-142","actionCost":"0","allowed":false,"armorPolicy":"NOT_APPLICABLE","atomicityAudit":"Записать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выполняется","ruleIds":"SYM-142; Q-APP-002","stateWrites":"Нет","targetSelector":"Не выбирается","timeCost":"0","trigger":"Попытка объявления в запрещённом контексте"}</t>
  </si>
  <si>
    <t xml:space="preserve">255ab5f0eb33583c6f03ff5560affa944781be9988a1da1a3ab2fd4305392b27</t>
  </si>
  <si>
    <t xml:space="preserve">SYM-144 COMBAT</t>
  </si>
  <si>
    <t xml:space="preserve">{"abilityContextId":"CTX-SYM-144-COMBAT","abilityId":"SYM-144","actionCost":"Если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ходы.\n\n[SYM-144] Иммунитет к ядам\nотменить урон от яда; отменить эффекты контроля, вызванные ядами или отварами, включая обезболивание.","context":"COMBAT","cooldown":"Нет, если не указан.","denialReason":"","duration":"Мгновенно, если срок не указан.","effect":"[SYM-144] отменить урон от яда; отменить эффекты контроля, вызванные ядами или отварами, включая обезболивание.","errorCodes":"ERR_PRECONDITION; ERR_TARGET; ERR_RESOURCE; ERR_ACTION_COST; ERR_RULE_SPECIFIC","idUnique":1,"inputs":"[SYM-144] тип источника/эффекта.","manualChoice":"Только прямо указанные частной карточкой выборы.","playerCommandAvailable":true,"preconditions":"[SYM-144] Жаба активна.","resourceCost":"0 ОЭ, если частная карточка не устанавливает цену.","rollDefinition":"Без броска, если частная карточка не требует его.","ruleIds":"SYM-144; CORE-229; SYM-010; SYM-011","stateWrites":"[SYM-144] урон/контроль не применяется.","targetSelector":"Цель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карточке.","trigger":"[SYM-144] применение урона/контроля от яда или отвара."}</t>
  </si>
  <si>
    <t xml:space="preserve">dbdd02f48b77f0e4d15377ab2d129fff9f3ef09f76500c1d9e8fd93559951911</t>
  </si>
  <si>
    <t xml:space="preserve">SYM-144 PEACE</t>
  </si>
  <si>
    <t xml:space="preserve">{"abilityContextId":"CTX-SYM-144-PEACE","abilityId":"SYM-144","actionCost":"Боевые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части.\n\n[SYM-144] Иммунитет к ядам\nотменить урон от яда; отменить эффекты контроля, вызванные ядами или отварами, включая обезболивание.","context":"PEACE","cooldown":"Нет, если не указан.","denialReason":"","duration":"Мгновенно, если срок не указан.","effect":"[SYM-144] отменить урон от яда; отменить эффекты контроля, вызванные ядами или отварами, включая обезболивание.","errorCodes":"ERR_PRECONDITION; ERR_TARGET; ERR_RESOURCE; ERR_ACTION_COST; ERR_RULE_SPECIFIC","idUnique":1,"inputs":"[SYM-144] тип источника/эффекта.","manualChoice":"Мастер подтверждает немоделируемые контакт, дистанцию и согласие цели по Q-APP-001.","playerCommandAvailable":false,"preconditions":"[SYM-144] Жаба активна.","resourceCost":"0 ОЭ, если частная карточка не устанавливает цену.","rollDefinition":"Без броска, если частная карточка не требует его.","ruleIds":"SYM-144; Q-APP-001; SYM-010; SYM-011","stateWrites":"[SYM-144] урон/контроль не применяется.","targetSelector":"Цель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0.","trigger":"[SYM-144] применение урона/контроля от яда или отвара."}</t>
  </si>
  <si>
    <t xml:space="preserve">bafcfa45bb8ba999f45b118d4977f2c3d30a5ae9d3a72ae79bac8121e69e0a8e</t>
  </si>
  <si>
    <t xml:space="preserve">SYM-145 COMBAT</t>
  </si>
  <si>
    <t xml:space="preserve">{"abilityContextId":"CTX-SYM-145-COMBAT","abilityId":"SYM-145","actionCost":"[SYM-145] выбор количества жертвуемых пунктов; цена 10 ОЭ за пункт и 1 действие по умолчанию.\nвременно снизить выбранные характеристики на N; за каждый пункт добавить +5 часов существования без еды и сна и +10 минут без кислорода.\nВернуть все пункты только после совместного выполнения: доступ к кислороду восстановлен, плотная еда принята, завершены 4 часа сна.\nполноценность сна для восстановления пользы по SYM-007 отдельно не требуется текстом, но длительность 4 часа обязательна.","allowed":true,"armorPolicy":"Общий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урон.","atomicityAudit":"[SYM-145] временные модификаторы и лимиты выживания; затем атомарное восстановление.","behavior":"Разрешается по агрегированным карточкам canonicalBehaviorCards; в бою учитываются указанная цена действий, боевые защиты, координаты и ходы.\n\n[SYM-145] Оптимизация метаболизма\nвременно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сна.","context":"COMBAT","cooldown":"[SYM-145] временно снизить выбранные характеристики на N; за каждый пункт добавить +5 часов существования без еды и сна и +10 минут без кислорода.\nВернуть все пункты только после совместного выполнения: доступ к кислороду восстановлен, плотная еда принята, завершены 4 часа сна.\nполноценность сна для восстановления пользы по SYM-007 отдельно не требуется текстом, но длительность 4 часа обязательна.","denialReason":"","duration":"[SYM-145] временно снизить выбранные характеристики на N; за каждый пункт добавить +5 часов существования без еды и сна и +10 минут без кислорода.\nВернуть все пункты только после совместного выполнения: доступ к кислороду восстановлен, плотная еда принята, завершены 4 часа сна.\nполноценность сна для восстановления пользы по SYM-007 отдельно не требуется текстом, но длительность 4 часа обязательна.","effect":"[SYM-145] 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сна.","errorCodes":"ERR_PRECONDITION; ERR_TARGET; ERR_RESOURCE; ERR_ACTION_COST; ERR_RULE_SPECIFIC","idUnique":1,"inputs":"[SYM-145] распределение N пунктов.","manualChoice":"Только прямо указанные частной карточкой выборы.","playerCommandAvailable":true,"preconditions":"[SYM-145] жертвуются S,D,M,I; ни одна не опустится ниже 1; ОЭ хватает на всю цену.","resourceCost":"[SYM-145] выбор количества жертвуемых пунктов; цена 10 ОЭ за пункт и 1 действие по умолчанию.\nОЭ хватает на всю цену.","rollDefinition":"Без броска, если частная карточка не требует его.","ruleIds":"SYM-145; CORE-229; SYM-010; SYM-011","stateWrites":"[SYM-145] временные модификаторы и лимиты выживания; затем атомарное восстановление.","targetSelector":"Цель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карточке.","trigger":"[SYM-145] выбор количества жертвуемых пунктов; цена 10 ОЭ за пункт и 1 действие по умолчанию."}</t>
  </si>
  <si>
    <t xml:space="preserve">0732add0f7a4d701fa4538ea8ba7410046e8c36768c5e43c43419707b35022da</t>
  </si>
  <si>
    <t xml:space="preserve">SYM-145 PEACE</t>
  </si>
  <si>
    <t xml:space="preserve">{"abilityContextId":"CTX-SYM-145-PEACE","abilityId":"SYM-145","actionCost":"0","allowed":false,"armorPolicy":"NOT_APPLICABLE","atomicityAudit":"Записать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выполняется","ruleIds":"SYM-145; Q-APP-002","stateWrites":"Нет","targetSelector":"Не выбирается","timeCost":"0","trigger":"Попытка объявления в запрещённом контексте"}</t>
  </si>
  <si>
    <t xml:space="preserve">478eb0a7b39954b5b3cdbae0209bf5009ab520324af197868d3d6f17a08b4037</t>
  </si>
  <si>
    <t xml:space="preserve">SYM-147 COMBAT</t>
  </si>
  <si>
    <t xml:space="preserve">{"abilityContextId":"CTX-SYM-147-COMBAT","abilityId":"SYM-147","actionCost":"[SYM-147]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ходы.\n\n[SYM-147] Язык жабы\nНормативная база (действует во всей непротиворечащей части):\nпри успешном касании доставить текущий яд; язык нельзя захватить.\nПриоритетные авторские дельты (заменяют только прямо пересекающиеся ветви):\n[Q-SYM-059] В Windows-приложении мы не обрабатываем этот эффект","context":"COMBAT","cooldown":"[SYM-147] Нормативная база (действует во всей непротиворечащей части):","denialReason":"","duration":"[SYM-147] Нормативная база (действует во всей непротиворечащей части):","effect":"[SYM-147] Нормативная база (действует во всей непротиворечащей части):\nпри успешном касании доставить текущий яд; язык нельзя захватить.\nПриоритетные авторские дельты (заменяют только прямо пересекающиеся ветви):\n[Q-SYM-059] В Windows-приложении мы не обрабатываем этот эффект","errorCodes":"ERR_PRECONDITION; ERR_TARGET; ERR_RESOURCE; ERR_ACTION_COST; ERR_RULE_SPECIFIC","idUnique":1,"inputs":"[SYM-147] меткость рукопашной атаки, текущий яд.","manualChoice":"Только прямо указанные частной карточкой выборы.","playerCommandAvailable":false,"preconditions":"[SYM-147] яд есть в крови; цель ≤L м; кончик касается кожи/тонкой одежды.","resourceCost":"0 ОЭ, если частная карточка не устанавливает цену.","rollDefinition":"Без броска, если частная карточка не требует его.","ruleIds":"SYM-147; CORE-229; SYM-010; SYM-011","stateWrites":"[SYM-147] яд применён к цели.","targetSelector":"[SYM-147] цель.","timeCost":"Боевые ходы/действия по частной карточке.","trigger":"[SYM-147] рукопашная атака языком."}</t>
  </si>
  <si>
    <t xml:space="preserve">5bdc7bb4588bf36bb6142ac082d6aba042a58619e5437f1de2e47cd95baff3a7</t>
  </si>
  <si>
    <t xml:space="preserve">SYM-147 PEACE</t>
  </si>
  <si>
    <t xml:space="preserve">{"abilityContextId":"CTX-SYM-147-PEACE","abilityId":"SYM-147","actionCost":"0","allowed":false,"armorPolicy":"NOT_APPLICABLE","atomicityAudit":"Записать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выполняется","ruleIds":"SYM-147; Q-APP-002","stateWrites":"Нет","targetSelector":"Не выбирается","timeCost":"0","trigger":"Попытка объявления в запрещённом контексте"}</t>
  </si>
  <si>
    <t xml:space="preserve">6bd1beded0b8ef6bb33e0e4ad2d46ba8f2625f45815f6c077cf5d8aa9b407927</t>
  </si>
  <si>
    <t xml:space="preserve">SYM-148 COMBAT</t>
  </si>
  <si>
    <t xml:space="preserve">{"abilityContextId":"CTX-SYM-148-COMBAT","abilityId":"SYM-148","actionCost":"[SYM-148] отключить всех симбионтов цели на 5 минут/1 ход.\nможно касаться без активации железы; дополнительное действие/ОЭ не тратится.","allowed":true,"armorPolicy":"Общий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ходы.\n\n[SYM-148] На, держи\nотключить всех симбионтов цели на 5 минут/1 ход.","context":"COMBAT","cooldown":"[SYM-148] отключить всех симбионтов цели на 5 минут/1 ход.","denialReason":"","duration":"[SYM-148] отключить всех симбионтов цели на 5 минут/1 ход.","effect":"[SYM-148] отключить всех симбионтов цели на 5 минут/1 ход.","errorCodes":"ERR_PRECONDITION; ERR_TARGET; ERR_RESOURCE; ERR_ACTION_COST; ERR_RULE_SPECIFIC","idUnique":1,"inputs":"[SYM-148] меткость/контакт.","manualChoice":"Только прямо указанные частной карточкой выборы.","playerCommandAvailable":true,"preconditions":"[SYM-148] открытая кожа цели; держатель решил выделить вещество.","resourceCost":"[SYM-148] можно касаться без активации железы; дополнительное действие/ОЭ не тратится.","rollDefinition":"Без броска, если частная карточка не требует его.","ruleIds":"SYM-148; CORE-229; SYM-010; SYM-011","stateWrites":"[SYM-148] симбионты цели disabled до таймера.","targetSelector":"[SYM-148] цель.","timeCost":"Боевые ходы/действия по частной карточке.","trigger":"[SYM-148] сознательный контакт ладонью с кожей; в бою — успешная рукопашная проверка."}</t>
  </si>
  <si>
    <t xml:space="preserve">4c0ce48cfc2bfed1aca131c443772870dbc2b279bd233286d58f6426b07495dc</t>
  </si>
  <si>
    <t xml:space="preserve">SYM-148 PEACE</t>
  </si>
  <si>
    <t xml:space="preserve">{"abilityContextId":"CTX-SYM-148-PEACE","abilityId":"SYM-148","actionCost":"0","allowed":false,"armorPolicy":"NOT_APPLICABLE","atomicityAudit":"Записать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выполняется","ruleIds":"SYM-148; Q-APP-002","stateWrites":"Нет","targetSelector":"Не выбирается","timeCost":"0","trigger":"Попытка объявления в запрещённом контексте"}</t>
  </si>
  <si>
    <t xml:space="preserve">24a5e3a78e49d1706eca5bad3978acd6fa859318850d38a42d6d754a7fa4a1f0</t>
  </si>
  <si>
    <t xml:space="preserve">SYM-149 COMBAT</t>
  </si>
  <si>
    <t xml:space="preserve">{"abilityContextId":"CTX-SYM-149-COMBAT","abilityId":"SYM-149","actionCost":"Если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ходы.\n\n[SYM-149] Живучесть жабы\nmaxHP +=10L; при гибели/удалении убрать бонус и ограничить текущий HP новым максимумом по общему правилу.","context":"COMBAT","cooldown":"Нет, если не указан.","denialReason":"","duration":"Мгновенно, если срок не указан.","effect":"[SYM-149] maxHP +=10L; при гибели/удалении убрать бонус и ограничить текущий HP новым максимумом по общему правилу.","errorCodes":"ERR_PRECONDITION; ERR_TARGET; ERR_RESOURCE; ERR_ACTION_COST; ERR_RULE_SPECIFIC","idUnique":1,"inputs":"[SYM-149] L, базовый maxHP.","manualChoice":"Только прямо указанные частной карточкой выборы.","playerCommandAvailable":false,"preconditions":"[SYM-149] способность доступна.","resourceCost":"[SYM-149] maxHP +=10L; при гибели/удалении убрать бонус и ограничить текущий HP новым максимумом по общему правилу.","rollDefinition":"[SYM-149] maxHP +=10L; при гибели/удалении убрать бонус и ограничить текущий HP новым максимумом по общему правилу.","ruleIds":"SYM-149; CORE-229; SYM-010; SYM-011","stateWrites":"[SYM-149] пересчитать maxHP.","targetSelector":"Цель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карточке.","trigger":"[SYM-149] изменение L/наличия."}</t>
  </si>
  <si>
    <t xml:space="preserve">8c2a679a886ae01a7937c19a748e201138723918fd80a6eb0ea52d6a1669da9a</t>
  </si>
  <si>
    <t xml:space="preserve">SYM-149 PEACE</t>
  </si>
  <si>
    <t xml:space="preserve">{"abilityContextId":"CTX-SYM-149-PEACE","abilityId":"SYM-149","actionCost":"Боевые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части.\n\n[SYM-149] Живучесть жабы\nmaxHP +=10L; при гибели/удалении убрать бонус и ограничить текущий HP новым максимумом по общему правилу.","context":"PEACE","cooldown":"Нет, если не указан.","denialReason":"","duration":"Мгновенно, если срок не указан.","effect":"[SYM-149] maxHP +=10L; при гибели/удалении убрать бонус и ограничить текущий HP новым максимумом по общему правилу.","errorCodes":"ERR_PRECONDITION; ERR_TARGET; ERR_RESOURCE; ERR_ACTION_COST; ERR_RULE_SPECIFIC","idUnique":1,"inputs":"[SYM-149] L, базовый maxHP.","manualChoice":"Мастер подтверждает немоделируемые контакт, дистанцию и согласие цели по Q-APP-001.","playerCommandAvailable":false,"preconditions":"[SYM-149] способность доступна.","resourceCost":"[SYM-149] maxHP +=10L; при гибели/удалении убрать бонус и ограничить текущий HP новым максимумом по общему правилу.","rollDefinition":"[SYM-149] maxHP +=10L; при гибели/удалении убрать бонус и ограничить текущий HP новым максимумом по общему правилу.","ruleIds":"SYM-149; Q-APP-001; SYM-010; SYM-011","stateWrites":"[SYM-149] пересчитать maxHP.","targetSelector":"Цель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0.","trigger":"[SYM-149] изменение L/наличия."}</t>
  </si>
  <si>
    <t xml:space="preserve">2fffc67f235c8fb34f3bb5dd24926c71cab7cce8d5c3bb05b81de6c6edb8fbf0</t>
  </si>
  <si>
    <t xml:space="preserve">SYM-150 COMBAT</t>
  </si>
  <si>
    <t xml:space="preserve">{"abilityContextId":"CTX-SYM-150-COMBAT","abilityId":"SYM-150","actionCost":"[SYM-150] активировать одновременно с атакой языком; цена 140 ОЭ, без дополнительного действия.\nR6 пробития; через 10 минут/3 хода R20+5 держателя и проверка M цели.\nЕсли R20+5 &gt; checkM_target, цель теряет сознание на 5 минут/1 ход.","allowed":true,"armorPolicy":"Общий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ходы.\n\n[SYM-150] Амфибиоморфная асфиксия\nпри успешном попадании и пробитии поставить таймер; по истечении сравнить результаты. Если R20+5 &gt; checkM_target, цель теряет сознание на 5 минут/1 ход.","context":"COMBAT","cooldown":"[SYM-150] R6 пробития; через 10 минут/3 хода R20+5 держателя и проверка M цели.\nЕсли R20+5 &gt; checkM_target, цель теряет сознание на 5 минут/1 ход.","denialReason":"","duration":"[SYM-150] R6 пробития; через 10 минут/3 хода R20+5 держателя и проверка M цели.\nЕсли R20+5 &gt; checkM_target, цель теряет сознание на 5 минут/1 ход.","effect":"[SYM-150] при успешном попадании и пробитии поставить таймер; по истечении сравнить результаты. Если R20+5 &gt; checkM_target, цель теряет сознание на 5 минут/1 ход.","errorCodes":"ERR_PRECONDITION; ERR_TARGET; ERR_RESOURCE; ERR_ACTION_COST; ERR_RULE_SPECIFIC","idUnique":1,"inputs":"[SYM-150] R6 пробития; через 10 минут/3 хода R20+5 держателя и проверка M цели.","manualChoice":"Только прямо указанные частной карточкой выборы.","playerCommandAvailable":false,"preconditions":"[SYM-150] ОЭ≥140.","resourceCost":"[SYM-150] активировать одновременно с атакой языком; цена 140 ОЭ, без дополнительного действия.\nОЭ≥140.","rollDefinition":"[SYM-150] R6 пробития; через 10 минут/3 хода R20+5 держателя и проверка M цели.\nЕсли R20+5 &gt; checkM_target, цель теряет сознание на 5 минут/1 ход.","ruleIds":"SYM-150; CORE-229; SYM-010; SYM-011","stateWrites":"[SYM-150] отложенная встречная проверка и бессознательность.","targetSelector":"[SYM-150] цель атаки языком.","timeCost":"Боевые ходы/действия по частной карточке.","trigger":"[SYM-150] активировать одновременно с атакой языком; цена 140 ОЭ, без дополнительного действия."}</t>
  </si>
  <si>
    <t xml:space="preserve">20169c33844ad1751d0dab91b6872ab09abf4db384533bbe25370b8774282993</t>
  </si>
  <si>
    <t xml:space="preserve">SYM-150 PEACE</t>
  </si>
  <si>
    <t xml:space="preserve">{"abilityContextId":"CTX-SYM-150-PEACE","abilityId":"SYM-150","actionCost":"0","allowed":false,"armorPolicy":"NOT_APPLICABLE","atomicityAudit":"Записать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выполняется","ruleIds":"SYM-150; Q-APP-002","stateWrites":"Нет","targetSelector":"Не выбирается","timeCost":"0","trigger":"Попытка объявления в запрещённом контексте"}</t>
  </si>
  <si>
    <t xml:space="preserve">615a78692afedd59ba6fa0c9683ec151042c4e69f4fef65a1908e1f3df6d15f8</t>
  </si>
  <si>
    <t xml:space="preserve">SYM-152 COMBAT</t>
  </si>
  <si>
    <t xml:space="preserve">{"abilityContextId":"CTX-SYM-152-COMBAT","abilityId":"SYM-152","actionCost":"[SYM-152] в ход носителя команда выйти через рот; цена 1 боевое действие носителя.\nL, текущий бой, действия носителя.\nНормативная база (действует во всей непротиворечащей части):\nсоздать отдельного персонажа: каждая характеристика 2L, HP=10L, максимальная автономность L часов.\nВ бою немедленно бросить чистую инициативу для следующего хода; в текущий момент Крыса может действовать, расходуя оставшиеся действия носителя.\n[SYM-153] если носитель в течение 1 часа съел ≥50% тела, через 12 часов переродить без потери L.\nИначе через 24 часа переродить с L=max(1,L−2); способности выше L сохранить изученными, но заблокировать.","allowed":true,"armorPolicy":"Общий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ходы.\n\n[SYM-152] Самостоятельность: выход и боевой субъект\nНормативная база (действует во всей непротиворечащей части):\nсоздать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носителя.\nПриоритетные авторские дельты (заменяют только прямо пересекающиеся ветви):\n[Q-SYM-060]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недоступны.\n\n[SYM-153] Самостоятельность: гибель и перерождение\nесли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недоступны.","context":"COMBAT","cooldown":"[SYM-152] в ход носителя команда выйти через рот; цена 1 боевое действие носителя.\nНормативная база (действует во всей непротиворечащей части):\nсоздать отдельного персонажа: каждая характеристика 2L, HP=10L, максимальная автономность L часов.\nВ бою немедленно бросить чистую инициативу для следующего хода; в текущий момент Крыса может действовать, расходуя оставшиеся действия носителя.\nПо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позволяют.\nпосле возвращения до следующей вылазки ждать 11−L часов.\n[SYM-153] если носитель в течение 1 часа съел ≥50% тела, через 12 часов переродить без потери L.\nИначе через 24 часа переродить с L=max(1,L−2); способности выше L сохранить изученными, но заблокировать.","denialReason":"","duration":"[SYM-152] в ход носителя команда выйти через рот; цена 1 боевое действие носителя.\nНормативная база (действует во всей непротиворечащей части):\nсоздать отдельного персонажа: каждая характеристика 2L, HP=10L, максимальная автономность L часов.\nВ бою немедленно бросить чистую инициативу для следующего хода; в текущий момент Крыса может действовать, расходуя оставшиеся действия носителя.\nПо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позволяют.\nпосле возвращения до следующей вылазки ждать 11−L часов.\n[SYM-153] если носитель в течение 1 часа съел ≥50% тела, через 12 часов переродить без потери L.\nИначе через 24 часа переродить с L=max(1,L−2); способности выше L сохранить изученными, но заблокировать.","effect":"[SYM-152] Нормативная база (действует во всей непротиворечащей части):\nсоздать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носителя.\nПриоритетные авторские дельты (заменяют только прямо пересекающиеся ветви):\n[Q-SYM-060]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недоступны.\n[SYM-153]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недоступны.","errorCodes":"ERR_PRECONDITION; ERR_TARGET; ERR_RESOURCE; ERR_ACTION_COST; ERR_RULE_SPECIFIC","idUnique":1,"inputs":"[SYM-152] L, текущий бой, действия носителя.\n[SYM-153] доля сохранённого тела, время поедания, L.","manualChoice":"Только прямо указанные частной карточкой выборы.","playerCommandAvailable":true,"preconditions":"[SYM-152] Крыса в теле; закончился период восстановления вылазки.\n[SYM-153] носитель жив.","resourceCost":"[SYM-152] в ход носителя команда выйти через рот; цена 1 боевое действие носителя.\nсоздать отдельного персонажа: каждая характеристика 2L, HP=10L, максимальная автономность L часов.","rollDefinition":"[SYM-152] создать отдельного персонажа: каждая характеристика 2L, HP=10L, максимальная автономность L часов.\nУкус: пробитие=R6, урон=тот же R6 + D_mod, D также модифицирует точность.\n[SYM-153] Иначе через 24 часа переродить с L=max(1,L−2); способности выше L сохранить изученными, но заблокировать.","ruleIds":"SYM-152; SYM-153; CORE-229; SYM-010; SYM-011","stateWrites":"[SYM-152] отдельная позиция/инициатива Крысы.\n[SYM-153] Крыса возвращена в тело.","targetSelector":"[SYM-152] носитель.\n[SYM-153] носитель.","timeCost":"Боевые ходы/действия по частной карточке.","trigger":"[SYM-152] в ход носителя команда выйти через рот; цена 1 боевое действие носителя.\n[SYM-153] смерть Крысы вне тела."}</t>
  </si>
  <si>
    <t xml:space="preserve">32b826a6a37a146a6576355376d57d101fad4fe530a5708e511729fac20120fd</t>
  </si>
  <si>
    <t xml:space="preserve">SYM-152 PEACE</t>
  </si>
  <si>
    <t xml:space="preserve">{"abilityContextId":"CTX-SYM-152-PEACE","abilityId":"SYM-152","actionCost":"Боевые действия не расходуются вне боя. Частная длительность/условия сохраняются:\n[SYM-152] в ход носителя команда выйти через рот; цена 1 боевое действие носителя.\nL, текущий бой, действия носителя.\nНормативная база (действует во всей непротиворечащей части):\nсоздать отдельного персонажа: каждая характеристика 2L, HP=10L, максимальная автономность L часов.\nВ бою немедленно бросить чистую инициативу для следующего хода; в текущий момент Крыса может действовать, расходуя оставшиеся действия носителя.\n[SYM-153] если носитель в течение 1 часа съел ≥50% тела, через 12 часов переродить без потери L.\nИначе через 24 часа переродить с L=max(1,L−2); способности выше L сохранить изученными, но заблокировать.","allowed":true,"armorPolicy":"Общий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части.\n\n[SYM-152] Самостоятельность: выход и боевой субъект\nНормативная база (действует во всей непротиворечащей части):\nсоздать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носителя.\nПриоритетные авторские дельты (заменяют только прямо пересекающиеся ветви):\n[Q-SYM-060]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недоступны.\n\n[SYM-153] Самостоятельность: гибель и перерождение\nесли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недоступны.","context":"PEACE","cooldown":"[SYM-152] в ход носителя команда выйти через рот; цена 1 боевое действие носителя.\nНормативная база (действует во всей непротиворечащей части):\nсоздать отдельного персонажа: каждая характеристика 2L, HP=10L, максимальная автономность L часов.\nВ бою немедленно бросить чистую инициативу для следующего хода; в текущий момент Крыса может действовать, расходуя оставшиеся действия носителя.\nПо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позволяют.\nпосле возвращения до следующей вылазки ждать 11−L часов.\n[SYM-153] если носитель в течение 1 часа съел ≥50% тела, через 12 часов переродить без потери L.\nИначе через 24 часа переродить с L=max(1,L−2); способности выше L сохранить изученными, но заблокировать.","denialReason":"","duration":"[SYM-152] в ход носителя команда выйти через рот; цена 1 боевое действие носителя.\nНормативная база (действует во всей непротиворечащей части):\nсоздать отдельного персонажа: каждая характеристика 2L, HP=10L, максимальная автономность L часов.\nВ бою немедленно бросить чистую инициативу для следующего хода; в текущий момент Крыса может действовать, расходуя оставшиеся действия носителя.\nПо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позволяют.\nпосле возвращения до следующей вылазки ждать 11−L часов.\n[SYM-153] если носитель в течение 1 часа съел ≥50% тела, через 12 часов переродить без потери L.\nИначе через 24 часа переродить с L=max(1,L−2); способности выше L сохранить изученными, но заблокировать.","effect":"[SYM-152] Нормативная база (действует во всей непротиворечащей части):\nсоздать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носителя.\nПриоритетные авторские дельты (заменяют только прямо пересекающиеся ветви):\n[Q-SYM-060]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недоступны.\n[SYM-153] 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недоступны.","errorCodes":"ERR_PRECONDITION; ERR_TARGET; ERR_RESOURCE; ERR_ACTION_COST; ERR_RULE_SPECIFIC","idUnique":1,"inputs":"[SYM-152] L, текущий бой, действия носителя.\n[SYM-153] доля сохранённого тела, время поедания, L.","manualChoice":"Мастер подтверждает немоделируемые контакт, дистанцию и согласие цели по Q-APP-001.","playerCommandAvailable":true,"preconditions":"[SYM-152] Крыса в теле; закончился период восстановления вылазки.\n[SYM-153] носитель жив.","resourceCost":"[SYM-152] в ход носителя команда выйти через рот; цена 1 боевое действие носителя.\nсоздать отдельного персонажа: каждая характеристика 2L, HP=10L, максимальная автономность L часов.","rollDefinition":"[SYM-152] создать отдельного персонажа: каждая характеристика 2L, HP=10L, максимальная автономность L часов.\nУкус: пробитие=R6, урон=тот же R6 + D_mod, D также модифицирует точность.\n[SYM-153] Иначе через 24 часа переродить с L=max(1,L−2); способности выше L сохранить изученными, но заблокировать.","ruleIds":"SYM-152; SYM-153; Q-APP-001; SYM-010; SYM-011","stateWrites":"[SYM-152] отдельная позиция/инициатива Крысы.\n[SYM-153] Крыса возвращена в тело.","targetSelector":"[SYM-152] носитель.\n[SYM-153] носитель.","timeCost":"Виртуальное время только если прямо установлено частной карточкой; иначе 0.","trigger":"[SYM-152] в ход носителя команда выйти через рот; цена 1 боевое действие носителя.\n[SYM-153] смерть Крысы вне тела."}</t>
  </si>
  <si>
    <t xml:space="preserve">59a65ef8179874d0c58cd34370b4bb23f5deb30d379a61f8930fff3dfcd8438e</t>
  </si>
  <si>
    <t xml:space="preserve">SYM-154 COMBAT</t>
  </si>
  <si>
    <t xml:space="preserve">{"abilityContextId":"CTX-SYM-154-COMBAT","abilityId":"SYM-154","actionCost":"[SYM-154]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ходы.\n\n[SYM-154] Я буду твоими глазами\nНормативная база (действует во всей непротиворечащей части):\nнемедленно сделать информацию доступной носителю.\nПриоритетные авторские дельты (заменяют только прямо пересекающиеся ветви):\n[Q-SYM-061] Не ограничена","context":"COMBAT","cooldown":"[SYM-154] Нормативная база (действует во всей непротиворечащей части):\nдальность базовой связи не указана, кроме автономного срока.","denialReason":"","duration":"[SYM-154] Нормативная база (действует во всей непротиворечащей части):\nдальность базовой связи не указана, кроме автономного срока.","effect":"[SYM-154] Нормативная база (действует во всей непротиворечащей части):\nнемедленно сделать информацию доступной носителю.\nПриоритетные авторские дельты (заменяют только прямо пересекающиеся ветви):\n[Q-SYM-061] Не ограничена","errorCodes":"ERR_PRECONDITION; ERR_TARGET; ERR_RESOURCE; ERR_ACTION_COST; ERR_RULE_SPECIFIC","idUnique":1,"inputs":"[SYM-154] видимые/слышимые данные Крысы.","manualChoice":"Только прямо указанные частной карточкой выборы.","playerCommandAvailable":false,"preconditions":"[SYM-154] ментальная связь с носителем сохраняется.","resourceCost":"0 ОЭ, если частная карточка не устанавливает цену.","rollDefinition":"Без броска, если частная карточка не требует его.","ruleIds":"SYM-154; CORE-229; SYM-010; SYM-011","stateWrites":"[SYM-154] общая видимость знаний/целей.","targetSelector":"[SYM-154] носитель.","timeCost":"Боевые ходы/действия по частной карточке.","trigger":"[SYM-154] получение Крысой сенсорной информации."}</t>
  </si>
  <si>
    <t xml:space="preserve">90f17c504218edbf15fc3ae794b04063148d269dc4f8c3586f65a60c327651d3</t>
  </si>
  <si>
    <t xml:space="preserve">SYM-154 PEACE</t>
  </si>
  <si>
    <t xml:space="preserve">{"abilityContextId":"CTX-SYM-154-PEACE","abilityId":"SYM-154","actionCost":"0","allowed":false,"armorPolicy":"NOT_APPLICABLE","atomicityAudit":"Записать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выполняется","ruleIds":"SYM-154; Q-APP-002","stateWrites":"Нет","targetSelector":"Не выбирается","timeCost":"0","trigger":"Попытка объявления в запрещённом контексте"}</t>
  </si>
  <si>
    <t xml:space="preserve">89651acde85ca0104fec7448f35f1974f4229beff0a3a2d33d274df8250dabeb</t>
  </si>
  <si>
    <t xml:space="preserve">SYM-155 COMBAT</t>
  </si>
  <si>
    <t xml:space="preserve">{"abilityContextId":"CTX-SYM-155-COMBAT","abilityId":"SYM-155","actionCost":"Если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ходы.\n\n[SYM-155] Ловкость крысы\nдобавить бонус 2L; итоговая D Крысы при отсутствии иных модификаторов =4L.\n[v1.4]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недоступны.","context":"COMBAT","cooldown":"Нет, если не указан.","denialReason":"","duration":"Мгновенно, если срок не указан.","effect":"[SYM-155] добавить бонус 2L; итоговая D Крысы при отсутствии иных модификаторов =4L.\n[v1.4]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недоступны.","errorCodes":"ERR_PRECONDITION; ERR_TARGET; ERR_RESOURCE; ERR_ACTION_COST; ERR_RULE_SPECIFIC","idUnique":1,"inputs":"[SYM-155] базовая D=2L.","manualChoice":"Только прямо указанные частной карточкой выборы.","playerCommandAvailable":false,"preconditions":"[SYM-155] способность доступна.","resourceCost":"0 ОЭ, если частная карточка не устанавливает цену.","rollDefinition":"[SYM-155] базовая D=2L.\nдобавить бонус 2L; итоговая D Крысы при отсутствии иных модификаторов =4L.","ruleIds":"SYM-155; CORE-229; SYM-010; SYM-011","stateWrites":"[SYM-155] пересчитать D/инициативу/атаки.","targetSelector":"Цель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карточке.","trigger":"[SYM-155] изменение L."}</t>
  </si>
  <si>
    <t xml:space="preserve">1bc5d9fa02b11db09af5264717e2d26060bd7a2b19242c6ff4f183ec6a5605bc</t>
  </si>
  <si>
    <t xml:space="preserve">SYM-155 PEACE</t>
  </si>
  <si>
    <t xml:space="preserve">{"abilityContextId":"CTX-SYM-155-PEACE","abilityId":"SYM-155","actionCost":"Боевые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части.\n\n[SYM-155] Ловкость крысы\nдобавить бонус 2L; итоговая D Крысы при отсутствии иных модификаторов =4L.\n[v1.4]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недоступны.","context":"PEACE","cooldown":"Нет, если не указан.","denialReason":"","duration":"Мгновенно, если срок не указан.","effect":"[SYM-155] добавить бонус 2L; итоговая D Крысы при отсутствии иных модификаторов =4L.\n[v1.4]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недоступны.","errorCodes":"ERR_PRECONDITION; ERR_TARGET; ERR_RESOURCE; ERR_ACTION_COST; ERR_RULE_SPECIFIC","idUnique":1,"inputs":"[SYM-155] базовая D=2L.","manualChoice":"Мастер подтверждает немоделируемые контакт, дистанцию и согласие цели по Q-APP-001.","playerCommandAvailable":false,"preconditions":"[SYM-155] способность доступна.","resourceCost":"0 ОЭ, если частная карточка не устанавливает цену.","rollDefinition":"[SYM-155] базовая D=2L.\nдобавить бонус 2L; итоговая D Крысы при отсутствии иных модификаторов =4L.","ruleIds":"SYM-155; Q-APP-001; SYM-010; SYM-011","stateWrites":"[SYM-155] пересчитать D/инициативу/атаки.","targetSelector":"Цель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0.","trigger":"[SYM-155] изменение L."}</t>
  </si>
  <si>
    <t xml:space="preserve">f33a992ddc498bf203d127b363efd2a96180c9bf2a02ec539fd929e649e0eb3c</t>
  </si>
  <si>
    <t xml:space="preserve">SYM-156 COMBAT</t>
  </si>
  <si>
    <t xml:space="preserve">{"abilityContextId":"CTX-SYM-156-COMBAT","abilityId":"SYM-156","actionCost":"Если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ходы.\n\n[SYM-156] Переносчик заразы\nдобавить +L к урону укуса.","context":"COMBAT","cooldown":"Нет, если не указан.","denialReason":"","duration":"Мгновенно, если срок не указан.","effect":"[SYM-156] добавить +L к урону укуса.","errorCodes":"ERR_PRECONDITION; ERR_TARGET; ERR_RESOURCE; ERR_ACTION_COST; ERR_RULE_SPECIFIC","idUnique":1,"inputs":"[SYM-156] L, базовый урон.","manualChoice":"Только прямо указанные частной карточкой выборы.","playerCommandAvailable":false,"preconditions":"[SYM-156] способность доступна.","resourceCost":"0 ОЭ, если частная карточка не устанавливает цену.","rollDefinition":"Без броска, если частная карточка не требует его.","ruleIds":"SYM-156; CORE-229; SYM-010; SYM-011","stateWrites":"[SYM-156] повышенный урон.","targetSelector":"Цель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карточке.","trigger":"[SYM-156] расчёт урона укуса."}</t>
  </si>
  <si>
    <t xml:space="preserve">5579a3c53639b491b655574bf1c589499b59ee7b42f34df09f7d6423a8e15a04</t>
  </si>
  <si>
    <t xml:space="preserve">SYM-156 PEACE</t>
  </si>
  <si>
    <t xml:space="preserve">{"abilityContextId":"CTX-SYM-156-PEACE","abilityId":"SYM-156","actionCost":"0","allowed":false,"armorPolicy":"NOT_APPLICABLE","atomicityAudit":"Записать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выполняется","ruleIds":"SYM-156; Q-APP-002","stateWrites":"Нет","targetSelector":"Не выбирается","timeCost":"0","trigger":"Попытка объявления в запрещённом контексте"}</t>
  </si>
  <si>
    <t xml:space="preserve">0a18ba597b72ab56131dea30489d5075aae01ea499577bf74a1690aad235f17f</t>
  </si>
  <si>
    <t xml:space="preserve">SYM-157 COMBAT</t>
  </si>
  <si>
    <t xml:space="preserve">{"abilityContextId":"CTX-SYM-157-COMBAT","abilityId":"SYM-157","actionCost":"[SYM-157] Нормативная база (действует во всей непротиворечащей части):\nодна единица: S=D=M=HP=N (N≤30), I=1,C=1,W=10,Z=10; брони и активной защиты нет; одна чистая инициатива и одно боевое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ходы.\n\n[SYM-157] Первый среди равных: стая\nНормативная база (действует во всей непротиворечащей части):\nодна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отступает.\nПриоритетные авторские дельты (заменяют только прямо пересекающиеся ветви):\n[Q-SYM-062]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отклоняются.","context":"COMBAT","cooldown":"[SYM-157] Нормативная база (действует во всей непротиворечащей части):\nЕсли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контроля.","denialReason":"","duration":"[SYM-157] Нормативная база (действует во всей непротиворечащей части):\nЕсли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контроля.","effect":"[SYM-157] Нормативная база (действует во всей непротиворечащей части):\nодна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отступает.\nПриоритетные авторские дельты (заменяют только прямо пересекающиеся ветви):\n[Q-SYM-062]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отклоняются.","errorCodes":"ERR_PRECONDITION; ERR_TARGET; ERR_RESOURCE; ERR_ACTION_COST; ERR_RULE_SPECIFIC","idUnique":1,"inputs":"[SYM-157] N — текущее число крыс, N0 — исходное; инициатива; атаки.","manualChoice":"Только прямо указанные частной карточкой выборы.","playerCommandAvailable":false,"preconditions":"[SYM-157] статус вожака активен; до 30 крыс включены в единицу.","resourceCost":"[SYM-157] одна единица: S=D=M=HP=N (N≤30), I=1,C=1,W=10,Z=10; брони и активной защиты нет; одна чистая инициатива и одно боевое действие.\nКаждая потеря 1 HP удаляет 1 крысу и сразу уменьшает S,D,M,HP.\nТекущее N уменьшается с каждой потерянной единицей HP и используется для характеристик и урона","rollDefinition":"[SYM-157] одна единица: S=D=M=HP=N (N≤30), I=1,C=1,W=10,Z=10; брони и активной защиты нет; одна чистая инициатива и одно боевое действие.\nУкус: точность R20+D, пробитие 0, урон R6+N/5.\nБез Крысиного короля стая начинает бегство, когда суммарные потери достигают ceil(0,30×N0), с Крысиным королём — ceil(0,60×N0).","ruleIds":"SYM-157; CORE-229; SYM-010; SYM-011","stateWrites":"[SYM-157] динамическая групповая сущность.","targetSelector":"[SYM-157] стая обычных крыс.","timeCost":"Боевые ходы/действия по частной карточке.","trigger":"[SYM-157] Крыса победила вожака сообщества в радиусе 200 м и заняла место; затем вступает в бой."}</t>
  </si>
  <si>
    <t xml:space="preserve">06c1a6dafe88d38755caf9bc12846a1a97fae1dc404cd2e5115a893aeb17884c</t>
  </si>
  <si>
    <t xml:space="preserve">SYM-157 PEACE</t>
  </si>
  <si>
    <t xml:space="preserve">{"abilityContextId":"CTX-SYM-157-PEACE","abilityId":"SYM-157","actionCost":"0","allowed":false,"armorPolicy":"NOT_APPLICABLE","atomicityAudit":"Записать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выполняется","ruleIds":"SYM-157; Q-APP-002","stateWrites":"Нет","targetSelector":"Не выбирается","timeCost":"0","trigger":"Попытка объявления в запрещённом контексте"}</t>
  </si>
  <si>
    <t xml:space="preserve">1ede8fe75dccd031a9d1f0a161b715b27c857d3fa9529b02aecabd2a25bcef0a</t>
  </si>
  <si>
    <t xml:space="preserve">SYM-158 COMBAT</t>
  </si>
  <si>
    <t xml:space="preserve">{"abilityContextId":"CTX-SYM-158-COMBAT","abilityId":"SYM-158","actionCost":"Если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ходы.\n\n[SYM-158] Подобное к подобному\nпрямой урон R20+L, пробитие L; считать рукопашной атакой; разрешить как опцию после захвата в борьбе.","context":"COMBAT","cooldown":"Нет, если не указан.","denialReason":"","duration":"Мгновенно, если срок не указан.","effect":"[SYM-158] прямой урон R20+L, пробитие L; считать рукопашной атакой; разрешить как опцию после захвата в борьбе.","errorCodes":"ERR_PRECONDITION; ERR_TARGET; ERR_RESOURCE; ERR_ACTION_COST; ERR_RULE_SPECIFIC","idUnique":1,"inputs":"[SYM-158] R20, L, обычная рукопашная точность.","manualChoice":"Только прямо указанные частной карточкой выборы.","playerCommandAvailable":false,"preconditions":"[SYM-158] способность доступна.","resourceCost":"0 ОЭ, если частная карточка не устанавливает цену.","rollDefinition":"[SYM-158] R20, L, обычная рукопашная точность.\nпрямой урон R20+L, пробитие L; считать рукопашной атакой; разрешить как опцию после захвата в борьбе.","ruleIds":"SYM-158; CORE-229; SYM-010; SYM-011","stateWrites":"[SYM-158] атака природным оружием.","targetSelector":"[SYM-158] цель укуса.","timeCost":"Боевые ходы/действия по частной карточке.","trigger":"[SYM-158] укус, пока Крыса находится в теле."}</t>
  </si>
  <si>
    <t xml:space="preserve">5a6ae29b9216d0f489c9889e94f3b99cf52cfe767f792589acdf7bc564ba5f29</t>
  </si>
  <si>
    <t xml:space="preserve">SYM-158 PEACE</t>
  </si>
  <si>
    <t xml:space="preserve">{"abilityContextId":"CTX-SYM-158-PEACE","abilityId":"SYM-158","actionCost":"0","allowed":false,"armorPolicy":"NOT_APPLICABLE","atomicityAudit":"Записать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выполняется","ruleIds":"SYM-158; Q-APP-002","stateWrites":"Нет","targetSelector":"Не выбирается","timeCost":"0","trigger":"Попытка объявления в запрещённом контексте"}</t>
  </si>
  <si>
    <t xml:space="preserve">f9b516686d66db69156747a8a45dae0c4155f5b276d8da3b4801aed64c31fb3c</t>
  </si>
  <si>
    <t xml:space="preserve">SYM-159 COMBAT</t>
  </si>
  <si>
    <t xml:space="preserve">{"abilityContextId":"CTX-SYM-159-COMBAT","abilityId":"SYM-159","actionCost":"[SYM-159]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ходы.\n\n[SYM-159] Крысиный король\nНормативная база (действует во всей непротиворечащей части):\nзаменить порог отступления 30% на 60% исходного состава.\nПриоритетные авторские дельты (заменяют только прямо пересекающиеся ветви):\n[Q-SYM-062]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отклоняются.","context":"COMBAT","cooldown":"[SYM-159] Нормативная база (действует во всей непротиворечащей части):\nЕсли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контроля.","denialReason":"","duration":"[SYM-159] Нормативная база (действует во всей непротиворечащей части):\nЕсли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контроля.","effect":"[SYM-159] Нормативная база (действует во всей непротиворечащей части):\nзаменить порог отступления 30% на 60% исходного состава.\nПриоритетные авторские дельты (заменяют только прямо пересекающиеся ветви):\n[Q-SYM-062]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отклоняются.","errorCodes":"ERR_PRECONDITION; ERR_TARGET; ERR_RESOURCE; ERR_ACTION_COST; ERR_RULE_SPECIFIC","idUnique":1,"inputs":"[SYM-159] потери относительно N0.","manualChoice":"Только прямо указанные частной карточкой выборы.","playerCommandAvailable":false,"preconditions":"[SYM-159] способность доступна.","resourceCost":"[SYM-159] Текущее N уменьшается с каждой потерянной единицей HP и используется для характеристик и урона","rollDefinition":"[SYM-159] Без Крысиного короля стая начинает бегство, когда суммарные потери достигают ceil(0,30×N0), с Крысиным королём — ceil(0,60×N0).","ruleIds":"SYM-159; CORE-229; SYM-010; SYM-011","stateWrites":"[SYM-159] стая продолжает бой до нового порога.","targetSelector":"[SYM-159] стая.","timeCost":"Боевые ходы/действия по частной карточке.","trigger":"[SYM-159] проверка порога потерь."}</t>
  </si>
  <si>
    <t xml:space="preserve">b1155804d1e99f68244f1802385712fa2ac68b11bef310a8f94d9a5c01c2a673</t>
  </si>
  <si>
    <t xml:space="preserve">SYM-159 PEACE</t>
  </si>
  <si>
    <t xml:space="preserve">{"abilityContextId":"CTX-SYM-159-PEACE","abilityId":"SYM-159","actionCost":"0","allowed":false,"armorPolicy":"NOT_APPLICABLE","atomicityAudit":"Записать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выполняется","ruleIds":"SYM-159; Q-APP-002","stateWrites":"Нет","targetSelector":"Не выбирается","timeCost":"0","trigger":"Попытка объявления в запрещённом контексте"}</t>
  </si>
  <si>
    <t xml:space="preserve">28018f82f03aa5a3546b43acec5cdafc744f9a08ad0c4d95c0de3add1ac36d2b</t>
  </si>
  <si>
    <t xml:space="preserve">SYM-160 COMBAT</t>
  </si>
  <si>
    <t xml:space="preserve">{"abilityContextId":"CTX-SYM-160-COMBAT","abilityId":"SYM-160","actionCost":"[SYM-160] таймер 24 часа.\nв период действия пороги отступления не применяются.","allowed":true,"armorPolicy":"Общий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ходы.\n\n[SYM-160] Ретранслятор\nсохранить контроль за носителем на сутки; стая выполняет приказ невзирая на любые потери; по окончании стая неизбежно разбегается.\n[v1.4]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отклоняются.","context":"COMBAT","cooldown":"[SYM-160] таймер 24 часа.\nсохранить контроль за носителем на сутки; стая выполняет приказ невзирая на любые потери; по окончании стая неизбежно разбегается.","denialReason":"","duration":"[SYM-160] таймер 24 часа.\nсохранить контроль за носителем на сутки; стая выполняет приказ невзирая на любые потери; по окончании стая неизбежно разбегается.","effect":"[SYM-160] сохранить контроль за носителем на сутки; стая выполняет приказ невзирая на любые потери; по окончании стая неизбежно разбегается.\n[v1.4]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отклоняются.","errorCodes":"ERR_PRECONDITION; ERR_TARGET; ERR_RESOURCE; ERR_ACTION_COST; ERR_RULE_SPECIFIC","idUnique":1,"inputs":"[SYM-160] таймер 24 часа.","manualChoice":"Только прямо указанные частной карточкой выборы.","playerCommandAvailable":true,"preconditions":"[SYM-160] Крыса была вожаком стаи.","resourceCost":"0 ОЭ, если частная карточка не устанавливает цену.","rollDefinition":"Без броска, если частная карточка не требует его.","ruleIds":"SYM-160; CORE-229; SYM-010; SYM-011","stateWrites":"[SYM-160] статус вожака временно переносится носителю.","targetSelector":"[SYM-160] стая.","timeCost":"Боевые ходы/действия по частной карточке.","trigger":"[SYM-160] Крыса возвращается в тело."}</t>
  </si>
  <si>
    <t xml:space="preserve">5d977323fdebdd1181d5bfefd159ad9bde71a4079e63af8ac4e935d09618519b</t>
  </si>
  <si>
    <t xml:space="preserve">SYM-160 PEACE</t>
  </si>
  <si>
    <t xml:space="preserve">{"abilityContextId":"CTX-SYM-160-PEACE","abilityId":"SYM-160","actionCost":"Боевые действия не расходуются вне боя. Частная длительность/условия сохраняются:\n[SYM-160] таймер 24 часа.\nв период действия пороги отступления не применяются.","allowed":true,"armorPolicy":"Общий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части.\n\n[SYM-160] Ретранслятор\nсохранить контроль за носителем на сутки; стая выполняет приказ невзирая на любые потери; по окончании стая неизбежно разбегается.\n[v1.4]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отклоняются.","context":"PEACE","cooldown":"[SYM-160] таймер 24 часа.\nсохранить контроль за носителем на сутки; стая выполняет приказ невзирая на любые потери; по окончании стая неизбежно разбегается.","denialReason":"","duration":"[SYM-160] таймер 24 часа.\nсохранить контроль за носителем на сутки; стая выполняет приказ невзирая на любые потери; по окончании стая неизбежно разбегается.","effect":"[SYM-160] сохранить контроль за носителем на сутки; стая выполняет приказ невзирая на любые потери; по окончании стая неизбежно разбегается.\n[v1.4]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отклоняются.","errorCodes":"ERR_PRECONDITION; ERR_TARGET; ERR_RESOURCE; ERR_ACTION_COST; ERR_RULE_SPECIFIC","idUnique":1,"inputs":"[SYM-160] таймер 24 часа.","manualChoice":"Мастер подтверждает немоделируемые контакт, дистанцию и согласие цели по Q-APP-001.","playerCommandAvailable":false,"preconditions":"[SYM-160] Крыса была вожаком стаи.","resourceCost":"0 ОЭ, если частная карточка не устанавливает цену.","rollDefinition":"Без броска, если частная карточка не требует его.","ruleIds":"SYM-160; Q-APP-001; SYM-010; SYM-011","stateWrites":"[SYM-160] статус вожака временно переносится носителю.","targetSelector":"[SYM-160] стая.","timeCost":"Виртуальное время только если прямо установлено частной карточкой; иначе 0.","trigger":"[SYM-160] Крыса возвращается в тело."}</t>
  </si>
  <si>
    <t xml:space="preserve">931f4e8f9ffad80ff553211bb1c3fb08857029cfe466ea77174fffd193edbaa6</t>
  </si>
  <si>
    <t xml:space="preserve">SYM-162 COMBAT</t>
  </si>
  <si>
    <t xml:space="preserve">{"abilityContextId":"CTX-SYM-162-COMBAT","abilityId":"SYM-162","actionCost":"Если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ходы.\n\n[SYM-162] Трансцендентность\nповысить I на 5L, но не выше 30; при удалении/гибели вернуть исходное.","context":"COMBAT","cooldown":"Нет, если не указан.","denialReason":"","duration":"Мгновенно, если срок не указан.","effect":"[SYM-162] повысить I на 5L, но не выше 30; при удалении/гибели вернуть исходное.","errorCodes":"ERR_PRECONDITION; ERR_TARGET; ERR_RESOURCE; ERR_ACTION_COST; ERR_RULE_SPECIFIC","idUnique":1,"inputs":"[SYM-162] базовый I, L.","manualChoice":"Только прямо указанные частной карточкой выборы.","playerCommandAvailable":false,"preconditions":"[SYM-162] Дельфин активен.","resourceCost":"0 ОЭ, если частная карточка не устанавливает цену.","rollDefinition":"Без броска, если частная карточка не требует его.","ruleIds":"SYM-162; CORE-229; SYM-010; SYM-011","stateWrites":"[SYM-162] пересчитать I.","targetSelector":"Цель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карточке.","trigger":"[SYM-162] изменение L/наличия."}</t>
  </si>
  <si>
    <t xml:space="preserve">55e55cdbacc249bcd4cd4cbe2641e4788e2ec6a11b5a73b2cc4a04798a5fafdd</t>
  </si>
  <si>
    <t xml:space="preserve">SYM-162 PEACE</t>
  </si>
  <si>
    <t xml:space="preserve">{"abilityContextId":"CTX-SYM-162-PEACE","abilityId":"SYM-162","actionCost":"Боевые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части.\n\n[SYM-162] Трансцендентность\nповысить I на 5L, но не выше 30; при удалении/гибели вернуть исходное.","context":"PEACE","cooldown":"Нет, если не указан.","denialReason":"","duration":"Мгновенно, если срок не указан.","effect":"[SYM-162] повысить I на 5L, но не выше 30; при удалении/гибели вернуть исходное.","errorCodes":"ERR_PRECONDITION; ERR_TARGET; ERR_RESOURCE; ERR_ACTION_COST; ERR_RULE_SPECIFIC","idUnique":1,"inputs":"[SYM-162] базовый I, L.","manualChoice":"Мастер подтверждает немоделируемые контакт, дистанцию и согласие цели по Q-APP-001.","playerCommandAvailable":false,"preconditions":"[SYM-162] Дельфин активен.","resourceCost":"0 ОЭ, если частная карточка не устанавливает цену.","rollDefinition":"Без броска, если частная карточка не требует его.","ruleIds":"SYM-162; Q-APP-001; SYM-010; SYM-011","stateWrites":"[SYM-162] пересчитать I.","targetSelector":"Цель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0.","trigger":"[SYM-162] изменение L/наличия."}</t>
  </si>
  <si>
    <t xml:space="preserve">b276a2954d98a8f3385d54ef1fc4ef423ce62c0d91db5616f44ddcbd03ecebce</t>
  </si>
  <si>
    <t xml:space="preserve">SYM-163 COMBAT</t>
  </si>
  <si>
    <t xml:space="preserve">{"abilityContextId":"CTX-SYM-163-COMBAT","abilityId":"SYM-163","actionCost":"[SYM-163] объявление; цена 10 ОЭ и 1 действие.\nНормативная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ходы.\n\n[SYM-163] Эхолокация\nНормативная база (действует во всей непротиворечащей части):\nесли объект под водой — гарантированно получить план местности/объектов; иначе успех, если R20 &gt; 12−L.\nПриоритетные авторские дельты (заменяют только прямо пересекающиеся ветви):\n[Q-SYM-063]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хода","context":"COMBAT","cooldown":"[SYM-163] Нормативная база (действует во всей непротиворечащей части):\n[Q-SYM-063]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хода","denialReason":"","duration":"[SYM-163] Нормативная база (действует во всей непротиворечащей части):\n[Q-SYM-063]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хода","effect":"[SYM-163] Нормативная база (действует во всей непротиворечащей части):\nесли объект под водой — гарантированно получить план местности/объектов; иначе успех, если R20 &gt; 12−L.\nПриоритетные авторские дельты (заменяют только прямо пересекающиеся ветви):\n[Q-SYM-063]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хода","errorCodes":"ERR_PRECONDITION; ERR_TARGET; ERR_RESOURCE; ERR_ACTION_COST; ERR_RULE_SPECIFIC","idUnique":1,"inputs":"[SYM-163] чистый R20, L, среда.","manualChoice":"Только прямо указанные частной карточкой выборы.","playerCommandAvailable":true,"preconditions":"[SYM-163] речевой аппарат функционирует.","resourceCost":"[SYM-163] объявление; цена 10 ОЭ и 1 действие.","rollDefinition":"[SYM-163] чистый R20, L, среда.\nесли объект под водой — гарантированно получить план местности/объектов; иначе успех, если R20 &gt; 12−L.","ruleIds":"SYM-163; CORE-229; SYM-010; SYM-011","stateWrites":"[SYM-163] раскрывается пространственный план в направлении.","targetSelector":"[SYM-163] указанное направление.","timeCost":"Боевые ходы/действия по частной карточке.","trigger":"[SYM-163] объявление; цена 10 ОЭ и 1 действие."}</t>
  </si>
  <si>
    <t xml:space="preserve">fbf03ecf73d6085446dd6405a07a70e0fa221e993260a6605ed887fbbef68036</t>
  </si>
  <si>
    <t xml:space="preserve">SYM-163 PEACE</t>
  </si>
  <si>
    <t xml:space="preserve">{"abilityContextId":"CTX-SYM-163-PEACE","abilityId":"SYM-163","actionCost":"0","allowed":false,"armorPolicy":"NOT_APPLICABLE","atomicityAudit":"Записать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выполняется","ruleIds":"SYM-163; Q-APP-002","stateWrites":"Нет","targetSelector":"Не выбирается","timeCost":"0","trigger":"Попытка объявления в запрещённом контексте"}</t>
  </si>
  <si>
    <t xml:space="preserve">374f7bed85e78a5a8eecedb4fd8851132d16e92fcf47569e70823240f984da3c</t>
  </si>
  <si>
    <t xml:space="preserve">SYM-164 COMBAT</t>
  </si>
  <si>
    <t xml:space="preserve">{"abilityContextId":"CTX-SYM-164-COMBAT","abilityId":"SYM-164","actionCost":"[SYM-164] добавить 30 минут к максимальной задержке дыхания; +10 к плаванию.","allowed":true,"armorPolicy":"Общий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ходы.\n\n[SYM-164] Море — второй дом\nдобавить 30 минут к максимальной задержке дыхания; +10 к плаванию.","context":"COMBAT","cooldown":"[SYM-164] добавить 30 минут к максимальной задержке дыхания; +10 к плаванию.","denialReason":"","duration":"[SYM-164] добавить 30 минут к максимальной задержке дыхания; +10 к плаванию.","effect":"[SYM-164] добавить 30 минут к максимальной задержке дыхания; +10 к плаванию.","errorCodes":"ERR_PRECONDITION; ERR_TARGET; ERR_RESOURCE; ERR_ACTION_COST; ERR_RULE_SPECIFIC","idUnique":1,"inputs":"[SYM-164] базовый лимит дыхания/проверка.","manualChoice":"Только прямо указанные частной карточкой выборы.","playerCommandAvailable":false,"preconditions":"[SYM-164] способность доступна.","resourceCost":"0 ОЭ, если частная карточка не устанавливает цену.","rollDefinition":"Без броска, если частная карточка не требует его.","ruleIds":"SYM-164; CORE-229; SYM-010; SYM-011","stateWrites":"[SYM-164] увеличенный лимит и результат движения.","targetSelector":"Цель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карточке.","trigger":"[SYM-164] задержка дыхания или проверка плавания, включая бой в воде."}</t>
  </si>
  <si>
    <t xml:space="preserve">9fdfc39c963c7fc6f20d3c9fe0d1a8489a48c848563d14e1126ddbcda79adc29</t>
  </si>
  <si>
    <t xml:space="preserve">SYM-164 PEACE</t>
  </si>
  <si>
    <t xml:space="preserve">{"abilityContextId":"CTX-SYM-164-PEACE","abilityId":"SYM-164","actionCost":"Боевые действия не расходуются вне боя. Частная длительность/условия сохраняются:\n[SYM-164] добавить 30 минут к максимальной задержке дыхания; +10 к плаванию.","allowed":true,"armorPolicy":"Общий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части.\n\n[SYM-164] Море — второй дом\nдобавить 30 минут к максимальной задержке дыхания; +10 к плаванию.","context":"PEACE","cooldown":"[SYM-164] добавить 30 минут к максимальной задержке дыхания; +10 к плаванию.","denialReason":"","duration":"[SYM-164] добавить 30 минут к максимальной задержке дыхания; +10 к плаванию.","effect":"[SYM-164] добавить 30 минут к максимальной задержке дыхания; +10 к плаванию.","errorCodes":"ERR_PRECONDITION; ERR_TARGET; ERR_RESOURCE; ERR_ACTION_COST; ERR_RULE_SPECIFIC","idUnique":1,"inputs":"[SYM-164] базовый лимит дыхания/проверка.","manualChoice":"Мастер подтверждает немоделируемые контакт, дистанцию и согласие цели по Q-APP-001.","playerCommandAvailable":false,"preconditions":"[SYM-164] способность доступна.","resourceCost":"0 ОЭ, если частная карточка не устанавливает цену.","rollDefinition":"Без броска, если частная карточка не требует его.","ruleIds":"SYM-164; Q-APP-001; SYM-010; SYM-011","stateWrites":"[SYM-164] увеличенный лимит и результат движения.","targetSelector":"Цель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0.","trigger":"[SYM-164] задержка дыхания или проверка плавания, включая бой в воде."}</t>
  </si>
  <si>
    <t xml:space="preserve">cebe176ef47b2d8c68f2860a69f204e13a0883c15c990b575cbd6e80a98b4c03</t>
  </si>
  <si>
    <t xml:space="preserve">SYM-165 COMBAT</t>
  </si>
  <si>
    <t xml:space="preserve">{"abilityContextId":"CTX-SYM-165-COMBAT","abilityId":"SYM-165","actionCost":"Если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ходы.\n\n[SYM-165] Ментальный компас: боевая часть\nдобавить +10; при успешной защите гарантированно раскрыть источник и его местоположение.","context":"COMBAT","cooldown":"Нет, если не указан.","denialReason":"","duration":"Мгновенно, если срок не указан.","effect":"[SYM-165] добавить +10; при успешной защите гарантированно раскрыть источник и его местоположение.","errorCodes":"ERR_PRECONDITION; ERR_TARGET; ERR_RESOURCE; ERR_ACTION_COST; ERR_RULE_SPECIFIC","idUnique":1,"inputs":"[SYM-165] базовый результат, источник/позиция.","manualChoice":"Только прямо указанные частной карточкой выборы.","playerCommandAvailable":false,"preconditions":"[SYM-165] способность доступна.","resourceCost":"0 ОЭ, если частная карточка не устанавливает цену.","rollDefinition":"Без броска, если частная карточка не требует его.","ruleIds":"SYM-165; CORE-229; SYM-010; SYM-011","stateWrites":"[SYM-165] повышенная защита и раскрытая позиция.","targetSelector":"[SYM-165] источник ментального эффекта.","timeCost":"Боевые ходы/действия по частной карточке.","trigger":"[SYM-165] проверка сопротивления ментальному воздействию."}</t>
  </si>
  <si>
    <t xml:space="preserve">c80ed62b6615571b57ed3cb5032450e9ecd61a0532eb50a82828e54280e8430a</t>
  </si>
  <si>
    <t xml:space="preserve">SYM-165 PEACE</t>
  </si>
  <si>
    <t xml:space="preserve">{"abilityContextId":"CTX-SYM-165-PEACE","abilityId":"SYM-165","actionCost":"0","allowed":false,"armorPolicy":"NOT_APPLICABLE","atomicityAudit":"Записать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выполняется","ruleIds":"SYM-165; Q-APP-002","stateWrites":"Нет","targetSelector":"Не выбирается","timeCost":"0","trigger":"Попытка объявления в запрещённом контексте"}</t>
  </si>
  <si>
    <t xml:space="preserve">50b2c39a364d001cfae2c0e63e15f1693c07466083ec4602ca72f6a3a33a30ec</t>
  </si>
  <si>
    <t xml:space="preserve">SYM-166 COMBAT</t>
  </si>
  <si>
    <t xml:space="preserve">{"abilityContextId":"CTX-SYM-166-COMBAT","abilityId":"SYM-166","actionCost":"Если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ходы.\n\n[SYM-166] Мирный воин: исполняемая часть\nдобавить +5 к любой проверке сопротивления харизме; добавить 5 слотов навыков.","context":"COMBAT","cooldown":"Нет, если не указан.","denialReason":"","duration":"Мгновенно, если срок не указан.","effect":"[SYM-166] добавить +5 к любой проверке сопротивления харизме; добавить 5 слотов навыков.","errorCodes":"ERR_PRECONDITION; ERR_TARGET; ERR_RESOURCE; ERR_ACTION_COST; ERR_RULE_SPECIFIC","idUnique":1,"inputs":"[SYM-166] базовая проверка/слоты.","manualChoice":"Только прямо указанные частной карточкой выборы.","playerCommandAvailable":false,"preconditions":"[SYM-166] способность доступна.","resourceCost":"0 ОЭ, если частная карточка не устанавливает цену.","rollDefinition":"Без броска, если частная карточка не требует его.","ruleIds":"SYM-166; CORE-229; SYM-010; SYM-011","stateWrites":"[SYM-166] модифицированная проверка и вместимость навыков.","targetSelector":"Цель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карточке.","trigger":"[SYM-166] проверка сопротивления харизме либо пересчёт слотов."}</t>
  </si>
  <si>
    <t xml:space="preserve">2c03678b79a2158342cc620c47a1fe6430d9aaa9a59897cd44d50d40dc621431</t>
  </si>
  <si>
    <t xml:space="preserve">SYM-166 PEACE</t>
  </si>
  <si>
    <t xml:space="preserve">{"abilityContextId":"CTX-SYM-166-PEACE","abilityId":"SYM-166","actionCost":"Боевые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части.\n\n[SYM-166] Мирный воин: исполняемая часть\nдобавить +5 к любой проверке сопротивления харизме; добавить 5 слотов навыков.","context":"PEACE","cooldown":"Нет, если не указан.","denialReason":"","duration":"Мгновенно, если срок не указан.","effect":"[SYM-166] добавить +5 к любой проверке сопротивления харизме; добавить 5 слотов навыков.","errorCodes":"ERR_PRECONDITION; ERR_TARGET; ERR_RESOURCE; ERR_ACTION_COST; ERR_RULE_SPECIFIC","idUnique":1,"inputs":"[SYM-166] базовая проверка/слоты.","manualChoice":"Мастер подтверждает немоделируемые контакт, дистанцию и согласие цели по Q-APP-001.","playerCommandAvailable":false,"preconditions":"[SYM-166] способность доступна.","resourceCost":"0 ОЭ, если частная карточка не устанавливает цену.","rollDefinition":"Без броска, если частная карточка не требует его.","ruleIds":"SYM-166; Q-APP-001; SYM-010; SYM-011","stateWrites":"[SYM-166] модифицированная проверка и вместимость навыков.","targetSelector":"Цель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0.","trigger":"[SYM-166] проверка сопротивления харизме либо пересчёт слотов."}</t>
  </si>
  <si>
    <t xml:space="preserve">0e3a17c9b6e7b358a21fa487e9ce878a17cbbf2cdd5cc11fdcdcfc469572552d</t>
  </si>
  <si>
    <t xml:space="preserve">SYM-168 COMBAT</t>
  </si>
  <si>
    <t xml:space="preserve">{"abilityContextId":"CTX-SYM-168-COMBAT","abilityId":"SYM-168","actionCost":"[SYM-168] складывание клинков (20 секунд/2 действия), затем атака.\nНормативная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ходы.\n\n[SYM-168] Зазубренные клинки\nНормативная база (действует во всей непротиворечащей части):\nпри каждой новой атаке бросить один R; защита цели получает штраф L; урон=R+L+S_mod, пробитие=R+L; точность модифицирует D; общий модификатор — фехтование.\nПриоритетные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атаки.","context":"COMBAT","cooldown":"[SYM-168] складывание клинков (20 секунд/2 действия), затем атака.\nНормативная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Богомола.\n[AQ3-001] Складывание переводит оба клинка во взведённое состояние за 20 секунд вне боя либо за два последовательных боевых действия.","denialReason":"","duration":"[SYM-168] складывание клинков (20 секунд/2 действия), затем атака.\nНормативная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Богомола.\n[AQ3-001] Складывание переводит оба клинка во взведённое состояние за 20 секунд вне боя либо за два последовательных боевых действия.","effect":"[SYM-168] Нормативная база (действует во всей непротиворечащей части):\nпри каждой новой атаке бросить один R; защита цели получает штраф L; урон=R+L+S_mod, пробитие=R+L; точность модифицирует D; общий модификатор — фехтование.\nПриоритетные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атаки.","errorCodes":"ERR_PRECONDITION; ERR_TARGET; ERR_RESOURCE; ERR_ACTION_COST; ERR_RULE_SPECIFIC","idUnique":1,"inputs":"[SYM-168] один общий R20 R на конкретную атаку, L, S, D, фехтование.","manualChoice":"Только прямо указанные частной карточкой выборы.","playerCommandAvailable":true,"preconditions":"[SYM-168] клинок находится в боевом состоянии.","resourceCost":"0 ОЭ, если частная карточка не устанавливает цену.","rollDefinition":"[SYM-168] один общий R20 R на конкретную атаку, L, S, D, фехтование.\nпри каждой новой атаке бросить один R; защита цели получает штраф L; урон=R+L+S_mod, пробитие=R+L; точность модифицирует D; общий модификатор — фехтование.","ruleIds":"SYM-168; CORE-229; SYM-010; SYM-011","stateWrites":"[SYM-168] вооружённое состояние и атака.","targetSelector":"[SYM-168] обе руки и цель.","timeCost":"Боевые ходы/действия по частной карточке.","trigger":"[SYM-168] складывание клинков (20 секунд/2 действия), затем атака."}</t>
  </si>
  <si>
    <t xml:space="preserve">9b6342ea1e380dad50d1d02555ec57fff8f90c258614ed19e22a8c898fa35a68</t>
  </si>
  <si>
    <t xml:space="preserve">SYM-168 PEACE</t>
  </si>
  <si>
    <t xml:space="preserve">{"abilityContextId":"CTX-SYM-168-PEACE","abilityId":"SYM-168","actionCost":"Боевые действия не расходуются вне боя. Частная длительность/условия сохраняются:\n[SYM-168] складывание клинков (20 секунд/2 действия), затем атака.\nНормативная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атомарно.","behavior":"Вне боя складывание обоих клинков занимает 20 секунд. Отдельной бесплатной командой без продвижения времени можно разложить один выбранный или оба взведённых клинка; снимается только подготовленный бонус (Q-APP-003).\n\n[SYM-168] Зазубренные клинки\nНормативная база (действует во всей непротиворечащей части):\nпри каждой новой атаке бросить один R; защита цели получает штраф L; урон=R+L+S_mod, пробитие=R+L; точность модифицирует D; общий модификатор — фехтование.\nПриоритетные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атаки.","context":"PEACE","cooldown":"[SYM-168] складывание клинков (20 секунд/2 действия), затем атака.\nНормативная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Богомола.\n[AQ3-001] Складывание переводит оба клинка во взведённое состояние за 20 секунд вне боя либо за два последовательных боевых действия.","denialReason":"","duration":"[SYM-168] складывание клинков (20 секунд/2 действия), затем атака.\nНормативная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Богомола.\n[AQ3-001] Складывание переводит оба клинка во взведённое состояние за 20 секунд вне боя либо за два последовательных боевых действия.","effect":"[SYM-168] Нормативная база (действует во всей непротиворечащей части):\nпри каждой новой атаке бросить один R; защита цели получает штраф L; урон=R+L+S_mod, пробитие=R+L; точность модифицирует D; общий модификатор — фехтование.\nПриоритетные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нет.\n[AQ3-001]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атаки.","errorCodes":"ERR_PRECONDITION; ERR_TARGET; ERR_RESOURCE; ERR_ACTION_COST; ERR_RULE_SPECIFIC","idUnique":1,"inputs":"[SYM-168] один общий R20 R на конкретную атаку, L, S, D, фехтование.","manualChoice":"Мастер подтверждает немоделируемые контакт, дистанцию и согласие цели по Q-APP-001.","playerCommandAvailable":true,"preconditions":"[SYM-168] клинок находится в боевом состоянии.","resourceCost":"0 ОЭ, если частная карточка не устанавливает цену.","rollDefinition":"[SYM-168] один общий R20 R на конкретную атаку, L, S, D, фехтование.\nпри каждой новой атаке бросить один R; защита цели получает штраф L; урон=R+L+S_mod, пробитие=R+L; точность модифицирует D; общий модификатор — фехтование.","ruleIds":"SYM-168; Q-APP-001; SYM-010; SYM-011","stateWrites":"[SYM-168] вооружённое состояние и атака.","targetSelector":"[SYM-168] обе руки и цель.","timeCost":"Виртуальное время только если прямо установлено частной карточкой; иначе 0.","trigger":"[SYM-168] складывание клинков (20 секунд/2 действия), затем атака."}</t>
  </si>
  <si>
    <t xml:space="preserve">101c7f359ed08957353e88e2c90d35f0d6e98a5ffabb1d1686eb9c517040cd5c</t>
  </si>
  <si>
    <t xml:space="preserve">SYM-169 COMBAT</t>
  </si>
  <si>
    <t xml:space="preserve">{"abilityContextId":"CTX-SYM-169-COMBAT","abilityId":"SYM-169","actionCost":"[SYM-169] вход; цена 20 ОЭ и 1 действие; выход — 1 действие.\nНормативная база (действует во всей непротиворечащей части):\n[Q-SYM-065]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работать.\nВыйти из состояния можно только в свой ход за 1 боевое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ходы.\n\n[SYM-169] Каменная статуя\nНормативная база (действует во всей непротиворечащей части):\nдлительность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обычно.\nПриоритетные авторские дельты (заменяют только прямо пересекающиеся ветви):\n[Q-SYM-065]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действие.","context":"COMBAT","cooldown":"[SYM-169] Нормативная база (действует во всей непротиворечащей части):\nВыйти из состояния можно только в свой ход за 1 боевое действие.","denialReason":"","duration":"[SYM-169] Нормативная база (действует во всей непротиворечащей части):\nВыйти из состояния можно только в свой ход за 1 боевое действие.","effect":"[SYM-169] Нормативная база (действует во всей непротиворечащей части):\nдлительность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обычно.\nПриоритетные авторские дельты (заменяют только прямо пересекающиеся ветви):\n[Q-SYM-065]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действие.","errorCodes":"ERR_PRECONDITION; ERR_TARGET; ERR_RESOURCE; ERR_ACTION_COST; ERR_RULE_SPECIFIC","idUnique":1,"inputs":"[SYM-169] активные периодические эффекты, прямой урон, горение.","manualChoice":"Только прямо указанные частной карточкой выборы.","playerCommandAvailable":true,"preconditions":"[SYM-169] ОЭ≥20.","resourceCost":"[SYM-169] вход; цена 20 ОЭ и 1 действие; выход — 1 действие.\nОЭ≥20.","rollDefinition":"Без броска, если частная карточка не требует его.","ruleIds":"SYM-169; CORE-229; SYM-010; SYM-011","stateWrites":"[SYM-169] состояние статуи и заморозка таймеров тика.","targetSelector":"Цель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карточке.","trigger":"[SYM-169] вход; цена 20 ОЭ и 1 действие; выход — 1 действие."}</t>
  </si>
  <si>
    <t xml:space="preserve">a76ffad9f56f9b02771037f4a5fa659d508dfabbe5da4261a21b69bec4460c28</t>
  </si>
  <si>
    <t xml:space="preserve">SYM-169 PEACE</t>
  </si>
  <si>
    <t xml:space="preserve">{"abilityContextId":"CTX-SYM-169-PEACE","abilityId":"SYM-169","actionCost":"Боевые действия не расходуются вне боя. Частная длительность/условия сохраняются:\n[SYM-169] вход; цена 20 ОЭ и 1 действие; выход — 1 действие.\nНормативная база (действует во всей непротиворечащей части):\n[Q-SYM-065]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работать.\nВыйти из состояния можно только в свой ход за 1 боевое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части.\n\n[SYM-169] Каменная статуя\nНормативная база (действует во всей непротиворечащей части):\nдлительность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обычно.\nПриоритетные авторские дельты (заменяют только прямо пересекающиеся ветви):\n[Q-SYM-065]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действие.","context":"PEACE","cooldown":"[SYM-169] Нормативная база (действует во всей непротиворечащей части):\nВыйти из состояния можно только в свой ход за 1 боевое действие.","denialReason":"","duration":"[SYM-169] Нормативная база (действует во всей непротиворечащей части):\nВыйти из состояния можно только в свой ход за 1 боевое действие.","effect":"[SYM-169] Нормативная база (действует во всей непротиворечащей части):\nдлительность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обычно.\nПриоритетные авторские дельты (заменяют только прямо пересекающиеся ветви):\n[Q-SYM-065]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действие.","errorCodes":"ERR_PRECONDITION; ERR_TARGET; ERR_RESOURCE; ERR_ACTION_COST; ERR_RULE_SPECIFIC","idUnique":1,"inputs":"[SYM-169] активные периодические эффекты, прямой урон, горение.","manualChoice":"Мастер подтверждает немоделируемые контакт, дистанцию и согласие цели по Q-APP-001.","playerCommandAvailable":true,"preconditions":"[SYM-169] ОЭ≥20.","resourceCost":"[SYM-169] вход; цена 20 ОЭ и 1 действие; выход — 1 действие.\nОЭ≥20.","rollDefinition":"Без броска, если частная карточка не требует его.","ruleIds":"SYM-169; Q-APP-001; SYM-010; SYM-011","stateWrites":"[SYM-169] состояние статуи и заморозка таймеров тика.","targetSelector":"Цель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0.","trigger":"[SYM-169] вход; цена 20 ОЭ и 1 действие; выход — 1 действие."}</t>
  </si>
  <si>
    <t xml:space="preserve">8fc8412550d40d889398cba060acae7b5b7def073b10a6b421fce11a576dc41f</t>
  </si>
  <si>
    <t xml:space="preserve">SYM-170 COMBAT</t>
  </si>
  <si>
    <t xml:space="preserve">{"abilityContextId":"CTX-SYM-170-COMBAT","abilityId":"SYM-170","actionCost":"[SYM-170] реакция на неожиданное нападение либо уклонение.\nдобавить +L к реакции при неожиданном нападении на носителя/группу и +L к уклонению.","allowed":true,"armorPolicy":"Общий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ходы.\n\n[SYM-170] Молниеносная реакция\nдобавить +L к реакции при неожиданном нападении на носителя/группу и +L к уклонению.","context":"COMBAT","cooldown":"Нет, если не указан.","denialReason":"","duration":"Мгновенно, если срок не указан.","effect":"[SYM-170] добавить +L к реакции при неожиданном нападении на носителя/группу и +L к уклонению.","errorCodes":"ERR_PRECONDITION; ERR_TARGET; ERR_RESOURCE; ERR_ACTION_COST; ERR_RULE_SPECIFIC","idUnique":1,"inputs":"[SYM-170] L, базовая проверка.","manualChoice":"Только прямо указанные частной карточкой выборы.","playerCommandAvailable":false,"preconditions":"[SYM-170] способность доступна.","resourceCost":"0 ОЭ, если частная карточка не устанавливает цену.","rollDefinition":"Без броска, если частная карточка не требует его.","ruleIds":"SYM-170; CORE-229; SYM-010; SYM-011","stateWrites":"[SYM-170] модифицированные проверки.","targetSelector":"Цель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карточке.","trigger":"[SYM-170] реакция на неожиданное нападение либо уклонение."}</t>
  </si>
  <si>
    <t xml:space="preserve">5d9730e4b748dd76128f6531b2450a75a8cccd67cbfc228f79708bcde2529dc9</t>
  </si>
  <si>
    <t xml:space="preserve">SYM-170 PEACE</t>
  </si>
  <si>
    <t xml:space="preserve">{"abilityContextId":"CTX-SYM-170-PEACE","abilityId":"SYM-170","actionCost":"0","allowed":false,"armorPolicy":"NOT_APPLICABLE","atomicityAudit":"Записать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выполняется","ruleIds":"SYM-170; Q-APP-002","stateWrites":"Нет","targetSelector":"Не выбирается","timeCost":"0","trigger":"Попытка объявления в запрещённом контексте"}</t>
  </si>
  <si>
    <t xml:space="preserve">71802f8284c604740b0c772145ae9a327474ceaf9b30ce7038b0cf4e5a3fd3d2</t>
  </si>
  <si>
    <t xml:space="preserve">SYM-171 COMBAT</t>
  </si>
  <si>
    <t xml:space="preserve">{"abilityContextId":"CTX-SYM-171-COMBAT","abilityId":"SYM-171","actionCost":"[SYM-171] носитель впивается зубами в мозг цели; цена 60 ОЭ и 1 действие по умолчанию.\nНормативная база (действует во всей непротиворечащей части):\nЗатем: A=1 → D носителя=1 на R12 часов","allowed":true,"armorPolicy":"Общий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ходы.\n\n[SYM-171] Каннибализм\nНормативная база (действует во всей непротиворечащей части):\nсначала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эффектов.\nПриоритетные авторские дельты (заменяют только прямо пересекающиеся ветви):\n[Q-SYM-066]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C.","context":"COMBAT","cooldown":"[SYM-171] Нормативная база (действует во всей непротиворечащей части):\nЗатем: A=1 → D носителя=1 на R12 часов","denialReason":"","duration":"[SYM-171] Нормативная база (действует во всей непротиворечащей части):\nЗатем: A=1 → D носителя=1 на R12 часов","effect":"[SYM-171] Нормативная база (действует во всей непротиворечащей части):\nсначала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эффектов.\nПриоритетные авторские дельты (заменяют только прямо пересекающиеся ветви):\n[Q-SYM-066]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C.","errorCodes":"ERR_PRECONDITION; ERR_TARGET; ERR_RESOURCE; ERR_ACTION_COST; ERR_RULE_SPECIFIC","idUnique":1,"inputs":"[SYM-171] чистый R20 A; при A=1 отдельный R12; при 11–17 навыки/слоты; при 18–20 случайная характеристика и lifetimeCount.","manualChoice":"Только прямо указанные частной карточкой выборы.","playerCommandAvailable":false,"preconditions":"[SYM-171] физический доступ к мозгу живой цели.","resourceCost":"[SYM-171] носитель впивается зубами в мозг цели; цена 60 ОЭ и 1 действие по умолчанию.\nсначала полностью восстановить HP носителя и ОЭ Богомола.\nцена списывается до полного восстановления.","rollDefinition":"[SYM-171] чистый R20 A; при A=1 отдельный R12; при 11–17 навыки/слоты; при 18–20 случайная характеристика и lifetimeCount.\nЗатем: A=1 → D носителя=1 на R12 часов\nA=2–10 → случайное воспоминание (небоевой результат хранится как запись)\nA=11–17 → при свободном слоте получить случайный навык цели, а градационный повысить на 1 до абсолютного даже если у цели ниже\nA=18–20 → случайная характеристика +1, если за жизнь получено &lt;5 таких эффектов.","ruleIds":"SYM-171; CORE-229; SYM-010; SYM-011","stateWrites":"[SYM-171] полное восстановление и результат диапазона.","targetSelector":"[SYM-171] ещё живое мыслящее существо.","timeCost":"Боевые ходы/действия по частной карточке.","trigger":"[SYM-171] носитель впивается зубами в мозг цели; цена 60 ОЭ и 1 действие по умолчанию."}</t>
  </si>
  <si>
    <t xml:space="preserve">3cd275b4a4eff909c80e3c31d181e84c9d7d92d156cc7895ae8490a90a69ffe2</t>
  </si>
  <si>
    <t xml:space="preserve">SYM-171 PEACE</t>
  </si>
  <si>
    <t xml:space="preserve">{"abilityContextId":"CTX-SYM-171-PEACE","abilityId":"SYM-171","actionCost":"0","allowed":false,"armorPolicy":"NOT_APPLICABLE","atomicityAudit":"Записать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выполняется","ruleIds":"SYM-171; Q-APP-002","stateWrites":"Нет","targetSelector":"Не выбирается","timeCost":"0","trigger":"Попытка объявления в запрещённом контексте"}</t>
  </si>
  <si>
    <t xml:space="preserve">b702cc42f2cd46c0b93f75e4e3ae2c5cab7ba600b2b3d303c57c44b861147ac4</t>
  </si>
  <si>
    <t xml:space="preserve">SYM-172 COMBAT</t>
  </si>
  <si>
    <t xml:space="preserve">{"abilityContextId":"CTX-SYM-172-COMBAT","abilityId":"SYM-172","actionCost":"[SYM-172] L, одно боевое действие.\nНормативная база (действует во всей непротиворечащей части):\nдобавить L слотов только под боевые навыки; за одно действие разрешить две отдельные атаки клинками.\nДва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Богомола.\nОтдельного действия на «раскладывание» после атаки нет.","allowed":true,"armorPolicy":"Общий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ходы.\n\n[SYM-172] Инстинкт убийцы\nНормативная база (действует во всей непротиворечащей части):\nдобавить L слотов только под боевые навыки; за одно действие разрешить две отдельные атаки клинками.\nПриоритетные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нет.","context":"COMBAT","cooldown":"[SYM-172] 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Богомола.","denialReason":"","duration":"[SYM-172] 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Богомола.","effect":"[SYM-172] Нормативная база (действует во всей непротиворечащей части):\nдобавить L слотов только под боевые навыки; за одно действие разрешить две отдельные атаки клинками.\nПриоритетные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нет.","errorCodes":"ERR_PRECONDITION; ERR_TARGET; ERR_RESOURCE; ERR_ACTION_COST; ERR_RULE_SPECIFIC","idUnique":1,"inputs":"[SYM-172] L, одно боевое действие.","manualChoice":"Только прямо указанные частной карточкой выборы.","playerCommandAvailable":false,"preconditions":"[SYM-172] способность доступна; оба клинка в боевом состоянии.","resourceCost":"0 ОЭ, если частная карточка не устанавливает цену.","rollDefinition":"Без броска, если частная карточка не требует его.","ruleIds":"SYM-172; CORE-229; SYM-010; SYM-011","stateWrites":"[SYM-172] слоты и пакет двух атак.","targetSelector":"Цель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карточке.","trigger":"[SYM-172] пересчёт слотов; атака клинками."}</t>
  </si>
  <si>
    <t xml:space="preserve">b0246d7d64b710c37dce3e024a99cf2201b8bb1ade5c105097cf6d05717fd4c3</t>
  </si>
  <si>
    <t xml:space="preserve">SYM-172 PEACE</t>
  </si>
  <si>
    <t xml:space="preserve">{"abilityContextId":"CTX-SYM-172-PEACE","abilityId":"SYM-172","actionCost":"0","allowed":false,"armorPolicy":"NOT_APPLICABLE","atomicityAudit":"Записать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выполняется","ruleIds":"SYM-172; Q-APP-002","stateWrites":"Нет","targetSelector":"Не выбирается","timeCost":"0","trigger":"Попытка объявления в запрещённом контексте"}</t>
  </si>
  <si>
    <t xml:space="preserve">8b020e1890b5fe3e6694c28218228a64c91d6258f4200407af2c373fc12341f3</t>
  </si>
  <si>
    <t xml:space="preserve">SYM-173 COMBAT</t>
  </si>
  <si>
    <t xml:space="preserve">{"abilityContextId":"CTX-SYM-173-COMBAT","abilityId":"SYM-173","actionCost":"[SYM-173] объявление стойки; цена 40 ОЭ и 3 действия; затем первое враждебное действие/перемещение каждого противника до конца круга.\n≥3 действия; оба клинка пригодны; враг в радиусе атаки.\nНормативная база (действует во всей непротиворечащей части):\nна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действие.\nНе реагировать на защитные, небоевые, пассивные и вызванные реакции; удары не запускают новые Веерные защиты.","allowed":true,"armorPolicy":"Общий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урон.","atomicityAudit":"[SYM-173]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действие.","behavior":"Разрешается по агрегированным карточкам canonicalBehaviorCards; в бою учитываются указанная цена действий, боевые защиты, координаты и ходы.\n\n[SYM-173] Веерная защита\nНормативная база (действует во всей непротиворечащей части):\nна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нет.","context":"COMBAT","cooldown":"[SYM-173] объявление стойки; цена 40 ОЭ и 3 действия; затем первое враждебное действие/перемещение каждого противника до конца круга.\nсобытия круга, множество уже сработавших целей.\nНормативная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Богомола.\nмаксимум один триггер на противника за круг.","denialReason":"","duration":"[SYM-173] объявление стойки; цена 40 ОЭ и 3 действия; затем первое враждебное действие/перемещение каждого противника до конца круга.\nсобытия круга, множество уже сработавших целей.\nНормативная база (действует во всей непротиворечащей части):\nДва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Богомола.\nмаксимум один триггер на противника за круг.","effect":"[SYM-173] Нормативная база (действует во всей непротиворечащей части):\nна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защиты.\nПриоритетные авторские дельты (заменяют только прямо пересекающиеся ветви):\n[Q-SYM-064]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нет.","errorCodes":"ERR_PRECONDITION; ERR_TARGET; ERR_RESOURCE; ERR_ACTION_COST; ERR_RULE_SPECIFIC","idUnique":1,"inputs":"[SYM-173] события круга, множество уже сработавших целей.","manualChoice":"Только прямо указанные частной карточкой выборы.","playerCommandAvailable":true,"preconditions":"[SYM-173] ≥3 действия; оба клинка пригодны; враг в радиусе атаки.","resourceCost":"[SYM-173] объявление стойки; цена 40 ОЭ и 3 действия; затем первое враждебное действие/перемещение каждого противника до конца круга.","rollDefinition":"Без броска, если частная карточка не требует его.","ruleIds":"SYM-173; CORE-229; SYM-010; SYM-011","stateWrites":"[SYM-173] реакция отмечена на цель, действие прервано, атаки разрешены.","targetSelector":"[SYM-173] каждый противник в радиусе клинков.","timeCost":"Боевые ходы/действия по частной карточке.","trigger":"[SYM-173] объявление стойки; цена 40 ОЭ и 3 действия; затем первое враждебное действие/перемещение каждого противника до конца круга."}</t>
  </si>
  <si>
    <t xml:space="preserve">6946fcbb73b4c508d8a26219abf5bfc12c40a61bfecac2549700b2bb6f4f2938</t>
  </si>
  <si>
    <t xml:space="preserve">SYM-173 PEACE</t>
  </si>
  <si>
    <t xml:space="preserve">{"abilityContextId":"CTX-SYM-173-PEACE","abilityId":"SYM-173","actionCost":"0","allowed":false,"armorPolicy":"NOT_APPLICABLE","atomicityAudit":"Записать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выполняется","ruleIds":"SYM-173; Q-APP-002","stateWrites":"Нет","targetSelector":"Не выбирается","timeCost":"0","trigger":"Попытка объявления в запрещённом контексте"}</t>
  </si>
  <si>
    <t xml:space="preserve">8c3f341bedd204fd0ad514898a52a7211b59941099ae7c2e761002c27499ecfb</t>
  </si>
  <si>
    <t xml:space="preserve">SYM-175 COMBAT</t>
  </si>
  <si>
    <t xml:space="preserve">{"abilityContextId":"CTX-SYM-175-COMBAT","abilityId":"SYM-175","actionCost":"[SYM-175] объявление; цена 20 ОЭ и 1 действие.\nНормативная база (действует во всей непротиворечащей части):\nA=4–5: цель до конца боя получает −1 боевое действие каждый ход.\nКаждый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ходы.\n\n[SYM-175] Анальная железа\nНормативная база (действует во всей непротиворечащей части):\nA=1: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складывать.\nПриоритетные авторские дельты (заменяют только прямо пересекающиеся ветви):\n[Q-SYM-067]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компоненты.","context":"COMBAT","cooldown":"[SYM-175] Нормативная база (действует во всей непротиворечащей части):\nA=4–5: цель до конца боя получает −1 боевое действие каждый ход.\nA=6–11: также эффект 4–5 и штраф P ко всем проверкам до конца боя, итог проверки не ниже 1.\nA≥17: цель пропускает следующий ход, но может защищаться в нём с −5 ко всем проверкам; при попадании в пламя погасить.\nКаждый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компоненты.","denialReason":"","duration":"[SYM-175] Нормативная база (действует во всей непротиворечащей части):\nA=4–5: цель до конца боя получает −1 боевое действие каждый ход.\nA=6–11: также эффект 4–5 и штраф P ко всем проверкам до конца боя, итог проверки не ниже 1.\nA≥17: цель пропускает следующий ход, но может защищаться в нём с −5 ко всем проверкам; при попадании в пламя погасить.\nКаждый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компоненты.","effect":"[SYM-175] Нормативная база (действует во всей непротиворечащей части):\nA=1: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складывать.\nПриоритетные авторские дельты (заменяют только прямо пересекающиеся ветви):\n[Q-SYM-067]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компоненты.","errorCodes":"ERR_PRECONDITION; ERR_TARGET; ERR_RESOURCE; ERR_ACTION_COST; ERR_RULE_SPECIFIC","idUnique":1,"inputs":"[SYM-175] один чистый R20 A (активация/диапазон); при 6–11 отдельный R4 P.","manualChoice":"Только прямо указанные частной карточкой выборы.","playerCommandAvailable":true,"preconditions":"[SYM-175] выпускное отверстие не закрыто; цель ≤L+3 м.","resourceCost":"[SYM-175] объявление; цена 20 ОЭ и 1 действие.","rollDefinition":"[SYM-175] один чистый R20 A (активация/диапазон); при 6–11 отдельный R4 P.\nA=1: вместо атаки носитель пачкает себя и снижает D,C,W на 7 до посещения бани.\nA=2–3: нет эффекта.\nA=4–5: цель до конца боя получает −1 боевое действие каждый ход.\nA=6–11: также эффект 4–5 и штраф P ко всем проверкам до конца боя, итог проверки не ниже 1.\nA=12–16: также оба нижних эффекта и прямой урон ядом 5L; при попадании в пламя погасить его.\nКаждый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компоненты.","ruleIds":"SYM-175; CORE-229; SYM-010; SYM-011","stateWrites":"[SYM-175] набор дебаффов/урон/тушение либо постоянный до бани штраф носителя.","targetSelector":"[SYM-175] цель или источник пламени.","timeCost":"Боевые ходы/действия по частной карточке.","trigger":"[SYM-175] объявление; цена 20 ОЭ и 1 действие."}</t>
  </si>
  <si>
    <t xml:space="preserve">3047163823a972b1491890fa9476d8e0c7225c963c1f82e264b6787439d03486</t>
  </si>
  <si>
    <t xml:space="preserve">SYM-175 PEACE</t>
  </si>
  <si>
    <t xml:space="preserve">{"abilityContextId":"CTX-SYM-175-PEACE","abilityId":"SYM-175","actionCost":"0","allowed":false,"armorPolicy":"NOT_APPLICABLE","atomicityAudit":"Записать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выполняется","ruleIds":"SYM-175; Q-APP-002","stateWrites":"Нет","targetSelector":"Не выбирается","timeCost":"0","trigger":"Попытка объявления в запрещённом контексте"}</t>
  </si>
  <si>
    <t xml:space="preserve">621b68d3a4d1e86ab3c6ec67f3151bb7fbceef72f13c86cd06b31a1f7cdc0def</t>
  </si>
  <si>
    <t xml:space="preserve">SYM-176 COMBAT</t>
  </si>
  <si>
    <t xml:space="preserve">{"abilityContextId":"CTX-SYM-176-COMBAT","abilityId":"SYM-176","actionCost":"[SYM-176] Нормативная база (действует во всей непротиворечащей части):\n[Q-SYM-068]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ходы.\n\n[SYM-176] Подладонные железы\nНормативная база (действует во всей непротиворечащей части):\nвычислить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значению.\nПриоритетные авторские дельты (заменяют только прямо пересекающиеся ветви):\n[Q-SYM-068]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деления.","context":"COMBAT","cooldown":"[SYM-176] Нормативная база (действует во всей непротиворечащей части):","denialReason":"","duration":"[SYM-176] Нормативная база (действует во всей непротиворечащей части):","effect":"[SYM-176] Нормативная база (действует во всей непротиворечащей части):\nвычислить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значению.\nПриоритетные авторские дельты (заменяют только прямо пересекающиеся ветви):\n[Q-SYM-068]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деления.","errorCodes":"ERR_PRECONDITION; ERR_TARGET; ERR_RESOURCE; ERR_ACTION_COST; ERR_RULE_SPECIFIC","idUnique":1,"inputs":"[SYM-176] R20; обычное математическое округление.","manualChoice":"Только прямо указанные частной карточкой выборы.","playerCommandAvailable":true,"preconditions":"[SYM-176] железа доступна.","resourceCost":"[SYM-176]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запястья.\nстоимость, дальность и естественная 1 не уточнены.","rollDefinition":"[SYM-176] R20; обычное математическое округление.\nвычислить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значению.\nЭффективный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деления.","ruleIds":"SYM-176; CORE-229; SYM-010; SYM-011","stateWrites":"[SYM-176] ослабленный эффект таблицы.","targetSelector":"[SYM-176] цель.","timeCost":"Боевые ходы/действия по частной карточке.","trigger":"[SYM-176] применение через запястье."}</t>
  </si>
  <si>
    <t xml:space="preserve">f037c82103963b8c57b689d84a46ab2bc12f1d0797de874617e12dd4e4c0be8d</t>
  </si>
  <si>
    <t xml:space="preserve">SYM-176 PEACE</t>
  </si>
  <si>
    <t xml:space="preserve">{"abilityContextId":"CTX-SYM-176-PEACE","abilityId":"SYM-176","actionCost":"0","allowed":false,"armorPolicy":"NOT_APPLICABLE","atomicityAudit":"Записать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выполняется","ruleIds":"SYM-176; Q-APP-002","stateWrites":"Нет","targetSelector":"Не выбирается","timeCost":"0","trigger":"Попытка объявления в запрещённом контексте"}</t>
  </si>
  <si>
    <t xml:space="preserve">cc9c20c98dc924485f8217188e0bb1f31b5b490a109a94e39ce16976ed6567e4</t>
  </si>
  <si>
    <t xml:space="preserve">SYM-177 COMBAT</t>
  </si>
  <si>
    <t xml:space="preserve">{"abilityContextId":"CTX-SYM-177-COMBAT","abilityId":"SYM-177","actionCost":"[SYM-177] объявление; цена 40 ОЭ и 1 действие.\nНормативная база (действует во всей непротиворечащей части):\nсоздать вокруг носителя область на R4 минут/ходов радиусом R20 м; закрепление в исходной точке либо движение вместе с носителем требует ответа.\nПока персонаж внутри, кроме носителя любого Скунса, снизить M на отдельный R20, но не ниже 1; при M=1 ограничить до 1 боевого действия в ход.\nИсточник пламени, непрерывно находящийся внутри, гаснет через 2 минуты/2 хода.","allowed":true,"armorPolicy":"Общий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ходы.\n\n[SYM-177] Вонючее облако\nНормативная база (действует во всей непротиворечащей части):\nсоздать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хода.\nПриоритетные авторские дельты (заменяют только прямо пересекающиеся ветви):\n[Q-SYM-069]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цели.","context":"COMBAT","cooldown":"[SYM-177] Нормативная база (действует во всей непротиворечащей части):\nсоздать вокруг носителя область на R4 минут/ходов радиусом R20 м; закрепление в исходной точке либо движение вместе с носителем требует ответа.\nПока персонаж внутри, кроме носителя любого Скунса, снизить M на отдельный R20, но не ниже 1; при M=1 ограничить до 1 боевого действия в ход.\nИсточник пламени, непрерывно находящийся внутри, гаснет через 2 минуты/2 хода.\nШтраф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счётчик.","denialReason":"","duration":"[SYM-177] Нормативная база (действует во всей непротиворечащей части):\nсоздать вокруг носителя область на R4 минут/ходов радиусом R20 м; закрепление в исходной точке либо движение вместе с носителем требует ответа.\nПока персонаж внутри, кроме носителя любого Скунса, снизить M на отдельный R20, но не ниже 1; при M=1 ограничить до 1 боевого действия в ход.\nИсточник пламени, непрерывно находящийся внутри, гаснет через 2 минуты/2 хода.\nШтраф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счётчик.","effect":"[SYM-177] Нормативная база (действует во всей непротиворечащей части):\nсоздать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хода.\nПриоритетные авторские дельты (заменяют только прямо пересекающиеся ветви):\n[Q-SYM-069]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цели.","errorCodes":"ERR_PRECONDITION; ERR_TARGET; ERR_RESOURCE; ERR_ACTION_COST; ERR_RULE_SPECIFIC","idUnique":1,"inputs":"[SYM-177] независимые R4 длительности, R20 радиуса, R20 снижения M; позиции/время внутри; неопределённый anchorMode области.","manualChoice":"Только прямо указанные частной карточкой выборы.","playerCommandAvailable":true,"preconditions":"[SYM-177] ОЭ≥40.","resourceCost":"[SYM-177] объявление; цена 40 ОЭ и 1 действие.\nОЭ≥40.","rollDefinition":"[SYM-177] независимые R4 длительности, R20 радиуса, R20 снижения M; позиции/время внутри; неопределённый anchorMode области.\nсоздать вокруг носителя область на R4 минут/ходов радиусом R20 м; закрепление в исходной точке либо движение вместе с носителем требует ответа.\nПока персонаж внутри, кроме носителя любого Скунса, снизить M на отдельный R20, но не ниже 1; при M=1 ограничить до 1 боевого действия в ход.","ruleIds":"SYM-177; CORE-229; SYM-010; SYM-011","stateWrites":"[SYM-177] объект области, динамический состав/дебаффы/таймеры огня.","targetSelector":"[SYM-177] все персонажи и пламя в области.","timeCost":"Боевые ходы/действия по частной карточке.","trigger":"[SYM-177] объявление; цена 40 ОЭ и 1 действие."}</t>
  </si>
  <si>
    <t xml:space="preserve">b3317dfe0e0d3ca60c8ce5b4e9412d9ba72d3cbe725a8114676475e1b6c80fb9</t>
  </si>
  <si>
    <t xml:space="preserve">SYM-177 PEACE</t>
  </si>
  <si>
    <t xml:space="preserve">{"abilityContextId":"CTX-SYM-177-PEACE","abilityId":"SYM-177","actionCost":"0","allowed":false,"armorPolicy":"NOT_APPLICABLE","atomicityAudit":"Записать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выполняется","ruleIds":"SYM-177; Q-APP-002","stateWrites":"Нет","targetSelector":"Не выбирается","timeCost":"0","trigger":"Попытка объявления в запрещённом контексте"}</t>
  </si>
  <si>
    <t xml:space="preserve">c939f757a3f39753591433f575ad01170d115ec3d2ae14278505851592665af0</t>
  </si>
  <si>
    <t xml:space="preserve">SYM-178 COMBAT</t>
  </si>
  <si>
    <t xml:space="preserve">{"abilityContextId":"CTX-SYM-178-COMBAT","abilityId":"SYM-178","actionCost":"[SYM-178] объявление; цена 50 ОЭ и 1 действие.\nНормативная база (действует во всей непротиворечащей части):\nв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ходы.\n\n[SYM-178] Навесной выстрел\nНормативная база (действует во всей непротиворечащей части):\nв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цели.","context":"COMBAT","cooldown":"[SYM-178] Нормативная база (действует во всей непротиворечащей части):\nв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цены.","denialReason":"","duration":"[SYM-178] Нормативная база (действует во всей непротиворечащей части):\nв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цены.","effect":"[SYM-178] Нормативная база (действует во всей непротиворечащей части):\nв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цели.","errorCodes":"ERR_PRECONDITION; ERR_TARGET; ERR_RESOURCE; ERR_ACTION_COST; ERR_RULE_SPECIFIC","idUnique":1,"inputs":"[SYM-178] R20 дальности, отдельный R12 радиуса, режим «с места/на бегу», для каждой цели отдельный бросок эффекта Анальной железы.","manualChoice":"Только прямо указанные частной карточкой выборы.","playerCommandAvailable":true,"preconditions":"[SYM-178] выпускное отверстие свободно.","resourceCost":"[SYM-178] объявление; цена 50 ОЭ и 1 действие.\nв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цены.\nПорог активации 4+, цена 20 ОЭ и самопоражение натуральной 1 не наследуются; результат 1 считается обычным диапазоном 1–5 для поражённой цели.","rollDefinition":"[SYM-178] R20 дальности, отдельный R12 радиуса, режим «с места/на бегу», для каждой цели отдельный бросок эффекта Анальной железы.\nв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эффектами.","ruleIds":"SYM-178; CORE-229; SYM-010; SYM-011","stateWrites":"[SYM-178] отдельные дебаффы по целям.","targetSelector":"[SYM-178] точка и все персонажи в области.","timeCost":"Боевые ходы/действия по частной карточке.","trigger":"[SYM-178] объявление; цена 50 ОЭ и 1 действие."}</t>
  </si>
  <si>
    <t xml:space="preserve">93088b4ab15926a2015c7ab2db5d7085711b2411f582cc4d5b745fd4dd467a91</t>
  </si>
  <si>
    <t xml:space="preserve">SYM-178 PEACE</t>
  </si>
  <si>
    <t xml:space="preserve">{"abilityContextId":"CTX-SYM-178-PEACE","abilityId":"SYM-178","actionCost":"0","allowed":false,"armorPolicy":"NOT_APPLICABLE","atomicityAudit":"Записать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выполняется","ruleIds":"SYM-178; Q-APP-002","stateWrites":"Нет","targetSelector":"Не выбирается","timeCost":"0","trigger":"Попытка объявления в запрещённом контексте"}</t>
  </si>
  <si>
    <t xml:space="preserve">f2463b832b840443d667ad52ef453c024eaf33913e522eeb64133440cf95e97e</t>
  </si>
  <si>
    <t xml:space="preserve">SYM-179 COMBAT</t>
  </si>
  <si>
    <t xml:space="preserve">{"abilityContextId":"CTX-SYM-179-COMBAT","abilityId":"SYM-179","actionCost":"[SYM-179] объявление; цена 50 ОЭ и 1 действие; можно на бегу.\nНормативная база (действует во всей непротиворечащей части):\nсоздать R4 укоренившихся активных мин, каждая активна R20 минут; при контакте живого существа применить эффект Анальной железы.","allowed":true,"armorPolicy":"Общий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ходы.\n\n[SYM-179] Миномёт\nНормативная база (действует во всей непротиворечащей части):\nсоздать R4 укоренившихся активных мин, каждая активна R20 минут; при контакте живого существа применить эффект Анальной железы.\nПриоритетные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цели.\n[Q-SYM-071]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активируют.","context":"COMBAT","cooldown":"[SYM-179] R20 срока; места установки.\nНормативная база (действует во всей непротиворечащей части):\nсоздать R4 укоренившихся активных мин, каждая активна R20 минут; при контакте живого существа применить эффект Анальной железы.\nОни активируются в начале следующего боевого круга и после этого существуют R20 полных кругов.","denialReason":"","duration":"[SYM-179] R20 срока; места установки.\nНормативная база (действует во всей непротиворечащей части):\nсоздать R4 укоренившихся активных мин, каждая активна R20 минут; при контакте живого существа применить эффект Анальной железы.\nОни активируются в начале следующего боевого круга и после этого существуют R20 полных кругов.","effect":"[SYM-179] Нормативная база (действует во всей непротиворечащей части):\nсоздать R4 укоренившихся активных мин, каждая активна R20 минут; при контакте живого существа применить эффект Анальной железы.\nПриоритетные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цели.\n[Q-SYM-071]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активируют.","errorCodes":"ERR_PRECONDITION; ERR_TARGET; ERR_RESOURCE; ERR_ACTION_COST; ERR_RULE_SPECIFIC","idUnique":1,"inputs":"[SYM-179] R4 количества; формула незаметности (10+L)×2; R20 срока; места установки.","manualChoice":"Только прямо указанные частной карточкой выборы.","playerCommandAvailable":true,"preconditions":"[SYM-179] выпускное отверстие свободно.","resourceCost":"[SYM-179] объявление; цена 50 ОЭ и 1 действие; можно на бегу.\nПорог активации 4+, цена 20 ОЭ и самопоражение натуральной 1 не наследуются; результат 1 считается обычным диапазоном 1–5 для поражённой цели.","rollDefinition":"[SYM-179] R4 количества; формула незаметности (10+L)×2\nR20 срока; места установки.\nсоздать R4 укоренившихся активных мин, каждая активна R20 минут; при контакте живого существа применить эффект Анальной железы.\n[Q-SYM-070]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эффектами.\n[Q-SYM-071] При применении создаются R4 отдельных одноразовых мин в текущей точке носителя.\nОни активируются в начале следующего боевого круга и после этого существуют R20 полных кругов.\n«незаметность (10+L)×2 (чистая проверка)» не содержит дайса; дальность/раскладка и расходование мины не заданы.","ruleIds":"SYM-179; CORE-229; SYM-010; SYM-011","stateWrites":"[SYM-179] набор объектов-ловушек с таймерами и одноразовым/неуказанным контактом.","targetSelector":"[SYM-179] R4 мин и контактирующие существа.","timeCost":"Боевые ходы/действия по частной карточке.","trigger":"[SYM-179] объявление; цена 50 ОЭ и 1 действие; можно на бегу."}</t>
  </si>
  <si>
    <t xml:space="preserve">8ca3eb08a498408a0707c82f2e6afcee26e06727645ebae8b463c8012e878cdf</t>
  </si>
  <si>
    <t xml:space="preserve">SYM-179 PEACE</t>
  </si>
  <si>
    <t xml:space="preserve">{"abilityContextId":"CTX-SYM-179-PEACE","abilityId":"SYM-179","actionCost":"0","allowed":false,"armorPolicy":"NOT_APPLICABLE","atomicityAudit":"Записать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выполняется","ruleIds":"SYM-179; Q-APP-002","stateWrites":"Нет","targetSelector":"Не выбирается","timeCost":"0","trigger":"Попытка объявления в запрещённом контексте"}</t>
  </si>
  <si>
    <t xml:space="preserve">a8d4d2fcaf473d0fc10fce6a40be356c55147e2178685f5a4b2fa1d3ea75995d</t>
  </si>
  <si>
    <t xml:space="preserve">SYM-180 COMBAT</t>
  </si>
  <si>
    <t xml:space="preserve">{"abilityContextId":"CTX-SYM-180-COMBAT","abilityId":"SYM-180","actionCost":"[SYM-180] объявление при ≥3 действиях; общая цена 200 ОЭ.\nдействие 1 — один R20 A; действие 2 — отдельный R20 B; действие 3 — выбор типа и отдельный R20 C.\nНормативная база (действует во всей непротиворечащей части):\nдействие 1: единожды списать 200 ОЭ и задать max удаление центра A² м.\nДействие 2: задать площадь 10B м² и прицелиться.","allowed":true,"armorPolicy":"Общий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урон.","atomicityAudit":"[SYM-180] [Q-SYM-072] Первым действием один раз списываются 200 ОЭ и определяется максимальная дальность.","behavior":"Разрешается по агрегированным карточкам canonicalBehaviorCards; в бою учитываются указанная цена действий, боевые защиты, координаты и ходы.\n\n[SYM-180] Шквальный огонь\nНормативная база (действует во всей непротиворечащей части):\nдействие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цели.\n[Q-SYM-071]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активируют.\n[Q-SYM-072]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ОЭ.","context":"COMBAT","cooldown":"[SYM-180] Нормативная база (действует во всей непротиворечащей части):\nОни активируются в начале следующего боевого круга и после этого существуют R20 полных кругов.\nсоздаётся частично подготовленное действие либо пакет снарядов.","denialReason":"","duration":"[SYM-180] Нормативная база (действует во всей непротиворечащей части):\nОни активируются в начале следующего боевого круга и после этого существуют R20 полных кругов.\nсоздаётся частично подготовленное действие либо пакет снарядов.","effect":"[SYM-180] Нормативная база (действует во всей непротиворечащей части):\nдействие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ОЭ.\nПриоритетные авторские дельты (заменяют только прямо пересекающиеся ветви):\n[Q-SYM-070]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цели.\n[Q-SYM-071]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активируют.\n[Q-SYM-072]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ОЭ.","errorCodes":"ERR_PRECONDITION; ERR_TARGET; ERR_RESOURCE; ERR_ACTION_COST; ERR_RULE_SPECIFIC","idUnique":1,"inputs":"[SYM-180] действие 1 — один R20 A; действие 2 — отдельный R20 B; действие 3 — выбор типа и отдельный R20 C.","manualChoice":"Только прямо указанные частной карточкой выборы.","playerCommandAvailable":true,"preconditions":"[SYM-180] ОЭ≥200; выпускное отверстие свободно.","resourceCost":"[SYM-180] объявление при ≥3 действиях; общая цена 200 ОЭ.\nОЭ≥200; выпускное отверстие свободно.\nдействие 1: единожды списать 200 ОЭ и задать max удаление центра A² м.\nМожно прервать после любого действия без возврата ОЭ.\nПорог активации 4+, цена 20 ОЭ и самопоражение натуральной 1 не наследуются; результат 1 считается обычным диапазоном 1–5 для поражённой цели.","rollDefinition":"[SYM-180] действие 1 — один R20 A; действие 2 — отдельный R20 B; действие 3 — выбор типа и отдельный R20 C.\n[Q-SYM-070]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эффектами.\n[Q-SYM-071] При применении создаются R4 отдельных одноразовых мин в текущей точке носителя.\nОни активируются в начале следующего боевого круга и после этого существуют R20 полных кругов.\nВторым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выполняется.\nВсе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многократно.\nВсе R20×6 мин размещаются отдельными объектами в той же зафиксированной точке и далее разрешаются по Q-SYM-071.","ruleIds":"SYM-180; CORE-229; SYM-010; SYM-011","stateWrites":"[SYM-180] создаётся частично подготовленное действие либо пакет снарядов.","targetSelector":"[SYM-180] выбранная зона.","timeCost":"Боевые ходы/действия по частной карточке.","trigger":"[SYM-180] объявление при ≥3 действиях; общая цена 200 ОЭ."}</t>
  </si>
  <si>
    <t xml:space="preserve">1de6c102d5b664e88b80ecee000576b5fbccbeca6c0fe8ce53a87fe807f6ecc4</t>
  </si>
  <si>
    <t xml:space="preserve">SYM-180 PEACE</t>
  </si>
  <si>
    <t xml:space="preserve">{"abilityContextId":"CTX-SYM-180-PEACE","abilityId":"SYM-180","actionCost":"0","allowed":false,"armorPolicy":"NOT_APPLICABLE","atomicityAudit":"Записать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выполняется","ruleIds":"SYM-180; Q-APP-002","stateWrites":"Нет","targetSelector":"Не выбирается","timeCost":"0","trigger":"Попытка объявления в запрещённом контексте"}</t>
  </si>
  <si>
    <t xml:space="preserve">b236d38010973ff0b24a45d16a6f9200f13d19de5d1b01e1d0294bc4324a92f8</t>
  </si>
  <si>
    <t xml:space="preserve">MON-004 COMBAT</t>
  </si>
  <si>
    <t xml:space="preserve">{"abilityContextId":"CTX-MON-004-COMBAT","abilityId":"MON-004","actionCost":"[MON-004] 10 последовательных боевых ходов либо 10 минут вне боя.\nсписать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освобождаться.\n[MON-006] успешно завершены 10 минут/ходов «Пожирания».\nНормативная база (действует во всей непротиворечащей части):\n[MON-007]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ходы.\n\n[MON-004] Начало и поддержание «Пожирания»\nсписать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освобождаться.\n\n[MON-005] Уязвимость Химеры во время «Пожирания»\nитоговый урон умножить на 5.\n\n[MON-006] Награды за завершённое «Пожирание»\nНормативная база (действует во всей непротиворечащей части):\n(1)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HP.\nПриоритетные авторские дельты (заменяют только прямо пересекающиеся ветви):\n[Q-MON-002]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нет.\n\n[MON-007] Счётчик съеденных целей и дополнительные слоты Химеры\nНормативная база (действует во всей непротиворечащей части):\nпри достижении соответствующего порога открыть один дополнительный слот; максимум три дополнительных слота; в них возможен однослотовый симбионт.\nПриоритетные авторские дельты (заменяют только прямо пересекающиеся ветви):\n[Q-MON-004]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три.","context":"COMBAT","cooldown":"[MON-004] 10 последовательных боевых ходов либо 10 минут вне боя.\nсписать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освобождаться.\nпосле полного срока цель считается съеденной; до завершения награда не начисляется.\n[MON-006] успешно завершены 10 минут/ходов «Пожирания».\nНормативная база (действует во всей непротиворечащей части):\n[MON-007] Нормативная база (действует во всей непротиворечащей части):","denialReason":"","duration":"[MON-004] 10 последовательных боевых ходов либо 10 минут вне боя.\nсписать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освобождаться.\nпосле полного срока цель считается съеденной; до завершения награда не начисляется.\n[MON-006] успешно завершены 10 минут/ходов «Пожирания».\nНормативная база (действует во всей непротиворечащей части):\n[MON-007] Нормативная база (действует во всей непротиворечащей части):","effect":"[MON-004]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освобождаться.\n[MON-005] итоговый урон умножить на 5.\n[MON-006] Нормативная база (действует во всей непротиворечащей части):\n(1)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HP.\nПриоритетные авторские дельты (заменяют только прямо пересекающиеся ветви):\n[Q-MON-002]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нет.\n[MON-007] Нормативная база (действует во всей непротиворечащей части):\nпри достижении соответствующего порога открыть один дополнительный слот; максимум три дополнительных слота; в них возможен однослотовый симбионт.\nПриоритетные авторские дельты (заменяют только прямо пересекающиеся ветви):\n[Q-MON-004]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три.","errorCodes":"ERR_PRECONDITION; ERR_TARGET; ERR_RESOURCE; ERR_ACTION_COST; ERR_RULE_SPECIFIC","idUnique":1,"inputs":"[MON-004] 50 ОЭ; состояние цели; 10 последовательных боевых ходов либо 10 минут вне боя.\n[MON-005] рассчитанный входящий урон после обычной последовательности защиты.\n[MON-006] базовые характеристики и навыки цели; характеристики и навыки Химеры; активный результат «Взгляда мясника» для этой цели.\n[MON-007] три скрытых броска мастера, каждый задаёт порог из диапазона 10–22; счётчик съеденных целей.","manualChoice":"Только прямо указанные частной карточкой выборы.","playerCommandAvailable":true,"preconditions":"[MON-004] цель — Чистый, Единый или Вольный; цель жива и находится в тяжёлом ранении, без сознания, парализована либо уже удерживается Химерой в захвате.\n[MON-005] процесс ещё не прерван.\n[MON-006] процесс не был прерван.\n[MON-007] получено менее трёх дополнительных слотов.","resourceCost":"[MON-004] 50 ОЭ; состояние цели\nсписать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освобождаться.\n[MON-005] уменьшить HP на пятикратный урон и прервать «Пожирание» без награды.\n[MON-006]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5.\nПри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увеличивает.\nпостоянные изменения характеристик, навыков, максимума HP; текущее HP восстановлено полностью.","rollDefinition":"Без броска, если частная карточка не требует его.","ruleIds":"MON-004; MON-005; MON-006; MON-007; CORE-229; SYM-010; SYM-011","stateWrites":"[MON-004] после полного срока цель считается съеденной; до завершения награда не начисляется.\n[MON-005] уменьшить HP на пятикратный урон и прервать «Пожирание» без награды.\n[MON-006] постоянные изменения характеристик, навыков, максимума HP; текущее HP восстановлено полностью.\n[MON-007] число слотов носителя увеличивается на 1, максимум на 3.","targetSelector":"[MON-004] одна живая цель.\n[MON-005] голова или корпус пожирающей Химеры.\n[MON-006] съеденная цель.\n[MON-007] её носитель.","timeCost":"Боевые ходы/действия по частной карточке.","trigger":"[MON-004] объявление «Пожирания».\n[MON-005] Химера получает урон в голову или корпус при активном «Пожирании».\n[MON-006] успешно завершены 10 минут/ходов «Пожирания».\n[MON-007] завершённое «Пожирание» увеличивает счётчик съеденных целей."}</t>
  </si>
  <si>
    <t xml:space="preserve">54fb0b30c9d3b59879b0e00cceb1ed96d6e49cf759aacf1e5c8f8ed89ef15829</t>
  </si>
  <si>
    <t xml:space="preserve">MON-004 PEACE</t>
  </si>
  <si>
    <t xml:space="preserve">{"abilityContextId":"CTX-MON-004-PEACE","abilityId":"MON-004","actionCost":"Боевые действия не расходуются вне боя. Частная длительность/условия сохраняются:\n[MON-004] 10 последовательных боевых ходов либо 10 минут вне боя.\nсписать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освобождаться.\n[MON-006] успешно завершены 10 минут/ходов «Пожирания».\nНормативная база (действует во всей непротиворечащей части):\n[MON-007]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атомарно.","behavior":"Вне боя «Пожирание» — атомарно запускаемая мирная операция с 50 ОЭ и прямо указанной длительностью 10 минут; цель должна быть согласна либо недееспособна. Остальные проверки и награды — по MON-004–007.\n\n[MON-004] Начало и поддержание «Пожирания»\nсписать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освобождаться.\n\n[MON-005] Уязвимость Химеры во время «Пожирания»\nитоговый урон умножить на 5.\n\n[MON-006] Награды за завершённое «Пожирание»\nНормативная база (действует во всей непротиворечащей части):\n(1)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HP.\nПриоритетные авторские дельты (заменяют только прямо пересекающиеся ветви):\n[Q-MON-002]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нет.\n\n[MON-007] Счётчик съеденных целей и дополнительные слоты Химеры\nНормативная база (действует во всей непротиворечащей части):\nпри достижении соответствующего порога открыть один дополнительный слот; максимум три дополнительных слота; в них возможен однослотовый симбионт.\nПриоритетные авторские дельты (заменяют только прямо пересекающиеся ветви):\n[Q-MON-004]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три.","context":"PEACE","cooldown":"[MON-004] 10 последовательных боевых ходов либо 10 минут вне боя.\nсписать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освобождаться.\nпосле полного срока цель считается съеденной; до завершения награда не начисляется.\n[MON-006] успешно завершены 10 минут/ходов «Пожирания».\nНормативная база (действует во всей непротиворечащей части):\n[MON-007] Нормативная база (действует во всей непротиворечащей части):","denialReason":"","duration":"[MON-004] 10 последовательных боевых ходов либо 10 минут вне боя.\nсписать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освобождаться.\nпосле полного срока цель считается съеденной; до завершения награда не начисляется.\n[MON-006] успешно завершены 10 минут/ходов «Пожирания».\nНормативная база (действует во всей непротиворечащей части):\n[MON-007] Нормативная база (действует во всей непротиворечащей части):","effect":"[MON-004]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освобождаться.\n[MON-005] итоговый урон умножить на 5.\n[MON-006] Нормативная база (действует во всей непротиворечащей части):\n(1)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HP.\nПриоритетные авторские дельты (заменяют только прямо пересекающиеся ветви):\n[Q-MON-002]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нет.\n[MON-007] Нормативная база (действует во всей непротиворечащей части):\nпри достижении соответствующего порога открыть один дополнительный слот; максимум три дополнительных слота; в них возможен однослотовый симбионт.\nПриоритетные авторские дельты (заменяют только прямо пересекающиеся ветви):\n[Q-MON-004]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три.","errorCodes":"ERR_PRECONDITION; ERR_TARGET; ERR_RESOURCE; ERR_ACTION_COST; ERR_RULE_SPECIFIC","idUnique":1,"inputs":"[MON-004] 50 ОЭ; состояние цели; 10 последовательных боевых ходов либо 10 минут вне боя.\n[MON-005] рассчитанный входящий урон после обычной последовательности защиты.\n[MON-006] базовые характеристики и навыки цели; характеристики и навыки Химеры; активный результат «Взгляда мясника» для этой цели.\n[MON-007] три скрытых броска мастера, каждый задаёт порог из диапазона 10–22; счётчик съеденных целей.","manualChoice":"Мастер подтверждает немоделируемые контакт, дистанцию и согласие цели по Q-APP-001.","playerCommandAvailable":true,"preconditions":"[MON-004] цель — Чистый, Единый или Вольный; цель жива и находится в тяжёлом ранении, без сознания, парализована либо уже удерживается Химерой в захвате.\n[MON-005] процесс ещё не прерван.\n[MON-006] процесс не был прерван.\n[MON-007] получено менее трёх дополнительных слотов.","resourceCost":"[MON-004] 50 ОЭ; состояние цели\nсписать 50 ОЭ при объявлении; каждый из 10 ходов Химера тратит все боевые действия на процесс; дееспособная захваченная цель может в свой ход освобождаться.\n[MON-005] уменьшить HP на пятикратный урон и прервать «Пожирание» без награды.\n[MON-006]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5.\nПри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HP.\nСначала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увеличивает.\nпостоянные изменения характеристик, навыков, максимума HP; текущее HP восстановлено полностью.","rollDefinition":"Без броска, если частная карточка не требует его.","ruleIds":"MON-004; MON-005; MON-006; MON-007; Q-APP-001; SYM-010; SYM-011","stateWrites":"[MON-004] после полного срока цель считается съеденной; до завершения награда не начисляется.\n[MON-005] уменьшить HP на пятикратный урон и прервать «Пожирание» без награды.\n[MON-006] постоянные изменения характеристик, навыков, максимума HP; текущее HP восстановлено полностью.\n[MON-007] число слотов носителя увеличивается на 1, максимум на 3.","targetSelector":"[MON-004] одна живая цель.\n[MON-005] голова или корпус пожирающей Химеры.\n[MON-006] съеденная цель.\n[MON-007] её носитель.","timeCost":"Виртуальное время только если прямо установлено частной карточкой; иначе 0.","trigger":"[MON-004] объявление «Пожирания».\n[MON-005] Химера получает урон в голову или корпус при активном «Пожирании».\n[MON-006] успешно завершены 10 минут/ходов «Пожирания».\n[MON-007] завершённое «Пожирание» увеличивает счётчик съеденных целей."}</t>
  </si>
  <si>
    <t xml:space="preserve">6fc81abf4bb99a6e59c3bb1ebb15fec8adc76b7eef2601ea63b75cff787812a9</t>
  </si>
  <si>
    <t xml:space="preserve">MON-008 COMBAT</t>
  </si>
  <si>
    <t xml:space="preserve">{"abilityContextId":"CTX-MON-008-COMBAT","abilityId":"MON-008","actionCost":"Если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ходы.\n\n[MON-008] «Дублирование органов»: предотвращение тяжёлого ранения\nотменить переход в тяжёлое ранение и установить текущее HP равным 1.\n\n[MON-009] «Дублирование органов»: состояние после тяжёлого ранения\nсохранить дееспособность; увеличить время до смерти в 4 раза.","context":"COMBAT","cooldown":"Нет, если не указан.","denialReason":"","duration":"Мгновенно, если срок не указан.","effect":"[MON-008] отменить переход в тяжёлое ранение и установить текущее HP равным 1.\n[MON-009] сохранить дееспособность; увеличить время до смерти в 4 раза.","errorCodes":"ERR_PRECONDITION; ERR_TARGET; ERR_RESOURCE; ERR_ACTION_COST; ERR_RULE_SPECIFIC","idUnique":1,"inputs":"[MON-008] результат урона и состояние HP.\n[MON-009] общий таймер смерти от тяжёлого ранения.","manualChoice":"Только прямо указанные частной карточкой выборы.","playerCommandAvailable":false,"preconditions":"[MON-008] способность ещё не срабатывала в текущей боевой ситуации.\n[MON-009] способность изучена.","resourceCost":"[MON-008] результат урона и состояние HP.\nотменить переход в тяжёлое ранение и установить текущее HP равным 1.\nХимера остаётся вне тяжёлого ранения с 1 HP; отметить расход срабатывания.","rollDefinition":"[MON-009] тяжело раненая Химера может действовать, таймер смерти ×4.\nМножитель ×4 синхронизирован с локальным приоритетом CORE-154.","ruleIds":"MON-008; MON-009; CORE-229; SYM-010; SYM-011","stateWrites":"[MON-008] Химера остаётся вне тяжёлого ранения с 1 HP; отметить расход срабатывания.\n[MON-009] тяжело раненая Химера может действовать, таймер смерти ×4.","targetSelector":"[MON-008] входящая атака.","timeCost":"Боевые ходы/действия по частной карточке.","trigger":"[MON-008] атака должна перевести Химеру в тяжёлое ранение.\n[MON-009] Химера всё же входит в тяжёлое ранение."}</t>
  </si>
  <si>
    <t xml:space="preserve">47e44e0809deae6c982394f8823b8ef39b13aa5f7f7d097c0838c84f71a076de</t>
  </si>
  <si>
    <t xml:space="preserve">MON-008 PEACE</t>
  </si>
  <si>
    <t xml:space="preserve">{"abilityContextId":"CTX-MON-008-PEACE","abilityId":"MON-008","actionCost":"Боевые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части.\n\n[MON-008] «Дублирование органов»: предотвращение тяжёлого ранения\nотменить переход в тяжёлое ранение и установить текущее HP равным 1.\n\n[MON-009] «Дублирование органов»: состояние после тяжёлого ранения\nсохранить дееспособность; увеличить время до смерти в 4 раза.","context":"PEACE","cooldown":"Нет, если не указан.","denialReason":"","duration":"Мгновенно, если срок не указан.","effect":"[MON-008] отменить переход в тяжёлое ранение и установить текущее HP равным 1.\n[MON-009] сохранить дееспособность; увеличить время до смерти в 4 раза.","errorCodes":"ERR_PRECONDITION; ERR_TARGET; ERR_RESOURCE; ERR_ACTION_COST; ERR_RULE_SPECIFIC","idUnique":1,"inputs":"[MON-008] результат урона и состояние HP.\n[MON-009] общий таймер смерти от тяжёлого ранения.","manualChoice":"Мастер подтверждает немоделируемые контакт, дистанцию и согласие цели по Q-APP-001.","playerCommandAvailable":false,"preconditions":"[MON-008] способность ещё не срабатывала в текущей боевой ситуации.\n[MON-009] способность изучена.","resourceCost":"[MON-008] результат урона и состояние HP.\nотменить переход в тяжёлое ранение и установить текущее HP равным 1.\nХимера остаётся вне тяжёлого ранения с 1 HP; отметить расход срабатывания.","rollDefinition":"[MON-009] тяжело раненая Химера может действовать, таймер смерти ×4.\nМножитель ×4 синхронизирован с локальным приоритетом CORE-154.","ruleIds":"MON-008; MON-009; Q-APP-001; SYM-010; SYM-011","stateWrites":"[MON-008] Химера остаётся вне тяжёлого ранения с 1 HP; отметить расход срабатывания.\n[MON-009] тяжело раненая Химера может действовать, таймер смерти ×4.","targetSelector":"[MON-008] входящая атака.","timeCost":"Виртуальное время только если прямо установлено частной карточкой; иначе 0.","trigger":"[MON-008] атака должна перевести Химеру в тяжёлое ранение.\n[MON-009] Химера всё же входит в тяжёлое ранение."}</t>
  </si>
  <si>
    <t xml:space="preserve">f00e6181e387480a3dbc15fe911305e1344bc24b16f2c14faa99f713a2c9b340</t>
  </si>
  <si>
    <t xml:space="preserve">MON-010 COMBAT</t>
  </si>
  <si>
    <t xml:space="preserve">{"abilityContextId":"CTX-MON-010-COMBAT","abilityId":"MON-010","actionCost":"[MON-010]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ходы.\n\n[MON-010] «Взгляд мясника»\nНормативная база (действует во всей непротиворечащей части):\n1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наград).\nПриоритетные авторские дельты (заменяют только прямо пересекающиеся ветви):\n[Q-MON-005]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химеры.","context":"COMBAT","cooldown":"[MON-010] Нормативная база (действует во всей непротиворечащей части):\n1 — информации нет, Химера обязана съесть цель в течение суток, иначе все её характеристики −2","denialReason":"","duration":"[MON-010] Нормативная база (действует во всей непротиворечащей части):\n1 — информации нет, Химера обязана съесть цель в течение суток, иначе все её характеристики −2","effect":"[MON-010] Нормативная база (действует во всей непротиворечащей части):\n1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наград).\nПриоритетные авторские дельты (заменяют только прямо пересекающиеся ветви):\n[Q-MON-005]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химеры.","errorCodes":"ERR_PRECONDITION; ERR_TARGET; ERR_RESOURCE; ERR_ACTION_COST; ERR_RULE_SPECIFIC","idUnique":1,"inputs":"[MON-010] 30 ОЭ; чистый R20.","manualChoice":"Только прямо указанные частной карточкой выборы.","playerCommandAvailable":true,"preconditions":"[MON-010] на эту цель способность ещё не применялась.","resourceCost":"[MON-010] 30 ОЭ; чистый R20.\n20 — записать для этой цели усиленную награду «Пожирания» (+2 к случайной характеристике и +10 max HP вместо обычных наград).","rollDefinition":"[MON-010] 30 ОЭ; чистый R20.","ruleIds":"MON-010; CORE-229; SYM-010; SYM-011","stateWrites":"[MON-010] цель помечается как уже оценённая; сохраняется раскрытая информация и, при 1 или 20, специальное состояние.","targetSelector":"[MON-010] один персонаж.","timeCost":"Боевые ходы/действия по частной карточке.","trigger":"[MON-010] объявление способности."}</t>
  </si>
  <si>
    <t xml:space="preserve">9d50156686a260dec47c21dd0a05d48d7d45db10024ff8378c8f9ba62c11bcc7</t>
  </si>
  <si>
    <t xml:space="preserve">MON-010 PEACE</t>
  </si>
  <si>
    <t xml:space="preserve">{"abilityContextId":"CTX-MON-010-PEACE","abilityId":"MON-010","actionCost":"Боевые действия не расходуются вне боя. Частная длительность/условия сохраняются:\n[MON-010]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части.\n\n[MON-010] «Взгляд мясника»\nНормативная база (действует во всей непротиворечащей части):\n1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наград).\nПриоритетные авторские дельты (заменяют только прямо пересекающиеся ветви):\n[Q-MON-005]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химеры.","context":"PEACE","cooldown":"[MON-010] Нормативная база (действует во всей непротиворечащей части):\n1 — информации нет, Химера обязана съесть цель в течение суток, иначе все её характеристики −2","denialReason":"","duration":"[MON-010] Нормативная база (действует во всей непротиворечащей части):\n1 — информации нет, Химера обязана съесть цель в течение суток, иначе все её характеристики −2","effect":"[MON-010] Нормативная база (действует во всей непротиворечащей части):\n1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наград).\nПриоритетные авторские дельты (заменяют только прямо пересекающиеся ветви):\n[Q-MON-005]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химеры.","errorCodes":"ERR_PRECONDITION; ERR_TARGET; ERR_RESOURCE; ERR_ACTION_COST; ERR_RULE_SPECIFIC","idUnique":1,"inputs":"[MON-010] 30 ОЭ; чистый R20.","manualChoice":"Мастер подтверждает немоделируемые контакт, дистанцию и согласие цели по Q-APP-001.","playerCommandAvailable":true,"preconditions":"[MON-010] на эту цель способность ещё не применялась.","resourceCost":"[MON-010] 30 ОЭ; чистый R20.\n20 — записать для этой цели усиленную награду «Пожирания» (+2 к случайной характеристике и +10 max HP вместо обычных наград).","rollDefinition":"[MON-010] 30 ОЭ; чистый R20.","ruleIds":"MON-010; Q-APP-001; SYM-010; SYM-011","stateWrites":"[MON-010] цель помечается как уже оценённая; сохраняется раскрытая информация и, при 1 или 20, специальное состояние.","targetSelector":"[MON-010] один персонаж.","timeCost":"Виртуальное время только если прямо установлено частной карточкой; иначе 0.","trigger":"[MON-010] объявление способности."}</t>
  </si>
  <si>
    <t xml:space="preserve">4d1849ae76be336ab2d6ee7e1d41e56802d08315ca42e591717cef4841d337bf</t>
  </si>
  <si>
    <t xml:space="preserve">MON-011 COMBAT</t>
  </si>
  <si>
    <t xml:space="preserve">{"abilityContextId":"CTX-MON-011-COMBAT","abilityId":"MON-011","actionCost":"Если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ходы.\n\n[MON-011] «Железная хватка»\nдобавить +10.","context":"COMBAT","cooldown":"Нет, если не указан.","denialReason":"","duration":"Мгновенно, если срок не указан.","effect":"[MON-011] добавить +10.","errorCodes":"ERR_PRECONDITION; ERR_TARGET; ERR_RESOURCE; ERR_ACTION_COST; ERR_RULE_SPECIFIC","idUnique":1,"inputs":"[MON-011] базовый результат проверки удержания.","manualChoice":"Только прямо указанные частной карточкой выборы.","playerCommandAvailable":false,"preconditions":"[MON-011] способность изучена.","resourceCost":"0 ОЭ, если частная карточка не устанавливает цену.","rollDefinition":"Без броска, если частная карточка не требует его.","ruleIds":"MON-011; CORE-229; SYM-010; SYM-011","stateWrites":"[MON-011] повышенный итог встречной проверки.","targetSelector":"[MON-011] удерживаемая цель.","timeCost":"Боевые ходы/действия по частной карточке.","trigger":"[MON-011] проверка удержания, включая препятствование выходу из захвата."}</t>
  </si>
  <si>
    <t xml:space="preserve">038b92207b60944f839cfb6f79d1b2700dfe79d2313b09b00259e14cbfaa20cd</t>
  </si>
  <si>
    <t xml:space="preserve">MON-011 PEACE</t>
  </si>
  <si>
    <t xml:space="preserve">{"abilityContextId":"CTX-MON-011-PEACE","abilityId":"MON-011","actionCost":"0","allowed":false,"armorPolicy":"NOT_APPLICABLE","atomicityAudit":"Записать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выполняется","ruleIds":"MON-011; Q-APP-002","stateWrites":"Нет","targetSelector":"Не выбирается","timeCost":"0","trigger":"Попытка объявления в запрещённом контексте"}</t>
  </si>
  <si>
    <t xml:space="preserve">82197179cbc830fdf174860d538f6324b5b10685666ba501246c606746ff3605</t>
  </si>
  <si>
    <t xml:space="preserve">MON-012 COMBAT</t>
  </si>
  <si>
    <t xml:space="preserve">{"abilityContextId":"CTX-MON-012-COMBAT","abilityId":"MON-012","actionCost":"Если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ходы.\n\n[MON-012] «Безразличная плоть»\nmaxHP += 100.","context":"COMBAT","cooldown":"Нет, если не указан.","denialReason":"","duration":"Мгновенно, если срок не указан.","effect":"[MON-012] maxHP += 100.","errorCodes":"ERR_PRECONDITION; ERR_TARGET; ERR_RESOURCE; ERR_ACTION_COST; ERR_RULE_SPECIFIC","idUnique":1,"inputs":"[MON-012] базовый максимум HP.","manualChoice":"Только прямо указанные частной карточкой выборы.","playerCommandAvailable":true,"preconditions":"[MON-012] способность доступна.","resourceCost":"[MON-012] базовый максимум HP.\nпостоянный повышенный максимум HP.","rollDefinition":"[MON-012] maxHP += 100.","ruleIds":"MON-012; CORE-229; SYM-010; SYM-011","stateWrites":"[MON-012] постоянный повышенный максимум HP.","targetSelector":"Цель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карточке.","trigger":"[MON-012] изучение/активация симбионта."}</t>
  </si>
  <si>
    <t xml:space="preserve">2e7f119609d387b8aa207e2db8b49d7c3bad3b7861cd73cda897aa2651e434dd</t>
  </si>
  <si>
    <t xml:space="preserve">MON-012 PEACE</t>
  </si>
  <si>
    <t xml:space="preserve">{"abilityContextId":"CTX-MON-012-PEACE","abilityId":"MON-012","actionCost":"Боевые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части.\n\n[MON-012] «Безразличная плоть»\nmaxHP += 100.","context":"PEACE","cooldown":"Нет, если не указан.","denialReason":"","duration":"Мгновенно, если срок не указан.","effect":"[MON-012] maxHP += 100.","errorCodes":"ERR_PRECONDITION; ERR_TARGET; ERR_RESOURCE; ERR_ACTION_COST; ERR_RULE_SPECIFIC","idUnique":1,"inputs":"[MON-012] базовый максимум HP.","manualChoice":"Мастер подтверждает немоделируемые контакт, дистанцию и согласие цели по Q-APP-001.","playerCommandAvailable":false,"preconditions":"[MON-012] способность доступна.","resourceCost":"[MON-012] базовый максимум HP.\nпостоянный повышенный максимум HP.","rollDefinition":"[MON-012] maxHP += 100.","ruleIds":"MON-012; Q-APP-001; SYM-010; SYM-011","stateWrites":"[MON-012] постоянный повышенный максимум HP.","targetSelector":"Цель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0.","trigger":"[MON-012] изучение/активация симбионта."}</t>
  </si>
  <si>
    <t xml:space="preserve">7036805486f4c318e84efbc51eacca46884ae1fd5cf1bc325493460b0077393d</t>
  </si>
  <si>
    <t xml:space="preserve">MON-013 COMBAT</t>
  </si>
  <si>
    <t xml:space="preserve">{"abilityContextId":"CTX-MON-013-COMBAT","abilityId":"MON-013","actionCost":"[MON-013] длительность метки R20×2 минут; для Химеры мир отображается чёрно-белым, цель и все её следы — ярко-красными.","allowed":true,"armorPolicy":"Общий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ходы.\n\n[MON-013] «Гончая»\nдлительность метки R20×2 минут; для Химеры мир отображается чёрно-белым, цель и все её следы — ярко-красными.","context":"COMBAT","cooldown":"[MON-013] длительность метки R20×2 минут; для Химеры мир отображается чёрно-белым, цель и все её следы — ярко-красными.","denialReason":"","duration":"[MON-013] длительность метки R20×2 минут; для Химеры мир отображается чёрно-белым, цель и все её следы — ярко-красными.","effect":"[MON-013] длительность метки R20×2 минут; для Химеры мир отображается чёрно-белым, цель и все её следы — ярко-красными.","errorCodes":"ERR_PRECONDITION; ERR_TARGET; ERR_RESOURCE; ERR_ACTION_COST; ERR_RULE_SPECIFIC","idUnique":1,"inputs":"[MON-013] 50 ОЭ; чистый R20.","manualChoice":"Только прямо указанные частной карточкой выборы.","playerCommandAvailable":true,"preconditions":"[MON-013] цель в поле зрения.","resourceCost":"[MON-013] 50 ОЭ; чистый R20.","rollDefinition":"[MON-013] 50 ОЭ; чистый R20.\nдлительность метки R20×2 минут; для Химеры мир отображается чёрно-белым, цель и все её следы — ярко-красными.","ruleIds":"MON-013; CORE-229; SYM-010; SYM-011","stateWrites":"[MON-013] создать метку «Гончая» с таймером и источником.","targetSelector":"[MON-013] одна видимая цель.","timeCost":"Боевые ходы/действия по частной карточке.","trigger":"[MON-013] объявление способности."}</t>
  </si>
  <si>
    <t xml:space="preserve">07af523953c92f5b82e0186e5acbabd8c2ff6c7510261fb8aee26c53adaa598a</t>
  </si>
  <si>
    <t xml:space="preserve">MON-013 PEACE</t>
  </si>
  <si>
    <t xml:space="preserve">{"abilityContextId":"CTX-MON-013-PEACE","abilityId":"MON-013","actionCost":"0","allowed":false,"armorPolicy":"NOT_APPLICABLE","atomicityAudit":"Записать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выполняется","ruleIds":"MON-013; Q-APP-002","stateWrites":"Нет","targetSelector":"Не выбирается","timeCost":"0","trigger":"Попытка объявления в запрещённом контексте"}</t>
  </si>
  <si>
    <t xml:space="preserve">eea5ac89831ef9d32f4162dafba6f54e5fa2450b856e28975ff19450b6cb54a4</t>
  </si>
  <si>
    <t xml:space="preserve">MON-014 COMBAT</t>
  </si>
  <si>
    <t xml:space="preserve">{"abilityContextId":"CTX-MON-014-COMBAT","abilityId":"MON-014","actionCost":"[MON-014]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ходы.\n\n[MON-014] «Локтевой отбойник»: атака локтем\nНормативная база (действует во всей непротиворечащей части):\nбронепробитие атаки = R12; добавить к урону бонус R12.\nПриоритетные авторские дельты (заменяют только прямо пересекающиеся ветви):\n[Q-MON-006] Для каждой атаки отбойником выполняются два независимых R12: первый определяет бронепробитие, второй — бонус к урону.\n\n[MON-015] «Локтевой отбойник»: дополнительная броня\nесли первый R20 ≥16, считать попадание пришедшимся по локтевому сгибу; добавить спасбросок брони R20×2 к спасброску надетой брони.","context":"COMBAT","cooldown":"[MON-014] Нормативная база (действует во всей непротиворечащей части):","denialReason":"","duration":"[MON-014] Нормативная база (действует во всей непротиворечащей части):","effect":"[MON-014] Нормативная база (действует во всей непротиворечащей части):\nбронепробитие атаки = R12; добавить к урону бонус R12.\nПриоритетные авторские дельты (заменяют только прямо пересекающиеся ветви):\n[Q-MON-006] Для каждой атаки отбойником выполняются два независимых R12: первый определяет бронепробитие, второй — бонус к урону.\n[MON-015] если первый R20 ≥16, считать попадание пришедшимся по локтевому сгибу; добавить спасбросок брони R20×2 к спасброску надетой брони.","errorCodes":"ERR_PRECONDITION; ERR_TARGET; ERR_RESOURCE; ERR_ACTION_COST; ERR_RULE_SPECIFIC","idUnique":1,"inputs":"[MON-014] R12; обычная точность атаки.\n[MON-015] чистый R20 определения попадания в сгиб; при результате 16+ — R20 защиты.","manualChoice":"Только прямо указанные частной карточкой выборы.","playerCommandAvailable":false,"preconditions":"[MON-014] локоть не прикрыт доспехом.\n[MON-015] способность изучена.","resourceCost":"0 ОЭ, если частная карточка не устанавливает цену.","rollDefinition":"[MON-014] R12; обычная точность атаки.\nбронепробитие атаки = R12; добавить к урону бонус R12.\n[Q-MON-006] Для каждой атаки отбойником выполняются два независимых R12: первый определяет бронепробитие, второй — бонус к урону.\n[MON-015] чистый R20 определения попадания в сгиб; при результате 16+ — R20 защиты.\nесли первый R20 ≥16, считать попадание пришедшимся по локтевому сгибу; добавить спасбросок брони R20×2 к спасброску надетой брони.","ruleIds":"MON-014; MON-015; CORE-229; SYM-010; SYM-011","stateWrites":"[MON-014] усиленные пробитие и урон атаки.\n[MON-015] увеличенный результат брони для данной атаки.","targetSelector":"[MON-014] цель удара локтем.\n[MON-015] физическая атака в левую или правую руку.","timeCost":"Боевые ходы/действия по частной карточке.","trigger":"[MON-014] рукопашная атака локтем.\n[MON-015] физическая атака попала в руку."}</t>
  </si>
  <si>
    <t xml:space="preserve">b1a0c45c723b396e1c0d9e208082e59445c3f28031c319e3d7162ff4b0aea6ac</t>
  </si>
  <si>
    <t xml:space="preserve">MON-014 PEACE</t>
  </si>
  <si>
    <t xml:space="preserve">{"abilityContextId":"CTX-MON-014-PEACE","abilityId":"MON-014","actionCost":"0","allowed":false,"armorPolicy":"NOT_APPLICABLE","atomicityAudit":"Записать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выполняется","ruleIds":"MON-014; MON-015; Q-APP-002","stateWrites":"Нет","targetSelector":"Не выбирается","timeCost":"0","trigger":"Попытка объявления в запрещённом контексте"}</t>
  </si>
  <si>
    <t xml:space="preserve">31f135456cd902d533cbc1519868fb80afb835dd7cb82aefedb14dfe595b87e6</t>
  </si>
  <si>
    <t xml:space="preserve">MON-016 COMBAT</t>
  </si>
  <si>
    <t xml:space="preserve">{"abilityContextId":"CTX-MON-016-COMBAT","abilityId":"MON-016","actionCost":"Если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ходы.\n\n[MON-016] «Выносливость хищника»\nM += 15.","context":"COMBAT","cooldown":"Нет, если не указан.","denialReason":"","duration":"Мгновенно, если срок не указан.","effect":"[MON-016] M += 15.","errorCodes":"ERR_PRECONDITION; ERR_TARGET; ERR_RESOURCE; ERR_ACTION_COST; ERR_RULE_SPECIFIC","idUnique":1,"inputs":"[MON-016] базовая M.","manualChoice":"Только прямо указанные частной карточкой выборы.","playerCommandAvailable":false,"preconditions":"[MON-016] изучена.","resourceCost":"0 ОЭ, если частная карточка не устанавливает цену.","rollDefinition":"[MON-016] M += 15.","ruleIds":"MON-016; CORE-229; SYM-010; SYM-011","stateWrites":"[MON-016] повышенная итоговая M.","targetSelector":"Цель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карточке.","trigger":"[MON-016] способность активна."}</t>
  </si>
  <si>
    <t xml:space="preserve">2697ee8093473e8dd2dd12e367d5198f4754ddd8942d7ab009cc6b6051a5cc47</t>
  </si>
  <si>
    <t xml:space="preserve">MON-016 PEACE</t>
  </si>
  <si>
    <t xml:space="preserve">{"abilityContextId":"CTX-MON-016-PEACE","abilityId":"MON-016","actionCost":"Боевые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части.\n\n[MON-016] «Выносливость хищника»\nM += 15.","context":"PEACE","cooldown":"Нет, если не указан.","denialReason":"","duration":"Мгновенно, если срок не указан.","effect":"[MON-016] M += 15.","errorCodes":"ERR_PRECONDITION; ERR_TARGET; ERR_RESOURCE; ERR_ACTION_COST; ERR_RULE_SPECIFIC","idUnique":1,"inputs":"[MON-016] базовая M.","manualChoice":"Мастер подтверждает немоделируемые контакт, дистанцию и согласие цели по Q-APP-001.","playerCommandAvailable":false,"preconditions":"[MON-016] изучена.","resourceCost":"0 ОЭ, если частная карточка не устанавливает цену.","rollDefinition":"[MON-016] M += 15.","ruleIds":"MON-016; Q-APP-001; SYM-010; SYM-011","stateWrites":"[MON-016] повышенная итоговая M.","targetSelector":"Цель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0.","trigger":"[MON-016] способность активна."}</t>
  </si>
  <si>
    <t xml:space="preserve">67f4ae6101fb66bfaadb15bd48ef9a3682453cac2967b2f05e3687fedbf6a926</t>
  </si>
  <si>
    <t xml:space="preserve">MON-017 COMBAT</t>
  </si>
  <si>
    <t xml:space="preserve">{"abilityContextId":"CTX-MON-017-COMBAT","abilityId":"MON-017","actionCost":"Если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ходы.\n\n[MON-017] «Охотничий азарт»\nудвоить значение проверки Химеры.","context":"COMBAT","cooldown":"Нет, если не указан.","denialReason":"","duration":"Мгновенно, если срок не указан.","effect":"[MON-017] удвоить значение проверки Химеры.","errorCodes":"ERR_PRECONDITION; ERR_TARGET; ERR_RESOURCE; ERR_ACTION_COST; ERR_RULE_SPECIFIC","idUnique":1,"inputs":"[MON-017] итог проверки Химеры на преследование.","manualChoice":"Только прямо указанные частной карточкой выборы.","playerCommandAvailable":false,"preconditions":"[MON-017] метка активна.","resourceCost":"0 ОЭ, если частная карточка не устанавливает цену.","rollDefinition":"Без броска, если частная карточка не требует его.","ruleIds":"MON-017; CORE-229; SYM-010; SYM-011","stateWrites":"[MON-017] повышенный итог преследования.","targetSelector":"[MON-017] цель с меткой «Гончая».","timeCost":"Боевые ходы/действия по частной карточке.","trigger":"[MON-017] помеченная цель убегает, Химера выполняет проверку преследования."}</t>
  </si>
  <si>
    <t xml:space="preserve">ce6db7bc1e9b5c87ac77eec95c765dcc628409c454586595ad87c550cb87e803</t>
  </si>
  <si>
    <t xml:space="preserve">MON-017 PEACE</t>
  </si>
  <si>
    <t xml:space="preserve">{"abilityContextId":"CTX-MON-017-PEACE","abilityId":"MON-017","actionCost":"0","allowed":false,"armorPolicy":"NOT_APPLICABLE","atomicityAudit":"Записать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выполняется","ruleIds":"MON-017; Q-APP-002","stateWrites":"Нет","targetSelector":"Не выбирается","timeCost":"0","trigger":"Попытка объявления в запрещённом контексте"}</t>
  </si>
  <si>
    <t xml:space="preserve">c29858c799a181bbc2abb20c763105bd24bde2bfe948129f93747adea3145b34</t>
  </si>
  <si>
    <t xml:space="preserve">MON-018 COMBAT</t>
  </si>
  <si>
    <t xml:space="preserve">{"abilityContextId":"CTX-MON-018-COMBAT","abilityId":"MON-018","actionCost":"[MON-018]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ходы.\n\n[MON-018] «Коленный отбойник»: атака коленом\nНормативная база (действует во всей непротиворечащей части):\nбронепробитие = R12; добавить к урону бонус R12.\nПриоритетные авторские дельты (заменяют только прямо пересекающиеся ветви):\n[Q-MON-006] Для каждой атаки отбойником выполняются два независимых R12: первый определяет бронепробитие, второй — бонус к урону.\n\n[MON-019] «Коленный отбойник»: дополнительная броня\nпри R20 ≥16 считать попадание пришедшимся по коленному наросту; добавить спасбросок R20×2 к броне.","context":"COMBAT","cooldown":"[MON-018] Нормативная база (действует во всей непротиворечащей части):","denialReason":"","duration":"[MON-018] Нормативная база (действует во всей непротиворечащей части):","effect":"[MON-018] Нормативная база (действует во всей непротиворечащей части):\nбронепробитие = R12; добавить к урону бонус R12.\nПриоритетные авторские дельты (заменяют только прямо пересекающиеся ветви):\n[Q-MON-006] Для каждой атаки отбойником выполняются два независимых R12: первый определяет бронепробитие, второй — бонус к урону.\n[MON-019] при R20 ≥16 считать попадание пришедшимся по коленному наросту; добавить спасбросок R20×2 к броне.","errorCodes":"ERR_PRECONDITION; ERR_TARGET; ERR_RESOURCE; ERR_ACTION_COST; ERR_RULE_SPECIFIC","idUnique":1,"inputs":"[MON-018] R12; обычная точность атаки.\n[MON-019] чистый R20; при 16+ — R20 защиты.","manualChoice":"Только прямо указанные частной карточкой выборы.","playerCommandAvailable":false,"preconditions":"[MON-018] колено не прикрыто доспехом.\n[MON-019] способность изучена.","resourceCost":"0 ОЭ, если частная карточка не устанавливает цену.","rollDefinition":"[MON-018] R12; обычная точность атаки.\nбронепробитие = R12; добавить к урону бонус R12.\n[Q-MON-006] Для каждой атаки отбойником выполняются два независимых R12: первый определяет бронепробитие, второй — бонус к урону.\n[MON-019] чистый R20; при 16+ — R20 защиты.\nпри R20 ≥16 считать попадание пришедшимся по коленному наросту; добавить спасбросок R20×2 к броне.","ruleIds":"MON-018; MON-019; CORE-229; SYM-010; SYM-011","stateWrites":"[MON-018] усиленные пробитие и урон.\n[MON-019] повышенная броня для атаки.","targetSelector":"[MON-018] цель удара коленом.\n[MON-019] физическая атака в левую или правую ногу.","timeCost":"Боевые ходы/действия по частной карточке.","trigger":"[MON-018] рукопашная атака коленом.\n[MON-019] физическая атака попала в ногу."}</t>
  </si>
  <si>
    <t xml:space="preserve">8fbefc345d630e410f7999db6af4fccc5223020898c54fa3a50b09ddc53c7d75</t>
  </si>
  <si>
    <t xml:space="preserve">MON-018 PEACE</t>
  </si>
  <si>
    <t xml:space="preserve">{"abilityContextId":"CTX-MON-018-PEACE","abilityId":"MON-018","actionCost":"0","allowed":false,"armorPolicy":"NOT_APPLICABLE","atomicityAudit":"Записать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выполняется","ruleIds":"MON-018; MON-019; Q-APP-002","stateWrites":"Нет","targetSelector":"Не выбирается","timeCost":"0","trigger":"Попытка объявления в запрещённом контексте"}</t>
  </si>
  <si>
    <t xml:space="preserve">54439ba02f064c782a699311c1355544e0ff532bddf15fbb6d8414937a586e90</t>
  </si>
  <si>
    <t xml:space="preserve">MON-020 COMBAT</t>
  </si>
  <si>
    <t xml:space="preserve">{"abilityContextId":"CTX-MON-020-COMBAT","abilityId":"MON-020","actionCost":"[MON-020] есть 150 ОЭ и 2 боевых действия.\n2 действия; чистый R20.\nНормативная база (действует во всей непротиворечащей части):\nпри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активируется.\n[Q-CORE-022]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ходы.\n\n[MON-020] «Неудержимость»\nНормативная база (действует во всей непротиворечащей части):\nпри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активируется.\nПриоритетные авторские дельты (заменяют только прямо пересекающиеся ветви):\n[Q-CORE-022]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экипировки.","context":"COMBAT","cooldown":"[MON-020] Нормативная база (действует во всей непротиворечащей части):\nпри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активируется.","denialReason":"","duration":"[MON-020] Нормативная база (действует во всей непротиворечащей части):\nпри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активируется.","effect":"[MON-020] Нормативная база (действует во всей непротиворечащей части):\nпри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активируется.\nПриоритетные авторские дельты (заменяют только прямо пересекающиеся ветви):\n[Q-CORE-022]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экипировки.","errorCodes":"ERR_PRECONDITION; ERR_TARGET; ERR_RESOURCE; ERR_ACTION_COST; ERR_RULE_SPECIFIC","idUnique":1,"inputs":"[MON-020] 150 ОЭ; 2 действия; чистый R20.","manualChoice":"Только прямо указанные частной карточкой выборы.","playerCommandAvailable":true,"preconditions":"[MON-020] есть 150 ОЭ и 2 боевых действия.","resourceCost":"[MON-020] есть 150 ОЭ и 2 боевых действия.\n150 ОЭ","rollDefinition":"[MON-020] 2 действия; чистый R20.\nпри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активируется.","ruleIds":"MON-020; CORE-229; SYM-010; SYM-011","stateWrites":"[MON-020] временный иммунитет либо временное снижение I; затраты не возвращаются.","targetSelector":"Цель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карточке.","trigger":"[MON-020] объявление способности."}</t>
  </si>
  <si>
    <t xml:space="preserve">510603a8135380ef534517b1eeccb8ea497d43a3c1bf1c52a902dcafd48463fd</t>
  </si>
  <si>
    <t xml:space="preserve">MON-020 PEACE</t>
  </si>
  <si>
    <t xml:space="preserve">{"abilityContextId":"CTX-MON-020-PEACE","abilityId":"MON-020","actionCost":"0","allowed":false,"armorPolicy":"NOT_APPLICABLE","atomicityAudit":"Записать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выполняется","ruleIds":"MON-020; Q-APP-002","stateWrites":"Нет","targetSelector":"Не выбирается","timeCost":"0","trigger":"Попытка объявления в запрещённом контексте"}</t>
  </si>
  <si>
    <t xml:space="preserve">d253f5ed47aa5755092c1349433ef61e5c332046834e5facc2020c294c5e1f48</t>
  </si>
  <si>
    <t xml:space="preserve">MON-021 COMBAT</t>
  </si>
  <si>
    <t xml:space="preserve">{"abilityContextId":"CTX-MON-021-COMBAT","abilityId":"MON-021","actionCost":"[MON-021] стоимость сокращения дистанции в боевых действиях = 0.\nдистанция изменяется без траты действия.","allowed":true,"armorPolicy":"Общий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ходы.\n\n[MON-021] «Змеиный бросок»\nстоимость сокращения дистанции в боевых действиях = 0.","context":"COMBAT","cooldown":"Нет, если не указан.","denialReason":"","duration":"Мгновенно, если срок не указан.","effect":"[MON-021] стоимость сокращения дистанции в боевых действиях = 0.","errorCodes":"ERR_PRECONDITION; ERR_TARGET; ERR_RESOURCE; ERR_ACTION_COST; ERR_RULE_SPECIFIC","idUnique":1,"inputs":"[MON-021] текущая дистанция; обычное допустимое сокращение дистанции.","manualChoice":"Только прямо указанные частной карточкой выборы.","playerCommandAvailable":false,"preconditions":"[MON-021] цель помечена и находится не дальше 20 м.","resourceCost":"[MON-021] стоимость сокращения дистанции в боевых действиях = 0.","rollDefinition":"[MON-021] стоимость сокращения дистанции в боевых действиях = 0.","ruleIds":"MON-021; CORE-229; SYM-010; SYM-011","stateWrites":"[MON-021] дистанция изменяется без траты действия.","targetSelector":"[MON-021] цель с меткой «Гончая».","timeCost":"Боевые ходы/действия по частной карточке.","trigger":"[MON-021] Химера сокращает дистанцию до цели."}</t>
  </si>
  <si>
    <t xml:space="preserve">6e38f3b20d6c0e70cca2536d2622bf134500b0ef3d826db2e05bdaa040ee5a02</t>
  </si>
  <si>
    <t xml:space="preserve">MON-021 PEACE</t>
  </si>
  <si>
    <t xml:space="preserve">{"abilityContextId":"CTX-MON-021-PEACE","abilityId":"MON-021","actionCost":"0","allowed":false,"armorPolicy":"NOT_APPLICABLE","atomicityAudit":"Записать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выполняется","ruleIds":"MON-021; Q-APP-002","stateWrites":"Нет","targetSelector":"Не выбирается","timeCost":"0","trigger":"Попытка объявления в запрещённом контексте"}</t>
  </si>
  <si>
    <t xml:space="preserve">637af47034a49474055ad91083f160d013b4f1acf051de9649a4376209fe77e1</t>
  </si>
  <si>
    <t xml:space="preserve">MON-022 COMBAT</t>
  </si>
  <si>
    <t xml:space="preserve">{"abilityContextId":"CTX-MON-022-COMBAT","abilityId":"MON-022","actionCost":"[MON-022] Нормативная база (действует во всей непротиворечащей части):\n2–7 — 3 хода максимум 1 действие в серии\nОбычный Последний взгляд после этого всё равно требует 1 действия и 200 ОЭ.\nВо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ходы.\n\n[MON-022] «Последний взгляд»\nНормативная база (действует во всей непротиворечащей части):\n1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себя.\nПриоритетные авторские дельты (заменяют только прямо пересекающиеся ветви):\n[Q-MON-007]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нет.\n[Q-MON-008]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сохраняется.","context":"COMBAT","cooldown":"[MON-022] Нормативная база (действует во всей непротиворечащей части):\n1 — до конца боя цель может атаковать только Химеру\n2–7 — 3 хода максимум 1 действие в серии\n8–15 — 3 хода −5 к защитам против атак Химеры\n16–19 — пропустить следующий ход, сохранив защиты\n20 — Химера выбирает другого видимого персонажа, цель немедленно ходит вне очереди и атакует его серией, не может выбрать себя.","denialReason":"","duration":"[MON-022] Нормативная база (действует во всей непротиворечащей части):\n1 — до конца боя цель может атаковать только Химеру\n2–7 — 3 хода максимум 1 действие в серии\n8–15 — 3 хода −5 к защитам против атак Химеры\n16–19 — пропустить следующий ход, сохранив защиты\n20 — Химера выбирает другого видимого персонажа, цель немедленно ходит вне очереди и атакует его серией, не может выбрать себя.","effect":"[MON-022] Нормативная база (действует во всей непротиворечащей части):\n1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себя.\nПриоритетные авторские дельты (заменяют только прямо пересекающиеся ветви):\n[Q-MON-007]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нет.\n[Q-MON-008]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сохраняется.","errorCodes":"ERR_PRECONDITION; ERR_TARGET; ERR_RESOURCE; ERR_ACTION_COST; ERR_RULE_SPECIFIC","idUnique":1,"inputs":"[MON-022] 200 ОЭ; чистый R20 Химеры.","manualChoice":"Только прямо указанные частной карточкой выборы.","playerCommandAvailable":true,"preconditions":"[MON-022] 200 ОЭ; цель способна видеть глаза Химеры.","resourceCost":"[MON-022] 200 ОЭ; цель способна видеть глаза Химеры.\n200 ОЭ; чистый R20 Химеры.\nОбычный Последний взгляд после этого всё равно требует 1 действия и 200 ОЭ.","rollDefinition":"[MON-022] 200 ОЭ; чистый R20 Химеры.\nПри успехе немедленно и бесплатно выполняется один R20 Последнего взгляда; при провале повторных попыток по этой цели до конца активации нет.","ruleIds":"MON-022; CORE-229; SYM-010; SYM-011","stateWrites":"[MON-022] создать соответствующий временный эффект либо внеочередной управляемый ход.","targetSelector":"[MON-022] персонаж, заглянувший ей в глаза.","timeCost":"Боевые ходы/действия по частной карточке.","trigger":"[MON-022] применение способности и установление зрительного контакта."}</t>
  </si>
  <si>
    <t xml:space="preserve">132b8de539f820a14aca87511f1a01978016f028de833e24efb790b0270a64b2</t>
  </si>
  <si>
    <t xml:space="preserve">MON-022 PEACE</t>
  </si>
  <si>
    <t xml:space="preserve">{"abilityContextId":"CTX-MON-022-PEACE","abilityId":"MON-022","actionCost":"0","allowed":false,"armorPolicy":"NOT_APPLICABLE","atomicityAudit":"Записать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выполняется","ruleIds":"MON-022; Q-APP-002","stateWrites":"Нет","targetSelector":"Не выбирается","timeCost":"0","trigger":"Попытка объявления в запрещённом контексте"}</t>
  </si>
  <si>
    <t xml:space="preserve">37f320bc85e529acfe551fd5b7f737f6cc89ec6fbaf31e7028d9843539f60ee5</t>
  </si>
  <si>
    <t xml:space="preserve">MON-023 COMBAT</t>
  </si>
  <si>
    <t xml:space="preserve">{"abilityContextId":"CTX-MON-023-COMBAT","abilityId":"MON-023","actionCost":"[MON-023] Нормативная база (действует во всей непротиворечащей части):\nспособность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HP.\nЗа эти пассивные срабатывания не расходуются ни действия, ни дополнительные 200 ОЭ; одного персонажа проверяют не более одного раза за одну активацию.","allowed":true,"armorPolicy":"Общий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ходы.\n\n[MON-023] «Ведомый голодом»: активация и состав эффекта\nНормативная база (действует во всей непротиворечащей части):\nспособность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боя.\nПриоритетные авторские дельты (заменяют только прямо пересекающиеся ветви):\n[Q-MON-009]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активацию.\n\n[MON-024] «Ведомый голодом»: завершение\nвернуть максимальный HP и удвоенные характеристики к прежним значениям; текущее HP разделить на 2 с округлением вверх.","context":"COMBAT","cooldown":"[MON-023] Нормативная база (действует во всей непротиворечащей части):\nспособность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HP.\nПри R20=1 Химера отключается до конца боя.\n[Q-MON-009]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боя.\n[MON-024] истёк срок «Ведомого голодом».","denialReason":"","duration":"[MON-023] Нормативная база (действует во всей непротиворечащей части):\nспособность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HP.\nПри R20=1 Химера отключается до конца боя.\n[Q-MON-009]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боя.\n[MON-024] истёк срок «Ведомого голодом».","effect":"[MON-023] Нормативная база (действует во всей непротиворечащей части):\nспособность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боя.\nПриоритетные авторские дельты (заменяют только прямо пересекающиеся ветви):\n[Q-MON-009]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активацию.\n[MON-024] вернуть максимальный HP и удвоенные характеристики к прежним значениям; текущее HP разделить на 2 с округлением вверх.","errorCodes":"ERR_PRECONDITION; ERR_TARGET; ERR_RESOURCE; ERR_ACTION_COST; ERR_RULE_SPECIFIC","idUnique":1,"inputs":"[MON-023] 1000 ОЭ; чистый R20.\n[MON-024] исходные максимумы; текущее удвоенное HP; текущее состояние тяжёлого ранения.","manualChoice":"Только прямо указанные частной карточкой выборы.","playerCommandAvailable":true,"preconditions":"[MON-023] 1000 ОЭ.\n[MON-024] эффект был успешно активирован.","resourceCost":"[MON-023] 1000 ОЭ.\n1000 ОЭ; чистый R20.\nспособность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HP.\nЗа эти пассивные срабатывания не расходуются ни действия, ни дополнительные 200 ОЭ; одного персонажа проверяют не более одного раза за одну активацию.\n[MON-024] исходные максимумы; текущее удвоенное HP; текущее состояние тяжёлого ранения.\nвернуть максимальный HP и удвоенные характеристики к прежним значениям; текущее HP разделить на 2 с округлением вверх.","rollDefinition":"[MON-023] 1000 ОЭ; чистый R20.\nспособность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HP.\nПри R20=1 Химера отключается до конца боя.\n[Q-MON-009]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боя.\nПри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взгяда.","ruleIds":"MON-023; MON-024; CORE-229; SYM-010; SYM-011","stateWrites":"[MON-023] создать комплексный эффект с зафиксированными исходными максимумами и характеристиками.\n[MON-024] пропорционально сохраняется полученный во время эффекта урон.","targetSelector":"Цель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карточке.","trigger":"[MON-023] объявление способности.\n[MON-024] истёк срок «Ведомого голодом»."}</t>
  </si>
  <si>
    <t xml:space="preserve">d381bd2456e1b047d832964379dee3978f9ff1edb6ad5bcd949dc57db07a068b</t>
  </si>
  <si>
    <t xml:space="preserve">MON-023 PEACE</t>
  </si>
  <si>
    <t xml:space="preserve">{"abilityContextId":"CTX-MON-023-PEACE","abilityId":"MON-023","actionCost":"0","allowed":false,"armorPolicy":"NOT_APPLICABLE","atomicityAudit":"Записать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выполняется","ruleIds":"MON-023; MON-024; Q-APP-002","stateWrites":"Нет","targetSelector":"Не выбирается","timeCost":"0","trigger":"Попытка объявления в запрещённом контексте"}</t>
  </si>
  <si>
    <t xml:space="preserve">74026a891cc1bcf8dfce6c40f9ff061fae2f4af0b7db449414cbb37de62b8f20</t>
  </si>
  <si>
    <t xml:space="preserve">MON-027 COMBAT</t>
  </si>
  <si>
    <t xml:space="preserve">{"abilityContextId":"CTX-MON-027-COMBAT","abilityId":"MON-027","actionCost":"[MON-027] Полная ментальная неуязвимость отменяет бонус; числовая защита не создаёт отдельной встречной проверки, если её не требует само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ходы.\n\n[MON-027] Направляй ментально\nДля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действие.","context":"COMBAT","cooldown":"Нет, если не указан.","denialReason":"","duration":"Мгновенно, если срок не указан.","effect":"[MON-027] 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действие.","errorCodes":"ERR_PRECONDITION; ERR_TARGET; ERR_RESOURCE; ERR_ACTION_COST; ERR_RULE_SPECIFIC","idUnique":1,"inputs":"[MON-027] C Кукловода, I Кукловода, L Кукловода, свойства ментальной защиты цели.","manualChoice":"Только прямо указанные частной карточкой выборы.","playerCommandAvailable":false,"preconditions":"[MON-027] цель не является Кукловодом и не имеет полной неуязвимости к ментальному воздействию.","resourceCost":"0 ОЭ, если частная карточка не устанавливает цену.","rollDefinition":"[MON-027] Для допустимой цели вычислить C_eff = C + I + L.","ruleIds":"MON-027; CORE-229; SYM-010; SYM-011","stateWrites":"[MON-027] контекстное эффективное значение C_eff без изменения базовой C.","targetSelector":"[MON-027] выбранная цель взаимодействия.","timeCost":"Боевые ходы/действия по частной карточке.","trigger":"[MON-027] расчёт эффективной Харизмы Кукловода против цели."}</t>
  </si>
  <si>
    <t xml:space="preserve">4ed6581575a40137fd15b1b3305878e69d294d1b0e9d4bd96d2883e4c61a4e6f</t>
  </si>
  <si>
    <t xml:space="preserve">MON-027 PEACE</t>
  </si>
  <si>
    <t xml:space="preserve">{"abilityContextId":"CTX-MON-027-PEACE","abilityId":"MON-027","actionCost":"Боевые действия не расходуются вне боя. Частная длительность/условия сохраняются:\n[MON-027] Полная ментальная неуязвимость отменяет бонус; числовая защита не создаёт отдельной встречной проверки, если её не требует само действие.","allowed":true,"armorPolicy":"Общий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части.\n\n[MON-027] Направляй ментально\nДля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действие.","context":"PEACE","cooldown":"Нет, если не указан.","denialReason":"","duration":"Мгновенно, если срок не указан.","effect":"[MON-027] 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действие.","errorCodes":"ERR_PRECONDITION; ERR_TARGET; ERR_RESOURCE; ERR_ACTION_COST; ERR_RULE_SPECIFIC","idUnique":1,"inputs":"[MON-027] C Кукловода, I Кукловода, L Кукловода, свойства ментальной защиты цели.","manualChoice":"Мастер подтверждает немоделируемые контакт, дистанцию и согласие цели по Q-APP-001.","playerCommandAvailable":false,"preconditions":"[MON-027] цель не является Кукловодом и не имеет полной неуязвимости к ментальному воздействию.","resourceCost":"0 ОЭ, если частная карточка не устанавливает цену.","rollDefinition":"[MON-027] Для допустимой цели вычислить C_eff = C + I + L.","ruleIds":"MON-027; Q-APP-001; SYM-010; SYM-011","stateWrites":"[MON-027] контекстное эффективное значение C_eff без изменения базовой C.","targetSelector":"[MON-027] выбранная цель взаимодействия.","timeCost":"Виртуальное время только если прямо установлено частной карточкой; иначе 0.","trigger":"[MON-027] расчёт эффективной Харизмы Кукловода против цели."}</t>
  </si>
  <si>
    <t xml:space="preserve">1a16a436c6095b97d3723d3a8225d37ffec432ff4022ed464122cd74599853e1</t>
  </si>
  <si>
    <t xml:space="preserve">MON-028 COMBAT</t>
  </si>
  <si>
    <t xml:space="preserve">{"abilityContextId":"CTX-MON-028-COMBAT","abilityId":"MON-028","actionCost":"Если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ходы.\n\n[MON-028] «Доминантный разум»\nI += L.","context":"COMBAT","cooldown":"Нет, если не указан.","denialReason":"","duration":"Мгновенно, если срок не указан.","effect":"[MON-028] I += L.","errorCodes":"ERR_PRECONDITION; ERR_TARGET; ERR_RESOURCE; ERR_ACTION_COST; ERR_RULE_SPECIFIC","idUnique":1,"inputs":"[MON-028] L.","manualChoice":"Только прямо указанные частной карточкой выборы.","playerCommandAvailable":false,"preconditions":"[MON-028] изучена.","resourceCost":"0 ОЭ, если частная карточка не устанавливает цену.","rollDefinition":"[MON-028] I += L.","ruleIds":"MON-028; CORE-229; SYM-010; SYM-011","stateWrites":"[MON-028] постоянный динамический бонус I.","targetSelector":"Цель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карточке.","trigger":"[MON-028] способность активна или L меняется."}</t>
  </si>
  <si>
    <t xml:space="preserve">9364c26971aca03bc22d0019a073912b4b33823aa94da0e27a4b2e9eaaaf2da0</t>
  </si>
  <si>
    <t xml:space="preserve">MON-028 PEACE</t>
  </si>
  <si>
    <t xml:space="preserve">{"abilityContextId":"CTX-MON-028-PEACE","abilityId":"MON-028","actionCost":"Боевые действия не расходуются вне боя. Частная длительность/условия сохраняются:\nЕсли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части.\n\n[MON-028] «Доминантный разум»\nI += L.","context":"PEACE","cooldown":"Нет, если не указан.","denialReason":"","duration":"Мгновенно, если срок не указан.","effect":"[MON-028] I += L.","errorCodes":"ERR_PRECONDITION; ERR_TARGET; ERR_RESOURCE; ERR_ACTION_COST; ERR_RULE_SPECIFIC","idUnique":1,"inputs":"[MON-028] L.","manualChoice":"Мастер подтверждает немоделируемые контакт, дистанцию и согласие цели по Q-APP-001.","playerCommandAvailable":false,"preconditions":"[MON-028] изучена.","resourceCost":"0 ОЭ, если частная карточка не устанавливает цену.","rollDefinition":"[MON-028] I += L.","ruleIds":"MON-028; Q-APP-001; SYM-010; SYM-011","stateWrites":"[MON-028] постоянный динамический бонус I.","targetSelector":"Цель выбирается по частной карточке способности; немоделируемые контакт/дистанцию вне боя подтверждает мастер.","timeCost":"Виртуальное время только если прямо установлено частной карточкой; иначе 0.","trigger":"[MON-028] способность активна или L меняется."}</t>
  </si>
  <si>
    <t xml:space="preserve">a3f8bbff9dda1a9f7bf808f6c04e0811d73f7778e52d18b7307a4ba7cd39a4af</t>
  </si>
  <si>
    <t xml:space="preserve">MON-029 COMBAT</t>
  </si>
  <si>
    <t xml:space="preserve">{"abilityContextId":"CTX-MON-029-COMBAT","abilityId":"MON-029","actionCost":"[MON-029] длительность R20/5 минут или боевых ходов; каждый ход цели запускать MON-030.\n[MON-030] Нормативная база (действует во всей непротиворечащей части):\n1–3 — в следующий ход выполнить один одномоментный приказ Кукловода, кроме суицида/потенциально смертельного для себя действия.\n[Q-MON-011]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ходы.\n\n[MON-029] «Рассеянность»: наложение и длительность\nдлительность R20/5 минут или боевых ходов; каждый ход цели запускать MON-030.\n\n[MON-030] «Рассеянность»: эффект очередного хода\nНормативная база (действует во всей непротиворечащей части):\n20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действия.\nПриоритетные авторские дельты (заменяют только прямо пересекающиеся ветви):\n[Q-MON-010]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способности.\n[Q-MON-011]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пропадает.","context":"COMBAT","cooldown":"[MON-029] длительность R20/5 минут или боевых ходов; каждый ход цели запускать MON-030.\n[MON-030] каждый её ход, пока активна «Рассеянность».\nНормативная база (действует во всей непротиворечащей части):\n15–19 — в этом ходу дополнительного эффекта нет\n9–14 — в следующий ход атаковать случайного участника боя\n4–8 — забыть все навыки на 2 хода\n1–3 — в следующий ход выполнить один одномоментный приказ Кукловода, кроме суицида/потенциально смертельного для себя действия.","denialReason":"","duration":"[MON-029] длительность R20/5 минут или боевых ходов; каждый ход цели запускать MON-030.\n[MON-030] каждый её ход, пока активна «Рассеянность».\nНормативная база (действует во всей непротиворечащей части):\n15–19 — в этом ходу дополнительного эффекта нет\n9–14 — в следующий ход атаковать случайного участника боя\n4–8 — забыть все навыки на 2 хода\n1–3 — в следующий ход выполнить один одномоментный приказ Кукловода, кроме суицида/потенциально смертельного для себя действия.","effect":"[MON-029] длительность R20/5 минут или боевых ходов; каждый ход цели запускать MON-030.\n[MON-030] Нормативная база (действует во всей непротиворечащей части):\n20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действия.\nПриоритетные авторские дельты (заменяют только прямо пересекающиеся ветви):\n[Q-MON-010]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способности.\n[Q-MON-011]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пропадает.","errorCodes":"ERR_PRECONDITION; ERR_TARGET; ERR_RESOURCE; ERR_ACTION_COST; ERR_RULE_SPECIFIC","idUnique":1,"inputs":"[MON-029] 30 ОЭ; встречные проверки I; отдельный чистый R20 длительности.\n[MON-030] чистый R20 сопротивления.","manualChoice":"Только прямо указанные частной карточкой выборы.","playerCommandAvailable":true,"preconditions":"[MON-029] Кукловод превышает своей проверкой I проверку I цели.\n[MON-030] таймер не истёк.","resourceCost":"[MON-029] 30 ОЭ; встречные проверки I; отдельный чистый R20 длительности.","rollDefinition":"[MON-029] 30 ОЭ; встречные проверки I; отдельный чистый R20 длительности.\nдлительность R20/5 минут или боевых ходов; каждый ход цели запускать MON-030.\n[MON-030] чистый R20 сопротивления.","ruleIds":"MON-029; MON-030; CORE-229; SYM-010; SYM-011","stateWrites":"[MON-029] создать эффект «Рассеянность» с таймером.\n[MON-030] снять эффект либо записать отложенное принуждение/потерю навыков.","targetSelector":"[MON-029] одна цель.","timeCost":"Боевые ходы/действия по частной карточке.","trigger":"[MON-029] объявление способности.\n[MON-030] каждый её ход, пока активна «Рассеянность»."}</t>
  </si>
  <si>
    <t xml:space="preserve">27074817bb1b73d62d56899a966c0171bc624279e1fe0d091cdb0d3ab11c9090</t>
  </si>
  <si>
    <t xml:space="preserve">MON-029 PEACE</t>
  </si>
  <si>
    <t xml:space="preserve">{"abilityContextId":"CTX-MON-029-PEACE","abilityId":"MON-029","actionCost":"0","allowed":false,"armorPolicy":"NOT_APPLICABLE","atomicityAudit":"Записать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выполняется","ruleIds":"MON-029; MON-030; Q-APP-002","stateWrites":"Нет","targetSelector":"Не выбирается","timeCost":"0","trigger":"Попытка объявления в запрещённом контексте"}</t>
  </si>
  <si>
    <t xml:space="preserve">8d495634621c47625af75f5c8984c2d81ac8e7ec8788c7ae46a66b469882640f</t>
  </si>
  <si>
    <t xml:space="preserve">MON-031 COMBAT</t>
  </si>
  <si>
    <t xml:space="preserve">{"abilityContextId":"CTX-MON-031-COMBAT","abilityId":"MON-031","actionCost":"[MON-031]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ходы.\n\n[MON-031] «Ментальный ученик»\nНормативная база (действует во всей непротиворечащей части):\nвыбрать лучший навык цели; если Кукловод им не владеет — изучить, иначе повысить его уровень. Величина повышения требует Q-MON-012.\nПриоритетные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целиком.","context":"COMBAT","cooldown":"[MON-031] Нормативная база (действует во всей непротиворечащей части):","denialReason":"","duration":"[MON-031] Нормативная база (действует во всей непротиворечащей части):","effect":"[MON-031] Нормативная база (действует во всей непротиворечащей части):\nвыбрать лучший навык цели; если Кукловод им не владеет — изучить, иначе повысить его уровень. Величина повышения требует Q-MON-012.\nПриоритетные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целиком.","errorCodes":"ERR_PRECONDITION; ERR_TARGET; ERR_RESOURCE; ERR_ACTION_COST; ERR_RULE_SPECIFIC","idUnique":1,"inputs":"[MON-031] 30 ОЭ; встречные I; набор навыков цели и Кукловода.","manualChoice":"Только прямо указанные частной карточкой выборы.","playerCommandAvailable":true,"preconditions":"[MON-031] проверка I Кукловода выше проверки I цели; лучший навык цели выше соответствующего навыка Кукловода.","resourceCost":"[MON-031] 30 ОЭ; встречные I; набор навыков цели и Кукловода.","rollDefinition":"Без броска, если частная карточка не требует его.","ruleIds":"MON-031; CORE-229; SYM-010; SYM-011","stateWrites":"[MON-031] постоянное изменение навыка Кукловода.","targetSelector":"[MON-031] цель.","timeCost":"Боевые ходы/действия по частной карточке.","trigger":"[MON-031] успешное применение."}</t>
  </si>
  <si>
    <t xml:space="preserve">342ce9a6d140ece23aeb8a619d7110207729c3a22649620ef33c4eec74e57f12</t>
  </si>
  <si>
    <t xml:space="preserve">MON-031 PEACE</t>
  </si>
  <si>
    <t xml:space="preserve">{"abilityContextId":"CTX-MON-031-PEACE","abilityId":"MON-031","actionCost":"0","allowed":false,"armorPolicy":"NOT_APPLICABLE","atomicityAudit":"Записать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выполняется","ruleIds":"MON-031; Q-APP-002","stateWrites":"Нет","targetSelector":"Не выбирается","timeCost":"0","trigger":"Попытка объявления в запрещённом контексте"}</t>
  </si>
  <si>
    <t xml:space="preserve">88f16eb46824ca9d1b44688a242d645ca14cf50177bf68d2afa87a37e12c6a40</t>
  </si>
  <si>
    <t xml:space="preserve">MON-032 COMBAT</t>
  </si>
  <si>
    <t xml:space="preserve">{"abilityContextId":"CTX-MON-032-COMBAT","abilityId":"MON-032","actionCost":"[MON-032] 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ходы.\n\n[MON-032] «Превосходство»\nНормативная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целиком.","context":"COMBAT","cooldown":"[MON-032] Нормативная база (действует во всей непротиворечащей части):","denialReason":"","duration":"[MON-032] Нормативная база (действует во всей непротиворечащей части):","effect":"[MON-032] 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целиком.","errorCodes":"ERR_PRECONDITION; ERR_TARGET; ERR_RESOURCE; ERR_ACTION_COST; ERR_RULE_SPECIFIC","idUnique":1,"inputs":"[MON-032] 50 ОЭ; встречные I; лучший навык цели.","manualChoice":"Только прямо указанные частной карточкой выборы.","playerCommandAvailable":true,"preconditions":"[MON-032] проверка I Кукловода выше проверки I цели.","resourceCost":"[MON-032] 50 ОЭ; встречные I; лучший навык цели.","rollDefinition":"Без броска, если частная карточка не требует его.","ruleIds":"MON-032; CORE-229; SYM-010; SYM-011","stateWrites":"[MON-032] после первого события навык остаётся только у исходной цели.","targetSelector":"[MON-032] одна цель.","timeCost":"Боевые ходы/действия по частной карточке.","trigger":"[MON-032] объявление способности."}</t>
  </si>
  <si>
    <t xml:space="preserve">60b03bdc6d98a7363dcd305909008444a412fc50fb6417cf33559e4c0dce4d39</t>
  </si>
  <si>
    <t xml:space="preserve">MON-032 PEACE</t>
  </si>
  <si>
    <t xml:space="preserve">{"abilityContextId":"CTX-MON-032-PEACE","abilityId":"MON-032","actionCost":"Боевые действия не расходуются вне боя. Частная длительность/условия сохраняются:\n[MON-032] 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части.\n\n[MON-032] «Превосходство»\nНормативная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целиком.","context":"PEACE","cooldown":"[MON-032] Нормативная база (действует во всей непротиворечащей части):","denialReason":"","duration":"[MON-032] Нормативная база (действует во всей непротиворечащей части):","effect":"[MON-032] Нормативная база (действует во всей непротиворечащей части):\nбез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навык.\nПриоритетные авторские дельты (заменяют только прямо пересекающиеся ветви):\n[Q-MON-012]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целиком.","errorCodes":"ERR_PRECONDITION; ERR_TARGET; ERR_RESOURCE; ERR_ACTION_COST; ERR_RULE_SPECIFIC","idUnique":1,"inputs":"[MON-032] 50 ОЭ; встречные I; лучший навык цели.","manualChoice":"Мастер подтверждает немоделируемые контакт, дистанцию и согласие цели по Q-APP-001.","playerCommandAvailable":true,"preconditions":"[MON-032] проверка I Кукловода выше проверки I цели.","resourceCost":"[MON-032] 50 ОЭ; встречные I; лучший навык цели.","rollDefinition":"Без броска, если частная карточка не требует его.","ruleIds":"MON-032; Q-APP-001; SYM-010; SYM-011","stateWrites":"[MON-032] после первого события навык остаётся только у исходной цели.","targetSelector":"[MON-032] одна цель.","timeCost":"Виртуальное время только если прямо установлено частной карточкой; иначе 0.","trigger":"[MON-032] объявление способности."}</t>
  </si>
  <si>
    <t xml:space="preserve">2cb1af95d07b5dd4e9f9aabe511838aa2597552d70b3d80ad49404b2e4b4f210</t>
  </si>
  <si>
    <t xml:space="preserve">MON-033 COMBAT</t>
  </si>
  <si>
    <t xml:space="preserve">{"abilityContextId":"CTX-MON-033-COMBAT","abilityId":"MON-033","actionCost":"[MON-033]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ходы.\n\n[MON-033] «Псионическое разложение»: цикл поддержания\nНормативная база (действует во всей непротиворечащей части):\nсписать 50 ОЭ; не бросать серию и потратить весь боевой ход; в конце хода нанести L×2^(n−1) урона (L, 2L, 4L, 8L).\nПриоритетные авторские дельты (заменяют только прямо пересекающиеся ветви):\n[Q-MON-013]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правилам.\n\n[MON-034] «Псионическое разложение»: проверка концентрации\nесли итог проверки &lt;20, прекратить поддержание; иначе сохранить.","context":"COMBAT","cooldown":"[MON-033] начало каждого последовательного хода поддержания.\nКукловод дееспособен; не прерван предыдущий ход; не более четырёх ходов.\n50 ОЭ в начале каждого хода; номер хода n=1..4\nНормативная база (действует во всей непротиворечащей части):\nсписать 50 ОЭ; не бросать серию и потратить весь боевой ход; в конце хода нанести L×2^(n−1) урона (L, 2L, 4L, 8L).\nуменьшить HP цели; увеличить номер поддержания на 1; после четвёртого хода завершить эффект.","denialReason":"","duration":"[MON-033] начало каждого последовательного хода поддержания.\nКукловод дееспособен; не прерван предыдущий ход; не более четырёх ходов.\n50 ОЭ в начале каждого хода; номер хода n=1..4\nНормативная база (действует во всей непротиворечащей части):\nсписать 50 ОЭ; не бросать серию и потратить весь боевой ход; в конце хода нанести L×2^(n−1) урона (L, 2L, 4L, 8L).\nуменьшить HP цели; увеличить номер поддержания на 1; после четвёртого хода завершить эффект.","effect":"[MON-033] Нормативная база (действует во всей непротиворечащей части):\nсписать 50 ОЭ; не бросать серию и потратить весь боевой ход; в конце хода нанести L×2^(n−1) урона (L, 2L, 4L, 8L).\nПриоритетные авторские дельты (заменяют только прямо пересекающиеся ветви):\n[Q-MON-013]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правилам.\n[MON-034] если итог проверки &lt;20, прекратить поддержание; иначе сохранить.","errorCodes":"ERR_PRECONDITION; ERR_TARGET; ERR_RESOURCE; ERR_ACTION_COST; ERR_RULE_SPECIFIC","idUnique":1,"inputs":"[MON-033] 50 ОЭ в начале каждого хода; номер хода n=1..4; L.\n[MON-034] проверка M Кукловода.","manualChoice":"Только прямо указанные частной карточкой выборы.","playerCommandAvailable":false,"preconditions":"[MON-033] цель видима и не дальше 60 м; Кукловод дееспособен; не прерван предыдущий ход; не более четырёх ходов.\n[MON-034] эффект активен.","resourceCost":"[MON-033] 50 ОЭ в начале каждого хода; номер хода n=1..4\nсписать 50 ОЭ; не бросать серию и потратить весь боевой ход; в конце хода нанести L×2^(n−1) урона (L, 2L, 4L, 8L).\n[Q-MON-013] «Псионическое разложение» наносит прямой псионический урон непосредственно по HP: броня, бронепробитие и зона тела не определяются.\nЭтот урон не вызывает отдельную травму, но переход в тяжёлое ранение при исчерпании HP происходит по общим правилам.\nуменьшить HP цели; увеличить номер поддержания на 1; после четвёртого хода завершить эффект.","rollDefinition":"[MON-033] 50 ОЭ в начале каждого хода; номер хода n=1..4\nсписать 50 ОЭ; не бросать серию и потратить весь боевой ход; в конце хода нанести L×2^(n−1) урона (L, 2L, 4L, 8L).","ruleIds":"MON-033; MON-034; CORE-229; SYM-010; SYM-011","stateWrites":"[MON-033] уменьшить HP цели; увеличить номер поддержания на 1; после четвёртого хода завершить эффект.\n[MON-034] состояние эффекта изменено либо сохранено.","targetSelector":"[MON-033] одна цель.","timeCost":"Боевые ходы/действия по частной карточке.","trigger":"[MON-033] начало каждого последовательного хода поддержания.\n[MON-034] Кукловод получает урон во время поддержания."}</t>
  </si>
  <si>
    <t xml:space="preserve">8d5aa31054d38192f87aa13fb5e5bec0443e4c70c8dbfe5cada1125efbb4ac96</t>
  </si>
  <si>
    <t xml:space="preserve">MON-033 PEACE</t>
  </si>
  <si>
    <t xml:space="preserve">{"abilityContextId":"CTX-MON-033-PEACE","abilityId":"MON-033","actionCost":"0","allowed":false,"armorPolicy":"NOT_APPLICABLE","atomicityAudit":"Записать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выполняется","ruleIds":"MON-033; MON-034; Q-APP-002","stateWrites":"Нет","targetSelector":"Не выбирается","timeCost":"0","trigger":"Попытка объявления в запрещённом контексте"}</t>
  </si>
  <si>
    <t xml:space="preserve">e0162a4511dbfdb8fda260168175073073b02e66e553b84f287125f92f86140e</t>
  </si>
  <si>
    <t xml:space="preserve">MON-036 COMBAT</t>
  </si>
  <si>
    <t xml:space="preserve">{"abilityContextId":"CTX-MON-036-COMBAT","abilityId":"MON-036","actionCost":"[MON-036] после проверочного броска физического действия цели, до завершения действия.\nзаранее зарезервированы 2 действия по правилам подготовки; успех цели не критический.\n2 подготовленных действия; встречные проверки I.\nНормативная база (действует во всей непротиворечащей части):\nесли I Кукловода &gt; I цели, цель останавливается и не доводит физическое действие до конца.","allowed":true,"armorPolicy":"Общий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ходы.\n\n[MON-036] «Отмена действия»\nНормативная база (действует во всей непротиворечащей части):\nесли I Кукловода &gt; I цели, цель останавливается и не доводит физическое действие до конца.\nПриоритетные авторские дельты (заменяют только прямо пересекающиеся ветви):\n[Q-MON-015]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произошло.","context":"COMBAT","cooldown":"[MON-036] Нормативная база (действует во всей непротиворечащей части):\nесли I Кукловода &gt; I цели, цель останавливается и не доводит физическое действие до конца.","denialReason":"","duration":"[MON-036] Нормативная база (действует во всей непротиворечащей части):\nесли I Кукловода &gt; I цели, цель останавливается и не доводит физическое действие до конца.","effect":"[MON-036] Нормативная база (действует во всей непротиворечащей части):\nесли I Кукловода &gt; I цели, цель останавливается и не доводит физическое действие до конца.\nПриоритетные авторские дельты (заменяют только прямо пересекающиеся ветви):\n[Q-MON-015]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произошло.","errorCodes":"ERR_PRECONDITION; ERR_TARGET; ERR_RESOURCE; ERR_ACTION_COST; ERR_RULE_SPECIFIC","idUnique":1,"inputs":"[MON-036] 200 ОЭ; 2 подготовленных действия; встречные проверки I.","manualChoice":"Только прямо указанные частной карточкой выборы.","playerCommandAvailable":false,"preconditions":"[MON-036] заранее зарезервированы 2 действия по правилам подготовки; успех цели не критический.","resourceCost":"[MON-036] 200 ОЭ\nУже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произошло.\nэффект исходного действия не применяется; реакция и ОЭ расходуются.","rollDefinition":"Без броска, если частная карточка не требует его.","ruleIds":"MON-036; CORE-229; SYM-010; SYM-011","stateWrites":"[MON-036] эффект исходного действия не применяется; реакция и ОЭ расходуются.","targetSelector":"[MON-036] цель физического действия.","timeCost":"Боевые ходы/действия по частной карточке.","trigger":"[MON-036] после проверочного броска физического действия цели, до завершения действия."}</t>
  </si>
  <si>
    <t xml:space="preserve">13b43aa6fdb440e3764bf99c3db6aac9327504b04576cf77f6321c84eedde913</t>
  </si>
  <si>
    <t xml:space="preserve">MON-036 PEACE</t>
  </si>
  <si>
    <t xml:space="preserve">{"abilityContextId":"CTX-MON-036-PEACE","abilityId":"MON-036","actionCost":"0","allowed":false,"armorPolicy":"NOT_APPLICABLE","atomicityAudit":"Записать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выполняется","ruleIds":"MON-036; Q-APP-002","stateWrites":"Нет","targetSelector":"Не выбирается","timeCost":"0","trigger":"Попытка объявления в запрещённом контексте"}</t>
  </si>
  <si>
    <t xml:space="preserve">a5b646db8203b4c990e11be976bce5f21ad3747c07a757bcc60279df84fd60f7</t>
  </si>
  <si>
    <t xml:space="preserve">MON-038 COMBAT</t>
  </si>
  <si>
    <t xml:space="preserve">{"abilityContextId":"CTX-MON-038-COMBAT","abilityId":"MON-038","actionCost":"[MON-038] Нормативная база (действует во всей непротиворечащей части):\nуправление действиями цели передаётся источнику эффекта на таймер.","allowed":true,"armorPolicy":"Общий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ходы.\n\n[MON-038] «Марионетка»\nВыполнить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CORE-221.","context":"COMBAT","cooldown":"[MON-038] Нормативная база (действует во всей непротиворечащей части):\nна R20/4 ходов цель исполняет приказы Кукловода.\nПосле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кукловод.","denialReason":"","duration":"[MON-038] Нормативная база (действует во всей непротиворечащей части):\nна R20/4 ходов цель исполняет приказы Кукловода.\nПосле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кукловод.","effect":"[MON-038] 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CORE-221.","errorCodes":"ERR_PRECONDITION; ERR_TARGET; ERR_RESOURCE; ERR_ACTION_COST; ERR_RULE_SPECIFIC","idUnique":1,"inputs":"[MON-038] puppeteerResult=R20+I_Кукловода; targetResult=R20+I_цели; отдельный бросок длительности.","manualChoice":"Только прямо указанные частной карточкой выборы.","playerCommandAvailable":true,"preconditions":"[MON-038] проверка I Кукловода превышает I цели минимум на 10.","resourceCost":"[MON-038] 600 ОЭ; встречные I; отдельный чистый R20.","rollDefinition":"[MON-038] R20+I_Кукловода и независимый R20+I_цели; успех iff first≥second+10; durationRoll отдельно.","ruleIds":"MON-038; CORE-229; SYM-010; SYM-011","stateWrites":"[MON-038] При успехе effectiveController временно становится контроллером Кукловода; owningController не меняется. По окончании эффекта управление восстанавливается.","targetSelector":"[MON-038] одна цель.","timeCost":"Боевые ходы/действия по частной карточке.","trigger":"[MON-038] объявление способности."}</t>
  </si>
  <si>
    <t xml:space="preserve">2dcab95c4e952a801eb28af7387aac1d17e637dfd81e10d64cc6cfe18e339de4</t>
  </si>
  <si>
    <t xml:space="preserve">MON-038 PEACE</t>
  </si>
  <si>
    <t xml:space="preserve">{"abilityContextId":"CTX-MON-038-PEACE","abilityId":"MON-038","actionCost":"0","allowed":false,"armorPolicy":"NOT_APPLICABLE","atomicityAudit":"Записать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выполняется","ruleIds":"MON-038; Q-APP-002","stateWrites":"Нет","targetSelector":"Не выбирается","timeCost":"0","trigger":"Попытка объявления в запрещённом контексте"}</t>
  </si>
  <si>
    <t xml:space="preserve">fe033a89fc2206db68cc8bc0193d43f236d1109e9b644eaa42529871191d2ae5</t>
  </si>
  <si>
    <t xml:space="preserve">MON-039 COMBAT</t>
  </si>
  <si>
    <t xml:space="preserve">{"abilityContextId":"CTX-MON-039-COMBAT","abilityId":"MON-039","actionCost":"[MON-039] Нормативная база (действует во всей непротиворечащей части):\nбез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проверки.\n[Q-MON-018] Цена следующей способности в боевых действиях оплачивается один раз за всё многоцелевое применение.","allowed":true,"armorPolicy":"Общий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урон.","atomicityAudit":"[MON-039] 600 ОЭ один раз; количество целей 1–10; полная стоимость следующей способности отдельно на каждую цель; отдельные проверки по каждой цели.\n[Q-MON-018] Цена следующей способности в боевых действиях оплачивается один раз за всё многоцелевое применение.\n600 ОЭ «Ментальной паутины» платятся один раз.","behavior":"Разрешается по агрегированным карточкам canonicalBehaviorCards; в бою учитываются указанная цена действий, боевые защиты, координаты и ходы.\n\n[MON-039] «Ментальная паутина»\nНормативная база (действует во всей непротиворечащей части):\nбез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проверки.\nПриоритетные авторские дельты (заменяют только прямо пересекающиеся ветви):\n[Q-MON-018]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раз.","context":"COMBAT","cooldown":"[MON-039] применение «Ментальной паутины», затем следующей подходящей способности до конца следующего хода Кукловода.\nНормативная база (действует во всей непротиворечащей части):\nследующая способность становится многоцелевой; после разрешения либо истечения срока усилитель удаляется.","denialReason":"","duration":"[MON-039] применение «Ментальной паутины», затем следующей подходящей способности до конца следующего хода Кукловода.\nНормативная база (действует во всей непротиворечащей части):\nследующая способность становится многоцелевой; после разрешения либо истечения срока усилитель удаляется.","effect":"[MON-039] Нормативная база (действует во всей непротиворечащей части):\nбез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проверки.\nПриоритетные авторские дельты (заменяют только прямо пересекающиеся ветви):\n[Q-MON-018]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раз.","errorCodes":"ERR_PRECONDITION; ERR_TARGET; ERR_RESOURCE; ERR_ACTION_COST; ERR_RULE_SPECIFIC","idUnique":1,"inputs":"[MON-039] 600 ОЭ один раз; количество целей 1–10; полная стоимость следующей способности отдельно на каждую цель; отдельные проверки по каждой цели.","manualChoice":"Только прямо указанные частной карточкой выборы.","playerCommandAvailable":true,"preconditions":"[MON-039] 600 ОЭ; следующая способность активная, с одной внешней целью в базовом виде; цели в поле зрения.","resourceCost":"[MON-039] 600 ОЭ; следующая способность активная, с одной внешней целью в базовом виде; цели в поле зрения.\n600 ОЭ один раз; количество целей 1–10; полная стоимость следующей способности отдельно на каждую цель; отдельные проверки по каждой цели.\nбез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проверки.\n[Q-MON-018] Цена следующей способности в боевых действиях оплачивается один раз за всё многоцелевое применение.\nОЭ, расходуемые ресурсы и иные целевые цены оплачиваются отдельно за каждую выбранную цель, и все проверки по каждой цели выполняются независимо","rollDefinition":"Без броска, если частная карточка не требует его.","ruleIds":"MON-039; CORE-229; SYM-010; SYM-011","stateWrites":"[MON-039] следующая способность становится многоцелевой; после разрешения либо истечения срока усилитель удаляется.","targetSelector":"[MON-039] до 10 выбранных видимых внешних целей.","timeCost":"Боевые ходы/действия по частной карточке.","trigger":"[MON-039] применение «Ментальной паутины», затем следующей подходящей способности до конца следующего хода Кукловода."}</t>
  </si>
  <si>
    <t xml:space="preserve">40efdd4fb8cc560a12fd580307771d372aa5e3dd35847801660df0e41bddba55</t>
  </si>
  <si>
    <t xml:space="preserve">MON-039 PEACE</t>
  </si>
  <si>
    <t xml:space="preserve">{"abilityContextId":"CTX-MON-039-PEACE","abilityId":"MON-039","actionCost":"0","allowed":false,"armorPolicy":"NOT_APPLICABLE","atomicityAudit":"Записать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выполняется","ruleIds":"MON-039; Q-APP-002","stateWrites":"Нет","targetSelector":"Не выбирается","timeCost":"0","trigger":"Попытка объявления в запрещённом контексте"}</t>
  </si>
  <si>
    <t xml:space="preserve">ad576068b6582167958ea0206509e0c319b7b5a2714c6a36934b087995568434</t>
  </si>
  <si>
    <t xml:space="preserve">MON-042 COMBAT</t>
  </si>
  <si>
    <t xml:space="preserve">{"abilityContextId":"CTX-MON-042-COMBAT","abilityId":"MON-042","actionCost":"[MON-043] Нормативная база (действует во всей непротиворечащей части):\nпервая попытка не тратит боевое действие; каждая следующая стоит 1 боевое действие.\n[Q-MON-019]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цены.\nувеличить счётчик попыток и списать действие при count&gt;1.\n[MON-044] Нормативная база (действует во всей непротиворечащей части):\n[MON-045] Нормативная база (действует во всей непротиворечащей части):\n[MON-046] Нормативная база (действует во всей непротиворечащей части):\n[Q-MON-021] Уничтожение ассистентов бесплатно и может быть объявлено вне очереди, в том числе между объявлением чужого действия и его разрешением.\n[MON-047]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ходы.\n\n[MON-042] Контактное заражение ассистентами\nесли итог Доктора строго выше итога проверки Z цели, создать заражение ассистентами.\n\n[MON-043] Цена повторных попыток заражения в бою\nНормативная база (действует во всей непротиворечащей части):\nпервая попытка не тратит боевое действие; каждая следующая стоит 1 боевое действие.\nПриоритетные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борьбу.\n\n[MON-044] Заражение через инфицированного переносчика\nНормативная база (действует во всей непротиворечащей части):\nДоктор выполняет проверку; при строгом превышении новая цель заражается.\nПриоритетные авторские дельты (заменяют только прямо пересекающиеся ветви):\n[Q-MON-020]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попыток.\n\n[MON-045] Лимит заражённых ассистентами\nНормативная база (действует во всей непротиворечащей части):\nбез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удалить исключение про отдельный лимит Чумного пророка\n[AQ2-001]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все.\n\n[MON-046] Добровольное уничтожение ассистентов\nНормативная база (действует во всей непротиворечащей части):\nуничтожить всех ассистентов в цели.\nПриоритетные авторские дельты (заменяют только прямо пересекающиеся ветви):\n[Q-MON-021]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эффект.\n\n[MON-047] Реакция заражённого дикого животного\nНормативная база (действует во всей непротиворечащей части):\nесли R20 &lt; L, животное бросается в бегство.\nПриоритетные авторские дельты (заменяют только прямо пересекающиеся ветви):\n[Q-MON-022]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проверку.","context":"COMBAT","cooldown":"[MON-043]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цены.\n[MON-044] Нормативная база (действует во всей непротиворечащей части):\n[MON-045] Нормативная база (действует во всей непротиворечащей части):\n[MON-046] Нормативная база (действует во всей непротиворечащей части):\n[MON-047] Нормативная база (действует во всей непротиворечащей части):","denialReason":"","duration":"[MON-043]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цены.\n[MON-044] Нормативная база (действует во всей непротиворечащей части):\n[MON-045] Нормативная база (действует во всей непротиворечащей части):\n[MON-046] Нормативная база (действует во всей непротиворечащей части):\n[MON-047] Нормативная база (действует во всей непротиворечащей части):","effect":"[MON-042] если итог Доктора строго выше итога проверки Z цели, создать заражение ассистентами.\n[MON-043] Нормативная база (действует во всей непротиворечащей части):\nпервая попытка не тратит боевое действие; каждая следующая стоит 1 боевое действие.\nПриоритетные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борьбу.\n[MON-044] Нормативная база (действует во всей непротиворечащей части):\nДоктор выполняет проверку; при строгом превышении новая цель заражается.\nПриоритетные авторские дельты (заменяют только прямо пересекающиеся ветви):\n[Q-MON-020]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попыток.\n[MON-045] Нормативная база (действует во всей непротиворечащей части):\nбез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удалить исключение про отдельный лимит Чумного пророка\n[AQ2-001]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все.\n[MON-046] Нормативная база (действует во всей непротиворечащей части):\nуничтожить всех ассистентов в цели.\nПриоритетные авторские дельты (заменяют только прямо пересекающиеся ветви):\n[Q-MON-021]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эффект.\n[MON-047] Нормативная база (действует во всей непротиворечащей части):\nесли R20 &lt; L, животное бросается в бегство.\nПриоритетные авторские дельты (заменяют только прямо пересекающиеся ветви):\n[Q-MON-022]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проверку.","errorCodes":"ERR_PRECONDITION; ERR_TARGET; ERR_RESOURCE; ERR_ACTION_COST; ERR_RULE_SPECIFIC","idUnique":1,"inputs":"[MON-042] чистый R20 + 2L Доктора; проверка Z цели.\n[MON-043] число попыток заражения в текущей боевой ситуации.\n[MON-044] та же проверка заражения R20+2L против проверки Z; счётчик попыток MON-043.\n[MON-045] базовый лимит 2L; список ранее заражённых; модификатор «Масштабной эпидемии».\n[MON-046] идентификатор цели.\n[MON-047] чистый R20; L Доктора.","manualChoice":"[MON-045] Последовательные цели нумеруются по порядку подтверждения; массовая операция без ручного порядка — по UUID по возрастанию.","playerCommandAvailable":true,"preconditions":"[MON-042] цель жива; у цели нет действующей неуязвимости к ассистентам этого Доктора; лимит обрабатывается MON-045.\n[MON-043] применяется механика заражения через самого Доктора или уже заражённого переносчика.\n[MON-044] переносчик заражён ассистентами данного Доктора; Доктор способен сконцентрироваться.\n[MON-045] новая численность превышает текущий лимит.\n[MON-046] цель заражена его ассистентами.\n[MON-047] цель классифицирована как дикое животное.","resourceCost":"[MON-043]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цены.\nстоимость ОЭ конкретной способности оплачивается отдельно.","rollDefinition":"[MON-042] чистый R20 + 2L Доктора; проверка Z цели.\n[MON-044] та же проверка заражения R20+2L против проверки Z; счётчик попыток MON-043.\n[MON-045] [Обязательная правка] Эта формулировка имеет приоритет над исходным текстом карточки.\nПри уменьшении лимита сохраняются newLimit заражений с наибольшим infectionOrder, остальные уничтожаются; при newLimit=0 уничтожаются все.\n[MON-047] чистый R20\nесли R20 &lt; L, животное бросается в бегство.\n[Q-MON-022] Дикое животное делает одну чистую проверку R20 сразу после успешного заражения.","ruleIds":"MON-042; MON-043; MON-044; MON-045; MON-046; MON-047; CORE-229; SYM-010; SYM-011","stateWrites":"[MON-042] цель добавляется в реестр заражённых данного источника.\n[MON-043] увеличить счётчик попыток и списать действие при count&gt;1.\n[MON-044] новая цель привязана к тому же Доктору-источнику.\n[MON-045] реестр остаётся в лимите.\n[MON-046] снять заражение и освободить единицу лимита.\n[MON-047] назначить поведение «бегство».","targetSelector":"[MON-042] живое существо, контактировавшее с его биологической жидкостью.\n[MON-043] попытки заражения.\n[MON-044] новая цель.\n[MON-045] его заражённые.\n[MON-046] один выбранный заражённый.","timeCost":"Боевые ходы/действия по частной карточке.","trigger":"[MON-042] контакт и решение Доктора попытаться заразить.\n[MON-043] попытка заражения в боевой ситуации.\n[MON-044] биологическая передача ассистентов от заражённого к новой цели.\n[MON-045] успешное заражение новой цели.\n[MON-046] решение Доктора.\n[MON-047] успешное заражение."}</t>
  </si>
  <si>
    <t xml:space="preserve">282189aa82e552ced020109a3624a1163a99eaf1099f787dafe8d68aba9f944a</t>
  </si>
  <si>
    <t xml:space="preserve">MON-042 PEACE</t>
  </si>
  <si>
    <t xml:space="preserve">{"abilityContextId":"CTX-MON-042-PEACE","abilityId":"MON-042","actionCost":"0","allowed":false,"armorPolicy":"NOT_APPLICABLE","atomicityAudit":"Записать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выполняется","ruleIds":"MON-042; MON-043; MON-044; MON-045; MON-046; MON-047; Q-APP-002","stateWrites":"Нет","targetSelector":"Не выбирается","timeCost":"0","trigger":"Попытка объявления в запрещённом контексте"}</t>
  </si>
  <si>
    <t xml:space="preserve">42ad421905fe7706ad64cb8c0355903580bd2d86024ca744765592f6f61fc0dd</t>
  </si>
  <si>
    <t xml:space="preserve">MON-048 COMBAT</t>
  </si>
  <si>
    <t xml:space="preserve">{"abilityContextId":"CTX-MON-048-COMBAT","abilityId":"MON-048","actionCost":"[MON-048]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цены.\n«Нэйт» полностью блокирует этот путь; цена действия требует решения Q-MON-019.","allowed":true,"armorPolicy":"Общий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ходы.\n\n[MON-048] Воздушно-капельное заражение «Кхе-кхе…»\nНормативная база (действует во всей непротиворечащей части):\nесли итог Доктора строго выше проверки Z, заразить ассистентами.\nПриоритетные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борьбу.","context":"COMBAT","cooldown":"[MON-048]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цены.","denialReason":"","duration":"[MON-048]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цены.","effect":"[MON-048] Нормативная база (действует во всей непротиворечащей части):\nесли итог Доктора строго выше проверки Z, заразить ассистентами.\nПриоритетные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борьбу.","errorCodes":"ERR_PRECONDITION; ERR_TARGET; ERR_RESOURCE; ERR_ACTION_COST; ERR_RULE_SPECIFIC","idUnique":1,"inputs":"[MON-048] чистый R20+L; проверка Z цели.","manualChoice":"Только прямо указанные частной карточкой выборы.","playerCommandAvailable":true,"preconditions":"[MON-048] дистанция ≤L метров; цель не защищена костюмом «Нэйт».","resourceCost":"[MON-048]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цены.\n«Нэйт» полностью блокирует этот путь; цена действия требует решения Q-MON-019.","rollDefinition":"[MON-048] чистый R20+L; проверка Z цели.","ruleIds":"MON-048; CORE-229; SYM-010; SYM-011","stateWrites":"[MON-048] добавить цель в реестр с обработкой лимита.","targetSelector":"[MON-048] одна цель.","timeCost":"Боевые ходы/действия по частной карточке.","trigger":"[MON-048] кашель с намерением заразить."}</t>
  </si>
  <si>
    <t xml:space="preserve">c140779e43ee5cc73265f464d2343136e9de434fed4db23cf2f0d5e839935e26</t>
  </si>
  <si>
    <t xml:space="preserve">MON-048 PEACE</t>
  </si>
  <si>
    <t xml:space="preserve">{"abilityContextId":"CTX-MON-048-PEACE","abilityId":"MON-048","actionCost":"Боевые действия не расходуются вне боя. Частная длительность/условия сохраняются:\n[MON-048]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цены.\n«Нэйт» полностью блокирует этот путь; цена действия требует решения Q-MON-019.","allowed":true,"armorPolicy":"Общий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части.\n\n[MON-048] Воздушно-капельное заражение «Кхе-кхе…»\nНормативная база (действует во всей непротиворечащей части):\nесли итог Доктора строго выше проверки Z, заразить ассистентами.\nПриоритетные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борьбу.","context":"PEACE","cooldown":"[MON-048]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цены.","denialReason":"","duration":"[MON-048] Нормативная база (действует во всей непротиворечащей части):\n[Q-MON-019]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цены.","effect":"[MON-048] Нормативная база (действует во всей непротиворечащей части):\nесли итог Доктора строго выше проверки Z, заразить ассистентами.\nПриоритетные авторские дельты (заменяют только прямо пересекающиеся ветви):\n[Q-MON-019]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борьбу.","errorCodes":"ERR_PRECONDITION; ERR_TARGET; ERR_RESOURCE; ERR_ACTION_COST; ERR_RULE_SPECIFIC","idUnique":1,"inputs":"[MON-048] чистый R20+L; проверка Z цели.","manualChoice":"Мастер подтверждает немоделируемые контакт, дистанцию и согласие цели по Q-APP-001.","playerCommandAvailable":true,"preconditions":"[MON-048] дистанция ≤L метров; цель не защищена костюмом «Нэйт».","resourceCost":"[MON-048]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цены.\n«Нэйт» полностью блокирует этот путь; цена действия требует решения Q-MON-019.","rollDefinition":"[MON-048] чистый R20+L; проверка Z цели.","ruleIds":"MON-048; Q-APP-001; SYM-010; SYM-011","stateWrites":"[MON-048] добавить цель в реестр с обработкой лимита.","targetSelector":"[MON-048] одна цель.","timeCost":"Виртуальное время только если прямо установлено частной карточкой; иначе 0.","trigger":"[MON-048] кашель с намерением заразить."}</t>
  </si>
  <si>
    <t xml:space="preserve">fe98b2c428c92bce2e4b426702b8141cd80d04099e1c034b16a9448f6d7929b7</t>
  </si>
  <si>
    <t xml:space="preserve">MON-049 COMBAT</t>
  </si>
  <si>
    <t xml:space="preserve">{"abilityContextId":"CTX-MON-049-COMBAT","abilityId":"MON-049","actionCost":"[MON-049] при R20≥3 установить M цели равной 1 на R20/3 минут/ходов; при R20=1 уничтожить всех ассистентов в цели; при 2 эффект отсутствует.","allowed":true,"armorPolicy":"Общий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ходы.\n\n[MON-049] «Вы больны, вам нужно отдохнуть»\nпри R20≥3 установить M цели равной 1 на R20/3 минут/ходов; при R20=1 уничтожить всех ассистентов в цели; при 2 эффект отсутствует.","context":"COMBAT","cooldown":"[MON-049] при R20≥3 установить M цели равной 1 на R20/3 минут/ходов; при R20=1 уничтожить всех ассистентов в цели; при 2 эффект отсутствует.","denialReason":"","duration":"[MON-049] при R20≥3 установить M цели равной 1 на R20/3 минут/ходов; при R20=1 уничтожить всех ассистентов в цели; при 2 эффект отсутствует.","effect":"[MON-049] при R20≥3 установить M цели равной 1 на R20/3 минут/ходов; при R20=1 уничтожить всех ассистентов в цели; при 2 эффект отсутствует.","errorCodes":"ERR_PRECONDITION; ERR_TARGET; ERR_RESOURCE; ERR_ACTION_COST; ERR_RULE_SPECIFIC","idUnique":1,"inputs":"[MON-049] 100 ОЭ; чистый R20.","manualChoice":"Только прямо указанные частной карточкой выборы.","playerCommandAvailable":true,"preconditions":"[MON-049] цель содержит ассистентов Доктора.","resourceCost":"[MON-049] 100 ОЭ; чистый R20.","rollDefinition":"[MON-049] 100 ОЭ; чистый R20.\nпри R20≥3 установить M цели равной 1 на R20/3 минут/ходов; при R20=1 уничтожить всех ассистентов в цели; при 2 эффект отсутствует.\nпо §7.1 один и тот же первый R20 определяет активацию и длительность.","ruleIds":"MON-049; CORE-229; SYM-010; SYM-011","stateWrites":"[MON-049] временное фиксированное M либо снятие заражения.","targetSelector":"[MON-049] выбранная заражённая цель.","timeCost":"Боевые ходы/действия по частной карточке.","trigger":"[MON-049] объявление способности."}</t>
  </si>
  <si>
    <t xml:space="preserve">872a9724bbb862e2d0146cd26a605acccd1a9faec82229c0a9e6ea0e920eed69</t>
  </si>
  <si>
    <t xml:space="preserve">MON-049 PEACE</t>
  </si>
  <si>
    <t xml:space="preserve">{"abilityContextId":"CTX-MON-049-PEACE","abilityId":"MON-049","actionCost":"0","allowed":false,"armorPolicy":"NOT_APPLICABLE","atomicityAudit":"Записать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выполняется","ruleIds":"MON-049; Q-APP-002","stateWrites":"Нет","targetSelector":"Не выбирается","timeCost":"0","trigger":"Попытка объявления в запрещённом контексте"}</t>
  </si>
  <si>
    <t xml:space="preserve">1fb8645dea99ac734e5964ac0a5496e6fd2bce28d0221ec59ec7dc7ee5a94d6c</t>
  </si>
  <si>
    <t xml:space="preserve">MON-050 COMBAT</t>
  </si>
  <si>
    <t xml:space="preserve">{"abilityContextId":"CTX-MON-050-COMBAT","abilityId":"MON-050","actionCost":"[MON-050] Нормативная база (действует во всей непротиворечащей части):\nПри R20=1 ассистенты воспламеняют случайную часть тела и погибают; при 2 погибают/не погибают — см.\nПри результате 1 ассистенты погибают и случайная часть тела загорается; если целью был сам Доктор, блокировка на 8−L часов применяется.\nпри применении к себе Доктор теряет возможность проверок заражения на 8−L часов.","allowed":true,"armorPolicy":"Общий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ходы.\n\n[MON-050] «Они вам помогут…»: лечение ценой ассистентов\nНормативная база (действует во всей непротиворечащей части):\nпри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Q-MON-023.\nПриоритетные авторские дельты (заменяют только прямо пересекающиеся ветви):\n[Q-MON-023]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применяется.","context":"COMBAT","cooldown":"[MON-050] Нормативная база (действует во всей непротиворечащей части):\nПри R20=1 ассистенты воспламеняют случайную часть тела и погибают; при 2 погибают/не погибают — см.\nПри результате 1 ассистенты погибают и случайная часть тела загорается; если целью был сам Доктор, блокировка на 8−L часов применяется.\nпри применении к себе Доктор теряет возможность проверок заражения на 8−L часов.","denialReason":"","duration":"[MON-050] Нормативная база (действует во всей непротиворечащей части):\nПри R20=1 ассистенты воспламеняют случайную часть тела и погибают; при 2 погибают/не погибают — см.\nПри результате 1 ассистенты погибают и случайная часть тела загорается; если целью был сам Доктор, блокировка на 8−L часов применяется.\nпри применении к себе Доктор теряет возможность проверок заражения на 8−L часов.","effect":"[MON-050] Нормативная база (действует во всей непротиворечащей части):\nпри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Q-MON-023.\nПриоритетные авторские дельты (заменяют только прямо пересекающиеся ветви):\n[Q-MON-023]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применяется.","errorCodes":"ERR_PRECONDITION; ERR_TARGET; ERR_RESOURCE; ERR_ACTION_COST; ERR_RULE_SPECIFIC","idUnique":1,"inputs":"[MON-050] 100 ОЭ; чистый R20.","manualChoice":"Только прямо указанные частной карточкой выборы.","playerCommandAvailable":true,"preconditions":"[MON-050] в цели есть ассистенты.","resourceCost":"[MON-050] 100 ОЭ; чистый R20.\nпри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C.","rollDefinition":"[MON-050] 100 ОЭ; чистый R20.\nпри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C.\nПри R20=1 ассистенты воспламеняют случайную часть тела и погибают; при 2 погибают/не погибают — см.","ruleIds":"MON-050; CORE-229; SYM-010; SYM-011","stateWrites":"[MON-050] заражение снимается при сработавших ветках; применяются лечение/возгорание.","targetSelector":"[MON-050] выбранная заражённая цель.","timeCost":"Боевые ходы/действия по частной карточке.","trigger":"[MON-050] объявление способности."}</t>
  </si>
  <si>
    <t xml:space="preserve">dd334893e8da852c34d6b44ee60392cc0565aed07661554303bd2aeda46656ee</t>
  </si>
  <si>
    <t xml:space="preserve">MON-050 PEACE</t>
  </si>
  <si>
    <t xml:space="preserve">{"abilityContextId":"CTX-MON-050-PEACE","abilityId":"MON-050","actionCost":"Боевые действия не расходуются вне боя. Частная длительность/условия сохраняются:\n[MON-050] Нормативная база (действует во всей непротиворечащей части):\nПри R20=1 ассистенты воспламеняют случайную часть тела и погибают; при 2 погибают/не погибают — см.\nПри результате 1 ассистенты погибают и случайная часть тела загорается; если целью был сам Доктор, блокировка на 8−L часов применяется.\nпри применении к себе Доктор теряет возможность проверок заражения на 8−L часов.","allowed":true,"armorPolicy":"Общий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части.\n\n[MON-050] «Они вам помогут…»: лечение ценой ассистентов\nНормативная база (действует во всей непротиворечащей части):\nпри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Q-MON-023.\nПриоритетные авторские дельты (заменяют только прямо пересекающиеся ветви):\n[Q-MON-023]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применяется.","context":"PEACE","cooldown":"[MON-050] Нормативная база (действует во всей непротиворечащей части):\nПри R20=1 ассистенты воспламеняют случайную часть тела и погибают; при 2 погибают/не погибают — см.\nПри результате 1 ассистенты погибают и случайная часть тела загорается; если целью был сам Доктор, блокировка на 8−L часов применяется.\nпри применении к себе Доктор теряет возможность проверок заражения на 8−L часов.","denialReason":"","duration":"[MON-050] Нормативная база (действует во всей непротиворечащей части):\nПри R20=1 ассистенты воспламеняют случайную часть тела и погибают; при 2 погибают/не погибают — см.\nПри результате 1 ассистенты погибают и случайная часть тела загорается; если целью был сам Доктор, блокировка на 8−L часов применяется.\nпри применении к себе Доктор теряет возможность проверок заражения на 8−L часов.","effect":"[MON-050] Нормативная база (действует во всей непротиворечащей части):\nпри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Q-MON-023.\nПриоритетные авторские дельты (заменяют только прямо пересекающиеся ветви):\n[Q-MON-023]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применяется.","errorCodes":"ERR_PRECONDITION; ERR_TARGET; ERR_RESOURCE; ERR_ACTION_COST; ERR_RULE_SPECIFIC","idUnique":1,"inputs":"[MON-050] 100 ОЭ; чистый R20.","manualChoice":"Мастер подтверждает немоделируемые контакт, дистанцию и согласие цели по Q-APP-001.","playerCommandAvailable":true,"preconditions":"[MON-050] в цели есть ассистенты.","resourceCost":"[MON-050] 100 ОЭ; чистый R20.\nпри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C.","rollDefinition":"[MON-050] 100 ОЭ; чистый R20.\nпри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C.\nПри R20=1 ассистенты воспламеняют случайную часть тела и погибают; при 2 погибают/не погибают — см.","ruleIds":"MON-050; Q-APP-001; SYM-010; SYM-011","stateWrites":"[MON-050] заражение снимается при сработавших ветках; применяются лечение/возгорание.","targetSelector":"[MON-050] выбранная заражённая цель.","timeCost":"Виртуальное время только если прямо установлено частной карточкой; иначе 0.","trigger":"[MON-050] объявление способности."}</t>
  </si>
  <si>
    <t xml:space="preserve">72a52ad607b757d1b88a2083bebc17ba51ce63f6209d847ccfb3f95848b14e1f</t>
  </si>
  <si>
    <t xml:space="preserve">MON-051 COMBAT</t>
  </si>
  <si>
    <t xml:space="preserve">{"abilityContextId":"CTX-MON-051-COMBAT","abilityId":"MON-051","actionCost":"[MON-051]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ходы.\n\n[MON-051] «Не обращайте внимания — я потягиваюсь»\nНормативная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Q-MON-024.\nПриоритетные авторские дельты (заменяют только прямо пересекающиеся ветви):\n[Q-MON-024]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числа.","context":"COMBAT","cooldown":"[MON-051]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активировать.","denialReason":"","duration":"[MON-051]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активировать.","effect":"[MON-051]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Q-MON-024.\nПриоритетные авторские дельты (заменяют только прямо пересекающиеся ветви):\n[Q-MON-024]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числа.","errorCodes":"ERR_PRECONDITION; ERR_TARGET; ERR_RESOURCE; ERR_ACTION_COST; ERR_RULE_SPECIFIC","idUnique":1,"inputs":"[MON-051] 200 ОЭ; названный в тексте чистый R4 количества целей; чистая проверка активации с порогом 4+, дайс которой отдельно не назван.","manualChoice":"Только прямо указанные частной карточкой выборы.","playerCommandAvailable":true,"preconditions":"[MON-051] одежда/броня не мешает раскрыть грудную клетку; каждая цель не дальше 5L м.","resourceCost":"[MON-051] 200 ОЭ; названный в тексте чистый R4 количества целей; чистая проверка активации с порогом 4+, дайс которой отдельно не назван.","rollDefinition":"[MON-051] 200 ОЭ; названный в тексте чистый R4 количества целей; чистая проверка активации с порогом 4+, дайс которой отдельно не назван.\nпри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активировать.\nСовпадает ли проверка активации с R4 количества целей, требует Q-MON-024.\n[Q-MON-024] Сначала выполняется отдельный чистый R20 активации: 1 даёт критическое последствие, 2–3 — провал, 4+ — успех.\nПри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числа.","ruleIds":"MON-051; CORE-229; SYM-010; SYM-011","stateWrites":"[MON-051] массовое заражение с обработкой лимитов либо временная блокировка заражения.","targetSelector":"[MON-051] R4 выбранных целей.","timeCost":"Боевые ходы/действия по частной карточке.","trigger":"[MON-051] объявление способности."}</t>
  </si>
  <si>
    <t xml:space="preserve">62dacbe614e6315cddd646f4e55d069a028276346f9025bc47257e3cfeb28d34</t>
  </si>
  <si>
    <t xml:space="preserve">MON-051 PEACE</t>
  </si>
  <si>
    <t xml:space="preserve">{"abilityContextId":"CTX-MON-051-PEACE","abilityId":"MON-051","actionCost":"Боевые действия не расходуются вне боя. Частная длительность/условия сохраняются:\n[MON-051]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части.\n\n[MON-051] «Не обращайте внимания — я потягиваюсь»\nНормативная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Q-MON-024.\nПриоритетные авторские дельты (заменяют только прямо пересекающиеся ветви):\n[Q-MON-024]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числа.","context":"PEACE","cooldown":"[MON-051]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активировать.","denialReason":"","duration":"[MON-051]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активировать.","effect":"[MON-051] Нормативная база (действует во всей непротиворечащей части):\nпри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Q-MON-024.\nПриоритетные авторские дельты (заменяют только прямо пересекающиеся ветви):\n[Q-MON-024]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числа.","errorCodes":"ERR_PRECONDITION; ERR_TARGET; ERR_RESOURCE; ERR_ACTION_COST; ERR_RULE_SPECIFIC","idUnique":1,"inputs":"[MON-051] 200 ОЭ; названный в тексте чистый R4 количества целей; чистая проверка активации с порогом 4+, дайс которой отдельно не назван.","manualChoice":"Мастер подтверждает немоделируемые контакт, дистанцию и согласие цели по Q-APP-001.","playerCommandAvailable":true,"preconditions":"[MON-051] одежда/броня не мешает раскрыть грудную клетку; каждая цель не дальше 5L м.","resourceCost":"[MON-051] 200 ОЭ; названный в тексте чистый R4 количества целей; чистая проверка активации с порогом 4+, дайс которой отдельно не назван.","rollDefinition":"[MON-051] 200 ОЭ; названный в тексте чистый R4 количества целей; чистая проверка активации с порогом 4+, дайс которой отдельно не назван.\nпри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активировать.\nСовпадает ли проверка активации с R4 количества целей, требует Q-MON-024.\n[Q-MON-024] Сначала выполняется отдельный чистый R20 активации: 1 даёт критическое последствие, 2–3 — провал, 4+ — успех.\nПри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числа.","ruleIds":"MON-051; Q-APP-001; SYM-010; SYM-011","stateWrites":"[MON-051] массовое заражение с обработкой лимитов либо временная блокировка заражения.","targetSelector":"[MON-051] R4 выбранных целей.","timeCost":"Виртуальное время только если прямо установлено частной карточкой; иначе 0.","trigger":"[MON-051] объявление способности."}</t>
  </si>
  <si>
    <t xml:space="preserve">235c9db9fd9caddb2540ce525c2d801d489e6e5cc74f930c2b7c2a10b4a8bf1d</t>
  </si>
  <si>
    <t xml:space="preserve">MON-052 COMBAT</t>
  </si>
  <si>
    <t xml:space="preserve">{"abilityContextId":"CTX-MON-052-COMBAT","abilityId":"MON-052","actionCost":"[MON-052]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ходы.\n\n[MON-052] «Какое здоровье, какая воля к жизни!»\nпри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активировать.","context":"COMBAT","cooldown":"[MON-052]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активировать.","denialReason":"","duration":"[MON-052]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активировать.","effect":"[MON-052]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активировать.","errorCodes":"ERR_PRECONDITION; ERR_TARGET; ERR_RESOURCE; ERR_ACTION_COST; ERR_RULE_SPECIFIC","idUnique":1,"inputs":"[MON-052] 200 ОЭ; L; Z цели; чистый R20 активации/длительности; при критической 1 — отдельный скрытый R20 дней.","manualChoice":"Только прямо указанные частной карточкой выборы.","playerCommandAvailable":true,"preconditions":"[MON-052] цель содержит ассистентов.","resourceCost":"[MON-052] 200 ОЭ","rollDefinition":"[MON-052] Z цели; чистый R20 активации/длительности; при критической 1 — отдельный скрытый R20 дней.\nпри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активировать.","ruleIds":"MON-052; CORE-229; SYM-010; SYM-011","stateWrites":"[MON-052] длительный урон либо временный межисточниковый иммунитет.","targetSelector":"[MON-052] заражённая цель.","timeCost":"Боевые ходы/действия по частной карточке.","trigger":"[MON-052] объявление способности."}</t>
  </si>
  <si>
    <t xml:space="preserve">06b73b2d4812dcad1f726bf0ea2cd9225df2c4b77d93d7998a582b5cdd2f3ac0</t>
  </si>
  <si>
    <t xml:space="preserve">MON-052 PEACE</t>
  </si>
  <si>
    <t xml:space="preserve">{"abilityContextId":"CTX-MON-052-PEACE","abilityId":"MON-052","actionCost":"0","allowed":false,"armorPolicy":"NOT_APPLICABLE","atomicityAudit":"Записать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выполняется","ruleIds":"MON-052; Q-APP-002","stateWrites":"Нет","targetSelector":"Не выбирается","timeCost":"0","trigger":"Попытка объявления в запрещённом контексте"}</t>
  </si>
  <si>
    <t xml:space="preserve">7aa83f7b7f36d3f63996d8d5f785edcdca896ce0d17572ace4c34dbce62e2c39</t>
  </si>
  <si>
    <t xml:space="preserve">MON-053 COMBAT</t>
  </si>
  <si>
    <t xml:space="preserve">{"abilityContextId":"CTX-MON-053-COMBAT","abilityId":"MON-053","actionCost":"[MON-053] увеличить S и D на R20/2; длительность R20/4 минут/ходов; при завершении однократно нанести отдельный R20 урона от яда.","allowed":true,"armorPolicy":"Общий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ходы.\n\n[MON-053] «Сражайся, больной!»\nувеличить S и D на R20/2; длительность R20/4 минут/ходов; при завершении однократно нанести отдельный R20 урона от яда.","context":"COMBAT","cooldown":"[MON-053] увеличить S и D на R20/2; длительность R20/4 минут/ходов; при завершении однократно нанести отдельный R20 урона от яда.","denialReason":"","duration":"[MON-053] увеличить S и D на R20/2; длительность R20/4 минут/ходов; при завершении однократно нанести отдельный R20 урона от яда.","effect":"[MON-053] увеличить S и D на R20/2; длительность R20/4 минут/ходов; при завершении однократно нанести отдельный R20 урона от яда.","errorCodes":"ERR_PRECONDITION; ERR_TARGET; ERR_RESOURCE; ERR_ACTION_COST; ERR_RULE_SPECIFIC","idUnique":1,"inputs":"[MON-053] 200 ОЭ; чистый R20 величины; отдельный R20 длительности; отдельный R20 пост-урона.","manualChoice":"Только прямо указанные частной карточкой выборы.","playerCommandAvailable":true,"preconditions":"[MON-053] цель содержит ассистентов.","resourceCost":"[MON-053] 200 ОЭ; чистый R20 величины; отдельный R20 длительности; отдельный R20 пост-урона.","rollDefinition":"[MON-053] 200 ОЭ; чистый R20 величины; отдельный R20 длительности; отдельный R20 пост-урона.\nувеличить S и D на R20/2; длительность R20/4 минут/ходов; при завершении однократно нанести отдельный R20 урона от яда.\nвсе три R20 независимы.","ruleIds":"MON-053; CORE-229; SYM-010; SYM-011","stateWrites":"[MON-053] временный модификатор характеристик; затем урон и снятие модификатора.","targetSelector":"[MON-053] заражённая цель.","timeCost":"Боевые ходы/действия по частной карточке.","trigger":"[MON-053] объявление способности."}</t>
  </si>
  <si>
    <t xml:space="preserve">a0d13f48a2b35d8c541265b3e35d9ccc0d54d4da49a04d8c5c1a8158a127e57a</t>
  </si>
  <si>
    <t xml:space="preserve">MON-053 PEACE</t>
  </si>
  <si>
    <t xml:space="preserve">{"abilityContextId":"CTX-MON-053-PEACE","abilityId":"MON-053","actionCost":"Боевые действия не расходуются вне боя. Частная длительность/условия сохраняются:\n[MON-053] увеличить S и D на R20/2; длительность R20/4 минут/ходов; при завершении однократно нанести отдельный R20 урона от яда.","allowed":true,"armorPolicy":"Общий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части.\n\n[MON-053] «Сражайся, больной!»\nувеличить S и D на R20/2; длительность R20/4 минут/ходов; при завершении однократно нанести отдельный R20 урона от яда.","context":"PEACE","cooldown":"[MON-053] увеличить S и D на R20/2; длительность R20/4 минут/ходов; при завершении однократно нанести отдельный R20 урона от яда.","denialReason":"","duration":"[MON-053] увеличить S и D на R20/2; длительность R20/4 минут/ходов; при завершении однократно нанести отдельный R20 урона от яда.","effect":"[MON-053] увеличить S и D на R20/2; длительность R20/4 минут/ходов; при завершении однократно нанести отдельный R20 урона от яда.","errorCodes":"ERR_PRECONDITION; ERR_TARGET; ERR_RESOURCE; ERR_ACTION_COST; ERR_RULE_SPECIFIC","idUnique":1,"inputs":"[MON-053] 200 ОЭ; чистый R20 величины; отдельный R20 длительности; отдельный R20 пост-урона.","manualChoice":"Мастер подтверждает немоделируемые контакт, дистанцию и согласие цели по Q-APP-001.","playerCommandAvailable":true,"preconditions":"[MON-053] цель содержит ассистентов.","resourceCost":"[MON-053] 200 ОЭ; чистый R20 величины; отдельный R20 длительности; отдельный R20 пост-урона.","rollDefinition":"[MON-053] 200 ОЭ; чистый R20 величины; отдельный R20 длительности; отдельный R20 пост-урона.\nувеличить S и D на R20/2; длительность R20/4 минут/ходов; при завершении однократно нанести отдельный R20 урона от яда.\nвсе три R20 независимы.","ruleIds":"MON-053; Q-APP-001; SYM-010; SYM-011","stateWrites":"[MON-053] временный модификатор характеристик; затем урон и снятие модификатора.","targetSelector":"[MON-053] заражённая цель.","timeCost":"Виртуальное время только если прямо установлено частной карточкой; иначе 0.","trigger":"[MON-053] объявление способности."}</t>
  </si>
  <si>
    <t xml:space="preserve">57274d96047b9b282324ac3af961ec0375b3bd62c10a856b0d02bca3e3f29122</t>
  </si>
  <si>
    <t xml:space="preserve">MON-054 COMBAT</t>
  </si>
  <si>
    <t xml:space="preserve">{"abilityContextId":"CTX-MON-054-COMBAT","abilityId":"MON-054","actionCost":"[MON-054]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ходы.\n\n[MON-054] «Масштабная эпидемия»\nНормативная база (действует во всей непротиворечащей части):\nувеличить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местоположение.\nПриоритетные авторские дельты (заменяют только прямо пересекающиеся ветви):\n[AQ2-001]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infectionOrder.","context":"COMBAT","cooldown":"[MON-054] Нормативная база (действует во всей непротиворечащей части):","denialReason":"","duration":"[MON-054] Нормативная база (действует во всей непротиворечащей части):","effect":"[MON-054] Нормативная база (действует во всей непротиворечащей части):\nувеличить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местоположение.\nПриоритетные авторские дельты (заменяют только прямо пересекающиеся ветви):\n[AQ2-001]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infectionOrder.","errorCodes":"ERR_PRECONDITION; ERR_TARGET; ERR_RESOURCE; ERR_ACTION_COST; ERR_RULE_SPECIFIC","idUnique":1,"inputs":"[MON-054] L; базовый лимит 2L; проверка сопротивления.","manualChoice":"Только прямо указанные частной карточкой выборы.","playerCommandAvailable":false,"preconditions":"[MON-054] изучена.","resourceCost":"0 ОЭ, если частная карточка не устанавливает цену.","rollDefinition":"Без броска, если частная карточка не требует его.","ruleIds":"MON-054; CORE-229; SYM-010; SYM-011","stateWrites":"[MON-054] новый лимит; модификатор защиты; информационный результат при успехе.","targetSelector":"Цель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карточке.","trigger":"[MON-054] способность активна; проверка сопротивления ментальному воздействию."}</t>
  </si>
  <si>
    <t xml:space="preserve">7169ee039e8be34adebcec391f6f3b0a6b2428b2c308d988fc7ca406f546671c</t>
  </si>
  <si>
    <t xml:space="preserve">MON-054 PEACE</t>
  </si>
  <si>
    <t xml:space="preserve">{"abilityContextId":"CTX-MON-054-PEACE","abilityId":"MON-054","actionCost":"0","allowed":false,"armorPolicy":"NOT_APPLICABLE","atomicityAudit":"Записать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выполняется","ruleIds":"MON-054; Q-APP-002","stateWrites":"Нет","targetSelector":"Не выбирается","timeCost":"0","trigger":"Попытка объявления в запрещённом контексте"}</t>
  </si>
  <si>
    <t xml:space="preserve">1592228a3b397280b345b748a93b48fc3f8c43a7b1167d6c23d305ed79c684ab</t>
  </si>
  <si>
    <t xml:space="preserve">MON-055 COMBAT</t>
  </si>
  <si>
    <t xml:space="preserve">{"abilityContextId":"CTX-MON-055-COMBAT","abilityId":"MON-055","actionCost":"[MON-055]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ходы.\n\n[MON-055] «Вакцинация»\nНормативная база (действует во всей непротиворечащей части):\nгарантированно дать неуязвимость к ассистентам всех других Чумных докторов.\nПриоритетные авторские дельты (заменяют только прямо пересекающиеся ветви):\n[Q-MON-025]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персонажа.","context":"COMBAT","cooldown":"[MON-055] Нормативная база (действует во всей непротиворечащей части):","denialReason":"","duration":"[MON-055] Нормативная база (действует во всей непротиворечащей части):","effect":"[MON-055] Нормативная база (действует во всей непротиворечащей части):\nгарантированно дать неуязвимость к ассистентам всех других Чумных докторов.\nПриоритетные авторские дельты (заменяют только прямо пересекающиеся ветви):\n[Q-MON-025]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персонажа.","errorCodes":"ERR_PRECONDITION; ERR_TARGET; ERR_RESOURCE; ERR_ACTION_COST; ERR_RULE_SPECIFIC","idUnique":1,"inputs":"[MON-055] 800 ОЭ.","manualChoice":"Только прямо указанные частной карточкой выборы.","playerCommandAvailable":true,"preconditions":"[MON-055] цель заражена ассистентами этого Доктора.","resourceCost":"[MON-055] 800 ОЭ.","rollDefinition":"Без броска, если частная карточка не требует его.","ruleIds":"MON-055; CORE-229; SYM-010; SYM-011","stateWrites":"[MON-055] записать источник вакцинации и иммунитет к другим источникам.","targetSelector":"[MON-055] выбранный заражённый.","timeCost":"Боевые ходы/действия по частной карточке.","trigger":"[MON-055] применение способности."}</t>
  </si>
  <si>
    <t xml:space="preserve">26301f35b7fd9022d2096ab1a130496163c4f9b7d9447a1955fcea62edf6d748</t>
  </si>
  <si>
    <t xml:space="preserve">MON-055 PEACE</t>
  </si>
  <si>
    <t xml:space="preserve">{"abilityContextId":"CTX-MON-055-PEACE","abilityId":"MON-055","actionCost":"Боевые действия не расходуются вне боя. Частная длительность/условия сохраняются:\n[MON-055]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части.\n\n[MON-055] «Вакцинация»\nНормативная база (действует во всей непротиворечащей части):\nгарантированно дать неуязвимость к ассистентам всех других Чумных докторов.\nПриоритетные авторские дельты (заменяют только прямо пересекающиеся ветви):\n[Q-MON-025]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персонажа.","context":"PEACE","cooldown":"[MON-055] Нормативная база (действует во всей непротиворечащей части):","denialReason":"","duration":"[MON-055] Нормативная база (действует во всей непротиворечащей части):","effect":"[MON-055] Нормативная база (действует во всей непротиворечащей части):\nгарантированно дать неуязвимость к ассистентам всех других Чумных докторов.\nПриоритетные авторские дельты (заменяют только прямо пересекающиеся ветви):\n[Q-MON-025]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персонажа.","errorCodes":"ERR_PRECONDITION; ERR_TARGET; ERR_RESOURCE; ERR_ACTION_COST; ERR_RULE_SPECIFIC","idUnique":1,"inputs":"[MON-055] 800 ОЭ.","manualChoice":"Мастер подтверждает немоделируемые контакт, дистанцию и согласие цели по Q-APP-001.","playerCommandAvailable":true,"preconditions":"[MON-055] цель заражена ассистентами этого Доктора.","resourceCost":"[MON-055] 800 ОЭ.","rollDefinition":"Без броска, если частная карточка не требует его.","ruleIds":"MON-055; Q-APP-001; SYM-010; SYM-011","stateWrites":"[MON-055] записать источник вакцинации и иммунитет к другим источникам.","targetSelector":"[MON-055] выбранный заражённый.","timeCost":"Виртуальное время только если прямо установлено частной карточкой; иначе 0.","trigger":"[MON-055] применение способности."}</t>
  </si>
  <si>
    <t xml:space="preserve">e017e1d0a7b31d24dbef7f92645a6d5dd9b107b9e25f1d381af8c2fcd1e6c366</t>
  </si>
  <si>
    <t xml:space="preserve">MON-056 COMBAT</t>
  </si>
  <si>
    <t xml:space="preserve">{"abilityContextId":"CTX-MON-056-COMBAT","abilityId":"MON-056","actionCost":"[MON-056] 400 ОЭ; случайная часть тела.\nНормативная база (действует во всей непротиворечащей части):\nгарантированно уничтожить ассистентов и воспламенить случайную часть тела цели.\nзаменить случайную часть тела одним binary burning по Q-CORE-030\n[MON-057] не выполнять проверки самообладания из-за боли от горения; огонь наносит 5 HP за минуту/ход вместо 10.","allowed":true,"armorPolicy":"Общий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ходы.\n\n[MON-056] «Самое надёжное лекарство»: активный эффект\nНормативная база (действует во всей непротиворечащей части):\nгарантированно уничтожить ассистентов и воспламенить случайную часть тела цели.\nПриоритетные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заменить случайную часть тела одним binary burning по Q-CORE-030\n\n[MON-057] «Самое надёжное лекарство»: огнестойкость Доктора\nне выполнять проверки самообладания из-за боли от горения; огонь наносит 5 HP за минуту/ход вместо 10.","context":"COMBAT","cooldown":"[MON-056] 400 ОЭ; случайная часть тела.\nНормативная база (действует во всей непротиворечащей части):\nгарантированно уничтожить ассистентов и воспламенить случайную часть тела цели.\nзаменить случайную часть тела одним binary burning по Q-CORE-030\n[MON-057] не выполнять проверки самообладания из-за боли от горения; огонь наносит 5 HP за минуту/ход вместо 10.","denialReason":"","duration":"[MON-056] 400 ОЭ; случайная часть тела.\nНормативная база (действует во всей непротиворечащей части):\nгарантированно уничтожить ассистентов и воспламенить случайную часть тела цели.\nзаменить случайную часть тела одним binary burning по Q-CORE-030\n[MON-057] не выполнять проверки самообладания из-за боли от горения; огонь наносит 5 HP за минуту/ход вместо 10.","effect":"[MON-056] Нормативная база (действует во всей непротиворечащей части):\nгарантированно уничтожить ассистентов и воспламенить случайную часть тела цели.\nПриоритетные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заменить случайную часть тела одним binary burning по Q-CORE-030\n[MON-057] не выполнять проверки самообладания из-за боли от горения; огонь наносит 5 HP за минуту/ход вместо 10.","errorCodes":"ERR_PRECONDITION; ERR_TARGET; ERR_RESOURCE; ERR_ACTION_COST; ERR_RULE_SPECIFIC","idUnique":1,"inputs":"[MON-056] 400 ОЭ; случайная часть тела.\n[MON-057] обычный периодический урон огня.","manualChoice":"Только прямо указанные частной карточкой выборы.","playerCommandAvailable":true,"preconditions":"[MON-056] в цели есть ассистенты.\n[MON-057] способность изучена.","resourceCost":"[MON-056] 400 ОЭ; случайная часть тела.\n[MON-057] не выполнять проверки самообладания из-за боли от горения; огонь наносит 5 HP за минуту/ход вместо 10.","rollDefinition":"[MON-056] [Обязательная правка] Эта формулировка имеет приоритет над исходным текстом карточки.","ruleIds":"MON-056; MON-057; CORE-229; SYM-010; SYM-011","stateWrites":"[MON-056] снять заражение; наложить горение.\n[MON-057] уменьшенный урон, отсутствие указанной проверки.","targetSelector":"[MON-056] выбранный заражённый.","timeCost":"Боевые ходы/действия по частной карточке.","trigger":"[MON-056] объявление способности.\n[MON-057] воздействие жара/горения."}</t>
  </si>
  <si>
    <t xml:space="preserve">f3a1435fd05e885644fb79a6c90d8d48fe014d8f90b7fe5c6f5de80c2f663e90</t>
  </si>
  <si>
    <t xml:space="preserve">MON-056 PEACE</t>
  </si>
  <si>
    <t xml:space="preserve">{"abilityContextId":"CTX-MON-056-PEACE","abilityId":"MON-056","actionCost":"Боевые действия не расходуются вне боя. Частная длительность/условия сохраняются:\n[MON-056] 400 ОЭ; случайная часть тела.\nНормативная база (действует во всей непротиворечащей части):\nгарантированно уничтожить ассистентов и воспламенить случайную часть тела цели.\nзаменить случайную часть тела одним binary burning по Q-CORE-030\n[MON-057] не выполнять проверки самообладания из-за боли от горения; огонь наносит 5 HP за минуту/ход вместо 10.","allowed":true,"armorPolicy":"Общий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части.\n\n[MON-056] «Самое надёжное лекарство»: активный эффект\nНормативная база (действует во всей непротиворечащей части):\nгарантированно уничтожить ассистентов и воспламенить случайную часть тела цели.\nПриоритетные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заменить случайную часть тела одним binary burning по Q-CORE-030\n\n[MON-057] «Самое надёжное лекарство»: огнестойкость Доктора\nне выполнять проверки самообладания из-за боли от горения; огонь наносит 5 HP за минуту/ход вместо 10.","context":"PEACE","cooldown":"[MON-056] 400 ОЭ; случайная часть тела.\nНормативная база (действует во всей непротиворечащей части):\nгарантированно уничтожить ассистентов и воспламенить случайную часть тела цели.\nзаменить случайную часть тела одним binary burning по Q-CORE-030\n[MON-057] не выполнять проверки самообладания из-за боли от горения; огонь наносит 5 HP за минуту/ход вместо 10.","denialReason":"","duration":"[MON-056] 400 ОЭ; случайная часть тела.\nНормативная база (действует во всей непротиворечащей части):\nгарантированно уничтожить ассистентов и воспламенить случайную часть тела цели.\nзаменить случайную часть тела одним binary burning по Q-CORE-030\n[MON-057] не выполнять проверки самообладания из-за боли от горения; огонь наносит 5 HP за минуту/ход вместо 10.","effect":"[MON-056] Нормативная база (действует во всей непротиворечащей части):\nгарантированно уничтожить ассистентов и воспламенить случайную часть тела цели.\nПриоритетные авторские дельты (заменяют только прямо пересекающиеся ветви):\n[Обязательная правка] Эта формулировка имеет приоритет над исходным текстом карточки. заменить случайную часть тела одним binary burning по Q-CORE-030\n[MON-057] не выполнять проверки самообладания из-за боли от горения; огонь наносит 5 HP за минуту/ход вместо 10.","errorCodes":"ERR_PRECONDITION; ERR_TARGET; ERR_RESOURCE; ERR_ACTION_COST; ERR_RULE_SPECIFIC","idUnique":1,"inputs":"[MON-056] 400 ОЭ; случайная часть тела.\n[MON-057] обычный периодический урон огня.","manualChoice":"Мастер подтверждает немоделируемые контакт, дистанцию и согласие цели по Q-APP-001.","playerCommandAvailable":false,"preconditions":"[MON-056] в цели есть ассистенты.\n[MON-057] способность изучена.","resourceCost":"[MON-056] 400 ОЭ; случайная часть тела.\n[MON-057] не выполнять проверки самообладания из-за боли от горения; огонь наносит 5 HP за минуту/ход вместо 10.","rollDefinition":"[MON-056] [Обязательная правка] Эта формулировка имеет приоритет над исходным текстом карточки.","ruleIds":"MON-056; MON-057; Q-APP-001; SYM-010; SYM-011","stateWrites":"[MON-056] снять заражение; наложить горение.\n[MON-057] уменьшенный урон, отсутствие указанной проверки.","targetSelector":"[MON-056] выбранный заражённый.","timeCost":"Виртуальное время только если прямо установлено частной карточкой; иначе 0.","trigger":"[MON-056] объявление способности.\n[MON-057] воздействие жара/горения."}</t>
  </si>
  <si>
    <t xml:space="preserve">a67c2e7a7de8549810d30cf9dfcad6dbd3791b435793e8c7ebc92464b4c237c5</t>
  </si>
  <si>
    <t xml:space="preserve">MON-061 COMBAT</t>
  </si>
  <si>
    <t xml:space="preserve">{"abilityContextId":"CTX-MON-061-COMBAT","abilityId":"MON-061","actionCost":"[MON-061] Доктор не чувствует боли и не может потерять сознание; к числу действий серии прибавить 1; минимум действий в ход =2.\n[MON-062] 1 действие на выдвижение; точность с D; навык «Фехтование»; один общий R20 R на конкретную атаку\nвыдвижение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ходы.\n\n[MON-061] «Мёртвый вестник»: базовые пассивы\nубрать штрафы S−5,D−5,M−5; Доктор не чувствует боли и не может потерять сознание; к числу действий серии прибавить 1; минимум действий в ход =2.\n\n[MON-062] «Мёртвый вестник»: костяной клинок\nвыдвижение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урон=R+L+S_mod.\n\n[MON-063] Костяной клинок: гарантированное заражение\nбез проверки Z гарантированно заразить цель ассистентами.","context":"COMBAT","cooldown":"[MON-061] Доктор не чувствует боли и не может потерять сознание; к числу действий серии прибавить 1; минимум действий в ход =2.","denialReason":"","duration":"[MON-061] Доктор не чувствует боли и не может потерять сознание; к числу действий серии прибавить 1; минимум действий в ход =2.","effect":"[MON-061] убрать штрафы S−5,D−5,M−5; Доктор не чувствует боли и не может потерять сознание; к числу действий серии прибавить 1; минимум действий в ход =2.\n[MON-062]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урон=R+L+S_mod.\n[MON-063] без проверки Z гарантированно заразить цель ассистентами.","errorCodes":"ERR_PRECONDITION; ERR_TARGET; ERR_RESOURCE; ERR_ACTION_COST; ERR_RULE_SPECIFIC","idUnique":1,"inputs":"[MON-061] исходные модификаторы; результат серии.\n[MON-062] 1 действие на выдвижение; точность с D; навык «Фехтование»; один общий R20 R на конкретную атаку; L; S как модификатор урона.\n[MON-063] результат попадания/пробития/урона.","manualChoice":"Только прямо указанные частной карточкой выборы.","playerCommandAvailable":false,"preconditions":"[MON-061] активный симбионт.\n[MON-062] для атаки клинок выдвинут.\n[MON-063] цель может быть заражена ассистентами данного Доктора.","resourceCost":"0 ОЭ, если частная карточка не устанавливает цену.","rollDefinition":"[MON-061] Доктор не чувствует боли и не может потерять сознание; к числу действий серии прибавить 1; минимум действий в ход =2.\n[MON-062] 1 действие на выдвижение; точность с D; навык «Фехтование»; один общий R20 R на конкретную атаку\nвыдвижение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урон=R+L+S_mod.","ruleIds":"MON-061; MON-062; MON-063; CORE-229; SYM-010; SYM-011","stateWrites":"[MON-061] пересчитать характеристики и серию; запретить состояние «без сознания».\n[MON-062] обычное разрешение атаки; при нанесении урона применить MON-063.\n[MON-063] добавить цель в реестр и применить лимит MON-045.","targetSelector":"[MON-062] цель ближней атаки.\n[MON-063] повреждённая клинком цель.","timeCost":"Боевые ходы/действия по частной карточке.","trigger":"[MON-061] способность изучена; начало серии.\n[MON-062] выдвижение клинка; затем атака клинком.\n[MON-063] клинок нанёс ненулевой урон."}</t>
  </si>
  <si>
    <t xml:space="preserve">b295f3db9ef2c093a2bae6a36db6ca3cc888354c1eb9f9c80e7d3628d3252a9c</t>
  </si>
  <si>
    <t xml:space="preserve">MON-061 PEACE</t>
  </si>
  <si>
    <t xml:space="preserve">{"abilityContextId":"CTX-MON-061-PEACE","abilityId":"MON-061","actionCost":"Боевые действия не расходуются вне боя. Частная длительность/условия сохраняются:\n[MON-061] Доктор не чувствует боли и не может потерять сознание; к числу действий серии прибавить 1; минимум действий в ход =2.\n[MON-062] 1 действие на выдвижение; точность с D; навык «Фехтование»; один общий R20 R на конкретную атаку\nвыдвижение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атомарно.","behavior":"Мирная операция/пассив разрешены явно. Для активной команды применяется Q-APP-001/002: отдельный пул боевых действий не создаётся, ОЭ и иные ресурсы списываются атомарно, немоделируемые контакт/дистанцию подтверждает мастер; боевой алгоритм карточки сохраняется в непротиворечащей части.\n\n[MON-061] «Мёртвый вестник»: базовые пассивы\nубрать штрафы S−5,D−5,M−5; Доктор не чувствует боли и не может потерять сознание; к числу действий серии прибавить 1; минимум действий в ход =2.\n\n[MON-062] «Мёртвый вестник»: костяной клинок\nвыдвижение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урон=R+L+S_mod.\n\n[MON-063] Костяной клинок: гарантированное заражение\nбез проверки Z гарантированно заразить цель ассистентами.","context":"PEACE","cooldown":"[MON-061] Доктор не чувствует боли и не может потерять сознание; к числу действий серии прибавить 1; минимум действий в ход =2.","denialReason":"","duration":"[MON-061] Доктор не чувствует боли и не может потерять сознание; к числу действий серии прибавить 1; минимум действий в ход =2.","effect":"[MON-061] убрать штрафы S−5,D−5,M−5; Доктор не чувствует боли и не может потерять сознание; к числу действий серии прибавить 1; минимум действий в ход =2.\n[MON-062]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урон=R+L+S_mod.\n[MON-063] без проверки Z гарантированно заразить цель ассистентами.","errorCodes":"ERR_PRECONDITION; ERR_TARGET; ERR_RESOURCE; ERR_ACTION_COST; ERR_RULE_SPECIFIC","idUnique":1,"inputs":"[MON-061] исходные модификаторы; результат серии.\n[MON-062] 1 действие на выдвижение; точность с D; навык «Фехтование»; один общий R20 R на конкретную атаку; L; S как модификатор урона.\n[MON-063] результат попадания/пробития/урона.","manualChoice":"Мастер подтверждает немоделируемые контакт, дистанцию и согласие цели по Q-APP-001.","playerCommandAvailable":false,"preconditions":"[MON-061] активный симбионт.\n[MON-062] для атаки клинок выдвинут.\n[MON-063] цель может быть заражена ассистентами данного Доктора.","resourceCost":"0 ОЭ, если частная карточка не устанавливает цену.","rollDefinition":"[MON-061] Доктор не чувствует боли и не может потерять сознание; к числу действий серии прибавить 1; минимум действий в ход =2.\n[MON-062] 1 действие на выдвижение; точность с D; навык «Фехтование»; один общий R20 R на конкретную атаку\nвыдвижение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урон=R+L+S_mod.","ruleIds":"MON-061; MON-062; MON-063; Q-APP-001; SYM-010; SYM-011","stateWrites":"[MON-061] пересчитать характеристики и серию; запретить состояние «без сознания».\n[MON-062] обычное разрешение атаки; при нанесении урона применить MON-063.\n[MON-063] добавить цель в реестр и применить лимит MON-045.","targetSelector":"[MON-062] цель ближней атаки.\n[MON-063] повреждённая клинком цель.","timeCost":"Виртуальное время только если прямо установлено частной карточкой; иначе 0.","trigger":"[MON-061] способность изучена; начало серии.\n[MON-062] выдвижение клинка; затем атака клинком.\n[MON-063] клинок нанёс ненулевой урон."}</t>
  </si>
  <si>
    <t xml:space="preserve">a679bac438b25abf5df1016d9b2ef38f84911546ae9c518239b1626bb7d0ce90</t>
  </si>
  <si>
    <t xml:space="preserve">MON-066 COMBAT</t>
  </si>
  <si>
    <t xml:space="preserve">{"abilityContextId":"CTX-MON-066-COMBAT","abilityId":"MON-066","actionCost":"[MON-066] Нормативная база (действует во всей непротиворечащей части):","allowed":true,"armorPolicy":"Общий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ходы.\n\n[MON-066] «Распределение сил»: первые шесть ходов\nНормативная база (действует во всей непротиворечащей части):\nна ходах 1–6 увеличить S и D до 35; с 7-го вернуть обычные итоговые значения.\nПриоритетные авторские дельты (заменяют только прямо пересекающиеся ветви):\n[Q-MON-032]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образом.\n\n[MON-067] «Распределение сил»: неожиданное нападение\nавтоматически считать упреждение Доктора успешным.","context":"COMBAT","cooldown":"[MON-066] первые 6 ходов Доктора в боевой ситуации.\nбазовые S,D; номер хода боя.\nНормативная база (действует во всей непротиворечащей части):\nна ходах 1–6 увеличить S и D до 35; с 7-го вернуть обычные итоговые значения.\n[Q-MON-032] На первые шесть боевых ходов способность устанавливает для S и D нижнюю границу 35: значение ниже 35 становится равным 35, а более высокое не меняется.\n[MON-067] не выдаёт дополнительный полный ход.","denialReason":"","duration":"[MON-066] первые 6 ходов Доктора в боевой ситуации.\nбазовые S,D; номер хода боя.\nНормативная база (действует во всей непротиворечащей части):\nна ходах 1–6 увеличить S и D до 35; с 7-го вернуть обычные итоговые значения.\n[Q-MON-032] На первые шесть боевых ходов способность устанавливает для S и D нижнюю границу 35: значение ниже 35 становится равным 35, а более высокое не меняется.\n[MON-067] не выдаёт дополнительный полный ход.","effect":"[MON-066] Нормативная база (действует во всей непротиворечащей части):\nна ходах 1–6 увеличить S и D до 35; с 7-го вернуть обычные итоговые значения.\nПриоритетные авторские дельты (заменяют только прямо пересекающиеся ветви):\n[Q-MON-032]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образом.\n[MON-067] автоматически считать упреждение Доктора успешным.","errorCodes":"ERR_PRECONDITION; ERR_TARGET; ERR_RESOURCE; ERR_ACTION_COST; ERR_RULE_SPECIFIC","idUnique":1,"inputs":"[MON-066] базовые S,D; номер хода боя.\n[MON-067] флаг неожиданного нападения.","manualChoice":"Только прямо указанные частной карточкой выборы.","playerCommandAvailable":false,"preconditions":"[MON-066] способность изучена.\n[MON-067] применяется сцена нападения.","resourceCost":"0 ОЭ, если частная карточка не устанавливает цену.","rollDefinition":"Без броска, если частная карточка не требует его.","ruleIds":"MON-066; MON-067; CORE-229; SYM-010; SYM-011","stateWrites":"[MON-066] временные боевые значения S,D.\n[MON-067] Доктор действует раньше атакующих по механике упреждения.","targetSelector":"Цель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карточке.","trigger":"[MON-066] первые 6 ходов Доктора в боевой ситуации.\n[MON-067] неожиданно атакован сам Доктор или его группа."}</t>
  </si>
  <si>
    <t xml:space="preserve">01a1c61995488cf517d65aebf6dc54dfb48cf5ec3838ea36bcaf255714dbbb41</t>
  </si>
  <si>
    <t xml:space="preserve">MON-066 PEACE</t>
  </si>
  <si>
    <t xml:space="preserve">{"abilityContextId":"CTX-MON-066-PEACE","abilityId":"MON-066","actionCost":"0","allowed":false,"armorPolicy":"NOT_APPLICABLE","atomicityAudit":"Записать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выполняется","ruleIds":"MON-066; MON-067; Q-APP-002","stateWrites":"Нет","targetSelector":"Не выбирается","timeCost":"0","trigger":"Попытка объявления в запрещённом контексте"}</t>
  </si>
  <si>
    <t xml:space="preserve">e7daacb0eb65ec1bb9e861b698c880f3aa1c6a0a9e2f992472f20b5ef3bf9c89</t>
  </si>
  <si>
    <t xml:space="preserve">MON-073 COMBAT</t>
  </si>
  <si>
    <t xml:space="preserve">{"abilityContextId":"CTX-MON-073-COMBAT","abilityId":"MON-073","actionCost":"Если частная цена не указана: в бою 1 действие по SYM-010; вне боя отдельный пул боевых действий не создаётся.","allowed":true,"armorPolicy":"Общий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ходы.\n\n[MON-073] «Одержимый познанием»\nприродный спасбросок брони R20×2; +10 к защите от ментальных воздействий; +10 к обнаружению.","context":"COMBAT","cooldown":"Нет, если не указан.","denialReason":"","duration":"Мгновенно, если срок не указан.","effect":"[MON-073] природный спасбросок брони R20×2; +10 к защите от ментальных воздействий; +10 к обнаружению.","errorCodes":"ERR_PRECONDITION; ERR_TARGET; ERR_RESOURCE; ERR_ACTION_COST; ERR_RULE_SPECIFIC","idUnique":1,"inputs":"[MON-073] R20 брони; базовые проверки защиты/обнаружения.","manualChoice":"Только прямо указанные частной карточкой выборы.","playerCommandAvailable":false,"preconditions":"[MON-073] способность изучена.","resourceCost":"0 ОЭ, если частная карточка не устанавливает цену.","rollDefinition":"[MON-073] R20 брони; базовые проверки защиты/обнаружения.\nприродный спасбросок брони R20×2; +10 к защите от ментальных воздействий; +10 к обнаружению.","ruleIds":"MON-073; CORE-229; SYM-010; SYM-011","stateWrites":"[MON-073] применить броню/модификаторы; обычная регенерация тела сохраняется.","targetSelector":"Цель выбирается по частной карточке способности; немоделируемые контакт/дистанцию вне боя подтверждает мастер.","timeCost":"Боевые ходы/действия по частной карточке.","trigger":"[MON-073] физическая/ментальная атака; проверка обнаружения."}</t>
  </si>
  <si>
    <t xml:space="preserve">0a2991b02ec29cf879718687b47511455f0385436b4a3ed07c63122ac4edb205</t>
  </si>
  <si>
    <t xml:space="preserve">MON-073 PEACE</t>
  </si>
  <si>
    <t xml:space="preserve">{"abilityContextId":"CTX-MON-073-PEACE","abilityId":"MON-073","actionCost":"0","allowed":false,"armorPolicy":"NOT_APPLICABLE","atomicityAudit":"Записать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выполняется","ruleIds":"MON-073; Q-APP-002","stateWrites":"Нет","targetSelector":"Не выбирается","timeCost":"0","trigger":"Попытка объявления в запрещённом контексте"}</t>
  </si>
  <si>
    <t xml:space="preserve">db98dd0d652126333ba72906a053cc133ff165a11583773c5bdc7d4dd59d6293</t>
  </si>
  <si>
    <t xml:space="preserve">MON-071 COMBAT</t>
  </si>
  <si>
    <t xml:space="preserve">{"abilityContextId":"CTX-MON-071-COMBAT","abilityId":"MON-071","actionCost":"[MON-071] Нормативная база (действует во всей непротиворечащей части):\nспособность не тратит действий; при успешном блоке атакующий загорается до нанесения удара, исходная атака не достигает Доктора.\nПроактивный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блока.\n[MON-072] Нормативная база (действует во всей непротиворечащей части):\nПроактивный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блока.\nУвернуться от струи пламени нельзя, окно защитных действий у цели не открывается (точно так же работают поджигающие способности дракона)\nточная форма струи и активная цена действий требуют Q-MON-035 и Q-MON-036.","allowed":true,"armorPolicy":"Общий AttackResolution и броня применяются по Rules v1.5. Исключение действует только если оно прямо записано в Behavior/Rule IDs; сам факт критического попадания не гарантирует пробитие или максимальный урон.","atomicityAudit":"Проверить контекст, цель, ресурсы и действия до списания; затем разрешить способность и записать результат атомарно.","behavior":"Разрешается по агрегированным карточкам canonicalBehaviorCards; в бою учитываются указанная цена действий, боевые защиты, координаты и ходы.\n\n[MON-071] «Выжгу до тла»: защитное применение\nНормативная база (действует во всей непротиворечащей части):\nспособность не тратит действий; при успешном блоке атакующий загорается до нанесения удара, исходная атака не достигает Доктора.\nПриоритетные авторские дельты (заменяют только прямо пересекающиеся ветви):\n[Q-MON-035]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блока.\n\n[MON-072] «Выжгу до тла»: струя и экипировка\nНормативная база (действует во всей непротиворечащей части):\nна каждую попавшую под струю цель наложить горение на случайные R6 элементов экипировки; если R6=6, горят все элементы, включая рюкзак при наличии.\nПриоритетные авторские дельты (заменяют только прямо пересекающиеся ветви):\n[Q-MON-035]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дракона)","context":"COMBAT","cooldown":"[MON-071] Нормативная база (действует во всей непротиворечащей части):\n[MON-072] Нормативная база (действует во всей непротиворечащей части):","denialReason":"","duration":"[MON-071] Нормативная база (действует во всей непротиворечащей части):\n[MON-072] Нормативная база (действует во всей непротиворечащей части):","effect":"[MON-071] Нормативная база (действует во всей непротиворечащей части):\nспособность не тратит действий; при успешном блоке атакующий загорается до нанесения удара, исходная атака не достигает Доктора.\nПриоритетные авторские дельты (заменяют только прямо пересекающиеся ветви):\n[Q-MON-035]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блока.\n[MON-072] Нормативная база (действует во всей непротиворечащей части):\nна каждую попавшую под струю цель наложить горение на случайные R6 элементов экипировки; если R6=6, горят все элементы, включая рюкзак при наличии.\nПриоритетные авторские дельты (заменяют только прямо пересекающиеся ветви):\n[Q-MON-035]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дракона)","errorCodes":"ERR_PRECONDITION; ERR_TARGET; ERR_RESOURCE; ERR_ACTION_COST; ERR_RULE_SPECIFIC","idUnique":1,"inputs":"[MON-071] 500 ОЭ; обычная проверка блока.\n[MON-072] длина 2L м; для каждой цели отдельный чистый R6.","manualChoice":"Только прямо указанные частной карточкой выборы.","playerCommandAvailable":true,"preconditions":"[MON-071] костяной клинок выдвинут; есть 500 ОЭ.\n[MON-072] клинок выдвинут; цена оплачена.","resourceCost":"[MON-071] костяной клинок выдвинут; есть 500 ОЭ.\n500 ОЭ; обычная проверка блока.\nПроактивный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блока.\n[MON-072] клинок выдвинут; цена оплачена.\nПроактивный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блока.\nточная форма струи и активная цена действий требуют Q-MON-035 и Q-MON-036.","rollDefinition":"[MON-072] длина 2L м; для каждой цели отдельный чистый R6.\nна каждую попавшую под струю цель наложить горение на случайные R6 элементов экипировки; если R6=6, горят все элементы, включая рюкзак при наличии.","ruleIds":"MON-071; MON-072; CORE-229; SYM-010; SYM-011","stateWrites":"[MON-071] отменить удар; наложить горение атакующему.\n[MON-072] состояния горения записываются на выбранные элементы.","targetSelector":"[MON-071] атакующий в ближнем бою.\n[MON-072] все персонажи под струёй.","timeCost":"Боевые ходы/действия по частной карточке.","trigger":"[MON-071] объявление блока против любой ближней атаки.\n[MON-072] выпуск струи пламени."}</t>
  </si>
  <si>
    <t xml:space="preserve">2b9e8e167f133441f1f554048f3c8d659b90c367e180916369dbb9b43b1053c3</t>
  </si>
  <si>
    <t xml:space="preserve">MON-071 PEACE</t>
  </si>
  <si>
    <t xml:space="preserve">{"abilityContextId":"CTX-MON-071-PEACE","abilityId":"MON-071","actionCost":"0","allowed":false,"armorPolicy":"NOT_APPLICABLE","atomicityAudit":"Записать отказ ERR_CONTEXT_FORBIDDEN; состояние не изменять.","behavior":"Отклонить объявление до списания действий, ОЭ и иных ресурсов.","context":"PEACE","cooldown":"Нет","denialReason":"Активная способность отсутствует в мирном whitelist Q-APP-002 либо частная карточка запрещает мирное применение.","duration":"Нет","effect":"Нет эффекта","errorCodes":"ERR_CONTEXT_FORBIDDEN","idUnique":1,"inputs":"AbilityID; context","manualChoice":"Нет","playerCommandAvailable":false,"preconditions":"Контекст запрещён до оплаты ресурсов","resourceCost":"0","rollDefinition":"Не выполняется","ruleIds":"MON-071; MON-072; Q-APP-002","stateWrites":"Нет","targetSelector":"Не выбирается","timeCost":"0","trigger":"Попытка объявления в запрещённом контексте"}</t>
  </si>
  <si>
    <t xml:space="preserve">63059df24d50741a851f5118a055a79c0d790630f75747ade8d646d77e5639dd</t>
  </si>
  <si>
    <t xml:space="preserve">INCOMPATIBILITY</t>
  </si>
  <si>
    <t xml:space="preserve">{"conflictId":"SYM-UNIQUE-SPECIES","conflictType":"HARD_REJECTION","context":"CHARACTER_COMPOSITION_AND_RUNTIME","enforcementStage":"CREATE; ADD; REPLACE; IMPORT; RUNTIME_REEVALUATION","idUnique":1,"leftEntityId":"ANY_ORDINARY_SYMBIONT","leftEntityType":"SYMBIONT_SPECIES","resolution":"В одном теле не может быть двух симбионтов одного вида.","rightEntityId":"SAME_SPECIES","rightEntityType":"SYMBIONT_SPECIES_OR_SET","ruleIds":["SYM-001"],"sourceQuestionIds":"","status":"ACTIVE","symmetric":false}</t>
  </si>
  <si>
    <t xml:space="preserve">01506176b15d035e8bdb481978d819853f40914f6ec23ace736b596164752c86</t>
  </si>
  <si>
    <t xml:space="preserve">{"conflictId":"SYM-SLOT-CAPACITY","conflictType":"HARD_REJECTION","context":"CHARACTER_COMPOSITION_AND_RUNTIME","enforcementStage":"CREATE; ADD; REPLACE; IMPORT; RUNTIME_REEVALUATION","idUnique":1,"leftEntityId":"HOST","leftEntityType":"CHARACTER","resolution":"Обычный симбионт занимает 1 слот; симбиотическое чудовище — 4 базовых слота. Добавление отклоняется при нехватке вместимости.","rightEntityId":"ANY_SYMBIONT","rightEntityType":"SYMBIONT_SPECIES_OR_SET","ruleIds":["SYM-002","MON-001"],"sourceQuestionIds":"","status":"ACTIVE","symmetric":false}</t>
  </si>
  <si>
    <t xml:space="preserve">255116e95ae09039caf7a03e252bc75df6420b0199a07016e7ac8139608facb4</t>
  </si>
  <si>
    <t xml:space="preserve">{"conflictId":"TOAD-SUPPRESSES-TAIPAN","conflictType":"COEXISTENCE_WITH_SUPPRESSION","context":"CHARACTER_COMPOSITION_AND_RUNTIME","enforcementStage":"CREATE; ADD; REPLACE; IMPORT; RUNTIME_REEVALUATION","idUnique":1,"leftEntityId":"TOAD","leftEntityType":"SYMBIONT_SPECIES","resolution":"Совместное нахождение разрешено, но Жаба полностью подавляет Тайпана: нет XP, выработки яда и зависящих от яда способностей; уже наложенные на других персонажей яды доживают свой срок.","rightEntityId":"TAIPAN","rightEntityType":"SYMBIONT_SPECIES_OR_SET","ruleIds":["SYM-038"],"sourceQuestionIds":"Q-SYM-016","status":"ACTIVE","symmetric":false}</t>
  </si>
  <si>
    <t xml:space="preserve">2e351171685e519b755f51c0ac8b0af540d54e757a5549b5d0d6fb5e53b744e3</t>
  </si>
  <si>
    <t xml:space="preserve">{"conflictId":"OWL-SUPPRESSES-DOUBLE-FOCUS","conflictType":"ABILITY_SUPPRESSION","context":"CHARACTER_COMPOSITION_AND_RUNTIME","enforcementStage":"CREATE; ADD; REPLACE; IMPORT; RUNTIME_REEVALUATION","idUnique":1,"leftEntityId":"OWL","leftEntityType":"SYMBIONT_SPECIES","resolution":"Активная Сова подавляет только «Двойной фокус внимания». После удаления, гибели или отключения Совы изученный узел Хамелеона включается автоматически.","rightEntityId":"CHAMELEON","rightEntityType":"SYMBIONT_SPECIES_OR_SET","ruleIds":["SYM-047","SYM-126"],"sourceQuestionIds":"Q-SYM-021","status":"ACTIVE","symmetric":false}</t>
  </si>
  <si>
    <t xml:space="preserve">ea3e4c7060a069fdbe521b42f1bcf5ad512de8fd3cf5b70737a589be3cbc0246</t>
  </si>
  <si>
    <t xml:space="preserve">{"conflictId":"TROGR-CONSUMES-TEACHER-DOLPHIN","conflictType":"IMMEDIATE_DESTRUCTION","context":"CHARACTER_COMPOSITION_AND_RUNTIME","enforcementStage":"CREATE; ADD; REPLACE; IMPORT; RUNTIME_REEVALUATION","idUnique":1,"leftEntityId":"TROGR","leftEntityType":"SYMBIONT_SPECIES","resolution":"При появлении Трогра Учитель и/или Дельфин немедленно поглощаются без проверки; их XP/способности утрачиваются и после удаления Трогра не возвращаются. Поглощение меняет slotCost Трогра и может принудительно поднять его до L5.","rightEntityId":"TEACHER+DOLPHIN","rightEntityType":"SYMBIONT_SPECIES_OR_SET","ruleIds":["SYM-075","SYM-076","SYM-185"],"sourceQuestionIds":"Q-SYM-005; Q-SYM-031; Q-SYM-073; Q-SYM-032; Q-QA-009","status":"ACTIVE","symmetric":false}</t>
  </si>
  <si>
    <t xml:space="preserve">f558a4db8355d06ef161806e1fa8e2f22674c250f284ff6ddbe289eafa582716</t>
  </si>
  <si>
    <t xml:space="preserve">{"conflictId":"TROGR-VS-KEEPER","conflictType":"CURRENT_OE_DUEL","context":"CHARACTER_COMPOSITION_AND_RUNTIME","enforcementStage":"CREATE; ADD; REPLACE; IMPORT; RUNTIME_REEVALUATION","idUnique":1,"leftEntityId":"TROGR","leftEntityType":"SYMBIONT_SPECIES","resolution":"Сравнить текущие ОЭ: строго большее значение уничтожает другого симбионта и уменьшается на текущие ОЭ жертвы; при равенстве никто не погибает.","rightEntityId":"KEEPER","rightEntityType":"SYMBIONT_SPECIES_OR_SET","ruleIds":["SYM-075"],"sourceQuestionIds":"Q-SYM-005; Q-SYM-031; Q-SYM-073","status":"ACTIVE","symmetric":true}</t>
  </si>
  <si>
    <t xml:space="preserve">69c2c21ba902601684b1ed288c1b90f935cfc17ea46427424ce86de78fecc8a9</t>
  </si>
  <si>
    <t xml:space="preserve">{"conflictId":"TROGR-SUPPRESSES-ADVISER","conflictType":"COEXISTENCE_WITH_SUPPRESSION","context":"CHARACTER_COMPOSITION_AND_RUNTIME","enforcementStage":"CREATE; ADD; REPLACE; IMPORT; RUNTIME_REEVALUATION","idUnique":1,"leftEntityId":"TROGR","leftEntityType":"SYMBIONT_SPECIES","resolution":"Советник не проявляется, не развивается и не получает XP. При начале подавления один раз фиксируется B=round(R20/4); минимум I=1+B либо 4+B после поглощённого Учителя.","rightEntityId":"ADVISER","rightEntityType":"SYMBIONT_SPECIES_OR_SET","ruleIds":["SYM-075","SYM-095"],"sourceQuestionIds":"Q-SYM-005; Q-SYM-031; Q-SYM-073","status":"ACTIVE","symmetric":false}</t>
  </si>
  <si>
    <t xml:space="preserve">673763af8b40aada203b975efd0f7ff02fc71cc59782c76f35be5131a7b93081</t>
  </si>
  <si>
    <t xml:space="preserve">{"conflictId":"TROGR-SUPPRESSES-PENGUIN","conflictType":"COEXISTENCE_WITH_SUPPRESSION","context":"CHARACTER_COMPOSITION_AND_RUNTIME","enforcementStage":"CREATE; ADD; REPLACE; IMPORT; RUNTIME_REEVALUATION","idUnique":1,"leftEntityId":"TROGR","leftEntityType":"SYMBIONT_SPECIES","resolution":"Пингвин не проявляет никаких эффектов, но продолжает получать XP.","rightEntityId":"PENGUIN","rightEntityType":"SYMBIONT_SPECIES_OR_SET","ruleIds":["SYM-075","SYM-130"],"sourceQuestionIds":"Q-SYM-005; Q-SYM-031; Q-SYM-073","status":"ACTIVE","symmetric":false}</t>
  </si>
  <si>
    <t xml:space="preserve">ccc9251002afb17e5598d485e891620bdaa01be889eff697312e05e7a49647e9</t>
  </si>
  <si>
    <t xml:space="preserve">{"conflictId":"SYMBIOTIC-MONSTER-BASE-SLOTS","conflictType":"SLOT_EXCLUSIVITY","context":"CHARACTER_COMPOSITION_AND_RUNTIME","enforcementStage":"CREATE; ADD; REPLACE; IMPORT; RUNTIME_REEVALUATION","idUnique":1,"leftEntityId":"CHIMERA","leftEntityType":"SYMBIONT_SPECIES","resolution":"Каждое чудовище занимает четыре базовых слота. Кукловод и Чумной доктор не могут иметь обычные дополнительные симбионты. Только Химера может получить до трёх дополнительных слотов через подтверждённые «Пожирания»; изначально extraSlots=0, devouredCount=0, а пороги/история хранятся явно.","rightEntityId":"PUPPETEER+PLAGUE_DOCTOR","rightEntityType":"SYMBIONT_SPECIES_OR_SET","ruleIds":["MON-001","MON-006","MON-007"],"sourceQuestionIds":"Q-MON-002; Q-MON-003; Q-MON-004","status":"ACTIVE","symmetric":false}</t>
  </si>
  <si>
    <t xml:space="preserve">4740c4735bd95f27f75584332f7fc0907ab59dfe8c8c052b637500798f5f72f8</t>
  </si>
  <si>
    <t xml:space="preserve">GENERATED_OBJECT</t>
  </si>
  <si>
    <t xml:space="preserve">{"countsTowardInventoryLoad":false,"creationCount":1,"derivedProperties":"loadCapacityKg=20×sourceLevelSnapshot; adhesionKgPerCm2=5×sourceLevelSnapshot","droppable":true,"generatedObjectTypeId":"WEB_ITEM","iconRequired":false,"idUnique":1,"itemRegistryTypeId":null,"lifecycle":"Обычный инвентарь; передача, выбрасывание и мародёрство разрешены. Общая масса/вместимость инвентаря приложением не моделируется.","lootable":true,"massKg":null,"nameRu":"Готовая паутина Паука","persistsAfterSymbiontRemoval":true,"producerAbilityId":"SYM-117","quantityMode":"ONE_INSTANCE_PER_ACTIVATION","ruleIds":["SYM-117","CORE-224","ISS-006"],"runtimeKind":"SERVICE_GENERATED_ITEM","sourceQuestionIds":["Q-SYM-048","USR-2026-07-30-WEB-001"],"stackPolicy":"NEVER_AUTO_MERGE","status":"ACTIVE","transferable":true,"volumeMode":"NOT_MODELED"}</t>
  </si>
  <si>
    <t xml:space="preserve">a0f2d4dde173c58d96e43db1e18b65395f3da917bf2817079369bcb455a222b1</t>
  </si>
  <si>
    <t xml:space="preserve">OPERATION</t>
  </si>
  <si>
    <t xml:space="preserve">{"actor":"PLAYER","command":"CREATE_CHARACTER","context":"CREATION","errorCodes":"ERR_STATS; ERR_RACE_CLASS; ERR_SKILL_SLOTS; ERR_SKILL_REQ; ERR_SYMBIONT_SET","inputs":"baseStats; raceCode; pureClass?; skill selections; symbiont selections","operationId":"OP-CHAR-CREATE","preconditions":"Допустимый способ генерации; базовые характеристики; согласованный tuple реестров.","ruleIds":"CORE-159; CORE-160; CORE-161; CORE-162; CORE-163; CORE-165; CORE-167; CORE-196","stateTransition":"Создать профиль; заполнить все обязательные стартовые слоты; затем применить симбионты и вывести effectiveStats.","validation":"Раса/класс → skillStageStats → ceil(W/2) стартовых слотов → требования навыков до симбионтов → состав симбионтов."}</t>
  </si>
  <si>
    <t xml:space="preserve">158c97c84e9daafe4e6c8055491b546223123e2153d6fad7a783d0b5f70f647f</t>
  </si>
  <si>
    <t xml:space="preserve">{"actor":"PLAYER_OR_SYSTEM","command":"LEARN_OR_UPGRADE_SKILL","context":"CREATION_OR_TRAINING","errorCodes":"ERR_SKILL_REQ; ERR_SKILL_CAPACITY; ERR_SKILL_KEY","inputs":"skillKey; targetBonus; sourcePool","operationId":"OP-SKILL-LEARN","preconditions":"Требования выполнены на применимом слое; достаточно слотов.","ruleIds":"CORE-081; CORE-165; CORE-166; CORE-167","stateTransition":"Обновить learned skill и занятые слоты выбранного пула.","validation":"slotCost=bonus для +1..+5; после +5 slotCost=5+2×plusCount. Универсальный XP-алгоритм не добавляется."}</t>
  </si>
  <si>
    <t xml:space="preserve">6832cd555b2da1708cf63137333400b886cae427a72c56ae3ed9f83527b8a32e</t>
  </si>
  <si>
    <t xml:space="preserve">{"actor":"SYSTEM","command":"REVALIDATE_SKILLS","context":"STAT_CHANGE","errorCodes":"ERR_NONE","inputs":"permanentStats; temporaryStats; learned skills","operationId":"OP-SKILL-REVALIDATE","preconditions":"Изменилась характеристика или лимит слотов.","ruleIds":"CORE-081; Q-CORE-024; Q-CORE-051","stateTransition":"Обновить active/removed/overfilled flags и training-slot ledger.","validation":"Временная потеря требования выключает навык без освобождения слотов; постоянная удаляет и освобождает; потеря W-capacity сама по себе навык не удаляет."}</t>
  </si>
  <si>
    <t xml:space="preserve">430dfe53608d8b97cc686cfe58914f63a0b24a7b6fbdeaf32229956adb45d75c</t>
  </si>
  <si>
    <t xml:space="preserve">{"actor":"PLAYER_OR_GM","command":"ADD_SYMBIONT","context":"CREATION_OR_RUNTIME","errorCodes":"ERR_RACE; ERR_DUPLICATE_SPECIES; ERR_SLOT_CAPACITY; ERR_INCOMPATIBILITY","inputs":"speciesKey; acquisitionMode; targetL?; learnedNodeRefs?","operationId":"OP-SYMBIONT-ADD","preconditions":"Раса допускает вид; уникальный вид; достаточно слотов.","ruleIds":"SYM-001; SYM-002; SYM-006; SYM-009; MON-001","stateTransition":"Создать deep-clone экземпляра. Новый экземпляр начинает с full currentOE, пересаженный — с 0.","validation":"SYM-001/002; несовместимости; четыре базовых слота чудовища; отдельная история Химеры."}</t>
  </si>
  <si>
    <t xml:space="preserve">c92c09c8e4a6de50eeb461b57f9556f26233e565620f55e8f0f69e742d7846cd</t>
  </si>
  <si>
    <t xml:space="preserve">{"actor":"PLAYER_OR_GM","command":"LEARN_DEVELOPMENT_NODE","context":"PROGRESSION","errorCodes":"ERR_NODE_REF; ERR_PREREQUISITE; ERR_BRANCH_LOCK; ERR_XP","inputs":"symbiontInstanceId; nodeRef","operationId":"OP-SYMBIONT-NODE","preconditions":"Родители и выбор ветви валидны; достаточно XP.","ruleIds":"SYM-022; SYM-023; SYM-024; SYM-025","stateTransition":"Списать XP; добавить nodeRef; пересчитать L, maxOE и доступность способностей.","validation":"Цена=N XP; OR/XOR/AND; L=max(level learned available node)."}</t>
  </si>
  <si>
    <t xml:space="preserve">16209dc416f2968ad2541f46db4d4d677cf7c72aad9430bc1ee9a4096148debb</t>
  </si>
  <si>
    <t xml:space="preserve">{"actor":"PLAYER_OR_SYSTEM","command":"EXECUTE_SYMBIONT_ABILITY","context":"COMBAT","errorCodes":"ERR_CONTEXT_FORBIDDEN; ERR_TARGET; ERR_RESOURCE; ERR_ACTION_COST","inputs":"abilityId; actor; target; parameters","operationId":"OP-ABILITY-COMBAT","preconditions":"COMBAT context allowed; ability active; target/resources/actions valid.","ruleIds":"SYM-010; SYM-011; SYM-013; CORE-229","stateTransition":"Атомарно списать цену и применить частный алгоритм.","validation":"Использовать CTX-&lt;AbilityID&gt;-COMBAT; боевые криты только по CORE-229."}</t>
  </si>
  <si>
    <t xml:space="preserve">03d65bb65c45e5ca344f3f6327bd6837cf87187d9572de9b025614c57bbad5d6</t>
  </si>
  <si>
    <t xml:space="preserve">{"actor":"PLAYER_OR_SYSTEM","command":"EXECUTE_SYMBIONT_ABILITY","context":"PEACE","errorCodes":"ERR_CONTEXT_FORBIDDEN; ERR_TARGET_CONSENT; ERR_GM_CONFIRMATION; ERR_RESOURCE","inputs":"abilityId; actor; target; parameters; GM confirmations","operationId":"OP-ABILITY-PEACE","preconditions":"PEACE context allowed; hostile action resolved by Q-APP-001 before payment.","ruleIds":"Q-APP-001; Q-APP-002; CORE-229; SYM-021; USR-2026-07-30-XP-001","stateTransition":"Атомарно списать только прямо заданные ресурсы/время и применить мирный алгоритм.","validation":"Использовать CTX-&lt;AbilityID&gt;-PEACE; боевой auto-outcome CORE-229 не переносится, но оригинальная natural 1/20 проходит общую XP-маршрутизацию SYM-021."}</t>
  </si>
  <si>
    <t xml:space="preserve">7716465023a8f0c5d125d611febbd1693209538f64837f9e78b57541030eebc1</t>
  </si>
  <si>
    <t xml:space="preserve">{"actor":"PLAYER","command":"CREATE_WEB_ITEM","context":"PEACE","errorCodes":"ERR_CONTEXT_FORBIDDEN; ERR_ENTITY_KIND; ERR_PRECONDITION","inputs":"abilityId=SYM-117; sourceLevelSnapshot","operationId":"OP-WEB-ITEM-CREATE","preconditions":"CTX-SYM-117-PEACE allowed; carrier is not CUSTOM_MONSTER.","ruleIds":"SYM-117; CORE-224; USR-2026-07-30-WEB-001","stateTransition":"Мгновенно создать один WEB_ITEM в инвентаре; massKg=null; load excluded; no auto merge.","validation":"Не запрашивать время, длину, объём, массу или количество."}</t>
  </si>
  <si>
    <t xml:space="preserve">83f913d5e0a061c2361186df332e8ab81c39301a99239f4bdaf7c6fceed6c2a6</t>
  </si>
  <si>
    <t xml:space="preserve">{"actor":"GM","command":"RECORD_CONFIRMED_DEVOURING","context":"RUNTIME","errorCodes":"ERR_NOT_CHIMERA; ERR_UNCONFIRMED_DEVOURING; ERR_SLOT_LIMIT","inputs":"chimeraInstanceId; devouredProfile; confirmed threshold result","operationId":"OP-CHIMERA-DEVOUR","preconditions":"В теле есть Химера; событие подтверждено мастером.","ruleIds":"MON-006; MON-007; MON-010","stateTransition":"devouredCount +=1; append devouringHistory; возможно extraSlots +=1.","validation":"История неизменяемо дополняется; extraSlots выводится только из подтверждённых порогов; максимум +3."}</t>
  </si>
  <si>
    <t xml:space="preserve">743f190ec2e7530bcd9a7dd454eea24c8843c537af4f847414d9ef27a987faac</t>
  </si>
  <si>
    <t xml:space="preserve">{"actor":"SYSTEM_WITH_GM_CONFIRMATION","command":"APPLY_FULL_REST","context":"PEACE","errorCodes":"ERR_REST_INCOMPLETE; ERR_REST_COOLDOWN","inputs":"rest progress; last beneficial rest; active symbionts","operationId":"OP-FULL-REST","preconditions":"Накоплено 240 минут; скользящий 24-часовой лимит допускает пользу.","ruleIds":"SYM-007; CORE-077","stateTransition":"HP += Z с clamp; active symbiont currentOE=maxOE; записать timestamp пользы.","validation":"Прерывания и дозоры по SYM-007; пауза приложения время не начисляет."}</t>
  </si>
  <si>
    <t xml:space="preserve">a68880b16f2ca7939002ab876eb289a8cc4edd7cb52e0c0b80615abb991ec520</t>
  </si>
  <si>
    <t xml:space="preserve">{"actor":"SYSTEM","command":"VALIDATE_SENTIENT_TEMPLATE","context":"IMPORT","errorCodes":"ERR_DEPENDENCY_TUPLE; ERR_FOREIGN_KEY; ERR_TEMPLATE_INVARIANT","inputs":"Sentient Registry v1.2 payload","operationId":"OP-SENTIENT-IMPORT","preconditions":"Exact dependency tuple v1.1 and source hash.","ruleIds":"CORE-196; CORE-216; CORE-227","stateTransition":"Принять неизменяемый шаблон или отклонить целиком.","validation":"Все 44 шаблона: SkillKey, SpeciesKey, learnedNodeRefs, уровни, слоты и initialRuntimeState разрешаются; NO_XP_PROGRESSION обязателен."}</t>
  </si>
  <si>
    <t xml:space="preserve">7b35e00dca6ceddb624d4faa50f3454787d1a425448b3701bf4a00f26aa42de9</t>
  </si>
  <si>
    <t xml:space="preserve">SYMBIONT_LINKED_STAT</t>
  </si>
  <si>
    <t xml:space="preserve">WEAVER ↔ I</t>
  </si>
  <si>
    <t xml:space="preserve">{"idUnique":1,"linkId":"SYMSTAT-WEAVER-I","linkedStatCode":"I","profileRuleId":"SYM-026","speciesKey":"WEAVER","statOrder":5,"status":"ACTIVE"}</t>
  </si>
  <si>
    <t xml:space="preserve">6aeb4dffc178c97272f6eb62cf97a70bba767d8bd58d91172dc129f490ad2089</t>
  </si>
  <si>
    <t xml:space="preserve">TAIPAN ↔ D</t>
  </si>
  <si>
    <t xml:space="preserve">{"idUnique":1,"linkId":"SYMSTAT-TAIPAN-D","linkedStatCode":"D","profileRuleId":"SYM-037","speciesKey":"TAIPAN","statOrder":2,"status":"ACTIVE"}</t>
  </si>
  <si>
    <t xml:space="preserve">68513d928d46a330951b4e4331ebac5f951407d282cb8e140833e31fc095f372</t>
  </si>
  <si>
    <t xml:space="preserve">TAIPAN ↔ W</t>
  </si>
  <si>
    <t xml:space="preserve">{"idUnique":1,"linkId":"SYMSTAT-TAIPAN-W","linkedStatCode":"W","profileRuleId":"SYM-037","speciesKey":"TAIPAN","statOrder":6,"status":"ACTIVE"}</t>
  </si>
  <si>
    <t xml:space="preserve">06a0e54ce5bf1da0a032e502044b7d92964f4712a94adee8e43e99a991f5392a</t>
  </si>
  <si>
    <t xml:space="preserve">OWL ↔ W</t>
  </si>
  <si>
    <t xml:space="preserve">{"idUnique":1,"linkId":"SYMSTAT-OWL-W","linkedStatCode":"W","profileRuleId":"SYM-046","speciesKey":"OWL","statOrder":6,"status":"ACTIVE"}</t>
  </si>
  <si>
    <t xml:space="preserve">2e4b0f6b1f0ab37be11bdee6d8502ee71f48c6ac638dfbfdb3eb63b3702a0cad</t>
  </si>
  <si>
    <t xml:space="preserve">TEACHER ↔ W</t>
  </si>
  <si>
    <t xml:space="preserve">{"idUnique":1,"linkId":"SYMSTAT-TEACHER-W","linkedStatCode":"W","profileRuleId":"SYM-053","speciesKey":"TEACHER","statOrder":6,"status":"ACTIVE"}</t>
  </si>
  <si>
    <t xml:space="preserve">d44e2a94bee159c788810b45b750465216eefac532bcee16f25a76109639bd20</t>
  </si>
  <si>
    <t xml:space="preserve">ARMADILLO ↔ M</t>
  </si>
  <si>
    <t xml:space="preserve">{"idUnique":1,"linkId":"SYMSTAT-ARMADILLO-M","linkedStatCode":"M","profileRuleId":"SYM-060","speciesKey":"ARMADILLO","statOrder":3,"status":"ACTIVE"}</t>
  </si>
  <si>
    <t xml:space="preserve">a879e7f53217b2ce43b42d94047a8a76bc4abdf55444c82a2cb7b3f823e7fb24</t>
  </si>
  <si>
    <t xml:space="preserve">ARMADILLO ↔ Z</t>
  </si>
  <si>
    <t xml:space="preserve">{"idUnique":1,"linkId":"SYMSTAT-ARMADILLO-Z","linkedStatCode":"Z","profileRuleId":"SYM-060","speciesKey":"ARMADILLO","statOrder":4,"status":"ACTIVE"}</t>
  </si>
  <si>
    <t xml:space="preserve">f2c74cec7a12a4b521a73839416ad31988b32b2076eea0dd253f7d08a6a9199f</t>
  </si>
  <si>
    <t xml:space="preserve">DRAGON ↔ D</t>
  </si>
  <si>
    <t xml:space="preserve">{"idUnique":1,"linkId":"SYMSTAT-DRAGON-D","linkedStatCode":"D","profileRuleId":"SYM-067","speciesKey":"DRAGON","statOrder":2,"status":"ACTIVE"}</t>
  </si>
  <si>
    <t xml:space="preserve">b6d3b8ce213338628bf097d9ad14994aa90b6420a6fab282928c275736a23d86</t>
  </si>
  <si>
    <t xml:space="preserve">DRAGON ↔ W</t>
  </si>
  <si>
    <t xml:space="preserve">{"idUnique":1,"linkId":"SYMSTAT-DRAGON-W","linkedStatCode":"W","profileRuleId":"SYM-067","speciesKey":"DRAGON","statOrder":6,"status":"ACTIVE"}</t>
  </si>
  <si>
    <t xml:space="preserve">e8401140774314b5a8371733b4f3ba6ffdadb445ccda8311fca70763e2b63bea</t>
  </si>
  <si>
    <t xml:space="preserve">TROGR ↔ S</t>
  </si>
  <si>
    <t xml:space="preserve">{"idUnique":1,"linkId":"SYMSTAT-TROGR-S","linkedStatCode":"S","profileRuleId":"SYM-074","speciesKey":"TROGR","statOrder":1,"status":"ACTIVE"}</t>
  </si>
  <si>
    <t xml:space="preserve">b07b3e76c964511efa148f3a273aac84425521a4f4ccbe3947d273eff042ba5e</t>
  </si>
  <si>
    <t xml:space="preserve">TROGR ↔ D</t>
  </si>
  <si>
    <t xml:space="preserve">{"idUnique":1,"linkId":"SYMSTAT-TROGR-D","linkedStatCode":"D","profileRuleId":"SYM-074","speciesKey":"TROGR","statOrder":2,"status":"ACTIVE"}</t>
  </si>
  <si>
    <t xml:space="preserve">075c36060b79e92475e8675b04f2455d14c4a932317e91961d32411b3db7a4b9</t>
  </si>
  <si>
    <t xml:space="preserve">TROGR ↔ M</t>
  </si>
  <si>
    <t xml:space="preserve">{"idUnique":1,"linkId":"SYMSTAT-TROGR-M","linkedStatCode":"M","profileRuleId":"SYM-074","speciesKey":"TROGR","statOrder":3,"status":"ACTIVE"}</t>
  </si>
  <si>
    <t xml:space="preserve">2246186a8428df589703f8563fb172ea93801f424ba31ef6506d17487c14fde7</t>
  </si>
  <si>
    <t xml:space="preserve">KEEPER ↔ W</t>
  </si>
  <si>
    <t xml:space="preserve">{"idUnique":1,"linkId":"SYMSTAT-KEEPER-W","linkedStatCode":"W","profileRuleId":"SYM-083","speciesKey":"KEEPER","statOrder":6,"status":"ACTIVE"}</t>
  </si>
  <si>
    <t xml:space="preserve">6026f3df7d6f754b3ca2fe2b3e007cdacca651f0e02ee156cf2d7acee9def36a</t>
  </si>
  <si>
    <t xml:space="preserve">KEEPER ↔ Z</t>
  </si>
  <si>
    <t xml:space="preserve">{"idUnique":1,"linkId":"SYMSTAT-KEEPER-Z","linkedStatCode":"Z","profileRuleId":"SYM-083","speciesKey":"KEEPER","statOrder":4,"status":"ACTIVE"}</t>
  </si>
  <si>
    <t xml:space="preserve">4d5203ffd2814a7cb9e7df2080262344c91dc75f8be0c51d51e4a8cad62509e9</t>
  </si>
  <si>
    <t xml:space="preserve">ADVISER ↔ I</t>
  </si>
  <si>
    <t xml:space="preserve">{"idUnique":1,"linkId":"SYMSTAT-ADVISER-I","linkedStatCode":"I","profileRuleId":"SYM-095","speciesKey":"ADVISER","statOrder":5,"status":"ACTIVE"}</t>
  </si>
  <si>
    <t xml:space="preserve">dad344b46cc1cae93b5ba8cbd2541f94e2a1bb553990b19fe442726ba4d52590</t>
  </si>
  <si>
    <t xml:space="preserve">ADVISER ↔ W</t>
  </si>
  <si>
    <t xml:space="preserve">{"idUnique":1,"linkId":"SYMSTAT-ADVISER-W","linkedStatCode":"W","profileRuleId":"SYM-095","speciesKey":"ADVISER","statOrder":6,"status":"ACTIVE"}</t>
  </si>
  <si>
    <t xml:space="preserve">11f1b45b9bcdd0c577ed7d7ccad261e35e6a9de80990035443d23f18275cb8c9</t>
  </si>
  <si>
    <t xml:space="preserve">TICK ↔ S</t>
  </si>
  <si>
    <t xml:space="preserve">{"idUnique":1,"linkId":"SYMSTAT-TICK-S","linkedStatCode":"S","profileRuleId":"SYM-102","speciesKey":"TICK","statOrder":1,"status":"ACTIVE"}</t>
  </si>
  <si>
    <t xml:space="preserve">4c63e8bc51f25810cde53345c358fb9a7bf45cb2b92404f182b02e103a3823e9</t>
  </si>
  <si>
    <t xml:space="preserve">TICK ↔ D</t>
  </si>
  <si>
    <t xml:space="preserve">{"idUnique":1,"linkId":"SYMSTAT-TICK-D","linkedStatCode":"D","profileRuleId":"SYM-102","speciesKey":"TICK","statOrder":2,"status":"ACTIVE"}</t>
  </si>
  <si>
    <t xml:space="preserve">55b82d3c4871aaa5412ef7ff0c30167acd2b1eb9822eff4c285664a2ddf4a380</t>
  </si>
  <si>
    <t xml:space="preserve">CRICKET ↔ D</t>
  </si>
  <si>
    <t xml:space="preserve">{"idUnique":1,"linkId":"SYMSTAT-CRICKET-D","linkedStatCode":"D","profileRuleId":"SYM-109","speciesKey":"CRICKET","statOrder":2,"status":"ACTIVE"}</t>
  </si>
  <si>
    <t xml:space="preserve">aaea33c80ebd2f749c202a4025878419eb810a785510b1c90508ada82b2acc66</t>
  </si>
  <si>
    <t xml:space="preserve">CRICKET ↔ M</t>
  </si>
  <si>
    <t xml:space="preserve">{"idUnique":1,"linkId":"SYMSTAT-CRICKET-M","linkedStatCode":"M","profileRuleId":"SYM-109","speciesKey":"CRICKET","statOrder":3,"status":"ACTIVE"}</t>
  </si>
  <si>
    <t xml:space="preserve">f8baad9acc9c491c81c940c48f142fe38b57d645ff332f890281b71bbc9126ed</t>
  </si>
  <si>
    <t xml:space="preserve">SPIDER ↔ D</t>
  </si>
  <si>
    <t xml:space="preserve">{"idUnique":1,"linkId":"SYMSTAT-SPIDER-D","linkedStatCode":"D","profileRuleId":"SYM-116","speciesKey":"SPIDER","statOrder":2,"status":"ACTIVE"}</t>
  </si>
  <si>
    <t xml:space="preserve">de7d406ba64d89fef33bca228bbfbf4d433d1f5f40984dde29c5d6c1f153b2bc</t>
  </si>
  <si>
    <t xml:space="preserve">SPIDER ↔ W</t>
  </si>
  <si>
    <t xml:space="preserve">{"idUnique":1,"linkId":"SYMSTAT-SPIDER-W","linkedStatCode":"W","profileRuleId":"SYM-116","speciesKey":"SPIDER","statOrder":6,"status":"ACTIVE"}</t>
  </si>
  <si>
    <t xml:space="preserve">2d1af72445fd48c4ccd87532ec525ad358a41ac96c15f4e03580b10208dc2590</t>
  </si>
  <si>
    <t xml:space="preserve">CHAMELEON ↔ D</t>
  </si>
  <si>
    <t xml:space="preserve">{"idUnique":1,"linkId":"SYMSTAT-CHAMELEON-D","linkedStatCode":"D","profileRuleId":"SYM-123","speciesKey":"CHAMELEON","statOrder":2,"status":"ACTIVE"}</t>
  </si>
  <si>
    <t xml:space="preserve">6c7af2ac7eea3c257f5a001d79ea2c39478b8d43f188173c355072b10677cf90</t>
  </si>
  <si>
    <t xml:space="preserve">CHAMELEON ↔ I</t>
  </si>
  <si>
    <t xml:space="preserve">{"idUnique":1,"linkId":"SYMSTAT-CHAMELEON-I","linkedStatCode":"I","profileRuleId":"SYM-123","speciesKey":"CHAMELEON","statOrder":5,"status":"ACTIVE"}</t>
  </si>
  <si>
    <t xml:space="preserve">18f025b9079c87c79f3916a035c43e03fe6b6f82fb53ee858d57926361ea9275</t>
  </si>
  <si>
    <t xml:space="preserve">PENGUIN ↔ C</t>
  </si>
  <si>
    <t xml:space="preserve">{"idUnique":1,"linkId":"SYMSTAT-PENGUIN-C","linkedStatCode":"C","profileRuleId":"SYM-130","speciesKey":"PENGUIN","statOrder":7,"status":"ACTIVE"}</t>
  </si>
  <si>
    <t xml:space="preserve">4ab495423ec99f5785a9e8dc5491d96c7de672a8d85f515923c95d9a44edd0b5</t>
  </si>
  <si>
    <t xml:space="preserve">PENGUIN ↔ W</t>
  </si>
  <si>
    <t xml:space="preserve">{"idUnique":1,"linkId":"SYMSTAT-PENGUIN-W","linkedStatCode":"W","profileRuleId":"SYM-130","speciesKey":"PENGUIN","statOrder":6,"status":"ACTIVE"}</t>
  </si>
  <si>
    <t xml:space="preserve">a32b7f5bd82dd8502c8150ea729521c02d4ad35db06d3832b30e128b5c38864d</t>
  </si>
  <si>
    <t xml:space="preserve">EEL ↔ D</t>
  </si>
  <si>
    <t xml:space="preserve">{"idUnique":1,"linkId":"SYMSTAT-EEL-D","linkedStatCode":"D","profileRuleId":"SYM-136","speciesKey":"EEL","statOrder":2,"status":"ACTIVE"}</t>
  </si>
  <si>
    <t xml:space="preserve">3c6901bdf85e8a2935a46fe46675ba1fc544998ec2b28848d42b293e9366017f</t>
  </si>
  <si>
    <t xml:space="preserve">EEL ↔ I</t>
  </si>
  <si>
    <t xml:space="preserve">{"idUnique":1,"linkId":"SYMSTAT-EEL-I","linkedStatCode":"I","profileRuleId":"SYM-136","speciesKey":"EEL","statOrder":5,"status":"ACTIVE"}</t>
  </si>
  <si>
    <t xml:space="preserve">a33126a4f45f3e1b526dd5304241e2b352918043a897c6443b809b0acea047bc</t>
  </si>
  <si>
    <t xml:space="preserve">TOAD ↔ M</t>
  </si>
  <si>
    <t xml:space="preserve">{"idUnique":1,"linkId":"SYMSTAT-TOAD-M","linkedStatCode":"M","profileRuleId":"SYM-143","speciesKey":"TOAD","statOrder":3,"status":"ACTIVE"}</t>
  </si>
  <si>
    <t xml:space="preserve">e0076d7665c3c15ac71dcf4cbc509bac1010a6030dd776433acc3dbf17e60272</t>
  </si>
  <si>
    <t xml:space="preserve">TOAD ↔ Z</t>
  </si>
  <si>
    <t xml:space="preserve">{"idUnique":1,"linkId":"SYMSTAT-TOAD-Z","linkedStatCode":"Z","profileRuleId":"SYM-143","speciesKey":"TOAD","statOrder":4,"status":"ACTIVE"}</t>
  </si>
  <si>
    <t xml:space="preserve">fb857053f80e1156b94777e8b2a59dede8fd98948a6ead8cf115ef13ab4bb4dd</t>
  </si>
  <si>
    <t xml:space="preserve">RAT ↔ D</t>
  </si>
  <si>
    <t xml:space="preserve">{"idUnique":1,"linkId":"SYMSTAT-RAT-D","linkedStatCode":"D","profileRuleId":"SYM-151","speciesKey":"RAT","statOrder":2,"status":"ACTIVE"}</t>
  </si>
  <si>
    <t xml:space="preserve">fc495fb38a3b9a35d232e8ca463d099119ca1eeb6a68c70c2d2bfc7a06f3f92b</t>
  </si>
  <si>
    <t xml:space="preserve">RAT ↔ C</t>
  </si>
  <si>
    <t xml:space="preserve">{"idUnique":1,"linkId":"SYMSTAT-RAT-C","linkedStatCode":"C","profileRuleId":"SYM-151","speciesKey":"RAT","statOrder":7,"status":"ACTIVE"}</t>
  </si>
  <si>
    <t xml:space="preserve">de71e9e31847db81df27b2835d1c0b9d7654d145929ab751c84cb479f1f382ff</t>
  </si>
  <si>
    <t xml:space="preserve">RAT ↔ I</t>
  </si>
  <si>
    <t xml:space="preserve">{"idUnique":1,"linkId":"SYMSTAT-RAT-I","linkedStatCode":"I","profileRuleId":"SYM-151","speciesKey":"RAT","statOrder":5,"status":"ACTIVE"}</t>
  </si>
  <si>
    <t xml:space="preserve">1dabd24dc74059089b383adf4423cf1b500fb7b3da0503da6dfc6b0212e2aae7</t>
  </si>
  <si>
    <t xml:space="preserve">DOLPHIN ↔ I</t>
  </si>
  <si>
    <t xml:space="preserve">{"idUnique":1,"linkId":"SYMSTAT-DOLPHIN-I","linkedStatCode":"I","profileRuleId":"SYM-161","speciesKey":"DOLPHIN","statOrder":5,"status":"ACTIVE"}</t>
  </si>
  <si>
    <t xml:space="preserve">6b16d60f16c8e02c2a74de9a5e3ec832ca3641f229de82d28203c3cbca1dabe0</t>
  </si>
  <si>
    <t xml:space="preserve">DOLPHIN ↔ W</t>
  </si>
  <si>
    <t xml:space="preserve">{"idUnique":1,"linkId":"SYMSTAT-DOLPHIN-W","linkedStatCode":"W","profileRuleId":"SYM-161","speciesKey":"DOLPHIN","statOrder":6,"status":"ACTIVE"}</t>
  </si>
  <si>
    <t xml:space="preserve">234cc054b189c93c545167222a3e7d12cb0ecdd98d0e5d01f181293690fec880</t>
  </si>
  <si>
    <t xml:space="preserve">MANTIS ↔ S</t>
  </si>
  <si>
    <t xml:space="preserve">{"idUnique":1,"linkId":"SYMSTAT-MANTIS-S","linkedStatCode":"S","profileRuleId":"SYM-167","speciesKey":"MANTIS","statOrder":1,"status":"ACTIVE"}</t>
  </si>
  <si>
    <t xml:space="preserve">bb7900bfc191fd371220c91af4599c787e5a7a0fdffbb46ab75fbc15af59c0ae</t>
  </si>
  <si>
    <t xml:space="preserve">MANTIS ↔ D</t>
  </si>
  <si>
    <t xml:space="preserve">{"idUnique":1,"linkId":"SYMSTAT-MANTIS-D","linkedStatCode":"D","profileRuleId":"SYM-167","speciesKey":"MANTIS","statOrder":2,"status":"ACTIVE"}</t>
  </si>
  <si>
    <t xml:space="preserve">11e20fb659de1cf993b5beae1948019115ee22aaaf72980ae47a15cb66f08e52</t>
  </si>
  <si>
    <t xml:space="preserve">SKUNK ↔ D</t>
  </si>
  <si>
    <t xml:space="preserve">{"idUnique":1,"linkId":"SYMSTAT-SKUNK-D","linkedStatCode":"D","profileRuleId":"SYM-174","speciesKey":"SKUNK","statOrder":2,"status":"ACTIVE"}</t>
  </si>
  <si>
    <t xml:space="preserve">70a3205dff6d1567f30b1c3d0e7060a187f212673aa3d27f647bafd66cfbf499</t>
  </si>
  <si>
    <t xml:space="preserve">SKUNK ↔ M</t>
  </si>
  <si>
    <t xml:space="preserve">{"idUnique":1,"linkId":"SYMSTAT-SKUNK-M","linkedStatCode":"M","profileRuleId":"SYM-174","speciesKey":"SKUNK","statOrder":3,"status":"ACTIVE"}</t>
  </si>
  <si>
    <t xml:space="preserve">67cdd48efd8ac9eef47a806de6620ce52b55e15d29f1ae755a16a34345c08685</t>
  </si>
  <si>
    <t xml:space="preserve">CHIMERA ↔ Z</t>
  </si>
  <si>
    <t xml:space="preserve">{"idUnique":1,"linkId":"SYMSTAT-CHIMERA-Z","linkedStatCode":"Z","profileRuleId":"MON-002","speciesKey":"CHIMERA","statOrder":4,"status":"ACTIVE"}</t>
  </si>
  <si>
    <t xml:space="preserve">f6381db123d06659db8d1cf231f3cd98e07cea60ba12b3a1720d8e7f87f7f8a7</t>
  </si>
  <si>
    <t xml:space="preserve">CHIMERA ↔ S</t>
  </si>
  <si>
    <t xml:space="preserve">{"idUnique":1,"linkId":"SYMSTAT-CHIMERA-S","linkedStatCode":"S","profileRuleId":"MON-002","speciesKey":"CHIMERA","statOrder":1,"status":"ACTIVE"}</t>
  </si>
  <si>
    <t xml:space="preserve">fc73e13fd2b3f6f97baecda6c81a5e55ab627e707facc5e85dcf5367e1d9a702</t>
  </si>
  <si>
    <t xml:space="preserve">CHIMERA ↔ D</t>
  </si>
  <si>
    <t xml:space="preserve">{"idUnique":1,"linkId":"SYMSTAT-CHIMERA-D","linkedStatCode":"D","profileRuleId":"MON-002","speciesKey":"CHIMERA","statOrder":2,"status":"ACTIVE"}</t>
  </si>
  <si>
    <t xml:space="preserve">7f8e7f37f1a1d80f15616cbbee428df91d89e1ff1fd11ab2a3b0f61fe570776b</t>
  </si>
  <si>
    <t xml:space="preserve">PUPPETEER ↔ C</t>
  </si>
  <si>
    <t xml:space="preserve">{"idUnique":1,"linkId":"SYMSTAT-PUPPETEER-C","linkedStatCode":"C","profileRuleId":"MON-025","speciesKey":"PUPPETEER","statOrder":7,"status":"ACTIVE"}</t>
  </si>
  <si>
    <t xml:space="preserve">2a3d91b698287769f38fcde7273067a7e6eb1fde11a48f4b36148ec40c3950a5</t>
  </si>
  <si>
    <t xml:space="preserve">PUPPETEER ↔ I</t>
  </si>
  <si>
    <t xml:space="preserve">{"idUnique":1,"linkId":"SYMSTAT-PUPPETEER-I","linkedStatCode":"I","profileRuleId":"MON-025","speciesKey":"PUPPETEER","statOrder":5,"status":"ACTIVE"}</t>
  </si>
  <si>
    <t xml:space="preserve">741aa6dc75d60580818ccff6d412ef2ccdce944b55ae2d7d3a7b0fcafaec97fa</t>
  </si>
  <si>
    <t xml:space="preserve">PUPPETEER ↔ W</t>
  </si>
  <si>
    <t xml:space="preserve">{"idUnique":1,"linkId":"SYMSTAT-PUPPETEER-W","linkedStatCode":"W","profileRuleId":"MON-025","speciesKey":"PUPPETEER","statOrder":6,"status":"ACTIVE"}</t>
  </si>
  <si>
    <t xml:space="preserve">79544cd9f11aea7890e42a29b50abcef597576de52aa20757dda69b323ecf71f</t>
  </si>
  <si>
    <t xml:space="preserve">PLAGUE_DOCTOR ↔ Z</t>
  </si>
  <si>
    <t xml:space="preserve">{"idUnique":1,"linkId":"SYMSTAT-PLAGUE_DOCTOR-Z","linkedStatCode":"Z","profileRuleId":"MON-040","speciesKey":"PLAGUE_DOCTOR","statOrder":4,"status":"ACTIVE"}</t>
  </si>
  <si>
    <t xml:space="preserve">e383be8c6eed9940c095460dac17e2ec456726b2ad33288d72bd1f5889f66ce0</t>
  </si>
  <si>
    <t xml:space="preserve">PLAGUE_DOCTOR ↔ I</t>
  </si>
  <si>
    <t xml:space="preserve">{"idUnique":1,"linkId":"SYMSTAT-PLAGUE_DOCTOR-I","linkedStatCode":"I","profileRuleId":"MON-040","speciesKey":"PLAGUE_DOCTOR","statOrder":5,"status":"ACTIVE"}</t>
  </si>
  <si>
    <t xml:space="preserve">fcabb0200ac7e075ad7b2caa9eee24f1948b3fdd11fe64a9bbf25ad68834987c</t>
  </si>
  <si>
    <t xml:space="preserve">PLAGUE_DOCTOR ↔ W</t>
  </si>
  <si>
    <t xml:space="preserve">{"idUnique":1,"linkId":"SYMSTAT-PLAGUE_DOCTOR-W","linkedStatCode":"W","profileRuleId":"MON-040","speciesKey":"PLAGUE_DOCTOR","statOrder":6,"status":"ACTIVE"}</t>
  </si>
  <si>
    <t xml:space="preserve">1f64d931916643ac0da81958a89545dba89c0dcc5d0e44295f10995624fc9c78</t>
  </si>
  <si>
    <t xml:space="preserve">XP_ROUTE_POLICY</t>
  </si>
  <si>
    <t xml:space="preserve">{"appliesWhen":"PLAYER_CHARACTER; original D20 rawFace=1|20; значимая проверка; modifierStatCodes пересекаются с LinkedStatCodes хотя бы одного xpEligible симбионта; rollKind не NO_DIRECT_BUT_POOL/NEVER.","counterPoints":false,"directXp":true,"idUnique":1,"routeCode":"DIRECT_SYMBIONT","ruleIds":"SYM-021; CORE-007; USR-2026-07-30-XP-001","stateTransition":"Равновероятно выбрать ровно один подходящий symbiontInstanceId; xp += eventPoints×race.directXpMultiplier.","status":"ACTIVE","terminal":true}</t>
  </si>
  <si>
    <t xml:space="preserve">882cb8430b4fd1fb979f073702c237df3b50664b584549c2864fc2752f9cb860</t>
  </si>
  <si>
    <t xml:space="preserve">{"appliesWhen":"PLAYER_CHARACTER; original D20 rawFace=1|20; событие не NEVER; нет подходящего LinkedStatCode либо rollKind=NO_DIRECT_BUT_POOL.","counterPoints":true,"directXp":false,"idUnique":1,"routeCode":"CHARACTER_PROGRESS_COUNTER","ruleIds":"SYM-021; CORE-085; USR-2026-07-30-XP-001","stateTransition":"symbiontXpProgressPoints += eventPoints; каждые 3 атомарно конвертируются в 1 unallocatedSymbiontXp, остаток 0..2.","status":"ACTIVE","terminal":true}</t>
  </si>
  <si>
    <t xml:space="preserve">8907f71b64ee0c73fc32773936756b42f416c016bda749872f66fcf30ea552aa</t>
  </si>
  <si>
    <t xml:space="preserve">{"appliesWhen":"Любой запрет из SymbiontXpNeverSourcePolicy либо actorType не PLAYER_CHARACTER.","counterPoints":false,"directXp":false,"idUnique":1,"routeCode":"NEVER_PROGRESSION","ruleIds":"CORE-229; SYM-021; USR-2026-07-30-XP-001","stateTransition":"XP и баллы не изменяются; причина и processingStatus журналируются. Повтор originRollId имеет статус IGNORED_DUPLICATE.","status":"ACTIVE","terminal":true}</t>
  </si>
  <si>
    <t xml:space="preserve">40c4423369782c26fe37dad938a1169cef21a8b05305f5c638a6ce61529d80b3</t>
  </si>
  <si>
    <t xml:space="preserve">XP_EVENT_POINT_POLICY</t>
  </si>
  <si>
    <t xml:space="preserve">NATURAL_20_GRADE_0</t>
  </si>
  <si>
    <t xml:space="preserve">{"confirmedGrade":0,"criticalPolarity":"NONE","eventPoints":1,"gradeReplacesBase":true,"idUnique":1,"naturalFace":20,"pointPolicyId":"NATURAL_20_GRADE_0","ruleIds":"SYM-021; USR-2026-07-30-XP-001","status":"ACTIVE"}</t>
  </si>
  <si>
    <t xml:space="preserve">ff4c6d4368ac0779878df45ac48a466ef5ed12ae5959183a741c050c2f6efd5a</t>
  </si>
  <si>
    <t xml:space="preserve">NATURAL_1_GRADE_0</t>
  </si>
  <si>
    <t xml:space="preserve">{"confirmedGrade":0,"criticalPolarity":"NONE","eventPoints":1,"gradeReplacesBase":true,"idUnique":1,"naturalFace":1,"pointPolicyId":"NATURAL_1_GRADE_0","ruleIds":"SYM-021; USR-2026-07-30-XP-001","status":"ACTIVE"}</t>
  </si>
  <si>
    <t xml:space="preserve">54bfdddcd5aa058822268ab3c8bcba57b2638417b433ea9a6284796ed43d93bd</t>
  </si>
  <si>
    <t xml:space="preserve">CONFIRMED_CRIT</t>
  </si>
  <si>
    <t xml:space="preserve">{"confirmedGrade":1,"criticalPolarity":"SUCCESS|FAILURE","eventPoints":1,"gradeReplacesBase":true,"idUnique":1,"naturalFace":"1|20","pointPolicyId":"CONFIRMED_CRIT","ruleIds":"CORE-083; CORE-084; SYM-021; USR-2026-07-30-XP-001","status":"ACTIVE"}</t>
  </si>
  <si>
    <t xml:space="preserve">1d85bb1be2974647467413aa4a330984bb766eca37af5a07f1ebdb4c9d407889</t>
  </si>
  <si>
    <t xml:space="preserve">CONFIRMED_DOUBLE_CRIT</t>
  </si>
  <si>
    <t xml:space="preserve">{"confirmedGrade":2,"criticalPolarity":"SUCCESS|FAILURE","eventPoints":2,"gradeReplacesBase":true,"idUnique":1,"naturalFace":"1|20","pointPolicyId":"CONFIRMED_DOUBLE_CRIT","ruleIds":"CORE-083; CORE-084; SYM-021; USR-2026-07-30-XP-001","status":"ACTIVE"}</t>
  </si>
  <si>
    <t xml:space="preserve">ed2529d3ee509dd91c3088982631900cc60c07461819b03faccc0906d9809c57</t>
  </si>
  <si>
    <t xml:space="preserve">CONFIRMED_TRIPLE_CRIT</t>
  </si>
  <si>
    <t xml:space="preserve">{"confirmedGrade":3,"criticalPolarity":"SUCCESS|FAILURE","eventPoints":3,"gradeReplacesBase":true,"idUnique":1,"naturalFace":"1|20","pointPolicyId":"CONFIRMED_TRIPLE_CRIT","ruleIds":"CORE-083; CORE-084; SYM-021; USR-2026-07-30-XP-001","status":"ACTIVE"}</t>
  </si>
  <si>
    <t xml:space="preserve">844a1d8e6e2698d7864aa2e6afb345c27844746e955068bed9da486c8391506d</t>
  </si>
  <si>
    <t xml:space="preserve">CONFIRMED_ULTRA_CRIT</t>
  </si>
  <si>
    <t xml:space="preserve">{"confirmedGrade":4,"criticalPolarity":"SUCCESS|FAILURE","eventPoints":4,"gradeReplacesBase":true,"idUnique":1,"naturalFace":"1|20","pointPolicyId":"CONFIRMED_ULTRA_CRIT","ruleIds":"CORE-083; CORE-084; SYM-021; USR-2026-07-30-XP-001","status":"ACTIVE"}</t>
  </si>
  <si>
    <t xml:space="preserve">f1549019a2bd28ba63086796d6f1fc36940d88d963cbf5abc7ff4f7a2908b0d9</t>
  </si>
  <si>
    <t xml:space="preserve">CONFIRMED_RAMPAGE</t>
  </si>
  <si>
    <t xml:space="preserve">{"confirmedGrade":5,"criticalPolarity":"SUCCESS|FAILURE","eventPoints":5,"gradeReplacesBase":true,"idUnique":1,"naturalFace":"1|20","pointPolicyId":"CONFIRMED_RAMPAGE","ruleIds":"CORE-083; CORE-084; SYM-021; USR-2026-07-30-XP-001","status":"ACTIVE"}</t>
  </si>
  <si>
    <t xml:space="preserve">a0bb414b16f958ac8eba744bc817032a637c40a4967f0f7d9b31f46c63f03f05</t>
  </si>
  <si>
    <t xml:space="preserve">XP_ROLL_KIND_POLICY</t>
  </si>
  <si>
    <t xml:space="preserve">{"counterAllowed":true,"criticalChainAllowed":true,"directXpAllowed":true,"idUnique":1,"originalD20Required":true,"progressionClass":"DIRECT_ELIGIBLE","rollKind":"SIGNIFICANT_CHECK","ruleIds":"CORE-073; CORE-082; SYM-021; USR-2026-07-30-XP-001","status":"ACTIVE"}</t>
  </si>
  <si>
    <t xml:space="preserve">3f77ff6f7ce28d4d39ff03923bbcf22672058e419b4cb90c878b6d53976d4b65</t>
  </si>
  <si>
    <t xml:space="preserve">{"counterAllowed":true,"criticalChainAllowed":false,"directXpAllowed":false,"idUnique":1,"originalD20Required":true,"progressionClass":"NO_DIRECT_BUT_POOL","rollKind":"DAMAGE","ruleIds":"SYM-021; CORE-229; USR-2026-07-30-XP-001","status":"ACTIVE"}</t>
  </si>
  <si>
    <t xml:space="preserve">99b543a7c302b0ed04836c02674e0e505521d1ee14345b7b7e62487e41e6d5b8</t>
  </si>
  <si>
    <t xml:space="preserve">{"counterAllowed":true,"criticalChainAllowed":false,"directXpAllowed":false,"idUnique":1,"originalD20Required":true,"progressionClass":"NO_DIRECT_BUT_POOL","rollKind":"PENETRATION","ruleIds":"SYM-021; CORE-229; USR-2026-07-30-XP-001","status":"ACTIVE"}</t>
  </si>
  <si>
    <t xml:space="preserve">b900517c77684e8ebaf106555129e4d4349d22a195ab96cb355e2fab30daf621</t>
  </si>
  <si>
    <t xml:space="preserve">{"counterAllowed":true,"criticalChainAllowed":false,"directXpAllowed":false,"idUnique":1,"originalD20Required":true,"progressionClass":"NO_DIRECT_BUT_POOL","rollKind":"ARMOR","ruleIds":"SYM-021; CORE-229; USR-2026-07-30-XP-001","status":"ACTIVE"}</t>
  </si>
  <si>
    <t xml:space="preserve">e98b94c49c1511c13dc20bb8bd34150a7a2bc60c0c7a2c32397053937f7b17a4</t>
  </si>
  <si>
    <t xml:space="preserve">{"counterAllowed":true,"criticalChainAllowed":false,"directXpAllowed":false,"idUnique":1,"originalD20Required":true,"progressionClass":"NO_DIRECT_BUT_POOL","rollKind":"INITIATIVE","ruleIds":"SYM-021; CORE-229; USR-2026-07-30-XP-001","status":"ACTIVE"}</t>
  </si>
  <si>
    <t xml:space="preserve">c1bddffc6a23d58ea00f40ddfa5b498d8894092f1aca34031b80b926631c46d0</t>
  </si>
  <si>
    <t xml:space="preserve">{"counterAllowed":true,"criticalChainAllowed":false,"directXpAllowed":false,"idUnique":1,"originalD20Required":true,"progressionClass":"NO_DIRECT_BUT_POOL","rollKind":"HEALING_AMOUNT","ruleIds":"SYM-021; CORE-229; USR-2026-07-30-XP-001","status":"ACTIVE"}</t>
  </si>
  <si>
    <t xml:space="preserve">8396a158753cfd4bf926d4adbe25e7ff1dcda033bd26aaafc6a2995e6f7bd56c</t>
  </si>
  <si>
    <t xml:space="preserve">{"counterAllowed":true,"criticalChainAllowed":false,"directXpAllowed":false,"idUnique":1,"originalD20Required":true,"progressionClass":"NO_DIRECT_BUT_POOL","rollKind":"DURATION","ruleIds":"SYM-021; CORE-229; USR-2026-07-30-XP-001","status":"ACTIVE"}</t>
  </si>
  <si>
    <t xml:space="preserve">5b1877548d82e53b25e9d15ee3d3e7b222b63af4f407297ad7aadb5760ccaad2</t>
  </si>
  <si>
    <t xml:space="preserve">{"counterAllowed":true,"criticalChainAllowed":false,"directXpAllowed":false,"idUnique":1,"originalD20Required":true,"progressionClass":"NO_DIRECT_BUT_POOL","rollKind":"RADIUS","ruleIds":"SYM-021; CORE-229; USR-2026-07-30-XP-001","status":"ACTIVE"}</t>
  </si>
  <si>
    <t xml:space="preserve">6d1b32116bc6df75f545f67412810bc8b258f56fac7d2e119d150eb2fe899029</t>
  </si>
  <si>
    <t xml:space="preserve">{"counterAllowed":true,"criticalChainAllowed":false,"directXpAllowed":false,"idUnique":1,"originalD20Required":true,"progressionClass":"NO_DIRECT_BUT_POOL","rollKind":"ZONE_SIZE","ruleIds":"SYM-021; CORE-229; USR-2026-07-30-XP-001","status":"ACTIVE"}</t>
  </si>
  <si>
    <t xml:space="preserve">6dfac897ff62cc0c3aaa56f0f616b9f947f1a48da7f3904f7f0b094a87b1a581</t>
  </si>
  <si>
    <t xml:space="preserve">{"counterAllowed":true,"criticalChainAllowed":false,"directXpAllowed":false,"idUnique":1,"originalD20Required":true,"progressionClass":"NO_DIRECT_BUT_POOL","rollKind":"QUANTITY","ruleIds":"SYM-021; CORE-229; USR-2026-07-30-XP-001","status":"ACTIVE"}</t>
  </si>
  <si>
    <t xml:space="preserve">b7197e2b74ea9df89470e93cc138f772597b8dcd0cff700db6ca2120398a1337</t>
  </si>
  <si>
    <t xml:space="preserve">{"counterAllowed":true,"criticalChainAllowed":false,"directXpAllowed":false,"idUnique":1,"originalD20Required":true,"progressionClass":"NO_DIRECT_BUT_POOL","rollKind":"TARGET_COUNT","ruleIds":"SYM-021; CORE-229; USR-2026-07-30-XP-001","status":"ACTIVE"}</t>
  </si>
  <si>
    <t xml:space="preserve">412fdd3fa7d213c03cc3b418985cefe4daf64f5f9b0fefbf5ab6ceb23dbc96b1</t>
  </si>
  <si>
    <t xml:space="preserve">XP_NEVER_SOURCE_POLICY</t>
  </si>
  <si>
    <t xml:space="preserve">{"auditOnly":true,"createsProgressionEvent":false,"createsXpOrPoints":false,"idUnique":1,"matchCondition":"rollKind=RANDOM_TABLE","neverSourceCode":"RANDOM_TABLE","progressionRoute":"NEVER_PROGRESSION","ruleIds":"SYM-021; USR-2026-07-30-XP-001","status":"ACTIVE"}</t>
  </si>
  <si>
    <t xml:space="preserve">4468f043f7608fa87b645401b5cfc2c3e8d849da014193a2ef0369e1e33416f5</t>
  </si>
  <si>
    <t xml:space="preserve">{"auditOnly":true,"createsProgressionEvent":false,"createsXpOrPoints":false,"idUnique":1,"matchCondition":"isConfirmationRoll=true","neverSourceCode":"CRITICAL_CONFIRMATION","progressionRoute":"NEVER_PROGRESSION","ruleIds":"CORE-083; CORE-084; USR-2026-07-30-XP-001","status":"ACTIVE"}</t>
  </si>
  <si>
    <t xml:space="preserve">187cb4f64eaaabc936e8a88d2155c75ce8aa34852a9ee77d986015e338f4a3ee</t>
  </si>
  <si>
    <t xml:space="preserve">{"auditOnly":true,"createsProgressionEvent":false,"createsXpOrPoints":false,"idUnique":1,"matchCondition":"criticalSource=ABILITY_OVERRIDE и rawFace∉{1,20}","neverSourceCode":"ABILITY_ASSIGNED_CRITICAL_WITHOUT_NATURAL_FACE","progressionRoute":"NEVER_PROGRESSION","ruleIds":"CORE-229; SYM-021; USR-2026-07-30-XP-001","status":"ACTIVE"}</t>
  </si>
  <si>
    <t xml:space="preserve">c468a33d9bc132465dd20baffee0fd03a3c6dde1714a332844de1624bf29d396</t>
  </si>
  <si>
    <t xml:space="preserve">{"auditOnly":true,"createsProgressionEvent":false,"createsXpOrPoints":false,"idUnique":1,"matchCondition":"criticalSource=ABILITY_OVERRIDE; sourceRuleId=SYM-082; нет natural 1/20","neverSourceCode":"SYM_082_ABILITY_OVERRIDE_WITHOUT_NATURAL_FACE","progressionRoute":"NEVER_PROGRESSION","ruleIds":"SYM-082; SYM-021; USR-2026-07-30-XP-001","status":"ACTIVE"}</t>
  </si>
  <si>
    <t xml:space="preserve">f69935018de99296946a8360261fb2d632956ccf62fc6c7b07d16c96841666b8</t>
  </si>
  <si>
    <t xml:space="preserve">{"auditOnly":true,"createsProgressionEvent":false,"createsXpOrPoints":false,"idUnique":1,"matchCondition":"isEqualGradeSubstitution=true","neverSourceCode":"EQUAL_GRADE_SUBSTITUTION","progressionRoute":"NEVER_PROGRESSION","ruleIds":"CORE-229; USR-2026-07-30-XP-001","status":"ACTIVE"}</t>
  </si>
  <si>
    <t xml:space="preserve">314c30cc717aaadbed4d2cc565b71224a63f314a7c960ab1632dca330eec7a1d</t>
  </si>
  <si>
    <t xml:space="preserve">{"auditOnly":true,"createsProgressionEvent":false,"createsXpOrPoints":false,"idUnique":1,"matchCondition":"unique(actorCharacterId,originRollId) уже обработан","neverSourceCode":"DUPLICATE_ORIGIN_ROLL","progressionRoute":"NEVER_PROGRESSION","ruleIds":"SYM-021; USR-2026-07-30-XP-001","status":"ACTIVE"}</t>
  </si>
  <si>
    <t xml:space="preserve">1a97501519791782482a0da4f903f83620d88b9c2af2fff45983cf635350a2f0</t>
  </si>
  <si>
    <t xml:space="preserve">{"auditOnly":true,"createsProgressionEvent":false,"createsXpOrPoints":false,"idUnique":1,"matchCondition":"итог формулы равен 1/20, но rawFace∉{1,20}","neverSourceCode":"FORMULA_RESULT_WITHOUT_NATURAL_FACE","progressionRoute":"NEVER_PROGRESSION","ruleIds":"SYM-021; USR-2026-07-30-XP-001","status":"ACTIVE"}</t>
  </si>
  <si>
    <t xml:space="preserve">b2a8b2d74d9c903fc3a0e0e5fc36763f746a7bd958072b58b39ddfc7e2197d1b</t>
  </si>
  <si>
    <t xml:space="preserve">{"auditOnly":true,"createsProgressionEvent":false,"createsXpOrPoints":false,"idUnique":1,"matchCondition":"dieType&lt;&gt;D20 либо формула не содержит оригинального D20","neverSourceCode":"NON_D20_ROLL","progressionRoute":"NEVER_PROGRESSION","ruleIds":"SYM-021; USR-2026-07-30-XP-001","status":"ACTIVE"}</t>
  </si>
  <si>
    <t xml:space="preserve">96d0764153041a0574b84c042127f0f8dfe6e89cb5133dd9588011785e4ddf6f</t>
  </si>
  <si>
    <t xml:space="preserve">XP_RACE_POLICY</t>
  </si>
  <si>
    <t xml:space="preserve">{"allocationXpMultiplier":1,"appliesToPlayerOnly":true,"conversionThreshold":3,"directXpMultiplier":1,"idUnique":1,"progressPointMultiplier":1,"raceCode":"PURE","ruleIds":"SYM-021; USR-2026-07-30-XP-001","status":"ACTIVE","unallocatedXpPerThreshold":1}</t>
  </si>
  <si>
    <t xml:space="preserve">224a501290405abca3a540d94ba78366a687f810314a0846dd7cdeadc06b6463</t>
  </si>
  <si>
    <t xml:space="preserve">{"allocationXpMultiplier":2,"appliesToPlayerOnly":true,"conversionThreshold":3,"directXpMultiplier":2,"idUnique":1,"progressPointMultiplier":1,"raceCode":"FREE","ruleIds":"CORE-007; SYM-021; USR-2026-07-30-XP-001","status":"ACTIVE","unallocatedXpPerThreshold":1}</t>
  </si>
  <si>
    <t xml:space="preserve">9d3be82580e9f83175fe0a82c07e205406594e9743539a8f90b98bc609d85b27</t>
  </si>
  <si>
    <t xml:space="preserve">{"allocationXpMultiplier":1,"appliesToPlayerOnly":true,"conversionThreshold":3,"directXpMultiplier":1,"idUnique":1,"progressPointMultiplier":1,"raceCode":"UNITED","ruleIds":"SYM-021; USR-2026-07-30-XP-001","status":"ACTIVE","unallocatedXpPerThreshold":1}</t>
  </si>
  <si>
    <t xml:space="preserve">5ba7c546700eda48ecba42e9ecd937a1adcac40797aa6fc119922a6ac40aeb54</t>
  </si>
  <si>
    <t xml:space="preserve">XP_SUPPRESSION_POLICY</t>
  </si>
  <si>
    <t xml:space="preserve">{"appliesToDirectAndOtherAwards":true,"effectsEnabled":false,"idUnique":1,"policyId":"TOAD-SUPPRESSES-TAIPAN","priority":100,"ruleIds":"SYM-038; Q-SYM-016","speciesKey":"TAIPAN","status":"ACTIVE","suppressorSpeciesKey":"TOAD","xpEligible":false}</t>
  </si>
  <si>
    <t xml:space="preserve">2c90eb8c6491af889289ec5cc81d499de71234d3eeee4b95ff3af1715be2c52d</t>
  </si>
  <si>
    <t xml:space="preserve">{"appliesToDirectAndOtherAwards":true,"effectsEnabled":false,"idUnique":1,"policyId":"TROGR-SUPPRESSES-ADVISER","priority":100,"ruleIds":"SYM-075; Q-CHAR-006","speciesKey":"ADVISER","status":"ACTIVE","suppressorSpeciesKey":"TROGR","xpEligible":false}</t>
  </si>
  <si>
    <t xml:space="preserve">03eac99dfb641ab041471297fb6391febdba3e021e2fe02a68b172880a721870</t>
  </si>
  <si>
    <t xml:space="preserve">{"appliesToDirectAndOtherAwards":true,"effectsEnabled":false,"idUnique":1,"policyId":"TROGR-SUPPRESSES-PENGUIN","priority":100,"ruleIds":"SYM-075; SYM-130","speciesKey":"PENGUIN","status":"ACTIVE","suppressorSpeciesKey":"TROGR","xpEligible":true}</t>
  </si>
  <si>
    <t xml:space="preserve">73701fda7f2ad09ffd5f82a4e8cbedda7b914743b199ac2e3370777e0a95d381</t>
  </si>
  <si>
    <t xml:space="preserve">{"actor":"SYSTEM","command":"ROUTE_SYMBIONT_XP_EVENT","context":"COMBAT_OR_PEACE","errorCodes":"ERR_XP_EVENT_INVALID; ERR_DUPLICATE_ORIGIN_ROLL; ERR_FOREIGN_KEY; ERR_XP_POLICY","inputs":"Все 19 полей SymbiontXpEvent","operationId":"OP-SYMBIONT-XP-ROUTE","preconditions":"Оригинальный D20 или аудируемое исключение; actorCharacterId разрешён.","ruleIds":"SYM-021; CORE-007; CORE-229; USR-2026-07-30-XP-001","stateTransition":"Атомарно выбрать DIRECT_SYMBIONT, CHARACTER_PROGRESS_COUNTER или NEVER_PROGRESSION; записать processingStatus и не более одного state delta.","validation":"Проверить actorType, rawFace, rollKind, source flags, modifierStatCodes, xpEligible, уникальность (actorCharacterId,originRollId) и race policy."}</t>
  </si>
  <si>
    <t xml:space="preserve">b9acd36b859dbf8a986d57b84f775df85e58d864056765ad4ecbeb555c645247</t>
  </si>
  <si>
    <t xml:space="preserve">{"actor":"SYSTEM","command":"CONVERT_SYMBIONT_XP_POINTS","context":"ATOMIC_SUBSTEP","errorCodes":"ERR_XP_EVENT_INVALID; ERR_DUPLICATE_ORIGIN_ROLL","inputs":"actorCharacterId; eventPoints; originRollId","operationId":"OP-SYMBIONT-XP-CONVERT","preconditions":"progressionRoute=CHARACTER_PROGRESS_COUNTER; event ещё не применён.","ruleIds":"SYM-021; USR-2026-07-30-XP-001","stateTransition":"unallocatedSymbiontXp += gained; symbiontXpProgressPoints=remainder в той же транзакции ROUTE.","validation":"total=oldProgressPoints+eventPoints; gained=floor(total/3); remainder=total mod 3; race multiplier к баллам/порогу не применять."}</t>
  </si>
  <si>
    <t xml:space="preserve">5a92a213b77dbaf9fe68631576eb21c506a18b027df976a27b301f5aded99ff6</t>
  </si>
  <si>
    <t xml:space="preserve">{"actor":"PLAYER","command":"ALLOCATE_UNASSIGNED_SYMBIONT_XP","context":"COMBAT_OR_PEACE","errorCodes":"ERR_XP_AMOUNT; ERR_XP_NOT_AVAILABLE; ERR_SYMBIONT_NOT_OWNED; ERR_XP_INELIGIBLE","inputs":"actorCharacterId; symbiontInstanceId; amount","operationId":"OP-SYMBIONT-XP-ALLOCATE","preconditions":"amount integer 1..unallocatedSymbiontXp; экземпляр принадлежит персонажу; xpEligible=true.","ruleIds":"CORE-007; SYM-021; USR-2026-07-30-XP-001","stateTransition":"Атомарно unallocatedSymbiontXp -= amount; symbiont.xp += amount×race.allocationXpMultiplier; записать аудит.","validation":"Не использовать effectsEnabled как замену xpEligible; FREE allocation multiplier=2, остальные=1; множитель применить ровно один раз."}</t>
  </si>
  <si>
    <t xml:space="preserve">06a2c8063de378d50bd19575f59569bbc83a6b820816fdcdc0ec93c1decccd1c</t>
  </si>
  <si>
    <t xml:space="preserve">{"actor":"GM","command":"GM_GRANT_SYMBIONT_XP","context":"SAFE_BOUNDARY","errorCodes":"ERR_XP_AMOUNT; ERR_REASON_REQUIRED; ERR_ACTOR_TYPE; ERR_SYMBIONT_NOT_OWNED; ERR_XP_INELIGIBLE; ERR_AWARD_ID_CONFLICT; ERR_OPERATION_IMMUTABLE","inputs":"awardId; masterUserId; actorCharacterId; symbiontInstanceId; baseXP; reason","operationId":"OP-SYMBIONT-XP-GM-AWARD","preconditions":"PLAYER_CHARACTER; owned xpEligible symbiont; integer baseXP&gt;=1; reason non-empty; awardId unique","ruleIds":"CORE-007; CORE-234; Q-GM-XP-001","stateTransition":"symbiont.xp += baseXP*(FREE?2:1); append immutable receipt; no counter/unallocated/3:1 writes; no inverse operation","validation":"Apply race multiplier exactly once; identical awardId retry returns original receipt; changed retry rejected"}</t>
  </si>
  <si>
    <t xml:space="preserve">0c302963d8c166cce93f20da347c2b9a56eae62996ec0e1c59fe096a96a9961f</t>
  </si>
  <si>
    <t xml:space="preserve">Rules v1.7 | Character-Skills-Symbionts v1.2 | Items v1.6_with_icons | Bestiary v1.4 | Sentient v1.2</t>
  </si>
  <si>
    <t xml:space="preserve">{"actor":"GM","command":"GENERATE_ENEMY_GROUP","context":"COMBAT_SETUP","errorCodes":"ERR_GROUP_SNAPSHOT; ERR_GENERATOR_RANGE; ERR_STAT_CAP; ERR_TARGET_TOTAL; ERR_SEED_EXHAUSTED; ERR_OPERATION_CONFLICT","inputs":"operationId; partyGroupSnapshot; allowedOrigins; seed","operationId":"OP-ENEMY-GROUP-GENERATE","preconditions":"Stable active PLAYER_CHARACTER group snapshot; authorized current GM","ruleIds":"AQA-044; CORE-214; CORE-215; Q-ENEMY-B14","stateTransition":"Preview only; accepted result atomically creates deep-cloned runtime enemy instances in combat setup; cancel writes nothing","validation":"percent integer 80..150; targetTotal=round(partyStatTotal*percent/100); enemyCount oriented to 80; seven random integer stats each &lt;=35; actualTotal=targetTotal; no AI or template mutation"}</t>
  </si>
  <si>
    <t xml:space="preserve">7e5f0eed02adf0fad490aea7e1fe297831a7e89b08cbee2798e5d84edecf8fb8</t>
  </si>
  <si>
    <t xml:space="preserve">Контрольные сценарии совместимости v1.2</t>
  </si>
  <si>
    <t xml:space="preserve">Release-gate: 42 сохранённых сценария, 8 immutable GM_DIRECT и 1 group generator. Любой FAIL блокирует выпуск.</t>
  </si>
  <si>
    <t xml:space="preserve">Scenario ID</t>
  </si>
  <si>
    <t xml:space="preserve">Путь</t>
  </si>
  <si>
    <t xml:space="preserve">Given</t>
  </si>
  <si>
    <t xml:space="preserve">When</t>
  </si>
  <si>
    <t xml:space="preserve">Expected</t>
  </si>
  <si>
    <t xml:space="preserve">Rule / contract IDs</t>
  </si>
  <si>
    <t xml:space="preserve">QA-001</t>
  </si>
  <si>
    <t xml:space="preserve">Character → Skills</t>
  </si>
  <si>
    <t xml:space="preserve">Создаётся персонаж</t>
  </si>
  <si>
    <t xml:space="preserve">Рассчитать и заполнить стартовые слоты</t>
  </si>
  <si>
    <t xml:space="preserve">Все ceil(W/2) слотов заполнены; обязательный класс резервирует 1</t>
  </si>
  <si>
    <t xml:space="preserve">QA-002</t>
  </si>
  <si>
    <t xml:space="preserve">Есть бонусы симбионтов</t>
  </si>
  <si>
    <t xml:space="preserve">Проверить стартовые требования</t>
  </si>
  <si>
    <t xml:space="preserve">Используются skillStageStats до симбионтов</t>
  </si>
  <si>
    <t xml:space="preserve">CORE-167/Q-CORE-024</t>
  </si>
  <si>
    <t xml:space="preserve">QA-003</t>
  </si>
  <si>
    <t xml:space="preserve">Sentient → Skills/Symbionts</t>
  </si>
  <si>
    <t xml:space="preserve">44 payload Sentient v1.2</t>
  </si>
  <si>
    <t xml:space="preserve">Разрешить ссылки</t>
  </si>
  <si>
    <t xml:space="preserve">Все SkillKey, SpeciesKey и 175 NodeRef существуют</t>
  </si>
  <si>
    <t xml:space="preserve">Sentient v1.2</t>
  </si>
  <si>
    <t xml:space="preserve">QA-004</t>
  </si>
  <si>
    <t xml:space="preserve">Nodes graph</t>
  </si>
  <si>
    <t xml:space="preserve">182 узла</t>
  </si>
  <si>
    <t xml:space="preserve">Проверить родителей и циклы</t>
  </si>
  <si>
    <t xml:space="preserve">Все родители существуют; циклов нет</t>
  </si>
  <si>
    <t xml:space="preserve">SYM-023/024</t>
  </si>
  <si>
    <t xml:space="preserve">QA-005</t>
  </si>
  <si>
    <t xml:space="preserve">Monster slots</t>
  </si>
  <si>
    <t xml:space="preserve">Кукловод или Чумной доктор</t>
  </si>
  <si>
    <t xml:space="preserve">Добавить обычного симбионта</t>
  </si>
  <si>
    <t xml:space="preserve">Отклонить</t>
  </si>
  <si>
    <t xml:space="preserve">QA-006</t>
  </si>
  <si>
    <t xml:space="preserve">Chimera slots</t>
  </si>
  <si>
    <t xml:space="preserve">Химера без подтверждённых Пожираний</t>
  </si>
  <si>
    <t xml:space="preserve">Отклонить; extraSlots=0</t>
  </si>
  <si>
    <t xml:space="preserve">QA-007</t>
  </si>
  <si>
    <t xml:space="preserve">Ability contexts</t>
  </si>
  <si>
    <t xml:space="preserve">167 способностей</t>
  </si>
  <si>
    <t xml:space="preserve">Проверить строки контекстов</t>
  </si>
  <si>
    <t xml:space="preserve">Ровно 334: COMBAT+PEACE на каждую</t>
  </si>
  <si>
    <t xml:space="preserve">QA-008</t>
  </si>
  <si>
    <t xml:space="preserve">Способность разрешена в обоих контекстах</t>
  </si>
  <si>
    <t xml:space="preserve">Прочитать поведение</t>
  </si>
  <si>
    <t xml:space="preserve">Два независимых полных описания и два player-command флага</t>
  </si>
  <si>
    <t xml:space="preserve">QA-009</t>
  </si>
  <si>
    <t xml:space="preserve">Combat critical</t>
  </si>
  <si>
    <t xml:space="preserve">Натуральная 20/1 в бою</t>
  </si>
  <si>
    <t xml:space="preserve">Разрешить проверку</t>
  </si>
  <si>
    <t xml:space="preserve">CORE-229 разрешает outcome; отдельный SYM-021 event создаётся по исходной natural 1/20.</t>
  </si>
  <si>
    <t xml:space="preserve">QA-010</t>
  </si>
  <si>
    <t xml:space="preserve">Peace critical</t>
  </si>
  <si>
    <t xml:space="preserve">Натуральная 20/1 вне боя</t>
  </si>
  <si>
    <t xml:space="preserve">Боевой auto-outcome не применяется; XP-маршрутизация natural 1/20 применяется.</t>
  </si>
  <si>
    <t xml:space="preserve">CORE-229; SYM-021; Q-APP-004; USR-2026-07-30-XP-001</t>
  </si>
  <si>
    <t xml:space="preserve">QA-011</t>
  </si>
  <si>
    <t xml:space="preserve">AttackResolution</t>
  </si>
  <si>
    <t xml:space="preserve">Критическое попадание</t>
  </si>
  <si>
    <t xml:space="preserve">Проверить броню</t>
  </si>
  <si>
    <t xml:space="preserve">Нет автоматического пробития или максимального урона без частного правила</t>
  </si>
  <si>
    <t xml:space="preserve">QA-012</t>
  </si>
  <si>
    <t xml:space="preserve">Symbiont attack</t>
  </si>
  <si>
    <t xml:space="preserve">Атакующая способность</t>
  </si>
  <si>
    <t xml:space="preserve">Маршрутизировать урон</t>
  </si>
  <si>
    <t xml:space="preserve">sourceKind=SYMBIONT_ABILITY; ItemInstance не создаётся</t>
  </si>
  <si>
    <t xml:space="preserve">QA-013</t>
  </si>
  <si>
    <t xml:space="preserve">Poison</t>
  </si>
  <si>
    <t xml:space="preserve">Абсолютный иммунитет</t>
  </si>
  <si>
    <t xml:space="preserve">Применить симбиотический яд</t>
  </si>
  <si>
    <t xml:space="preserve">Иммунитет блокирует payload до применения</t>
  </si>
  <si>
    <t xml:space="preserve">QA-014</t>
  </si>
  <si>
    <t xml:space="preserve">Игрок активирует SYM-117 вне боя</t>
  </si>
  <si>
    <t xml:space="preserve">Выполнить команду</t>
  </si>
  <si>
    <t xml:space="preserve">Сразу создан ровно один объект; time/volume/mass/load не моделируются</t>
  </si>
  <si>
    <t xml:space="preserve">QA-015</t>
  </si>
  <si>
    <t xml:space="preserve">Готовая паутина в инвентаре</t>
  </si>
  <si>
    <t xml:space="preserve">Передать/выбросить/мародёрить/удалить Паука</t>
  </si>
  <si>
    <t xml:space="preserve">Операции разрешены; предмет после удаления Паука сохраняется</t>
  </si>
  <si>
    <t xml:space="preserve">QA-016</t>
  </si>
  <si>
    <t xml:space="preserve">WEB_ITEM boundary</t>
  </si>
  <si>
    <t xml:space="preserve">Каталог Items v1.5_with_icons</t>
  </si>
  <si>
    <t xml:space="preserve">Проверить FK и иконку</t>
  </si>
  <si>
    <t xml:space="preserve">WEB_ITEM не ItemTypeID и не требует иконки</t>
  </si>
  <si>
    <t xml:space="preserve">Items v1.5_with_icons</t>
  </si>
  <si>
    <t xml:space="preserve">QA-017</t>
  </si>
  <si>
    <t xml:space="preserve">Нормализованная строка</t>
  </si>
  <si>
    <t xml:space="preserve">Канонически сериализовать</t>
  </si>
  <si>
    <t xml:space="preserve">JSON и SHA-256 совпадают</t>
  </si>
  <si>
    <t xml:space="preserve">QA-018</t>
  </si>
  <si>
    <t xml:space="preserve">Baseline</t>
  </si>
  <si>
    <t xml:space="preserve">Импорт Character Registry v1.1</t>
  </si>
  <si>
    <t xml:space="preserve">Проверить tuple и SHA источников</t>
  </si>
  <si>
    <t xml:space="preserve">Exact tuple: Rules v1.6 | Character-Skills-Symbionts v1.1 | Items v1.5_with_icons | Bestiary v1.3 | Sentient v1.2</t>
  </si>
  <si>
    <t xml:space="preserve">BASE-001..007; Character runtime contract</t>
  </si>
  <si>
    <t xml:space="preserve">XP-QA-001</t>
  </si>
  <si>
    <t xml:space="preserve">XP → DIRECT</t>
  </si>
  <si>
    <t xml:space="preserve">Связанная характеристика; rawFace=20; grade=0</t>
  </si>
  <si>
    <t xml:space="preserve">Маршрутизировать событие</t>
  </si>
  <si>
    <t xml:space="preserve">1 прямой baseXP одному симбионту</t>
  </si>
  <si>
    <t xml:space="preserve">XP-QA-002</t>
  </si>
  <si>
    <t xml:space="preserve">Связанная характеристика; rawFace=1; grade=0</t>
  </si>
  <si>
    <t xml:space="preserve">XP-QA-003</t>
  </si>
  <si>
    <t xml:space="preserve">Связанная характеристика; Triple Crit SUCCESS</t>
  </si>
  <si>
    <t xml:space="preserve">3 прямых baseXP</t>
  </si>
  <si>
    <t xml:space="preserve">CORE-083; SYM-021; USR-2026-07-30-XP-001</t>
  </si>
  <si>
    <t xml:space="preserve">XP-QA-004</t>
  </si>
  <si>
    <t xml:space="preserve">Связанная характеристика; Triple Crit FAILURE</t>
  </si>
  <si>
    <t xml:space="preserve">CORE-084; SYM-021; USR-2026-07-30-XP-001</t>
  </si>
  <si>
    <t xml:space="preserve">XP-QA-005</t>
  </si>
  <si>
    <t xml:space="preserve">Два подходящих xpEligible симбионта</t>
  </si>
  <si>
    <t xml:space="preserve">Выбрать адресата</t>
  </si>
  <si>
    <t xml:space="preserve">Ровно один равновероятный selectedSymbiontInstanceId</t>
  </si>
  <si>
    <t xml:space="preserve">XP-QA-006</t>
  </si>
  <si>
    <t xml:space="preserve">XP → COUNTER</t>
  </si>
  <si>
    <t xml:space="preserve">Несвязанная характеристика; rawFace=20</t>
  </si>
  <si>
    <t xml:space="preserve">+1 symbiontXpProgressPoints</t>
  </si>
  <si>
    <t xml:space="preserve">XP-QA-007</t>
  </si>
  <si>
    <t xml:space="preserve">Несвязанная характеристика; Double Crit FAILURE</t>
  </si>
  <si>
    <t xml:space="preserve">+2 symbiontXpProgressPoints</t>
  </si>
  <si>
    <t xml:space="preserve">XP-QA-008</t>
  </si>
  <si>
    <t xml:space="preserve">XP → CONVERT</t>
  </si>
  <si>
    <t xml:space="preserve">Счётчик=2; eventPoints=5</t>
  </si>
  <si>
    <t xml:space="preserve">Атомарно конвертировать</t>
  </si>
  <si>
    <t xml:space="preserve">+2 unallocatedSymbiontXp; остаток=1</t>
  </si>
  <si>
    <t xml:space="preserve">XP-QA-009</t>
  </si>
  <si>
    <t xml:space="preserve">DAMAGE → COUNTER</t>
  </si>
  <si>
    <t xml:space="preserve">Связанная характеристика; DAMAGE rawFace=20</t>
  </si>
  <si>
    <t xml:space="preserve">0 direct XP; +1 балл</t>
  </si>
  <si>
    <t xml:space="preserve">XP-QA-010</t>
  </si>
  <si>
    <t xml:space="preserve">INITIATIVE → COUNTER</t>
  </si>
  <si>
    <t xml:space="preserve">INITIATIVE rawFace=1</t>
  </si>
  <si>
    <t xml:space="preserve">+1 балл</t>
  </si>
  <si>
    <t xml:space="preserve">XP-QA-011</t>
  </si>
  <si>
    <t xml:space="preserve">RANDOM_TABLE → NEVER</t>
  </si>
  <si>
    <t xml:space="preserve">RANDOM_TABLE rawFace=20</t>
  </si>
  <si>
    <t xml:space="preserve">XP и баллы не изменяются</t>
  </si>
  <si>
    <t xml:space="preserve">XP-QA-012</t>
  </si>
  <si>
    <t xml:space="preserve">ABILITY_OVERRIDE → NEVER</t>
  </si>
  <si>
    <t xml:space="preserve">Искусственный Crit без rawFace 1/20</t>
  </si>
  <si>
    <t xml:space="preserve">CORE-229; SYM-082; USR-2026-07-30-XP-001</t>
  </si>
  <si>
    <t xml:space="preserve">XP-QA-013</t>
  </si>
  <si>
    <t xml:space="preserve">Equal grade → NEVER</t>
  </si>
  <si>
    <t xml:space="preserve">Подстановка rawFace=20</t>
  </si>
  <si>
    <t xml:space="preserve">Проверить источник</t>
  </si>
  <si>
    <t xml:space="preserve">Второе событие не создаётся</t>
  </si>
  <si>
    <t xml:space="preserve">XP-QA-014</t>
  </si>
  <si>
    <t xml:space="preserve">Confirmation → NEVER</t>
  </si>
  <si>
    <t xml:space="preserve">Самостоятельный XP не создаётся</t>
  </si>
  <si>
    <t xml:space="preserve">XP-QA-015</t>
  </si>
  <si>
    <t xml:space="preserve">AUTO/MANUAL</t>
  </si>
  <si>
    <t xml:space="preserve">Одинаковые исходные данные</t>
  </si>
  <si>
    <t xml:space="preserve">Сравнить маршрутизацию</t>
  </si>
  <si>
    <t xml:space="preserve">Одинаковый route/eventPoints/state delta</t>
  </si>
  <si>
    <t xml:space="preserve">XP-QA-016</t>
  </si>
  <si>
    <t xml:space="preserve">Opposed check</t>
  </si>
  <si>
    <t xml:space="preserve">Собственная natural 20; итоговый проигрыш</t>
  </si>
  <si>
    <t xml:space="preserve">Собственное XP-событие сохраняется</t>
  </si>
  <si>
    <t xml:space="preserve">XP-QA-017</t>
  </si>
  <si>
    <t xml:space="preserve">FREE → DIRECT</t>
  </si>
  <si>
    <t xml:space="preserve">Вольный; direct baseXP=1</t>
  </si>
  <si>
    <t xml:space="preserve">Начислить XP</t>
  </si>
  <si>
    <t xml:space="preserve">Симбионт получает 2 XP</t>
  </si>
  <si>
    <t xml:space="preserve">XP-QA-018</t>
  </si>
  <si>
    <t xml:space="preserve">FREE → COUNTER/ALLOCATE</t>
  </si>
  <si>
    <t xml:space="preserve">Вольный; накоплено 3 балла</t>
  </si>
  <si>
    <t xml:space="preserve">Конвертировать и распределить 1 XP</t>
  </si>
  <si>
    <t xml:space="preserve">Создан 1 unallocated; симбионт получает 2 XP</t>
  </si>
  <si>
    <t xml:space="preserve">XP-QA-019</t>
  </si>
  <si>
    <t xml:space="preserve">Unallocated persistence</t>
  </si>
  <si>
    <t xml:space="preserve">Есть нераспределённый XP</t>
  </si>
  <si>
    <t xml:space="preserve">Не выбирать симбионта</t>
  </si>
  <si>
    <t xml:space="preserve">XP сохраняется без автоназначения</t>
  </si>
  <si>
    <t xml:space="preserve">XP-QA-020</t>
  </si>
  <si>
    <t xml:space="preserve">No symbiont</t>
  </si>
  <si>
    <t xml:space="preserve">У персонажа нет симбионтов</t>
  </si>
  <si>
    <t xml:space="preserve">Накопить и попытаться распределить</t>
  </si>
  <si>
    <t xml:space="preserve">Счётчики сохраняются; распределение недоступно</t>
  </si>
  <si>
    <t xml:space="preserve">XP-QA-021</t>
  </si>
  <si>
    <t xml:space="preserve">R20×2</t>
  </si>
  <si>
    <t xml:space="preserve">rawFace=20; формула удваивает; отдельно rawFace=10 даёт итог 20</t>
  </si>
  <si>
    <t xml:space="preserve">Маршрутизировать</t>
  </si>
  <si>
    <t xml:space="preserve">Первый создаёт одно событие; второй — ни одного</t>
  </si>
  <si>
    <t xml:space="preserve">XP-QA-022</t>
  </si>
  <si>
    <t xml:space="preserve">Idempotency</t>
  </si>
  <si>
    <t xml:space="preserve">Один originRollId доставлен дважды</t>
  </si>
  <si>
    <t xml:space="preserve">Повторно обработать</t>
  </si>
  <si>
    <t xml:space="preserve">Вторая доставка не меняет состояние</t>
  </si>
  <si>
    <t xml:space="preserve">XP-QA-023</t>
  </si>
  <si>
    <t xml:space="preserve">NPC boundary</t>
  </si>
  <si>
    <t xml:space="preserve">SentientEnemy/монстр rawFace=1|20</t>
  </si>
  <si>
    <t xml:space="preserve">Счётчики и XP не создаются</t>
  </si>
  <si>
    <t xml:space="preserve">XP-QA-024</t>
  </si>
  <si>
    <t xml:space="preserve">Healing distinction</t>
  </si>
  <si>
    <t xml:space="preserve">HEALING_AMOUNT и значимая MEDICAL_CHECK</t>
  </si>
  <si>
    <t xml:space="preserve">Маршрутизировать обе</t>
  </si>
  <si>
    <t xml:space="preserve">Количество → counter; медицинская проверка со связанной характеристикой → direct</t>
  </si>
  <si>
    <t xml:space="preserve">GMXP-QA-001</t>
  </si>
  <si>
    <t xml:space="preserve">GM direct → PURE</t>
  </si>
  <si>
    <t xml:space="preserve">PURE player; owned xpEligible target; baseXP=3; reason present</t>
  </si>
  <si>
    <t xml:space="preserve">Commit award</t>
  </si>
  <si>
    <t xml:space="preserve">Target gains 3 XP; counters unchanged; immutable receipt</t>
  </si>
  <si>
    <t xml:space="preserve">GMXP-QA-002</t>
  </si>
  <si>
    <t xml:space="preserve">GM direct → FREE</t>
  </si>
  <si>
    <t xml:space="preserve">FREE player; baseXP=3</t>
  </si>
  <si>
    <t xml:space="preserve">Target gains 6 XP; multiplier applied once</t>
  </si>
  <si>
    <t xml:space="preserve">CORE-007; CORE-234</t>
  </si>
  <si>
    <t xml:space="preserve">GMXP-QA-003</t>
  </si>
  <si>
    <t xml:space="preserve">Counter bypass</t>
  </si>
  <si>
    <t xml:space="preserve">progressPoints=2; unallocated=5</t>
  </si>
  <si>
    <t xml:space="preserve">Commit baseXP=4</t>
  </si>
  <si>
    <t xml:space="preserve">Both counters remain 2 and 5; no 3→1 conversion</t>
  </si>
  <si>
    <t xml:space="preserve">GMXP-QA-004</t>
  </si>
  <si>
    <t xml:space="preserve">Validation amount</t>
  </si>
  <si>
    <t xml:space="preserve">baseXP=0 or negative/fractional</t>
  </si>
  <si>
    <t xml:space="preserve">Submit</t>
  </si>
  <si>
    <t xml:space="preserve">Reject without state/audit commit</t>
  </si>
  <si>
    <t xml:space="preserve">GMXP-QA-005</t>
  </si>
  <si>
    <t xml:space="preserve">Validation reason</t>
  </si>
  <si>
    <t xml:space="preserve">Reason empty after trim</t>
  </si>
  <si>
    <t xml:space="preserve">ERR_REASON_REQUIRED; no state change</t>
  </si>
  <si>
    <t xml:space="preserve">GMXP-QA-006</t>
  </si>
  <si>
    <t xml:space="preserve">Target eligibility</t>
  </si>
  <si>
    <t xml:space="preserve">Foreign, NPC-owned or xpEligible=false symbiont</t>
  </si>
  <si>
    <t xml:space="preserve">Reject; no award</t>
  </si>
  <si>
    <t xml:space="preserve">GMXP-QA-007</t>
  </si>
  <si>
    <t xml:space="preserve">Same awardId and identical payload delivered twice</t>
  </si>
  <si>
    <t xml:space="preserve">Retry</t>
  </si>
  <si>
    <t xml:space="preserve">Second call returns same receipt; no double XP</t>
  </si>
  <si>
    <t xml:space="preserve">GMXP-QA-008</t>
  </si>
  <si>
    <t xml:space="preserve">Immutability</t>
  </si>
  <si>
    <t xml:space="preserve">Committed valid award</t>
  </si>
  <si>
    <t xml:space="preserve">Request rollback/delete/negative compensation</t>
  </si>
  <si>
    <t xml:space="preserve">Operation unavailable/rejected; committed XP remains</t>
  </si>
  <si>
    <t xml:space="preserve">GEN-QA-001</t>
  </si>
  <si>
    <t xml:space="preserve">Enemy group generator</t>
  </si>
  <si>
    <t xml:space="preserve">Stable party snapshot; auditable seed; sentient+monster origins enabled</t>
  </si>
  <si>
    <t xml:space="preserve">Generate preview then accept</t>
  </si>
  <si>
    <t xml:space="preserve">Percent in 80..150; target/factual totals equal; average oriented to 80; every one of seven random stats &lt;=35; accepted instances enter combat setup; no AI/template mutation</t>
  </si>
  <si>
    <t xml:space="preserve">Формульный контроль выпуска v1.2</t>
  </si>
  <si>
    <t xml:space="preserve">Release-gate v1.2: builtAgainst payload сохранён, новая extension-полоса проверяется отдельно; frozen runtime pack v1.2 принимается по version+SHA.</t>
  </si>
  <si>
    <t xml:space="preserve">Ожидается</t>
  </si>
  <si>
    <t xml:space="preserve">Фактически</t>
  </si>
  <si>
    <t xml:space="preserve">Результат</t>
  </si>
  <si>
    <t xml:space="preserve">Назначение</t>
  </si>
  <si>
    <t xml:space="preserve">Ровно S,D,M,Z,I,W,C</t>
  </si>
  <si>
    <t xml:space="preserve">PURE, FREE, UNITED</t>
  </si>
  <si>
    <t xml:space="preserve">STALKER, SOLDIER, SEEKER</t>
  </si>
  <si>
    <t xml:space="preserve">41 выбираемый + 4 фиксированных</t>
  </si>
  <si>
    <t xml:space="preserve">20 обычных + 3 чудовища</t>
  </si>
  <si>
    <t xml:space="preserve">Полная топология</t>
  </si>
  <si>
    <t xml:space="preserve">Только accepted automation</t>
  </si>
  <si>
    <t xml:space="preserve">Две строки на способность</t>
  </si>
  <si>
    <t xml:space="preserve">Без executable behavior</t>
  </si>
  <si>
    <t xml:space="preserve">Генерируемые объекты</t>
  </si>
  <si>
    <t xml:space="preserve">WEB_ITEM среди ItemTypeID</t>
  </si>
  <si>
    <t xml:space="preserve">Не расширяет Item Registry</t>
  </si>
  <si>
    <t xml:space="preserve">Неразрешённые Rule ID</t>
  </si>
  <si>
    <t xml:space="preserve">Case-exact Rules v1.6; финальная сверка baseline</t>
  </si>
  <si>
    <t xml:space="preserve">Неразрешённые Sentient NodeRef</t>
  </si>
  <si>
    <t xml:space="preserve">175/175</t>
  </si>
  <si>
    <t xml:space="preserve">QA сценарии FAIL</t>
  </si>
  <si>
    <t xml:space="preserve">51 сценарий</t>
  </si>
  <si>
    <t xml:space="preserve">Pre-build проверки FAIL</t>
  </si>
  <si>
    <t xml:space="preserve">60 программных проверок</t>
  </si>
  <si>
    <t xml:space="preserve">Payload QA FAIL</t>
  </si>
  <si>
    <t xml:space="preserve">1 144 канонических payload</t>
  </si>
  <si>
    <t xml:space="preserve">Dependency tuple</t>
  </si>
  <si>
    <t xml:space="preserve">1 142 builtAgainst rows + 2 extension rows</t>
  </si>
  <si>
    <t xml:space="preserve">Source hashes</t>
  </si>
  <si>
    <t xml:space="preserve">Source hashes preserved; runtime pack v1.2 pinned by full SHA in import contract</t>
  </si>
  <si>
    <t xml:space="preserve">Manifest v1.2 builtAgainst + forward compatibility</t>
  </si>
  <si>
    <t xml:space="preserve">48 отношений из профильных Rules v1.6</t>
  </si>
  <si>
    <t xml:space="preserve">Профили с LinkedStatCodes</t>
  </si>
  <si>
    <t xml:space="preserve">Все виды имеют хотя бы один код</t>
  </si>
  <si>
    <t xml:space="preserve">Дубли LinkID</t>
  </si>
  <si>
    <t xml:space="preserve">Каждый LinkID уникален</t>
  </si>
  <si>
    <t xml:space="preserve">Расовые множители</t>
  </si>
  <si>
    <t xml:space="preserve">Три полных профиля multiplier</t>
  </si>
  <si>
    <t xml:space="preserve">Character XP fields</t>
  </si>
  <si>
    <t xml:space="preserve">progressPoints + unallocated</t>
  </si>
  <si>
    <t xml:space="preserve">Symbiont XP/runtime fields</t>
  </si>
  <si>
    <t xml:space="preserve">xp + effectsEnabled + xpEligible</t>
  </si>
  <si>
    <t xml:space="preserve">Все обязательные поля</t>
  </si>
  <si>
    <t xml:space="preserve">Progression routes</t>
  </si>
  <si>
    <t xml:space="preserve">DIRECT/COUNTER/NEVER</t>
  </si>
  <si>
    <t xml:space="preserve">Event point policies</t>
  </si>
  <si>
    <t xml:space="preserve">natural 1/20 + grades 1..5</t>
  </si>
  <si>
    <t xml:space="preserve">NO_DIRECT_BUT_POOL roll kinds</t>
  </si>
  <si>
    <t xml:space="preserve">Полный whitelist</t>
  </si>
  <si>
    <t xml:space="preserve">NEVER sources</t>
  </si>
  <si>
    <t xml:space="preserve">Полный blacklist</t>
  </si>
  <si>
    <t xml:space="preserve">Race XP policies</t>
  </si>
  <si>
    <t xml:space="preserve">PURE/FREE/UNITED</t>
  </si>
  <si>
    <t xml:space="preserve">Suppression XP policies</t>
  </si>
  <si>
    <t xml:space="preserve">TAIPAN/ADVISER/PENGUIN</t>
  </si>
  <si>
    <t xml:space="preserve">XP operations</t>
  </si>
  <si>
    <t xml:space="preserve">ROUTE/CONVERT/ALLOCATE/GM_DIRECT</t>
  </si>
  <si>
    <t xml:space="preserve">QA scenario count</t>
  </si>
  <si>
    <t xml:space="preserve">42 preserved + 8 GM_DIRECT + 1 generator</t>
  </si>
  <si>
    <t xml:space="preserve">Payload count</t>
  </si>
  <si>
    <t xml:space="preserve">1 142 base + 2 extensions</t>
  </si>
  <si>
    <t xml:space="preserve">Affected Rule trace</t>
  </si>
  <si>
    <t xml:space="preserve">Добавлен CORE-234</t>
  </si>
  <si>
    <t xml:space="preserve">Ноль FAIL во всех строках контроля</t>
  </si>
  <si>
    <t xml:space="preserve">GM_DIRECT operation</t>
  </si>
  <si>
    <t xml:space="preserve">Typed operation</t>
  </si>
  <si>
    <t xml:space="preserve">GM_DIRECT payload</t>
  </si>
  <si>
    <t xml:space="preserve">Canonical JSON + SHA</t>
  </si>
  <si>
    <t xml:space="preserve">GM_DIRECT QA cases</t>
  </si>
  <si>
    <t xml:space="preserve">Positive/negative/idempotency/immutability</t>
  </si>
  <si>
    <t xml:space="preserve">GM direct policies</t>
  </si>
  <si>
    <t xml:space="preserve">Independent from roll route</t>
  </si>
  <si>
    <t xml:space="preserve">GM award fields</t>
  </si>
  <si>
    <t xml:space="preserve">Complete immutable receipt</t>
  </si>
  <si>
    <t xml:space="preserve">No rollback contract</t>
  </si>
  <si>
    <t xml:space="preserve">User decision</t>
  </si>
  <si>
    <t xml:space="preserve">Frozen runtime SHA</t>
  </si>
  <si>
    <t xml:space="preserve">Exact allowlist</t>
  </si>
  <si>
    <t xml:space="preserve">Forward compatibility assertion</t>
  </si>
  <si>
    <t xml:space="preserve">builtAgainst model</t>
  </si>
  <si>
    <t xml:space="preserve">Current extension tuple rows</t>
  </si>
  <si>
    <t xml:space="preserve">GM_DIRECT + generator</t>
  </si>
  <si>
    <t xml:space="preserve">Group generator operation</t>
  </si>
  <si>
    <t xml:space="preserve">80–150%, avg80, cap35</t>
  </si>
  <si>
    <t xml:space="preserve">Group generator payload</t>
  </si>
  <si>
    <t xml:space="preserve">Журнал изменений v1.1</t>
  </si>
  <si>
    <t xml:space="preserve">История v1.0 сохранена; строки 11–22 фиксируют нормативные, runtime, payload и QA-изменения механики опыта.</t>
  </si>
  <si>
    <t xml:space="preserve">№</t>
  </si>
  <si>
    <t xml:space="preserve">Тип изменения</t>
  </si>
  <si>
    <t xml:space="preserve">Область</t>
  </si>
  <si>
    <t xml:space="preserve">Entity / Rule IDs</t>
  </si>
  <si>
    <t xml:space="preserve">Изменение</t>
  </si>
  <si>
    <t xml:space="preserve">Основание</t>
  </si>
  <si>
    <t xml:space="preserve">Результат для приложения</t>
  </si>
  <si>
    <t xml:space="preserve">Совместимость</t>
  </si>
  <si>
    <t xml:space="preserve">Содержательное</t>
  </si>
  <si>
    <t xml:space="preserve">Персонаж</t>
  </si>
  <si>
    <t xml:space="preserve">Зафиксированы 7 канонических характеристик и четыре слоя значений.</t>
  </si>
  <si>
    <t xml:space="preserve">Rules v1.5</t>
  </si>
  <si>
    <t xml:space="preserve">Единая схема создания и runtime</t>
  </si>
  <si>
    <t xml:space="preserve">Совместимо</t>
  </si>
  <si>
    <t xml:space="preserve">DONE</t>
  </si>
  <si>
    <t xml:space="preserve">45 SkillKey</t>
  </si>
  <si>
    <t xml:space="preserve">Собраны 41 выбираемый и 4 фиксированных навыка; 15 существующих ключей сохранены, 30 новых стабилизированы.</t>
  </si>
  <si>
    <t xml:space="preserve">CORE-165/167; Sentient v1.1</t>
  </si>
  <si>
    <t xml:space="preserve">Каталог SkillKey и требования</t>
  </si>
  <si>
    <t xml:space="preserve">23 SpeciesKey; 182 NodeRef</t>
  </si>
  <si>
    <t xml:space="preserve">Собраны профили, уровни, ветви, родители и несовместимости.</t>
  </si>
  <si>
    <t xml:space="preserve">Rules v1.5; Sentient v1.1</t>
  </si>
  <si>
    <t xml:space="preserve">Нормализованное дерево развития</t>
  </si>
  <si>
    <t xml:space="preserve">Автоматизация</t>
  </si>
  <si>
    <t xml:space="preserve">167 AbilityID</t>
  </si>
  <si>
    <t xml:space="preserve">Исполняемое поведение включено только для принятых автоматизируемых способностей; 15 узлов оставлены без поведения.</t>
  </si>
  <si>
    <t xml:space="preserve">Q&amp;A v1.0</t>
  </si>
  <si>
    <t xml:space="preserve">Без ручных механик в runtime</t>
  </si>
  <si>
    <t xml:space="preserve">334 AbilityContextID</t>
  </si>
  <si>
    <t xml:space="preserve">Для каждой способности заданы COMBAT и PEACE, доступность игроку и отдельное поведение/отказ.</t>
  </si>
  <si>
    <t xml:space="preserve">Q-APP-001..004</t>
  </si>
  <si>
    <t xml:space="preserve">Явная маршрутизация UI и ядра</t>
  </si>
  <si>
    <t xml:space="preserve">SYM-117; WEB_ITEM</t>
  </si>
  <si>
    <t xml:space="preserve">Один предмет мгновенно вне боя; время, объём, масса и нагрузка не моделируются; no auto-merge.</t>
  </si>
  <si>
    <t xml:space="preserve">Служебный объект нового namespace</t>
  </si>
  <si>
    <t xml:space="preserve">Item Registry не изменён</t>
  </si>
  <si>
    <t xml:space="preserve">Техническое</t>
  </si>
  <si>
    <t xml:space="preserve">Runtime</t>
  </si>
  <si>
    <t xml:space="preserve">SYMBIOSIS_CHARACTER_SKILLS_SYMBIONTS_V1.0</t>
  </si>
  <si>
    <t xml:space="preserve">Добавлены канонические JSON payload и SHA-256 на сущность.</t>
  </si>
  <si>
    <t xml:space="preserve">Интеграционный контракт</t>
  </si>
  <si>
    <t xml:space="preserve">Встраиваемость и CI</t>
  </si>
  <si>
    <t xml:space="preserve">44 Sentient payload</t>
  </si>
  <si>
    <t xml:space="preserve">Подтверждены SkillKey, SpeciesKey, 175 NodeRef и slot invariants.</t>
  </si>
  <si>
    <t xml:space="preserve">Sentient v1.1</t>
  </si>
  <si>
    <t xml:space="preserve">Импорт без миграции ID</t>
  </si>
  <si>
    <t xml:space="preserve">Редакционное</t>
  </si>
  <si>
    <t xml:space="preserve">Термины</t>
  </si>
  <si>
    <t xml:space="preserve">Z/W/M; ADVISER</t>
  </si>
  <si>
    <t xml:space="preserve">Z=Здоровье, W=Мудрость, M=Метаболизм; ADVISOR объявлен deprecated alias.</t>
  </si>
  <si>
    <t xml:space="preserve">Приоритет специфичных карточек</t>
  </si>
  <si>
    <t xml:space="preserve">Устранены словарные конфликты</t>
  </si>
  <si>
    <t xml:space="preserve">Manifest</t>
  </si>
  <si>
    <t xml:space="preserve">Manifest v1.1 target</t>
  </si>
  <si>
    <t xml:space="preserve">Manifest v1.0 не изменён; подготовлен контракт включения пятого нормативного реестра.</t>
  </si>
  <si>
    <t xml:space="preserve">BASE-001..007</t>
  </si>
  <si>
    <t xml:space="preserve">Новый файл можно добавить будущей версией manifest</t>
  </si>
  <si>
    <t xml:space="preserve">Требует нового manifest hash</t>
  </si>
  <si>
    <t xml:space="preserve">XP симбионтов</t>
  </si>
  <si>
    <t xml:space="preserve">SYM-021; CORE-007; CORE-229</t>
  </si>
  <si>
    <t xml:space="preserve">Natural 20 и 1, обе полярности и grades 1..5 маршрутизируются в direct/counter/never.</t>
  </si>
  <si>
    <t xml:space="preserve">Единое поведение COMBAT/PEACE и AUTO/MANUAL</t>
  </si>
  <si>
    <t xml:space="preserve">Требует Rules v1.6</t>
  </si>
  <si>
    <t xml:space="preserve">Linked stats</t>
  </si>
  <si>
    <t xml:space="preserve">23 SpeciesKey; 48 links</t>
  </si>
  <si>
    <t xml:space="preserve">Добавлены LinkedStatCodes и нормализованная таблица отношений, дословно соответствующая 23 профильным карточкам.</t>
  </si>
  <si>
    <t xml:space="preserve">Профильные Rules v1.6</t>
  </si>
  <si>
    <t xml:space="preserve">Машинный выбор кандидатов direct XP</t>
  </si>
  <si>
    <t xml:space="preserve">symbiontXpProgressPoints; unallocatedSymbiontXp</t>
  </si>
  <si>
    <t xml:space="preserve">Добавлено постоянное состояние общего счётчика.</t>
  </si>
  <si>
    <t xml:space="preserve">3 балла → 1 распределяемый XP</t>
  </si>
  <si>
    <t xml:space="preserve">Миграция save schema</t>
  </si>
  <si>
    <t xml:space="preserve">xp; effectsEnabled; xpEligible</t>
  </si>
  <si>
    <t xml:space="preserve">Добавлен XP и разделены эффекты/право прогрессии.</t>
  </si>
  <si>
    <t xml:space="preserve">SYM-038; SYM-075; SYM-130</t>
  </si>
  <si>
    <t xml:space="preserve">Корректная обработка Тайпана, Советника и Пингвина</t>
  </si>
  <si>
    <t xml:space="preserve">Runtime event</t>
  </si>
  <si>
    <t xml:space="preserve">19 SymbiontXpEvent fields</t>
  </si>
  <si>
    <t xml:space="preserve">Добавлен типизированный контракт события и дедупликация originRollId.</t>
  </si>
  <si>
    <t xml:space="preserve">Идемпотентный audit trail</t>
  </si>
  <si>
    <t xml:space="preserve">Операции</t>
  </si>
  <si>
    <t xml:space="preserve">ROUTE; CONVERT; ALLOCATE</t>
  </si>
  <si>
    <t xml:space="preserve">Добавлены три атомарные операции XP.</t>
  </si>
  <si>
    <t xml:space="preserve">Явные state transitions и ошибки</t>
  </si>
  <si>
    <t xml:space="preserve">Policies</t>
  </si>
  <si>
    <t xml:space="preserve">35 policy rows</t>
  </si>
  <si>
    <t xml:space="preserve">Заданы routes, eventPoints, no-direct, never, race и suppression.</t>
  </si>
  <si>
    <t xml:space="preserve">Машинный whitelist/blacklist</t>
  </si>
  <si>
    <t xml:space="preserve">Non-roll XP</t>
  </si>
  <si>
    <t xml:space="preserve">Сохранён отдельный XP Учителя; suppression xpEligible имеет приоритет.</t>
  </si>
  <si>
    <t xml:space="preserve">Новая механика не отменяет независимые источники</t>
  </si>
  <si>
    <t xml:space="preserve">Сценарии</t>
  </si>
  <si>
    <t xml:space="preserve">XP-QA-001..024</t>
  </si>
  <si>
    <t xml:space="preserve">Сохранены 18 прежних и добавлены 24 фактически исполненных сценария.</t>
  </si>
  <si>
    <t xml:space="preserve">42/42 PASS</t>
  </si>
  <si>
    <t xml:space="preserve">1 142 payload</t>
  </si>
  <si>
    <t xml:space="preserve">Добавлены mapping/policy/operation payload; все SHA и tuple пересчитаны.</t>
  </si>
  <si>
    <t xml:space="preserve">Импорт и CI</t>
  </si>
  <si>
    <t xml:space="preserve">Только tuple v1.1</t>
  </si>
  <si>
    <t xml:space="preserve">Rule trace</t>
  </si>
  <si>
    <t xml:space="preserve">16 affected Rule ID</t>
  </si>
  <si>
    <t xml:space="preserve">Устранены прежние тезисы only-positive/no-counter; CORE-085 отделён.</t>
  </si>
  <si>
    <t xml:space="preserve">Нет внутреннего противоречия</t>
  </si>
  <si>
    <t xml:space="preserve">Зафиксирован точный dependency tuple без циклического hash-включения.</t>
  </si>
  <si>
    <t xml:space="preserve">Пятый нормативный артефакт</t>
  </si>
  <si>
    <t xml:space="preserve">Требует Manifest v1.1</t>
  </si>
  <si>
    <t xml:space="preserve">SYMBIOSIS V7 — Symbiont XP Runtime Contract v1.2</t>
  </si>
  <si>
    <t xml:space="preserve">SYMBIOSIS V7 — Symbiont XP Runtime Contract v1.1</t>
  </si>
  <si>
    <t xml:space="preserve">Обычный natural 1/20 contract остаётся builtAgainst Rules v1.6 | Character-Skills-Symbionts v1.1 | Items v1.5_with_icons | Bestiary v1.3 | Sentient v1.2. v1.2 добавляет независимый immutable GM_DIRECT, совместимый с Rules v1.7 | Character-Skills-Symbionts v1.2 | Items v1.6_with_icons | Bestiary v1.4 | Sentient v1.2.</t>
  </si>
  <si>
    <t xml:space="preserve">Единая машинная политика маршрутизации натуральных 1/20. Exact dependency tuple: Rules v1.6 | Character-Skills-Symbionts v1.1 | Items v1.5_with_icons | Bestiary v1.3 | Sentient v1.2</t>
  </si>
  <si>
    <t xml:space="preserve">A. Progression routes</t>
  </si>
  <si>
    <t xml:space="preserve">RouteCode</t>
  </si>
  <si>
    <t xml:space="preserve">AppliesWhen</t>
  </si>
  <si>
    <t xml:space="preserve">DirectXP</t>
  </si>
  <si>
    <t xml:space="preserve">CounterPoints</t>
  </si>
  <si>
    <t xml:space="preserve">StateTransition</t>
  </si>
  <si>
    <t xml:space="preserve">Terminal</t>
  </si>
  <si>
    <t xml:space="preserve">RuleIDs</t>
  </si>
  <si>
    <t xml:space="preserve">PLAYER_CHARACTER; original D20 rawFace=1|20; значимая проверка; modifierStatCodes пересекаются с LinkedStatCodes хотя бы одного xpEligible симбионта; rollKind не NO_DIRECT_BUT_POOL/NEVER.</t>
  </si>
  <si>
    <t xml:space="preserve">PLAYER_CHARACTER; original D20 rawFace=1|20; событие не NEVER; нет подходящего LinkedStatCode либо rollKind=NO_DIRECT_BUT_POOL.</t>
  </si>
  <si>
    <t xml:space="preserve">Любой запрет из SymbiontXpNeverSourcePolicy либо actorType не PLAYER_CHARACTER.</t>
  </si>
  <si>
    <t xml:space="preserve">B. Event points</t>
  </si>
  <si>
    <t xml:space="preserve">PointPolicyID</t>
  </si>
  <si>
    <t xml:space="preserve">NaturalFace</t>
  </si>
  <si>
    <t xml:space="preserve">ConfirmedGrade</t>
  </si>
  <si>
    <t xml:space="preserve">EventPoints</t>
  </si>
  <si>
    <t xml:space="preserve">GradeReplacesBase</t>
  </si>
  <si>
    <t xml:space="preserve">1|20</t>
  </si>
  <si>
    <t xml:space="preserve">SUCCESS|FAILURE</t>
  </si>
  <si>
    <t xml:space="preserve">CORE-083; CORE-084; SYM-021; USR-2026-07-30-XP-001</t>
  </si>
  <si>
    <t xml:space="preserve">C. Roll-kind policy</t>
  </si>
  <si>
    <t xml:space="preserve">RollKind</t>
  </si>
  <si>
    <t xml:space="preserve">ProgressionClass</t>
  </si>
  <si>
    <t xml:space="preserve">DirectXPAllowed</t>
  </si>
  <si>
    <t xml:space="preserve">CounterAllowed</t>
  </si>
  <si>
    <t xml:space="preserve">CriticalChainAllowed</t>
  </si>
  <si>
    <t xml:space="preserve">OriginalD20Required</t>
  </si>
  <si>
    <t xml:space="preserve">D. Never-progression sources</t>
  </si>
  <si>
    <t xml:space="preserve">NeverSourceCode</t>
  </si>
  <si>
    <t xml:space="preserve">MatchCondition</t>
  </si>
  <si>
    <t xml:space="preserve">CreatesProgressionEvent</t>
  </si>
  <si>
    <t xml:space="preserve">CreatesXPOrPoints</t>
  </si>
  <si>
    <t xml:space="preserve">AuditOnly</t>
  </si>
  <si>
    <t xml:space="preserve">E. Race multipliers</t>
  </si>
  <si>
    <t xml:space="preserve">DirectXpMultiplier</t>
  </si>
  <si>
    <t xml:space="preserve">ProgressPointMultiplier</t>
  </si>
  <si>
    <t xml:space="preserve">ConversionThreshold</t>
  </si>
  <si>
    <t xml:space="preserve">UnallocatedXpPerThreshold</t>
  </si>
  <si>
    <t xml:space="preserve">AllocationXpMultiplier</t>
  </si>
  <si>
    <t xml:space="preserve">AppliesToPlayerOnly</t>
  </si>
  <si>
    <t xml:space="preserve">F. Suppression: effectsEnabled ≠ xpEligible</t>
  </si>
  <si>
    <t xml:space="preserve">PolicyID</t>
  </si>
  <si>
    <t xml:space="preserve">SuppressorSpeciesKey</t>
  </si>
  <si>
    <t xml:space="preserve">EffectsEnabled</t>
  </si>
  <si>
    <t xml:space="preserve">XpEligible</t>
  </si>
  <si>
    <t xml:space="preserve">AppliesToDirectAndOtherAwards</t>
  </si>
  <si>
    <t xml:space="preserve">SYM-038; Q-SYM-016</t>
  </si>
  <si>
    <t xml:space="preserve">SYM-075; Q-CHAR-006</t>
  </si>
  <si>
    <t xml:space="preserve">G. SymbiontXpEvent fields</t>
  </si>
  <si>
    <t xml:space="preserve">originRollId</t>
  </si>
  <si>
    <t xml:space="preserve">SymbiontXpEvent</t>
  </si>
  <si>
    <t xml:space="preserve">Обязателен; уникален в паре с actorCharacterId.</t>
  </si>
  <si>
    <t xml:space="preserve">Дедупликация исходного D20.</t>
  </si>
  <si>
    <t xml:space="preserve">actorCharacterId</t>
  </si>
  <si>
    <t xml:space="preserve">FK CharacterProfile.</t>
  </si>
  <si>
    <t xml:space="preserve">Владелец прогрессии.</t>
  </si>
  <si>
    <t xml:space="preserve">actorType</t>
  </si>
  <si>
    <t xml:space="preserve">PLAYER_CHARACTER|NPC|CANONICAL_MONSTER|CUSTOM_MONSTER|SYSTEM_SENTIENT_ENEMY.</t>
  </si>
  <si>
    <t xml:space="preserve">Только PLAYER_CHARACTER допускает прогрессию.</t>
  </si>
  <si>
    <t xml:space="preserve">rollSource</t>
  </si>
  <si>
    <t xml:space="preserve">AUTO|MANUAL.</t>
  </si>
  <si>
    <t xml:space="preserve">Источник броска не меняет результат.</t>
  </si>
  <si>
    <t xml:space="preserve">dieType</t>
  </si>
  <si>
    <t xml:space="preserve">Для прогрессии только D20.</t>
  </si>
  <si>
    <t xml:space="preserve">Фиксация типа дайса.</t>
  </si>
  <si>
    <t xml:space="preserve">rawFace</t>
  </si>
  <si>
    <t xml:space="preserve">1..20; прогрессия только rawFace=1|20.</t>
  </si>
  <si>
    <t xml:space="preserve">Натуральная грань до формул.</t>
  </si>
  <si>
    <t xml:space="preserve">CORE-082; SYM-021; USR-2026-07-30-XP-001</t>
  </si>
  <si>
    <t xml:space="preserve">rollKind</t>
  </si>
  <si>
    <t xml:space="preserve">FK SymbiontXpRollKindPolicy.</t>
  </si>
  <si>
    <t xml:space="preserve">Классификация DIRECT/COUNTER/NEVER.</t>
  </si>
  <si>
    <t xml:space="preserve">checkKind</t>
  </si>
  <si>
    <t xml:space="preserve">ACTION|ATTACK|DEFENSE|RESISTANCE|MEDICAL_CHECK|OTHER|NONE.</t>
  </si>
  <si>
    <t xml:space="preserve">Смысл исходной проверки.</t>
  </si>
  <si>
    <t xml:space="preserve">modifierStatCodes</t>
  </si>
  <si>
    <t xml:space="preserve">StatCode[]</t>
  </si>
  <si>
    <t xml:space="preserve">Только реально прибавленные характеристики; все FK StatCode.</t>
  </si>
  <si>
    <t xml:space="preserve">Пересечение с LinkedStatCodes.</t>
  </si>
  <si>
    <t xml:space="preserve">criticalSource</t>
  </si>
  <si>
    <t xml:space="preserve">NATURAL_FACE|CONFIRMATION_CHAIN|ABILITY_OVERRIDE|EQUAL_GRADE_SUBSTITUTION|NONE.</t>
  </si>
  <si>
    <t xml:space="preserve">Отделить натуральную грань от искусственной.</t>
  </si>
  <si>
    <t xml:space="preserve">criticalPolarity</t>
  </si>
  <si>
    <t xml:space="preserve">SUCCESS|FAILURE|NONE.</t>
  </si>
  <si>
    <t xml:space="preserve">Одинаковая шкала XP для успеха и провала.</t>
  </si>
  <si>
    <t xml:space="preserve">confirmedGrade</t>
  </si>
  <si>
    <t xml:space="preserve">0..5; grade заменяет базовую единицу.</t>
  </si>
  <si>
    <t xml:space="preserve">Crit..Rampage.</t>
  </si>
  <si>
    <t xml:space="preserve">isOriginalRoll</t>
  </si>
  <si>
    <t xml:space="preserve">Только true может создавать прогрессию.</t>
  </si>
  <si>
    <t xml:space="preserve">Исключение производных бросков.</t>
  </si>
  <si>
    <t xml:space="preserve">isConfirmationRoll</t>
  </si>
  <si>
    <t xml:space="preserve">true всегда маршрутизируется NEVER.</t>
  </si>
  <si>
    <t xml:space="preserve">Не создавать второе событие.</t>
  </si>
  <si>
    <t xml:space="preserve">isEqualGradeSubstitution</t>
  </si>
  <si>
    <t xml:space="preserve">Не создавать второе событие при replay rawFace=20.</t>
  </si>
  <si>
    <t xml:space="preserve">progressionRoute</t>
  </si>
  <si>
    <t xml:space="preserve">DIRECT_SYMBIONT|CHARACTER_PROGRESS_COUNTER|NEVER_PROGRESSION.</t>
  </si>
  <si>
    <t xml:space="preserve">Итог маршрутизатора.</t>
  </si>
  <si>
    <t xml:space="preserve">eventPoints</t>
  </si>
  <si>
    <t xml:space="preserve">0..5; 0 только для NEVER.</t>
  </si>
  <si>
    <t xml:space="preserve">XP либо баллы события.</t>
  </si>
  <si>
    <t xml:space="preserve">selectedSymbiontInstanceId</t>
  </si>
  <si>
    <t xml:space="preserve">UUID|null</t>
  </si>
  <si>
    <t xml:space="preserve">Обязателен только для DIRECT_SYMBIONT; ровно один.</t>
  </si>
  <si>
    <t xml:space="preserve">Адресат прямого XP.</t>
  </si>
  <si>
    <t xml:space="preserve">processingStatus</t>
  </si>
  <si>
    <t xml:space="preserve">PENDING|APPLIED_DIRECT|APPLIED_COUNTER|IGNORED_NEVER|IGNORED_DUPLICATE|REJECTED_INVALID.</t>
  </si>
  <si>
    <t xml:space="preserve">Идемпотентность, маршрут и аудит.</t>
  </si>
  <si>
    <t xml:space="preserve">H. Immutable GM direct XP policy</t>
  </si>
  <si>
    <t xml:space="preserve">BaseXP</t>
  </si>
  <si>
    <t xml:space="preserve">Multiplier</t>
  </si>
  <si>
    <t xml:space="preserve">CounterEffect</t>
  </si>
  <si>
    <t xml:space="preserve">CommitPolicy</t>
  </si>
  <si>
    <t xml:space="preserve">Audit</t>
  </si>
  <si>
    <t xml:space="preserve">GM command at safe boundary</t>
  </si>
  <si>
    <t xml:space="preserve">Owned xpEligible symbiont of PLAYER_CHARACTER</t>
  </si>
  <si>
    <t xml:space="preserve">integer &gt;=1; reason required</t>
  </si>
  <si>
    <t xml:space="preserve">FREE=2; otherwise 1; exactly once</t>
  </si>
  <si>
    <t xml:space="preserve">NONE: no progressPoints, unallocatedXP or 3:1</t>
  </si>
  <si>
    <t xml:space="preserve">COMMITTED_ALWAYS_VALID; no rollback/delete/compensation</t>
  </si>
  <si>
    <t xml:space="preserve">awardId exact retry returns same receipt</t>
  </si>
  <si>
    <t xml:space="preserve">Append-only full before/after receipt</t>
  </si>
  <si>
    <t xml:space="preserve">I. MasterSymbiontXpAward fields</t>
  </si>
  <si>
    <t xml:space="preserve">awardId</t>
  </si>
  <si>
    <t xml:space="preserve">MasterSymbiontXpAward</t>
  </si>
  <si>
    <t xml:space="preserve">Unique; exact retry only</t>
  </si>
  <si>
    <t xml:space="preserve">masterUserId</t>
  </si>
  <si>
    <t xml:space="preserve">Current authorized GM</t>
  </si>
  <si>
    <t xml:space="preserve">Audit actor</t>
  </si>
  <si>
    <t xml:space="preserve">FK PLAYER_CHARACTER</t>
  </si>
  <si>
    <t xml:space="preserve">XP owner</t>
  </si>
  <si>
    <t xml:space="preserve">Owned; xpEligible=true</t>
  </si>
  <si>
    <t xml:space="preserve">Exact target</t>
  </si>
  <si>
    <t xml:space="preserve">baseXP</t>
  </si>
  <si>
    <t xml:space="preserve">&gt;=1</t>
  </si>
  <si>
    <t xml:space="preserve">Pre-multiplier amount</t>
  </si>
  <si>
    <t xml:space="preserve">reason</t>
  </si>
  <si>
    <t xml:space="preserve">string</t>
  </si>
  <si>
    <t xml:space="preserve">trim length 1..2000</t>
  </si>
  <si>
    <t xml:space="preserve">Mandatory reason</t>
  </si>
  <si>
    <t xml:space="preserve">multiplier</t>
  </si>
  <si>
    <t xml:space="preserve">FREE=2; else 1</t>
  </si>
  <si>
    <t xml:space="preserve">One-time race policy</t>
  </si>
  <si>
    <t xml:space="preserve">finalXP</t>
  </si>
  <si>
    <t xml:space="preserve">baseXP*multiplier</t>
  </si>
  <si>
    <t xml:space="preserve">Applied delta</t>
  </si>
  <si>
    <t xml:space="preserve">committedAt</t>
  </si>
  <si>
    <t xml:space="preserve">timestamp</t>
  </si>
  <si>
    <t xml:space="preserve">Server campaign time</t>
  </si>
  <si>
    <t xml:space="preserve">Immutable ordering</t>
  </si>
  <si>
    <t xml:space="preserve">beforeAfter</t>
  </si>
  <si>
    <t xml:space="preserve">beforeXP and afterXP</t>
  </si>
  <si>
    <t xml:space="preserve">Audit receipt</t>
  </si>
  <si>
    <t xml:space="preserve">immutable</t>
  </si>
  <si>
    <t xml:space="preserve">Always true; no inverse command</t>
  </si>
  <si>
    <t xml:space="preserve">Commit policy</t>
  </si>
  <si>
    <t xml:space="preserve">SYMBIOSIS V7 — Character, Skills &amp; Symbionts v1.2</t>
  </si>
  <si>
    <t xml:space="preserve">GM_DIRECT extension and frozen Runtime Pack v1.2 compatibility.</t>
  </si>
  <si>
    <t xml:space="preserve">ID</t>
  </si>
  <si>
    <t xml:space="preserve">Было</t>
  </si>
  <si>
    <t xml:space="preserve">Стало</t>
  </si>
  <si>
    <t xml:space="preserve">CHR-V12-001</t>
  </si>
  <si>
    <t xml:space="preserve">Нет GM award</t>
  </si>
  <si>
    <t xml:space="preserve">Добавлен OP-SYMBIONT-XP-GM-AWARD</t>
  </si>
  <si>
    <t xml:space="preserve">CHR-V12-002</t>
  </si>
  <si>
    <t xml:space="preserve">XP runtime</t>
  </si>
  <si>
    <t xml:space="preserve">Только roll routes</t>
  </si>
  <si>
    <t xml:space="preserve">Добавлен независимый GM_DIRECT policy и 11 полей receipt</t>
  </si>
  <si>
    <t xml:space="preserve">CHR-V12-003</t>
  </si>
  <si>
    <t xml:space="preserve">Counters</t>
  </si>
  <si>
    <t xml:space="preserve">Обычная route/conversion</t>
  </si>
  <si>
    <t xml:space="preserve">GM_DIRECT не читает и не пишет counters/unallocated/3:1</t>
  </si>
  <si>
    <t xml:space="preserve">CHR-V12-004</t>
  </si>
  <si>
    <t xml:space="preserve">Не определено</t>
  </si>
  <si>
    <t xml:space="preserve">Committed award always valid; inverse operations absent</t>
  </si>
  <si>
    <t xml:space="preserve">Решение 2026-08-01</t>
  </si>
  <si>
    <t xml:space="preserve">CHR-V12-005</t>
  </si>
  <si>
    <t xml:space="preserve">1 142 rows</t>
  </si>
  <si>
    <t xml:space="preserve">1 144 rows; GM_DIRECT and generator use v1.2 tuple</t>
  </si>
  <si>
    <t xml:space="preserve">Forward-compatible extension</t>
  </si>
  <si>
    <t xml:space="preserve">CHR-V12-006</t>
  </si>
  <si>
    <t xml:space="preserve">Runtime pack</t>
  </si>
  <si>
    <t xml:space="preserve">Exact tuple equality</t>
  </si>
  <si>
    <t xml:space="preserve">Frozen v1.2 package accepted by version + full SHA + forward assertion</t>
  </si>
  <si>
    <t xml:space="preserve">Manifest v1.2</t>
  </si>
  <si>
    <t xml:space="preserve">CHR-V12-007</t>
  </si>
  <si>
    <t xml:space="preserve">42 scenarios</t>
  </si>
  <si>
    <t xml:space="preserve">51 scenarios; 8 GM_DIRECT + 1 generator</t>
  </si>
  <si>
    <t xml:space="preserve">CHR-V12-008</t>
  </si>
  <si>
    <t xml:space="preserve">Group generator</t>
  </si>
  <si>
    <t xml:space="preserve">Операция отсутствовала</t>
  </si>
  <si>
    <t xml:space="preserve">GENERATE_ENEMY_GROUP + payload + QA + trace</t>
  </si>
  <si>
    <t xml:space="preserve">Q-ENEMY-B14 superseded</t>
  </si>
</sst>
</file>

<file path=xl/styles.xml><?xml version="1.0" encoding="utf-8"?>
<styleSheet xmlns="http://schemas.openxmlformats.org/spreadsheetml/2006/main">
  <numFmts count="10">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s>
  <fonts count="25">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8"/>
      <color rgb="FFFFFFFF"/>
      <name val="Aptos Display"/>
      <family val="0"/>
      <charset val="1"/>
    </font>
    <font>
      <i val="true"/>
      <sz val="10"/>
      <color rgb="FF102A43"/>
      <name val="Aptos"/>
      <family val="0"/>
      <charset val="1"/>
    </font>
    <font>
      <b val="true"/>
      <sz val="11"/>
      <color rgb="FFFFFFFF"/>
      <name val="Calibri"/>
      <family val="0"/>
      <charset val="1"/>
    </font>
    <font>
      <sz val="10"/>
      <name val="Aptos"/>
      <family val="0"/>
      <charset val="1"/>
    </font>
    <font>
      <b val="true"/>
      <sz val="10"/>
      <color rgb="FF548235"/>
      <name val="Aptos"/>
      <family val="0"/>
      <charset val="1"/>
    </font>
    <font>
      <sz val="10"/>
      <color rgb="FF102A43"/>
      <name val="Calibri"/>
      <family val="0"/>
      <charset val="1"/>
    </font>
    <font>
      <b val="true"/>
      <sz val="10"/>
      <color rgb="FFFFFFFF"/>
      <name val="Aptos"/>
      <family val="0"/>
      <charset val="1"/>
    </font>
    <font>
      <sz val="9"/>
      <color rgb="FF1F1F1F"/>
      <name val="Aptos"/>
      <family val="0"/>
      <charset val="1"/>
    </font>
    <font>
      <b val="true"/>
      <sz val="9"/>
      <color rgb="FF548235"/>
      <name val="Aptos"/>
      <family val="0"/>
      <charset val="1"/>
    </font>
    <font>
      <b val="true"/>
      <sz val="11"/>
      <color rgb="FF18324A"/>
      <name val="Arial"/>
      <family val="0"/>
      <charset val="1"/>
    </font>
    <font>
      <i val="true"/>
      <sz val="10"/>
      <color rgb="FF334155"/>
      <name val="Arial"/>
      <family val="0"/>
      <charset val="1"/>
    </font>
    <font>
      <sz val="9"/>
      <name val="Aptos"/>
      <family val="0"/>
      <charset val="1"/>
    </font>
    <font>
      <b val="true"/>
      <sz val="11"/>
      <color rgb="FF18324A"/>
      <name val="Calibri"/>
      <family val="0"/>
      <charset val="1"/>
    </font>
    <font>
      <b val="true"/>
      <sz val="11"/>
      <color rgb="FF18324A"/>
      <name val="Aptos"/>
      <family val="0"/>
      <charset val="1"/>
    </font>
    <font>
      <b val="true"/>
      <sz val="15"/>
      <color rgb="FFFFFFFF"/>
      <name val="Arial"/>
      <family val="0"/>
      <charset val="1"/>
    </font>
    <font>
      <b val="true"/>
      <sz val="10"/>
      <color rgb="FFFFFFFF"/>
      <name val="Arial"/>
      <family val="0"/>
      <charset val="1"/>
    </font>
    <font>
      <b val="true"/>
      <sz val="16"/>
      <color rgb="FFFFFFFF"/>
      <name val="Arial"/>
      <family val="0"/>
      <charset val="1"/>
    </font>
    <font>
      <i val="true"/>
      <sz val="10"/>
      <color rgb="FF1E3A8A"/>
      <name val="Arial"/>
      <family val="0"/>
      <charset val="1"/>
    </font>
    <font>
      <b val="true"/>
      <sz val="10"/>
      <color rgb="FF166534"/>
      <name val="Arial"/>
      <family val="0"/>
      <charset val="1"/>
    </font>
  </fonts>
  <fills count="19">
    <fill>
      <patternFill patternType="none"/>
    </fill>
    <fill>
      <patternFill patternType="gray125"/>
    </fill>
    <fill>
      <patternFill patternType="solid">
        <fgColor rgb="FF102A43"/>
        <bgColor rgb="FF172554"/>
      </patternFill>
    </fill>
    <fill>
      <patternFill patternType="solid">
        <fgColor rgb="FFD9EAF7"/>
        <bgColor rgb="FFDBEAFE"/>
      </patternFill>
    </fill>
    <fill>
      <patternFill patternType="solid">
        <fgColor rgb="FFFFFFFF"/>
        <bgColor rgb="FFEEF5FB"/>
      </patternFill>
    </fill>
    <fill>
      <patternFill patternType="solid">
        <fgColor rgb="FF2F75B5"/>
        <bgColor rgb="FF2563EB"/>
      </patternFill>
    </fill>
    <fill>
      <patternFill patternType="solid">
        <fgColor rgb="FF173F5F"/>
        <bgColor rgb="FF18324A"/>
      </patternFill>
    </fill>
    <fill>
      <patternFill patternType="solid">
        <fgColor rgb="FFE2F0D9"/>
        <bgColor rgb="FFEAF0F5"/>
      </patternFill>
    </fill>
    <fill>
      <patternFill patternType="solid">
        <fgColor rgb="FFEEF5FB"/>
        <bgColor rgb="FFEAF0F5"/>
      </patternFill>
    </fill>
    <fill>
      <patternFill patternType="solid">
        <fgColor rgb="FFFFF2CC"/>
        <bgColor rgb="FFE2F0D9"/>
      </patternFill>
    </fill>
    <fill>
      <patternFill patternType="solid">
        <fgColor rgb="FFD7E4EE"/>
        <bgColor rgb="FFD7E2EA"/>
      </patternFill>
    </fill>
    <fill>
      <patternFill patternType="solid">
        <fgColor rgb="FFEAF0F5"/>
        <bgColor rgb="FFEEF5FB"/>
      </patternFill>
    </fill>
    <fill>
      <patternFill patternType="solid">
        <fgColor rgb="FF18324A"/>
        <bgColor rgb="FF102A43"/>
      </patternFill>
    </fill>
    <fill>
      <patternFill patternType="solid">
        <fgColor rgb="FF1E3A8A"/>
        <bgColor rgb="FF173F5F"/>
      </patternFill>
    </fill>
    <fill>
      <patternFill patternType="solid">
        <fgColor rgb="FF2563EB"/>
        <bgColor rgb="FF1D4ED8"/>
      </patternFill>
    </fill>
    <fill>
      <patternFill patternType="solid">
        <fgColor rgb="FF172554"/>
        <bgColor rgb="FF102A43"/>
      </patternFill>
    </fill>
    <fill>
      <patternFill patternType="solid">
        <fgColor rgb="FFDBEAFE"/>
        <bgColor rgb="FFD9EAF7"/>
      </patternFill>
    </fill>
    <fill>
      <patternFill patternType="solid">
        <fgColor rgb="FF1D4ED8"/>
        <bgColor rgb="FF2563EB"/>
      </patternFill>
    </fill>
    <fill>
      <patternFill patternType="solid">
        <fgColor rgb="FFDCFCE7"/>
        <bgColor rgb="FFE2F0D9"/>
      </patternFill>
    </fill>
  </fills>
  <borders count="7">
    <border diagonalUp="false" diagonalDown="false">
      <left/>
      <right/>
      <top/>
      <bottom/>
      <diagonal/>
    </border>
    <border diagonalUp="false" diagonalDown="false">
      <left style="thin">
        <color rgb="FF9FBAD0"/>
      </left>
      <right style="thin">
        <color rgb="FF9FBAD0"/>
      </right>
      <top style="thin">
        <color rgb="FF9FBAD0"/>
      </top>
      <bottom style="thin">
        <color rgb="FF9FBAD0"/>
      </bottom>
      <diagonal/>
    </border>
    <border diagonalUp="false" diagonalDown="false">
      <left style="thin">
        <color rgb="FFD7E2EA"/>
      </left>
      <right style="thin">
        <color rgb="FFD7E2EA"/>
      </right>
      <top style="thin">
        <color rgb="FFD7E2EA"/>
      </top>
      <bottom style="thin">
        <color rgb="FFD7E2EA"/>
      </bottom>
      <diagonal/>
    </border>
    <border diagonalUp="false" diagonalDown="false">
      <left style="thin">
        <color rgb="FFD6B656"/>
      </left>
      <right style="thin">
        <color rgb="FFD6B656"/>
      </right>
      <top style="thin">
        <color rgb="FFD6B656"/>
      </top>
      <bottom style="thin">
        <color rgb="FFD6B656"/>
      </bottom>
      <diagonal/>
    </border>
    <border diagonalUp="false" diagonalDown="false">
      <left style="thin">
        <color rgb="FF93C5FD"/>
      </left>
      <right style="thin">
        <color rgb="FF93C5FD"/>
      </right>
      <top style="thin">
        <color rgb="FF93C5FD"/>
      </top>
      <bottom style="thin">
        <color rgb="FF93C5FD"/>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86EFAC"/>
      </left>
      <right style="thin">
        <color rgb="FF86EFAC"/>
      </right>
      <top style="thin">
        <color rgb="FF86EFAC"/>
      </top>
      <bottom style="thin">
        <color rgb="FF86EFAC"/>
      </bottom>
      <diagonal/>
    </border>
  </borders>
  <cellStyleXfs count="4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37" applyFont="true" applyBorder="true" applyAlignment="true" applyProtection="false">
      <alignment horizontal="left" vertical="center" textRotation="0" wrapText="false" indent="0" shrinkToFit="false"/>
      <protection locked="true" hidden="false"/>
    </xf>
    <xf numFmtId="164" fontId="7" fillId="3" borderId="0" xfId="37" applyFont="true" applyBorder="true" applyAlignment="true" applyProtection="false">
      <alignment horizontal="general" vertical="center" textRotation="0" wrapText="true" indent="0" shrinkToFit="false"/>
      <protection locked="true" hidden="false"/>
    </xf>
    <xf numFmtId="164" fontId="5" fillId="4" borderId="0" xfId="37" applyFont="true" applyBorder="true" applyAlignment="true" applyProtection="false">
      <alignment horizontal="general" vertical="bottom" textRotation="0" wrapText="false" indent="0" shrinkToFit="false"/>
      <protection locked="true" hidden="false"/>
    </xf>
    <xf numFmtId="164" fontId="8" fillId="5" borderId="1" xfId="37" applyFont="true" applyBorder="true" applyAlignment="true" applyProtection="false">
      <alignment horizontal="center" vertical="center" textRotation="0" wrapText="true" indent="0" shrinkToFit="false"/>
      <protection locked="true" hidden="false"/>
    </xf>
    <xf numFmtId="164" fontId="8" fillId="6" borderId="0" xfId="37" applyFont="true" applyBorder="true" applyAlignment="true" applyProtection="false">
      <alignment horizontal="center" vertical="bottom" textRotation="0" wrapText="false" indent="0" shrinkToFit="false"/>
      <protection locked="true" hidden="false"/>
    </xf>
    <xf numFmtId="164" fontId="9" fillId="0" borderId="2" xfId="37" applyFont="true" applyBorder="true" applyAlignment="true" applyProtection="false">
      <alignment horizontal="general" vertical="center" textRotation="0" wrapText="true" indent="0" shrinkToFit="false"/>
      <protection locked="true" hidden="false"/>
    </xf>
    <xf numFmtId="164" fontId="10" fillId="7" borderId="2" xfId="37" applyFont="true" applyBorder="true" applyAlignment="true" applyProtection="false">
      <alignment horizontal="center" vertical="center" textRotation="0" wrapText="true" indent="0" shrinkToFit="false"/>
      <protection locked="true" hidden="false"/>
    </xf>
    <xf numFmtId="164" fontId="11" fillId="8" borderId="1" xfId="37" applyFont="true" applyBorder="true" applyAlignment="true" applyProtection="false">
      <alignment horizontal="general" vertical="top" textRotation="0" wrapText="true" indent="0" shrinkToFit="false"/>
      <protection locked="true" hidden="false"/>
    </xf>
    <xf numFmtId="164" fontId="11" fillId="9" borderId="3" xfId="37" applyFont="true" applyBorder="true" applyAlignment="true" applyProtection="false">
      <alignment horizontal="general" vertical="top" textRotation="0" wrapText="true" indent="0" shrinkToFit="false"/>
      <protection locked="true" hidden="false"/>
    </xf>
    <xf numFmtId="164" fontId="12" fillId="5" borderId="1" xfId="37" applyFont="true" applyBorder="true" applyAlignment="true" applyProtection="false">
      <alignment horizontal="center" vertical="center" textRotation="0" wrapText="true" indent="0" shrinkToFit="false"/>
      <protection locked="true" hidden="false"/>
    </xf>
    <xf numFmtId="164" fontId="13" fillId="0" borderId="2" xfId="37" applyFont="true" applyBorder="true" applyAlignment="true" applyProtection="false">
      <alignment horizontal="general" vertical="top" textRotation="0" wrapText="true" indent="0" shrinkToFit="false"/>
      <protection locked="true" hidden="false"/>
    </xf>
    <xf numFmtId="164" fontId="14" fillId="7" borderId="2" xfId="37" applyFont="true" applyBorder="true" applyAlignment="true" applyProtection="false">
      <alignment horizontal="center" vertical="center" textRotation="0" wrapText="true" indent="0" shrinkToFit="false"/>
      <protection locked="true" hidden="false"/>
    </xf>
    <xf numFmtId="164" fontId="6" fillId="2" borderId="0" xfId="38" applyFont="true" applyBorder="true" applyAlignment="true" applyProtection="false">
      <alignment horizontal="left" vertical="center" textRotation="0" wrapText="true" indent="0" shrinkToFit="false"/>
      <protection locked="true" hidden="false"/>
    </xf>
    <xf numFmtId="164" fontId="4" fillId="0" borderId="0" xfId="38" applyFont="true" applyBorder="true" applyAlignment="true" applyProtection="false">
      <alignment horizontal="general" vertical="bottom" textRotation="0" wrapText="true" indent="0" shrinkToFit="false"/>
      <protection locked="true" hidden="false"/>
    </xf>
    <xf numFmtId="164" fontId="7" fillId="3" borderId="0" xfId="38" applyFont="true" applyBorder="true" applyAlignment="true" applyProtection="false">
      <alignment horizontal="general" vertical="center" textRotation="0" wrapText="true" indent="0" shrinkToFit="false"/>
      <protection locked="true" hidden="false"/>
    </xf>
    <xf numFmtId="164" fontId="5" fillId="4" borderId="0" xfId="38" applyFont="true" applyBorder="true" applyAlignment="true" applyProtection="false">
      <alignment horizontal="general" vertical="bottom" textRotation="0" wrapText="true" indent="0" shrinkToFit="false"/>
      <protection locked="true" hidden="false"/>
    </xf>
    <xf numFmtId="164" fontId="12" fillId="5" borderId="1" xfId="38" applyFont="true" applyBorder="true" applyAlignment="true" applyProtection="false">
      <alignment horizontal="center" vertical="center" textRotation="0" wrapText="true" indent="0" shrinkToFit="false"/>
      <protection locked="true" hidden="false"/>
    </xf>
    <xf numFmtId="164" fontId="13" fillId="0" borderId="2" xfId="38" applyFont="true" applyBorder="true" applyAlignment="true" applyProtection="false">
      <alignment horizontal="general" vertical="top" textRotation="0" wrapText="true" indent="0" shrinkToFit="false"/>
      <protection locked="true" hidden="false"/>
    </xf>
    <xf numFmtId="164" fontId="14" fillId="7" borderId="2" xfId="38" applyFont="true" applyBorder="true" applyAlignment="true" applyProtection="false">
      <alignment horizontal="center" vertical="center" textRotation="0" wrapText="true" indent="0" shrinkToFit="false"/>
      <protection locked="true" hidden="false"/>
    </xf>
    <xf numFmtId="164" fontId="15" fillId="10" borderId="0" xfId="38" applyFont="true" applyBorder="true" applyAlignment="true" applyProtection="false">
      <alignment horizontal="left" vertical="center" textRotation="0" wrapText="true" indent="0" shrinkToFit="false"/>
      <protection locked="true" hidden="false"/>
    </xf>
    <xf numFmtId="164" fontId="16" fillId="11" borderId="0" xfId="38" applyFont="true" applyBorder="true" applyAlignment="true" applyProtection="false">
      <alignment horizontal="left" vertical="center" textRotation="0" wrapText="true" indent="0" shrinkToFit="false"/>
      <protection locked="true" hidden="false"/>
    </xf>
    <xf numFmtId="164" fontId="8" fillId="6" borderId="0" xfId="38" applyFont="true" applyBorder="true" applyAlignment="true" applyProtection="false">
      <alignment horizontal="left" vertical="center" textRotation="0" wrapText="true" indent="0" shrinkToFit="false"/>
      <protection locked="true" hidden="false"/>
    </xf>
    <xf numFmtId="164" fontId="8" fillId="5" borderId="1" xfId="38" applyFont="true" applyBorder="true" applyAlignment="true" applyProtection="false">
      <alignment horizontal="center" vertical="center" textRotation="0" wrapText="true" indent="0" shrinkToFit="false"/>
      <protection locked="true" hidden="false"/>
    </xf>
    <xf numFmtId="164" fontId="17" fillId="0" borderId="2" xfId="38" applyFont="true" applyBorder="true" applyAlignment="true" applyProtection="false">
      <alignment horizontal="general" vertical="top" textRotation="0" wrapText="true" indent="0" shrinkToFit="false"/>
      <protection locked="true" hidden="false"/>
    </xf>
    <xf numFmtId="164" fontId="18" fillId="10" borderId="0" xfId="38" applyFont="true" applyBorder="true" applyAlignment="true" applyProtection="false">
      <alignment horizontal="left" vertical="center" textRotation="0" wrapText="true" indent="0" shrinkToFit="false"/>
      <protection locked="true" hidden="false"/>
    </xf>
    <xf numFmtId="164" fontId="19" fillId="10" borderId="2" xfId="38" applyFont="true" applyBorder="true" applyAlignment="true" applyProtection="false">
      <alignment horizontal="left" vertical="center" textRotation="0" wrapText="true" indent="0" shrinkToFit="false"/>
      <protection locked="true" hidden="false"/>
    </xf>
    <xf numFmtId="164" fontId="4" fillId="0" borderId="0" xfId="39" applyFont="true" applyBorder="false" applyAlignment="true" applyProtection="false">
      <alignment horizontal="general" vertical="bottom" textRotation="0" wrapText="true" indent="0" shrinkToFit="false"/>
      <protection locked="true" hidden="false"/>
    </xf>
    <xf numFmtId="164" fontId="20" fillId="12" borderId="0" xfId="38" applyFont="true" applyBorder="true" applyAlignment="true" applyProtection="false">
      <alignment horizontal="left" vertical="center" textRotation="0" wrapText="true" indent="0" shrinkToFit="false"/>
      <protection locked="true" hidden="false"/>
    </xf>
    <xf numFmtId="164" fontId="21" fillId="13" borderId="0" xfId="39" applyFont="true" applyBorder="true" applyAlignment="true" applyProtection="false">
      <alignment horizontal="general" vertical="bottom" textRotation="0" wrapText="false" indent="0" shrinkToFit="false"/>
      <protection locked="true" hidden="false"/>
    </xf>
    <xf numFmtId="164" fontId="21" fillId="14" borderId="4" xfId="39" applyFont="true" applyBorder="true" applyAlignment="true" applyProtection="false">
      <alignment horizontal="general" vertical="bottom" textRotation="0" wrapText="true" indent="0" shrinkToFit="false"/>
      <protection locked="true" hidden="false"/>
    </xf>
    <xf numFmtId="164" fontId="4" fillId="0" borderId="5" xfId="39" applyFont="true" applyBorder="true" applyAlignment="true" applyProtection="false">
      <alignment horizontal="general" vertical="top" textRotation="0" wrapText="true" indent="0" shrinkToFit="false"/>
      <protection locked="true" hidden="false"/>
    </xf>
    <xf numFmtId="164" fontId="22" fillId="15" borderId="0" xfId="39" applyFont="true" applyBorder="true" applyAlignment="true" applyProtection="false">
      <alignment horizontal="general" vertical="center" textRotation="0" wrapText="false" indent="0" shrinkToFit="false"/>
      <protection locked="true" hidden="false"/>
    </xf>
    <xf numFmtId="164" fontId="23" fillId="16" borderId="0" xfId="39" applyFont="true" applyBorder="true" applyAlignment="true" applyProtection="false">
      <alignment horizontal="general" vertical="bottom" textRotation="0" wrapText="true" indent="0" shrinkToFit="false"/>
      <protection locked="true" hidden="false"/>
    </xf>
    <xf numFmtId="164" fontId="21" fillId="17" borderId="4" xfId="39" applyFont="true" applyBorder="true" applyAlignment="true" applyProtection="false">
      <alignment horizontal="general" vertical="bottom" textRotation="0" wrapText="true" indent="0" shrinkToFit="false"/>
      <protection locked="true" hidden="false"/>
    </xf>
    <xf numFmtId="164" fontId="24" fillId="18" borderId="6" xfId="39" applyFont="true" applyBorder="true" applyAlignment="true" applyProtection="false">
      <alignment horizontal="center" vertical="top" textRotation="0" wrapText="true" indent="0" shrinkToFit="false"/>
      <protection locked="true" hidden="false"/>
    </xf>
  </cellXfs>
  <cellStyles count="31">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2" xfId="22"/>
    <cellStyle name="Comma 3" xfId="23"/>
    <cellStyle name="Comma [0]" xfId="24"/>
    <cellStyle name="Comma [0] 2" xfId="25"/>
    <cellStyle name="Comma [0] 3" xfId="26"/>
    <cellStyle name="Comma [0] 4" xfId="27"/>
    <cellStyle name="Currency" xfId="28"/>
    <cellStyle name="Currency 3" xfId="29"/>
    <cellStyle name="Currency 4" xfId="30"/>
    <cellStyle name="Currency 5" xfId="31"/>
    <cellStyle name="Currency [0]" xfId="32"/>
    <cellStyle name="Currency [0] 4" xfId="33"/>
    <cellStyle name="Currency [0] 5" xfId="34"/>
    <cellStyle name="Currency [0] 6" xfId="35"/>
    <cellStyle name="Normal" xfId="36"/>
    <cellStyle name="Normal 1" xfId="37"/>
    <cellStyle name="Normal 5" xfId="38"/>
    <cellStyle name="Normal 6" xfId="39"/>
    <cellStyle name="Normal 7" xfId="40"/>
    <cellStyle name="Percent" xfId="41"/>
    <cellStyle name="Percent 6" xfId="42"/>
    <cellStyle name="Percent 7" xfId="43"/>
    <cellStyle name="Percent 8" xfId="44"/>
  </cellStyles>
  <dxfs count="14">
    <dxf>
      <fill>
        <patternFill patternType="solid">
          <fgColor rgb="FF2F75B5"/>
          <bgColor rgb="FF000000"/>
        </patternFill>
      </fill>
    </dxf>
    <dxf>
      <fill>
        <patternFill patternType="solid">
          <bgColor rgb="FF000000"/>
        </patternFill>
      </fill>
    </dxf>
    <dxf>
      <fill>
        <patternFill patternType="solid">
          <fgColor rgb="FF1F1F1F"/>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548235"/>
          <bgColor rgb="FF000000"/>
        </patternFill>
      </fill>
    </dxf>
    <dxf>
      <fill>
        <patternFill patternType="solid">
          <fgColor rgb="FF173F5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7" type="wholeTable"/>
      <tableStyleElement dxfId="8" type="firstColumnStripe"/>
      <tableStyleElement dxfId="9" type="firstRowStripe"/>
      <tableStyleElement dxfId="10" type="lastColumn"/>
      <tableStyleElement dxfId="11" type="firstColumn"/>
      <tableStyleElement dxfId="12" type="headerRow"/>
      <tableStyleElement dxfId="13" type="totalRow"/>
    </tableStyle>
  </tableStyles>
  <colors>
    <indexedColors>
      <rgbColor rgb="FF000000"/>
      <rgbColor rgb="FFFFFFFF"/>
      <rgbColor rgb="FFFF0000"/>
      <rgbColor rgb="FF00FF00"/>
      <rgbColor rgb="FF0000FF"/>
      <rgbColor rgb="FFEEF5FB"/>
      <rgbColor rgb="FFFF00FF"/>
      <rgbColor rgb="FF00FFFF"/>
      <rgbColor rgb="FF800000"/>
      <rgbColor rgb="FF166534"/>
      <rgbColor rgb="FF172554"/>
      <rgbColor rgb="FF548235"/>
      <rgbColor rgb="FF800080"/>
      <rgbColor rgb="FF156082"/>
      <rgbColor rgb="FF9FBAD0"/>
      <rgbColor rgb="FF808080"/>
      <rgbColor rgb="FFDBEAFE"/>
      <rgbColor rgb="FF993366"/>
      <rgbColor rgb="FFFFF2CC"/>
      <rgbColor rgb="FFDCFCE7"/>
      <rgbColor rgb="FF660066"/>
      <rgbColor rgb="FFFF8080"/>
      <rgbColor rgb="FF1D4ED8"/>
      <rgbColor rgb="FFCBD5E1"/>
      <rgbColor rgb="FF18324A"/>
      <rgbColor rgb="FFFF00FF"/>
      <rgbColor rgb="FFFFFF00"/>
      <rgbColor rgb="FF00FFFF"/>
      <rgbColor rgb="FF800080"/>
      <rgbColor rgb="FF800000"/>
      <rgbColor rgb="FF2F75B5"/>
      <rgbColor rgb="FF0000FF"/>
      <rgbColor rgb="FF00CCFF"/>
      <rgbColor rgb="FFD9EAF7"/>
      <rgbColor rgb="FFE2F0D9"/>
      <rgbColor rgb="FFEAF0F5"/>
      <rgbColor rgb="FF93C5FD"/>
      <rgbColor rgb="FFD7E4EE"/>
      <rgbColor rgb="FFD7E2EA"/>
      <rgbColor rgb="FFD6B656"/>
      <rgbColor rgb="FF2563EB"/>
      <rgbColor rgb="FF46B1E1"/>
      <rgbColor rgb="FF86EFAC"/>
      <rgbColor rgb="FFFFCC00"/>
      <rgbColor rgb="FFFF9900"/>
      <rgbColor rgb="FFFF6600"/>
      <rgbColor rgb="FF666699"/>
      <rgbColor rgb="FF969696"/>
      <rgbColor rgb="FF173F5F"/>
      <rgbColor rgb="FF339966"/>
      <rgbColor rgb="FF102A43"/>
      <rgbColor rgb="FF1F1F1F"/>
      <rgbColor rgb="FF993300"/>
      <rgbColor rgb="FF993366"/>
      <rgbColor rgb="FF1E3A8A"/>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ables/table1.xml><?xml version="1.0" encoding="utf-8"?>
<table xmlns="http://schemas.openxmlformats.org/spreadsheetml/2006/main" id="1" name="AbilityContextsTable" displayName="AbilityContextsTable" ref="A5:Y339" headerRowCount="1" totalsRowCount="0" totalsRowShown="0">
  <autoFilter ref="A5:Y339"/>
  <tableColumns count="25">
    <tableColumn id="1" name="AbilityContextID"/>
    <tableColumn id="2" name="AbilityID"/>
    <tableColumn id="3" name="Context"/>
    <tableColumn id="4" name="Allowed"/>
    <tableColumn id="5" name="PlayerCommandAvailable"/>
    <tableColumn id="6" name="DenialReason"/>
    <tableColumn id="7" name="Trigger"/>
    <tableColumn id="8" name="Preconditions"/>
    <tableColumn id="9" name="Inputs"/>
    <tableColumn id="10" name="TargetSelector"/>
    <tableColumn id="11" name="Behavior"/>
    <tableColumn id="12" name="ActionCost"/>
    <tableColumn id="13" name="TimeCost"/>
    <tableColumn id="14" name="ResourceCost"/>
    <tableColumn id="15" name="RollDefinition"/>
    <tableColumn id="16" name="ArmorPolicy"/>
    <tableColumn id="17" name="Effect"/>
    <tableColumn id="18" name="StateWrites"/>
    <tableColumn id="19" name="Duration"/>
    <tableColumn id="20" name="Cooldown"/>
    <tableColumn id="21" name="ManualChoice"/>
    <tableColumn id="22" name="AtomicityAudit"/>
    <tableColumn id="23" name="ErrorCodes"/>
    <tableColumn id="24" name="Rule IDs"/>
    <tableColumn id="25" name="ID unique"/>
  </tableColumns>
  <tableStyleInfo name="TableStyleMedium2" showFirstColumn="0" showLastColumn="0" showRowStripes="1" showColumnStripes="0"/>
</table>
</file>

<file path=xl/tables/table2.xml><?xml version="1.0" encoding="utf-8"?>
<table xmlns="http://schemas.openxmlformats.org/spreadsheetml/2006/main" id="2" name="AbilityExecutionFieldsTable" displayName="AbilityExecutionFieldsTable" ref="A70:H82" headerRowCount="1" totalsRowCount="0" totalsRowShown="0">
  <tableColumns count="8">
    <tableColumn id="1" name="Field"/>
    <tableColumn id="2" name="Scope"/>
    <tableColumn id="3" name="Data type"/>
    <tableColumn id="4" name="Required"/>
    <tableColumn id="5" name="Default"/>
    <tableColumn id="6" name="Validation / constraint"/>
    <tableColumn id="7" name="Purpose"/>
    <tableColumn id="8" name="Rule IDs"/>
  </tableColumns>
  <tableStyleInfo name="TableStyleMedium2" showFirstColumn="0" showLastColumn="0" showRowStripes="1" showColumnStripes="0"/>
</table>
</file>

<file path=xl/tables/table3.xml><?xml version="1.0" encoding="utf-8"?>
<table xmlns="http://schemas.openxmlformats.org/spreadsheetml/2006/main" id="3" name="AutomationDecisionTraceTable" displayName="AutomationDecisionTraceTable" ref="A5:I187" headerRowCount="1" totalsRowCount="0" totalsRowShown="0">
  <autoFilter ref="A5:I187"/>
  <tableColumns count="9">
    <tableColumn id="1" name="CandidateRuleID"/>
    <tableColumn id="2" name="SourceQuestionID"/>
    <tableColumn id="3" name="QuestionStatus"/>
    <tableColumn id="4" name="DecisionCode"/>
    <tableColumn id="5" name="IncludedAbilityID"/>
    <tableColumn id="6" name="AcceptedEvidence"/>
    <tableColumn id="7" name="LaterOverrideIDs"/>
    <tableColumn id="8" name="RulesMirrorID"/>
    <tableColumn id="9" name="Result"/>
  </tableColumns>
  <tableStyleInfo name="TableStyleMedium2" showFirstColumn="0" showLastColumn="0" showRowStripes="1" showColumnStripes="0"/>
</table>
</file>

<file path=xl/tables/table4.xml><?xml version="1.0" encoding="utf-8"?>
<table xmlns="http://schemas.openxmlformats.org/spreadsheetml/2006/main" id="4" name="CharacterChangesV10Table" displayName="CharacterChangesV10Table" ref="A5:I15" headerRowCount="1" totalsRowCount="0" totalsRowShown="0">
  <autoFilter ref="A5:I15"/>
  <tableColumns count="9">
    <tableColumn id="1" name="№"/>
    <tableColumn id="2" name="Тип изменения"/>
    <tableColumn id="3" name="Область"/>
    <tableColumn id="4" name="Entity / Rule IDs"/>
    <tableColumn id="5" name="Изменение"/>
    <tableColumn id="6" name="Основание"/>
    <tableColumn id="7" name="Результат для приложения"/>
    <tableColumn id="8" name="Совместимость"/>
    <tableColumn id="9" name="Статус"/>
  </tableColumns>
  <tableStyleInfo name="TableStyleMedium2" showFirstColumn="0" showLastColumn="0" showRowStripes="1" showColumnStripes="0"/>
</table>
</file>

<file path=xl/tables/table5.xml><?xml version="1.0" encoding="utf-8"?>
<table xmlns="http://schemas.openxmlformats.org/spreadsheetml/2006/main" id="5" name="CharacterChangesV11Table" displayName="CharacterChangesV11Table" ref="A5:I27" headerRowCount="1" totalsRowCount="0" totalsRowShown="0">
  <tableColumns count="9">
    <tableColumn id="1" name="№"/>
    <tableColumn id="2" name="Тип изменения"/>
    <tableColumn id="3" name="Область"/>
    <tableColumn id="4" name="Entity / Rule IDs"/>
    <tableColumn id="5" name="Изменение"/>
    <tableColumn id="6" name="Основание"/>
    <tableColumn id="7" name="Результат для приложения"/>
    <tableColumn id="8" name="Совместимость"/>
    <tableColumn id="9" name="Статус"/>
  </tableColumns>
  <tableStyleInfo name="TableStyleMedium2" showFirstColumn="0" showLastColumn="0" showRowStripes="1" showColumnStripes="0"/>
</table>
</file>

<file path=xl/tables/table6.xml><?xml version="1.0" encoding="utf-8"?>
<table xmlns="http://schemas.openxmlformats.org/spreadsheetml/2006/main" id="6" name="CharacterCompatibilityQATable" displayName="CharacterCompatibilityQATable" ref="A5:G47" headerRowCount="1" totalsRowCount="0" totalsRowShown="0">
  <tableColumns count="7">
    <tableColumn id="1" name="Scenario ID"/>
    <tableColumn id="2" name="Путь"/>
    <tableColumn id="3" name="Given"/>
    <tableColumn id="4" name="When"/>
    <tableColumn id="5" name="Expected"/>
    <tableColumn id="6" name="Rule / contract IDs"/>
    <tableColumn id="7" name="Result"/>
  </tableColumns>
  <tableStyleInfo name="TableStyleMedium2" showFirstColumn="0" showLastColumn="0" showRowStripes="1" showColumnStripes="0"/>
</table>
</file>

<file path=xl/tables/table7.xml><?xml version="1.0" encoding="utf-8"?>
<table xmlns="http://schemas.openxmlformats.org/spreadsheetml/2006/main" id="7" name="CharacterIncompatibilitiesTable" displayName="CharacterIncompatibilitiesTable" ref="A5:N14" headerRowCount="1" totalsRowCount="0" totalsRowShown="0">
  <autoFilter ref="A5:N14"/>
  <tableColumns count="14">
    <tableColumn id="1" name="ConflictID"/>
    <tableColumn id="2" name="LeftEntityType"/>
    <tableColumn id="3" name="LeftEntityID"/>
    <tableColumn id="4" name="RightEntityType"/>
    <tableColumn id="5" name="RightEntityID"/>
    <tableColumn id="6" name="ConflictType"/>
    <tableColumn id="7" name="Symmetric"/>
    <tableColumn id="8" name="Context"/>
    <tableColumn id="9" name="EnforcementStage"/>
    <tableColumn id="10" name="Resolution"/>
    <tableColumn id="11" name="Rule IDs"/>
    <tableColumn id="12" name="Source Question IDs"/>
    <tableColumn id="13" name="Status"/>
    <tableColumn id="14" name="ID unique"/>
  </tableColumns>
  <tableStyleInfo name="TableStyleMedium2" showFirstColumn="0" showLastColumn="0" showRowStripes="1" showColumnStripes="0"/>
</table>
</file>

<file path=xl/tables/table8.xml><?xml version="1.0" encoding="utf-8"?>
<table xmlns="http://schemas.openxmlformats.org/spreadsheetml/2006/main" id="8" name="CharacterIntegrityControlTable" displayName="CharacterIntegrityControlTable" ref="A5:E42" headerRowCount="1" totalsRowCount="0" totalsRowShown="0">
  <tableColumns count="5">
    <tableColumn id="1" name="Проверка"/>
    <tableColumn id="2" name="Ожидается"/>
    <tableColumn id="3" name="Фактически"/>
    <tableColumn id="4" name="Результат"/>
    <tableColumn id="5" name="Назначение"/>
  </tableColumns>
  <tableStyleInfo name="TableStyleMedium2" showFirstColumn="0" showLastColumn="0" showRowStripes="1" showColumnStripes="0"/>
</table>
</file>

<file path=xl/tables/table9.xml><?xml version="1.0" encoding="utf-8"?>
<table xmlns="http://schemas.openxmlformats.org/spreadsheetml/2006/main" id="9" name="CharacterModifiersTable" displayName="CharacterModifiersTable" ref="A5:L48" headerRowCount="1" totalsRowCount="0" totalsRowShown="0">
  <autoFilter ref="A5:L48"/>
  <tableColumns count="12">
    <tableColumn id="1" name="ModifierID"/>
    <tableColumn id="2" name="SourceType"/>
    <tableColumn id="3" name="SourceID"/>
    <tableColumn id="4" name="TargetKind"/>
    <tableColumn id="5" name="TargetCode"/>
    <tableColumn id="6" name="Operation"/>
    <tableColumn id="7" name="Value"/>
    <tableColumn id="8" name="ContextPredicate"/>
    <tableColumn id="9" name="ApplicationStage"/>
    <tableColumn id="10" name="StackPolicy"/>
    <tableColumn id="11" name="Rule IDs"/>
    <tableColumn id="12" name="ID unique"/>
  </tableColumns>
  <tableStyleInfo name="TableStyleMedium2" showFirstColumn="0" showLastColumn="0" showRowStripes="1" showColumnStripes="0"/>
</table>
</file>

<file path=xl/tables/table10.xml><?xml version="1.0" encoding="utf-8"?>
<table xmlns="http://schemas.openxmlformats.org/spreadsheetml/2006/main" id="10" name="CharacterOperationsTable" displayName="CharacterOperationsTable" ref="A5:J19" headerRowCount="1" totalsRowCount="0" totalsRowShown="0">
  <tableColumns count="10">
    <tableColumn id="1" name="OperationID"/>
    <tableColumn id="2" name="Command"/>
    <tableColumn id="3" name="Actor"/>
    <tableColumn id="4" name="Context"/>
    <tableColumn id="5" name="Inputs"/>
    <tableColumn id="6" name="Preconditions"/>
    <tableColumn id="7" name="Validation"/>
    <tableColumn id="8" name="State transition / result"/>
    <tableColumn id="9" name="Error codes"/>
    <tableColumn id="10" name="Rule IDs / source"/>
  </tableColumns>
  <tableStyleInfo name="TableStyleMedium2" showFirstColumn="0" showLastColumn="0" showRowStripes="1" showColumnStripes="0"/>
</table>
</file>

<file path=xl/tables/table11.xml><?xml version="1.0" encoding="utf-8"?>
<table xmlns="http://schemas.openxmlformats.org/spreadsheetml/2006/main" id="11" name="CharacterProfileFieldsTable" displayName="CharacterProfileFieldsTable" ref="A29:H44" headerRowCount="1" totalsRowCount="0" totalsRowShown="0">
  <tableColumns count="8">
    <tableColumn id="1" name="Field"/>
    <tableColumn id="2" name="Scope"/>
    <tableColumn id="3" name="Data type"/>
    <tableColumn id="4" name="Required"/>
    <tableColumn id="5" name="Default"/>
    <tableColumn id="6" name="Validation / constraint"/>
    <tableColumn id="7" name="Purpose"/>
    <tableColumn id="8" name="Rule IDs"/>
  </tableColumns>
  <tableStyleInfo name="TableStyleMedium2" showFirstColumn="0" showLastColumn="0" showRowStripes="1" showColumnStripes="0"/>
</table>
</file>

<file path=xl/tables/table12.xml><?xml version="1.0" encoding="utf-8"?>
<table xmlns="http://schemas.openxmlformats.org/spreadsheetml/2006/main" id="12" name="CharacterRacesTable" displayName="CharacterRacesTable" ref="A5:O8" headerRowCount="1" totalsRowCount="0" totalsRowShown="0">
  <tableColumns count="15">
    <tableColumn id="1" name="RaceCode"/>
    <tableColumn id="2" name="Название"/>
    <tableColumn id="3" name="ClassPolicy"/>
    <tableColumn id="4" name="BaseSymbiontSlots"/>
    <tableColumn id="5" name="SymbioticMonsterAllowed"/>
    <tableColumn id="6" name="StatModifierProfileID"/>
    <tableColumn id="7" name="GrantedSkillRefs"/>
    <tableColumn id="8" name="SymbiontXPPolicy"/>
    <tableColumn id="9" name="Creation Rule IDs"/>
    <tableColumn id="10" name="Источник"/>
    <tableColumn id="11" name="Status"/>
    <tableColumn id="12" name="ID unique"/>
    <tableColumn id="13" name="DirectXPMultiplier"/>
    <tableColumn id="14" name="CounterPointMultiplier"/>
    <tableColumn id="15" name="AllocationXPMultiplier"/>
  </tableColumns>
  <tableStyleInfo name="TableStyleMedium2" showFirstColumn="0" showLastColumn="0" showRowStripes="1" showColumnStripes="0"/>
</table>
</file>

<file path=xl/tables/table13.xml><?xml version="1.0" encoding="utf-8"?>
<table xmlns="http://schemas.openxmlformats.org/spreadsheetml/2006/main" id="13" name="CharacterRegistryContractTable" displayName="CharacterRegistryContractTable" ref="A6:E25" headerRowCount="1" totalsRowCount="0" totalsRowShown="0">
  <tableColumns count="5">
    <tableColumn id="1" name="ContractKey"/>
    <tableColumn id="2" name="NormativeValue"/>
    <tableColumn id="3" name="RuleRef"/>
    <tableColumn id="4" name="Consumer"/>
    <tableColumn id="5" name="Status"/>
  </tableColumns>
  <tableStyleInfo name="TableStyleMedium2" showFirstColumn="0" showLastColumn="0" showRowStripes="1" showColumnStripes="0"/>
</table>
</file>

<file path=xl/tables/table14.xml><?xml version="1.0" encoding="utf-8"?>
<table xmlns="http://schemas.openxmlformats.org/spreadsheetml/2006/main" id="14" name="CharacterRegistryDictionaryTable" displayName="CharacterRegistryDictionaryTable" ref="A5:E156" headerRowCount="1" totalsRowCount="0" totalsRowShown="0">
  <tableColumns count="5">
    <tableColumn id="1" name="Dictionary"/>
    <tableColumn id="2" name="Code"/>
    <tableColumn id="3" name="LabelRU"/>
    <tableColumn id="4" name="Meaning"/>
    <tableColumn id="5" name="RuleRef / Note"/>
  </tableColumns>
  <tableStyleInfo name="TableStyleMedium2" showFirstColumn="0" showLastColumn="0" showRowStripes="1" showColumnStripes="0"/>
</table>
</file>

<file path=xl/tables/table15.xml><?xml version="1.0" encoding="utf-8"?>
<table xmlns="http://schemas.openxmlformats.org/spreadsheetml/2006/main" id="15" name="CharacterRegistryPayloadTable" displayName="CharacterRegistryPayloadTable" ref="A5:G1147" headerRowCount="1" totalsRowCount="0" totalsRowShown="0">
  <tableColumns count="7">
    <tableColumn id="1" name="EntityKind"/>
    <tableColumn id="2" name="EntityID"/>
    <tableColumn id="3" name="DisplayName"/>
    <tableColumn id="4" name="Payload JSON"/>
    <tableColumn id="5" name="Payload SHA-256"/>
    <tableColumn id="6" name="DependencyTuple"/>
    <tableColumn id="7" name="QA"/>
  </tableColumns>
  <tableStyleInfo name="TableStyleMedium2" showFirstColumn="0" showLastColumn="0" showRowStripes="1" showColumnStripes="0"/>
</table>
</file>

<file path=xl/tables/table16.xml><?xml version="1.0" encoding="utf-8"?>
<table xmlns="http://schemas.openxmlformats.org/spreadsheetml/2006/main" id="16" name="CharacterRegistrySourcesTable" displayName="CharacterRegistrySourcesTable" ref="A5:H14" headerRowCount="1" totalsRowCount="0" totalsRowShown="0">
  <tableColumns count="8">
    <tableColumn id="1" name="Source ID"/>
    <tableColumn id="2" name="Файл"/>
    <tableColumn id="3" name="Роль"/>
    <tableColumn id="4" name="Приоритет"/>
    <tableColumn id="5" name="Использование"/>
    <tableColumn id="6" name="SHA-256"/>
    <tableColumn id="7" name="Версия / статус"/>
    <tableColumn id="8" name="Status"/>
  </tableColumns>
  <tableStyleInfo name="TableStyleMedium2" showFirstColumn="0" showLastColumn="0" showRowStripes="1" showColumnStripes="0"/>
</table>
</file>

<file path=xl/tables/table17.xml><?xml version="1.0" encoding="utf-8"?>
<table xmlns="http://schemas.openxmlformats.org/spreadsheetml/2006/main" id="17" name="CharacterRuleTraceTable" displayName="CharacterRuleTraceTable" ref="A5:O294" headerRowCount="1" totalsRowCount="0" totalsRowShown="0">
  <tableColumns count="15">
    <tableColumn id="1" name="Rule ID"/>
    <tableColumn id="2" name="Статус"/>
    <tableColumn id="3" name="Режим реализации"/>
    <tableColumn id="4" name="Название"/>
    <tableColumn id="5" name="Runtime trigger"/>
    <tableColumn id="6" name="Предусловия"/>
    <tableColumn id="7" name="Итоговый алгоритм"/>
    <tableColumn id="8" name="State result"/>
    <tableColumn id="9" name="Exceptions / priority"/>
    <tableColumn id="10" name="Action/time cost"/>
    <tableColumn id="11" name="Resource cost"/>
    <tableColumn id="12" name="Rolls/formulas"/>
    <tableColumn id="13" name="Source Question IDs"/>
    <tableColumn id="14" name="Источник карточки"/>
    <tableColumn id="15" name="Priority"/>
  </tableColumns>
  <tableStyleInfo name="TableStyleMedium2" showFirstColumn="0" showLastColumn="0" showRowStripes="1" showColumnStripes="0"/>
</table>
</file>

<file path=xl/tables/table18.xml><?xml version="1.0" encoding="utf-8"?>
<table xmlns="http://schemas.openxmlformats.org/spreadsheetml/2006/main" id="18" name="CharacterStatsTable" displayName="CharacterStatsTable" ref="A5:L12" headerRowCount="1" totalsRowCount="0" totalsRowShown="0">
  <autoFilter ref="A5:L12"/>
  <tableColumns count="12">
    <tableColumn id="1" name="StatCode"/>
    <tableColumn id="2" name="Название"/>
    <tableColumn id="3" name="Порядок"/>
    <tableColumn id="4" name="Domain"/>
    <tableColumn id="5" name="BaseMin"/>
    <tableColumn id="6" name="BaseMax игрока"/>
    <tableColumn id="7" name="EffectiveMin"/>
    <tableColumn id="8" name="Cap35Scope"/>
    <tableColumn id="9" name="Описание"/>
    <tableColumn id="10" name="Rule IDs"/>
    <tableColumn id="11" name="Источник"/>
    <tableColumn id="12" name="ID unique"/>
  </tableColumns>
  <tableStyleInfo name="TableStyleMedium2" showFirstColumn="0" showLastColumn="0" showRowStripes="1" showColumnStripes="0"/>
</table>
</file>

<file path=xl/tables/table19.xml><?xml version="1.0" encoding="utf-8"?>
<table xmlns="http://schemas.openxmlformats.org/spreadsheetml/2006/main" id="19" name="GeneratedObjectTypesTable" displayName="GeneratedObjectTypesTable" ref="A5:V6" headerRowCount="1" totalsRowCount="0" totalsRowShown="0">
  <autoFilter ref="A5:V6"/>
  <tableColumns count="22">
    <tableColumn id="1" name="GeneratedObjectTypeID"/>
    <tableColumn id="2" name="Название"/>
    <tableColumn id="3" name="ProducerAbilityID"/>
    <tableColumn id="4" name="RuntimeKind"/>
    <tableColumn id="5" name="ItemRegistryTypeID"/>
    <tableColumn id="6" name="CreationCount"/>
    <tableColumn id="7" name="QuantityMode"/>
    <tableColumn id="8" name="VolumeMode"/>
    <tableColumn id="9" name="massKg"/>
    <tableColumn id="10" name="CountsTowardInventoryLoad"/>
    <tableColumn id="11" name="StackPolicy"/>
    <tableColumn id="12" name="Transferable"/>
    <tableColumn id="13" name="Droppable"/>
    <tableColumn id="14" name="Lootable"/>
    <tableColumn id="15" name="PersistsAfterSymbiontRemoval"/>
    <tableColumn id="16" name="IconRequired"/>
    <tableColumn id="17" name="DerivedProperties"/>
    <tableColumn id="18" name="Lifecycle"/>
    <tableColumn id="19" name="Rule IDs"/>
    <tableColumn id="20" name="Source Question IDs"/>
    <tableColumn id="21" name="Status"/>
    <tableColumn id="22" name="ID unique"/>
  </tableColumns>
  <tableStyleInfo name="TableStyleMedium2" showFirstColumn="0" showLastColumn="0" showRowStripes="1" showColumnStripes="0"/>
</table>
</file>

<file path=xl/tables/table20.xml><?xml version="1.0" encoding="utf-8"?>
<table xmlns="http://schemas.openxmlformats.org/spreadsheetml/2006/main" id="20" name="PureClassesTable" displayName="PureClassesTable" ref="A5:K8" headerRowCount="1" totalsRowCount="0" totalsRowShown="0">
  <autoFilter ref="A5:K8"/>
  <tableColumns count="11">
    <tableColumn id="1" name="ClassCode"/>
    <tableColumn id="2" name="RaceCode"/>
    <tableColumn id="3" name="Название"/>
    <tableColumn id="4" name="MandatorySkillKey"/>
    <tableColumn id="5" name="MandatorySkillSlotCost"/>
    <tableColumn id="6" name="StatModifierProfileID"/>
    <tableColumn id="7" name="ContextModifierRefs"/>
    <tableColumn id="8" name="Rule IDs"/>
    <tableColumn id="9" name="Источник"/>
    <tableColumn id="10" name="Status"/>
    <tableColumn id="11" name="ID unique"/>
  </tableColumns>
  <tableStyleInfo name="TableStyleMedium2" showFirstColumn="0" showLastColumn="0" showRowStripes="1" showColumnStripes="0"/>
</table>
</file>

<file path=xl/tables/table21.xml><?xml version="1.0" encoding="utf-8"?>
<table xmlns="http://schemas.openxmlformats.org/spreadsheetml/2006/main" id="21" name="SkillRequirementsTable" displayName="SkillRequirementsTable" ref="A5:J89" headerRowCount="1" totalsRowCount="0" totalsRowShown="0">
  <autoFilter ref="A5:J89"/>
  <tableColumns count="10">
    <tableColumn id="1" name="RequirementID"/>
    <tableColumn id="2" name="SkillKey"/>
    <tableColumn id="3" name="RequirementSetID"/>
    <tableColumn id="4" name="StatCode"/>
    <tableColumn id="5" name="MinValue"/>
    <tableColumn id="6" name="EvaluationStage"/>
    <tableColumn id="7" name="BeforeSymbiontBonuses"/>
    <tableColumn id="8" name="Rule ID"/>
    <tableColumn id="9" name="Source Question ID"/>
    <tableColumn id="10" name="ID unique"/>
  </tableColumns>
  <tableStyleInfo name="TableStyleMedium2" showFirstColumn="0" showLastColumn="0" showRowStripes="1" showColumnStripes="0"/>
</table>
</file>

<file path=xl/tables/table22.xml><?xml version="1.0" encoding="utf-8"?>
<table xmlns="http://schemas.openxmlformats.org/spreadsheetml/2006/main" id="22" name="SkillsTable" displayName="SkillsTable" ref="A5:P50" headerRowCount="1" totalsRowCount="0" totalsRowShown="0">
  <autoFilter ref="A5:P50"/>
  <tableColumns count="16">
    <tableColumn id="1" name="SkillID"/>
    <tableColumn id="2" name="SkillKey"/>
    <tableColumn id="3" name="Название"/>
    <tableColumn id="4" name="Категория"/>
    <tableColumn id="5" name="OwnerScopeAllowed"/>
    <tableColumn id="6" name="SlotCostMode"/>
    <tableColumn id="7" name="BonusDomain / Scope"/>
    <tableColumn id="8" name="MaxBonus"/>
    <tableColumn id="9" name="CheckTags"/>
    <tableColumn id="10" name="MandatoryRace"/>
    <tableColumn id="11" name="MandatoryClass"/>
    <tableColumn id="12" name="MissingSkillPenalty"/>
    <tableColumn id="13" name="Rule IDs"/>
    <tableColumn id="14" name="Source Question IDs"/>
    <tableColumn id="15" name="Status"/>
    <tableColumn id="16" name="ID unique"/>
  </tableColumns>
  <tableStyleInfo name="TableStyleMedium2" showFirstColumn="0" showLastColumn="0" showRowStripes="1" showColumnStripes="0"/>
</table>
</file>

<file path=xl/tables/table23.xml><?xml version="1.0" encoding="utf-8"?>
<table xmlns="http://schemas.openxmlformats.org/spreadsheetml/2006/main" id="23" name="SymbiontAbilitiesTable" displayName="SymbiontAbilitiesTable" ref="A5:Q172" headerRowCount="1" totalsRowCount="0" totalsRowShown="0">
  <autoFilter ref="A5:Q172"/>
  <tableColumns count="17">
    <tableColumn id="1" name="AbilityID"/>
    <tableColumn id="2" name="SpeciesKey"/>
    <tableColumn id="3" name="NodeRef"/>
    <tableColumn id="4" name="Название"/>
    <tableColumn id="5" name="AbilityKind"/>
    <tableColumn id="6" name="AutomationStatus"/>
    <tableColumn id="7" name="CombatAllowed"/>
    <tableColumn id="8" name="PlayerCommandCombat"/>
    <tableColumn id="9" name="PeaceAllowed"/>
    <tableColumn id="10" name="PlayerCommandPeace"/>
    <tableColumn id="11" name="CombatBehavior"/>
    <tableColumn id="12" name="PeaceBehavior"/>
    <tableColumn id="13" name="Source Rule IDs"/>
    <tableColumn id="14" name="Source Question IDs"/>
    <tableColumn id="15" name="Priority"/>
    <tableColumn id="16" name="Status"/>
    <tableColumn id="17" name="ID unique"/>
  </tableColumns>
  <tableStyleInfo name="TableStyleMedium2" showFirstColumn="0" showLastColumn="0" showRowStripes="1" showColumnStripes="0"/>
</table>
</file>

<file path=xl/tables/table24.xml><?xml version="1.0" encoding="utf-8"?>
<table xmlns="http://schemas.openxmlformats.org/spreadsheetml/2006/main" id="24" name="SymbiontCatalogTable" displayName="SymbiontCatalogTable" ref="A5:Q28" headerRowCount="1" totalsRowCount="0" totalsRowShown="0">
  <tableColumns count="17">
    <tableColumn id="1" name="SpeciesKey"/>
    <tableColumn id="2" name="Название"/>
    <tableColumn id="3" name="SymbiontKind"/>
    <tableColumn id="4" name="SlotCost"/>
    <tableColumn id="5" name="AllowedRaceCodes"/>
    <tableColumn id="6" name="MaxL"/>
    <tableColumn id="7" name="XPPolicy"/>
    <tableColumn id="8" name="OEPolicy"/>
    <tableColumn id="9" name="BranchPolicy"/>
    <tableColumn id="10" name="AdditionalSlotPolicy"/>
    <tableColumn id="11" name="MonsterProfileID"/>
    <tableColumn id="12" name="ProfileRuleID"/>
    <tableColumn id="13" name="Rule IDs"/>
    <tableColumn id="14" name="Источник"/>
    <tableColumn id="15" name="Status"/>
    <tableColumn id="16" name="ID unique"/>
    <tableColumn id="17" name="LinkedStatCodes"/>
  </tableColumns>
  <tableStyleInfo name="TableStyleMedium2" showFirstColumn="0" showLastColumn="0" showRowStripes="1" showColumnStripes="0"/>
</table>
</file>

<file path=xl/tables/table25.xml><?xml version="1.0" encoding="utf-8"?>
<table xmlns="http://schemas.openxmlformats.org/spreadsheetml/2006/main" id="25" name="SymbiontInstanceFieldsTable" displayName="SymbiontInstanceFieldsTable" ref="A48:H66" headerRowCount="1" totalsRowCount="0" totalsRowShown="0">
  <tableColumns count="8">
    <tableColumn id="1" name="Field"/>
    <tableColumn id="2" name="Scope"/>
    <tableColumn id="3" name="Data type"/>
    <tableColumn id="4" name="Required"/>
    <tableColumn id="5" name="Default"/>
    <tableColumn id="6" name="Validation / constraint"/>
    <tableColumn id="7" name="Purpose"/>
    <tableColumn id="8" name="Rule IDs"/>
  </tableColumns>
  <tableStyleInfo name="TableStyleMedium2" showFirstColumn="0" showLastColumn="0" showRowStripes="1" showColumnStripes="0"/>
</table>
</file>

<file path=xl/tables/table26.xml><?xml version="1.0" encoding="utf-8"?>
<table xmlns="http://schemas.openxmlformats.org/spreadsheetml/2006/main" id="26" name="SymbiontLevelsTable" displayName="SymbiontLevelsTable" ref="A5:I149" headerRowCount="1" totalsRowCount="0" totalsRowShown="0">
  <autoFilter ref="A5:I149"/>
  <tableColumns count="9">
    <tableColumn id="1" name="LevelProfileID"/>
    <tableColumn id="2" name="SpeciesKey"/>
    <tableColumn id="3" name="L"/>
    <tableColumn id="4" name="XPThreshold / NodeCost"/>
    <tableColumn id="5" name="Base MaxOE"/>
    <tableColumn id="6" name="NodeUnlockCount"/>
    <tableColumn id="7" name="RequiredPriorLevel"/>
    <tableColumn id="8" name="Rule IDs"/>
    <tableColumn id="9" name="ID unique"/>
  </tableColumns>
  <tableStyleInfo name="TableStyleMedium2" showFirstColumn="0" showLastColumn="0" showRowStripes="1" showColumnStripes="0"/>
</table>
</file>

<file path=xl/tables/table27.xml><?xml version="1.0" encoding="utf-8"?>
<table xmlns="http://schemas.openxmlformats.org/spreadsheetml/2006/main" id="27" name="SymbiontLinkedStatsTable" displayName="SymbiontLinkedStatsTable" ref="A34:G82" headerRowCount="1" totalsRowCount="0" totalsRowShown="0">
  <tableColumns count="7">
    <tableColumn id="1" name="LinkID"/>
    <tableColumn id="2" name="SpeciesKey"/>
    <tableColumn id="3" name="LinkedStatCode"/>
    <tableColumn id="4" name="StatOrder"/>
    <tableColumn id="5" name="ProfileRuleID"/>
    <tableColumn id="6" name="Status"/>
    <tableColumn id="7" name="ID unique"/>
  </tableColumns>
  <tableStyleInfo name="TableStyleMedium2" showFirstColumn="0" showLastColumn="0" showRowStripes="1" showColumnStripes="0"/>
</table>
</file>

<file path=xl/tables/table28.xml><?xml version="1.0" encoding="utf-8"?>
<table xmlns="http://schemas.openxmlformats.org/spreadsheetml/2006/main" id="28" name="SymbiontNodesTable" displayName="SymbiontNodesTable" ref="A5:O187" headerRowCount="1" totalsRowCount="0" totalsRowShown="0">
  <autoFilter ref="A5:O187"/>
  <tableColumns count="15">
    <tableColumn id="1" name="NodeRef"/>
    <tableColumn id="2" name="SpeciesKey"/>
    <tableColumn id="3" name="Название"/>
    <tableColumn id="4" name="L"/>
    <tableColumn id="5" name="BranchCode"/>
    <tableColumn id="6" name="NodeKind"/>
    <tableColumn id="7" name="ParentNodeRef"/>
    <tableColumn id="8" name="ParentMode"/>
    <tableColumn id="9" name="ChoiceGroupID"/>
    <tableColumn id="10" name="AbilityID"/>
    <tableColumn id="11" name="AutomationStatus"/>
    <tableColumn id="12" name="SelectionConstraint"/>
    <tableColumn id="13" name="Rule IDs"/>
    <tableColumn id="14" name="Source Question IDs"/>
    <tableColumn id="15" name="ID unique"/>
  </tableColumns>
  <tableStyleInfo name="TableStyleMedium2" showFirstColumn="0" showLastColumn="0" showRowStripes="1" showColumnStripes="0"/>
</table>
</file>

<file path=xl/tables/table29.xml><?xml version="1.0" encoding="utf-8"?>
<table xmlns="http://schemas.openxmlformats.org/spreadsheetml/2006/main" id="29" name="SymbiontXpEventFieldsTable" displayName="SymbiontXpEventFieldsTable" ref="A58:I77" headerRowCount="1" totalsRowCount="0" totalsRowShown="0">
  <tableColumns count="9">
    <tableColumn id="1" name="Field"/>
    <tableColumn id="2" name="Scope"/>
    <tableColumn id="3" name="Data type"/>
    <tableColumn id="4" name="Required"/>
    <tableColumn id="5" name="Default"/>
    <tableColumn id="6" name="Validation / constraint"/>
    <tableColumn id="7" name="Purpose"/>
    <tableColumn id="8" name="Rule IDs"/>
    <tableColumn id="9" name="ID unique"/>
  </tableColumns>
  <tableStyleInfo name="TableStyleMedium2" showFirstColumn="0" showLastColumn="0" showRowStripes="1" showColumnStripes="0"/>
</table>
</file>

<file path=xl/tables/table30.xml><?xml version="1.0" encoding="utf-8"?>
<table xmlns="http://schemas.openxmlformats.org/spreadsheetml/2006/main" id="30" name="SymbiontXpEventPointPolicyTable" displayName="SymbiontXpEventPointPolicyTable" ref="A11:I18" headerRowCount="1" totalsRowCount="0" totalsRowShown="0">
  <tableColumns count="9">
    <tableColumn id="1" name="PointPolicyID"/>
    <tableColumn id="2" name="NaturalFace"/>
    <tableColumn id="3" name="ConfirmedGrade"/>
    <tableColumn id="4" name="CriticalPolarity"/>
    <tableColumn id="5" name="EventPoints"/>
    <tableColumn id="6" name="GradeReplacesBase"/>
    <tableColumn id="7" name="RuleIDs"/>
    <tableColumn id="8" name="Status"/>
    <tableColumn id="9" name="ID unique"/>
  </tableColumns>
  <tableStyleInfo name="TableStyleMedium2" showFirstColumn="0" showLastColumn="0" showRowStripes="1" showColumnStripes="0"/>
</table>
</file>

<file path=xl/tables/table31.xml><?xml version="1.0" encoding="utf-8"?>
<table xmlns="http://schemas.openxmlformats.org/spreadsheetml/2006/main" id="31" name="SymbiontXpNeverSourcePolicyTable" displayName="SymbiontXpNeverSourcePolicyTable" ref="A35:I43" headerRowCount="1" totalsRowCount="0" totalsRowShown="0">
  <tableColumns count="9">
    <tableColumn id="1" name="NeverSourceCode"/>
    <tableColumn id="2" name="MatchCondition"/>
    <tableColumn id="3" name="ProgressionRoute"/>
    <tableColumn id="4" name="CreatesProgressionEvent"/>
    <tableColumn id="5" name="CreatesXPOrPoints"/>
    <tableColumn id="6" name="AuditOnly"/>
    <tableColumn id="7" name="RuleIDs"/>
    <tableColumn id="8" name="Status"/>
    <tableColumn id="9" name="ID unique"/>
  </tableColumns>
  <tableStyleInfo name="TableStyleMedium2" showFirstColumn="0" showLastColumn="0" showRowStripes="1" showColumnStripes="0"/>
</table>
</file>

<file path=xl/tables/table32.xml><?xml version="1.0" encoding="utf-8"?>
<table xmlns="http://schemas.openxmlformats.org/spreadsheetml/2006/main" id="32" name="SymbiontXpRacePolicyTable" displayName="SymbiontXpRacePolicyTable" ref="A46:J49" headerRowCount="1" totalsRowCount="0" totalsRowShown="0">
  <tableColumns count="10">
    <tableColumn id="1" name="RaceCode"/>
    <tableColumn id="2" name="DirectXpMultiplier"/>
    <tableColumn id="3" name="ProgressPointMultiplier"/>
    <tableColumn id="4" name="ConversionThreshold"/>
    <tableColumn id="5" name="UnallocatedXpPerThreshold"/>
    <tableColumn id="6" name="AllocationXpMultiplier"/>
    <tableColumn id="7" name="AppliesToPlayerOnly"/>
    <tableColumn id="8" name="RuleIDs"/>
    <tableColumn id="9" name="Status"/>
    <tableColumn id="10" name="ID unique"/>
  </tableColumns>
  <tableStyleInfo name="TableStyleMedium2" showFirstColumn="0" showLastColumn="0" showRowStripes="1" showColumnStripes="0"/>
</table>
</file>

<file path=xl/tables/table33.xml><?xml version="1.0" encoding="utf-8"?>
<table xmlns="http://schemas.openxmlformats.org/spreadsheetml/2006/main" id="33" name="SymbiontXpRollKindPolicyTable" displayName="SymbiontXpRollKindPolicyTable" ref="A21:I32" headerRowCount="1" totalsRowCount="0" totalsRowShown="0">
  <tableColumns count="9">
    <tableColumn id="1" name="RollKind"/>
    <tableColumn id="2" name="ProgressionClass"/>
    <tableColumn id="3" name="DirectXPAllowed"/>
    <tableColumn id="4" name="CounterAllowed"/>
    <tableColumn id="5" name="CriticalChainAllowed"/>
    <tableColumn id="6" name="OriginalD20Required"/>
    <tableColumn id="7" name="RuleIDs"/>
    <tableColumn id="8" name="Status"/>
    <tableColumn id="9" name="ID unique"/>
  </tableColumns>
  <tableStyleInfo name="TableStyleMedium2" showFirstColumn="0" showLastColumn="0" showRowStripes="1" showColumnStripes="0"/>
</table>
</file>

<file path=xl/tables/table34.xml><?xml version="1.0" encoding="utf-8"?>
<table xmlns="http://schemas.openxmlformats.org/spreadsheetml/2006/main" id="34" name="SymbiontXpRoutePolicyTable" displayName="SymbiontXpRoutePolicyTable" ref="A5:I8" headerRowCount="1" totalsRowCount="0" totalsRowShown="0">
  <tableColumns count="9">
    <tableColumn id="1" name="RouteCode"/>
    <tableColumn id="2" name="AppliesWhen"/>
    <tableColumn id="3" name="DirectXP"/>
    <tableColumn id="4" name="CounterPoints"/>
    <tableColumn id="5" name="StateTransition"/>
    <tableColumn id="6" name="Terminal"/>
    <tableColumn id="7" name="RuleIDs"/>
    <tableColumn id="8" name="Status"/>
    <tableColumn id="9" name="ID unique"/>
  </tableColumns>
  <tableStyleInfo name="TableStyleMedium2" showFirstColumn="0" showLastColumn="0" showRowStripes="1" showColumnStripes="0"/>
</table>
</file>

<file path=xl/tables/table35.xml><?xml version="1.0" encoding="utf-8"?>
<table xmlns="http://schemas.openxmlformats.org/spreadsheetml/2006/main" id="35" name="SymbiontXpSuppressionPolicyTable" displayName="SymbiontXpSuppressionPolicyTable" ref="A52:J55" headerRowCount="1" totalsRowCount="0" totalsRowShown="0">
  <tableColumns count="10">
    <tableColumn id="1" name="PolicyID"/>
    <tableColumn id="2" name="SpeciesKey"/>
    <tableColumn id="3" name="SuppressorSpeciesKey"/>
    <tableColumn id="4" name="EffectsEnabled"/>
    <tableColumn id="5" name="XpEligible"/>
    <tableColumn id="6" name="AppliesToDirectAndOtherAwards"/>
    <tableColumn id="7" name="Priority"/>
    <tableColumn id="8" name="RuleIDs"/>
    <tableColumn id="9" name="Status"/>
    <tableColumn id="10" name="ID uniqu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8.xml"/>
</Relationships>
</file>

<file path=xl/worksheets/_rels/sheet3.xml.rels><?xml version="1.0" encoding="UTF-8"?>
<Relationships xmlns="http://schemas.openxmlformats.org/package/2006/relationships"><Relationship Id="rId1" Type="http://schemas.openxmlformats.org/officeDocument/2006/relationships/table" Target="../tables/table12.xml"/>
</Relationships>
</file>

<file path=xl/worksheets/_rels/sheet4.xml.rels><?xml version="1.0" encoding="UTF-8"?>
<Relationships xmlns="http://schemas.openxmlformats.org/package/2006/relationships"><Relationship Id="rId1" Type="http://schemas.openxmlformats.org/officeDocument/2006/relationships/table" Target="../tables/table20.xml"/>
</Relationships>
</file>

<file path=xl/worksheets/_rels/sheet5.xml.rels><?xml version="1.0" encoding="UTF-8"?>
<Relationships xmlns="http://schemas.openxmlformats.org/package/2006/relationships"><Relationship Id="rId1" Type="http://schemas.openxmlformats.org/officeDocument/2006/relationships/table" Target="../tables/table22.xml"/>
</Relationships>
</file>

<file path=xl/worksheets/_rels/sheet6.xml.rels><?xml version="1.0" encoding="UTF-8"?>
<Relationships xmlns="http://schemas.openxmlformats.org/package/2006/relationships"><Relationship Id="rId1" Type="http://schemas.openxmlformats.org/officeDocument/2006/relationships/table" Target="../tables/table21.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24.xml"/><Relationship Id="rId2" Type="http://schemas.openxmlformats.org/officeDocument/2006/relationships/table" Target="../tables/table27.xml"/>
</Relationships>
</file>

<file path=xl/worksheets/_rels/sheet9.xml.rels><?xml version="1.0" encoding="UTF-8"?>
<Relationships xmlns="http://schemas.openxmlformats.org/package/2006/relationships"><Relationship Id="rId1" Type="http://schemas.openxmlformats.org/officeDocument/2006/relationships/table" Target="../tables/table26.xml"/>
</Relationships>
</file>

<file path=xl/worksheets/_rels/sheet10.xml.rels><?xml version="1.0" encoding="UTF-8"?>
<Relationships xmlns="http://schemas.openxmlformats.org/package/2006/relationships"><Relationship Id="rId1" Type="http://schemas.openxmlformats.org/officeDocument/2006/relationships/table" Target="../tables/table28.xml"/>
</Relationships>
</file>

<file path=xl/worksheets/_rels/sheet11.xml.rels><?xml version="1.0" encoding="UTF-8"?>
<Relationships xmlns="http://schemas.openxmlformats.org/package/2006/relationships"><Relationship Id="rId1" Type="http://schemas.openxmlformats.org/officeDocument/2006/relationships/table" Target="../tables/table23.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7.xml"/>
</Relationships>
</file>

<file path=xl/worksheets/_rels/sheet14.xml.rels><?xml version="1.0" encoding="UTF-8"?>
<Relationships xmlns="http://schemas.openxmlformats.org/package/2006/relationships"><Relationship Id="rId1" Type="http://schemas.openxmlformats.org/officeDocument/2006/relationships/table" Target="../tables/table19.xml"/>
</Relationships>
</file>

<file path=xl/worksheets/_rels/sheet15.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11.xml"/><Relationship Id="rId3" Type="http://schemas.openxmlformats.org/officeDocument/2006/relationships/table" Target="../tables/table13.xml"/><Relationship Id="rId4" Type="http://schemas.openxmlformats.org/officeDocument/2006/relationships/table" Target="../tables/table25.xml"/>
</Relationships>
</file>

<file path=xl/worksheets/_rels/sheet16.xml.rels><?xml version="1.0" encoding="UTF-8"?>
<Relationships xmlns="http://schemas.openxmlformats.org/package/2006/relationships"><Relationship Id="rId1" Type="http://schemas.openxmlformats.org/officeDocument/2006/relationships/table" Target="../tables/table10.xml"/>
</Relationships>
</file>

<file path=xl/worksheets/_rels/sheet17.xml.rels><?xml version="1.0" encoding="UTF-8"?>
<Relationships xmlns="http://schemas.openxmlformats.org/package/2006/relationships"><Relationship Id="rId1" Type="http://schemas.openxmlformats.org/officeDocument/2006/relationships/table" Target="../tables/table3.xml"/>
</Relationships>
</file>

<file path=xl/worksheets/_rels/sheet18.xml.rels><?xml version="1.0" encoding="UTF-8"?>
<Relationships xmlns="http://schemas.openxmlformats.org/package/2006/relationships"><Relationship Id="rId1" Type="http://schemas.openxmlformats.org/officeDocument/2006/relationships/table" Target="../tables/table17.xml"/>
</Relationships>
</file>

<file path=xl/worksheets/_rels/sheet19.xml.rels><?xml version="1.0" encoding="UTF-8"?>
<Relationships xmlns="http://schemas.openxmlformats.org/package/2006/relationships"><Relationship Id="rId1" Type="http://schemas.openxmlformats.org/officeDocument/2006/relationships/table" Target="../tables/table14.xml"/>
</Relationships>
</file>

<file path=xl/worksheets/_rels/sheet20.xml.rels><?xml version="1.0" encoding="UTF-8"?>
<Relationships xmlns="http://schemas.openxmlformats.org/package/2006/relationships"><Relationship Id="rId1" Type="http://schemas.openxmlformats.org/officeDocument/2006/relationships/table" Target="../tables/table16.xml"/>
</Relationships>
</file>

<file path=xl/worksheets/_rels/sheet21.xml.rels><?xml version="1.0" encoding="UTF-8"?>
<Relationships xmlns="http://schemas.openxmlformats.org/package/2006/relationships"><Relationship Id="rId1" Type="http://schemas.openxmlformats.org/officeDocument/2006/relationships/table" Target="../tables/table15.xml"/>
</Relationships>
</file>

<file path=xl/worksheets/_rels/sheet22.xml.rels><?xml version="1.0" encoding="UTF-8"?>
<Relationships xmlns="http://schemas.openxmlformats.org/package/2006/relationships"><Relationship Id="rId1" Type="http://schemas.openxmlformats.org/officeDocument/2006/relationships/table" Target="../tables/table6.xml"/>
</Relationships>
</file>

<file path=xl/worksheets/_rels/sheet23.xml.rels><?xml version="1.0" encoding="UTF-8"?>
<Relationships xmlns="http://schemas.openxmlformats.org/package/2006/relationships"><Relationship Id="rId1" Type="http://schemas.openxmlformats.org/officeDocument/2006/relationships/table" Target="../tables/table8.xml"/>
</Relationships>
</file>

<file path=xl/worksheets/_rels/sheet24.xml.rels><?xml version="1.0" encoding="UTF-8"?>
<Relationships xmlns="http://schemas.openxmlformats.org/package/2006/relationships"><Relationship Id="rId1" Type="http://schemas.openxmlformats.org/officeDocument/2006/relationships/table" Target="../tables/table4.xml"/><Relationship Id="rId2" Type="http://schemas.openxmlformats.org/officeDocument/2006/relationships/table" Target="../tables/table5.xml"/>
</Relationships>
</file>

<file path=xl/worksheets/_rels/sheet25.xml.rels><?xml version="1.0" encoding="UTF-8"?>
<Relationships xmlns="http://schemas.openxmlformats.org/package/2006/relationships"><Relationship Id="rId1" Type="http://schemas.openxmlformats.org/officeDocument/2006/relationships/table" Target="../tables/table29.xml"/><Relationship Id="rId2" Type="http://schemas.openxmlformats.org/officeDocument/2006/relationships/table" Target="../tables/table30.xml"/><Relationship Id="rId3" Type="http://schemas.openxmlformats.org/officeDocument/2006/relationships/table" Target="../tables/table31.xml"/><Relationship Id="rId4" Type="http://schemas.openxmlformats.org/officeDocument/2006/relationships/table" Target="../tables/table32.xml"/><Relationship Id="rId5" Type="http://schemas.openxmlformats.org/officeDocument/2006/relationships/table" Target="../tables/table33.xml"/><Relationship Id="rId6" Type="http://schemas.openxmlformats.org/officeDocument/2006/relationships/table" Target="../tables/table34.xml"/><Relationship Id="rId7" Type="http://schemas.openxmlformats.org/officeDocument/2006/relationships/table" Target="../tables/table3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14"/>
    <col collapsed="false" customWidth="true" hidden="false" outlineLevel="0" max="4" min="4" style="0" width="46"/>
    <col collapsed="false" customWidth="true" hidden="false" outlineLevel="0" max="5" min="5" style="0" width="3"/>
    <col collapsed="false" customWidth="true" hidden="false" outlineLevel="0" max="11" min="6" style="0" width="24"/>
  </cols>
  <sheetData>
    <row r="1" customFormat="false" ht="30" hidden="false" customHeight="true" outlineLevel="0" collapsed="false">
      <c r="A1" s="1" t="s">
        <v>0</v>
      </c>
      <c r="B1" s="1"/>
      <c r="C1" s="1"/>
      <c r="D1" s="1"/>
      <c r="E1" s="1"/>
      <c r="F1" s="1"/>
      <c r="G1" s="1"/>
      <c r="H1" s="1"/>
      <c r="I1" s="1"/>
      <c r="J1" s="1"/>
      <c r="K1" s="1"/>
    </row>
    <row r="2" customFormat="false" ht="42" hidden="false" customHeight="true" outlineLevel="0" collapsed="false">
      <c r="A2" s="2" t="s">
        <v>1</v>
      </c>
      <c r="B2" s="2"/>
      <c r="C2" s="2"/>
      <c r="D2" s="2"/>
      <c r="E2" s="2"/>
      <c r="F2" s="2"/>
      <c r="G2" s="2"/>
      <c r="H2" s="2"/>
      <c r="I2" s="2"/>
      <c r="J2" s="2"/>
      <c r="K2" s="2"/>
    </row>
    <row r="3" customFormat="false" ht="15" hidden="false" customHeight="false" outlineLevel="0" collapsed="false">
      <c r="A3" s="3"/>
      <c r="B3" s="3"/>
      <c r="C3" s="3"/>
      <c r="D3" s="3"/>
      <c r="E3" s="3"/>
      <c r="F3" s="3"/>
      <c r="G3" s="3"/>
      <c r="H3" s="3"/>
      <c r="I3" s="3"/>
      <c r="J3" s="3"/>
      <c r="K3" s="3"/>
    </row>
    <row r="5" customFormat="false" ht="15" hidden="false" customHeight="false" outlineLevel="0" collapsed="false">
      <c r="A5" s="4" t="s">
        <v>2</v>
      </c>
      <c r="B5" s="4" t="s">
        <v>3</v>
      </c>
      <c r="C5" s="4" t="s">
        <v>4</v>
      </c>
      <c r="D5" s="4" t="s">
        <v>5</v>
      </c>
      <c r="F5" s="5" t="s">
        <v>6</v>
      </c>
      <c r="G5" s="5"/>
      <c r="H5" s="5"/>
      <c r="I5" s="5"/>
      <c r="J5" s="5"/>
      <c r="K5" s="5"/>
    </row>
    <row r="6" customFormat="false" ht="15" hidden="false" customHeight="true" outlineLevel="0" collapsed="false">
      <c r="A6" s="6" t="s">
        <v>7</v>
      </c>
      <c r="B6" s="6" t="s">
        <v>8</v>
      </c>
      <c r="C6" s="7" t="s">
        <v>9</v>
      </c>
      <c r="D6" s="6" t="s">
        <v>10</v>
      </c>
      <c r="F6" s="8" t="s">
        <v>11</v>
      </c>
      <c r="G6" s="8"/>
      <c r="H6" s="8"/>
      <c r="I6" s="8"/>
      <c r="J6" s="8"/>
      <c r="K6" s="8"/>
    </row>
    <row r="7" customFormat="false" ht="15" hidden="false" customHeight="false" outlineLevel="0" collapsed="false">
      <c r="A7" s="6" t="s">
        <v>12</v>
      </c>
      <c r="B7" s="6" t="s">
        <v>13</v>
      </c>
      <c r="C7" s="7" t="s">
        <v>9</v>
      </c>
      <c r="D7" s="6" t="s">
        <v>14</v>
      </c>
      <c r="F7" s="8"/>
      <c r="G7" s="8"/>
      <c r="H7" s="8"/>
      <c r="I7" s="8"/>
      <c r="J7" s="8"/>
      <c r="K7" s="8"/>
    </row>
    <row r="8" customFormat="false" ht="15" hidden="false" customHeight="false" outlineLevel="0" collapsed="false">
      <c r="A8" s="6" t="s">
        <v>15</v>
      </c>
      <c r="B8" s="6" t="n">
        <f aca="false">COUNTA('01_Характеристики'!$A$6:$A$12)</f>
        <v>7</v>
      </c>
      <c r="C8" s="7" t="str">
        <f aca="false">IF(B8=7,"PASS","FAIL")</f>
        <v>PASS</v>
      </c>
      <c r="D8" s="6" t="s">
        <v>16</v>
      </c>
      <c r="F8" s="8"/>
      <c r="G8" s="8"/>
      <c r="H8" s="8"/>
      <c r="I8" s="8"/>
      <c r="J8" s="8"/>
      <c r="K8" s="8"/>
    </row>
    <row r="9" customFormat="false" ht="15" hidden="false" customHeight="false" outlineLevel="0" collapsed="false">
      <c r="A9" s="6" t="s">
        <v>17</v>
      </c>
      <c r="B9" s="6" t="n">
        <f aca="false">COUNTA('02_Расы'!$A$6:$A$8)</f>
        <v>3</v>
      </c>
      <c r="C9" s="7" t="str">
        <f aca="false">IF(B9=3,"PASS","FAIL")</f>
        <v>PASS</v>
      </c>
      <c r="D9" s="6" t="s">
        <v>18</v>
      </c>
      <c r="F9" s="8"/>
      <c r="G9" s="8"/>
      <c r="H9" s="8"/>
      <c r="I9" s="8"/>
      <c r="J9" s="8"/>
      <c r="K9" s="8"/>
    </row>
    <row r="10" customFormat="false" ht="15" hidden="false" customHeight="false" outlineLevel="0" collapsed="false">
      <c r="A10" s="6" t="s">
        <v>19</v>
      </c>
      <c r="B10" s="6" t="n">
        <f aca="false">COUNTA('03_Классы'!$A$6:$A$8)</f>
        <v>3</v>
      </c>
      <c r="C10" s="7" t="str">
        <f aca="false">IF(B10=3,"PASS","FAIL")</f>
        <v>PASS</v>
      </c>
      <c r="D10" s="6" t="s">
        <v>18</v>
      </c>
      <c r="F10" s="8"/>
      <c r="G10" s="8"/>
      <c r="H10" s="8"/>
      <c r="I10" s="8"/>
      <c r="J10" s="8"/>
      <c r="K10" s="8"/>
    </row>
    <row r="11" customFormat="false" ht="15" hidden="false" customHeight="false" outlineLevel="0" collapsed="false">
      <c r="A11" s="6" t="s">
        <v>20</v>
      </c>
      <c r="B11" s="6" t="n">
        <f aca="false">COUNTA('04_Навыки'!$B$6:$B$50)</f>
        <v>45</v>
      </c>
      <c r="C11" s="7" t="str">
        <f aca="false">IF(B11=45,"PASS","FAIL")</f>
        <v>PASS</v>
      </c>
      <c r="D11" s="6" t="s">
        <v>21</v>
      </c>
      <c r="F11" s="8"/>
      <c r="G11" s="8"/>
      <c r="H11" s="8"/>
      <c r="I11" s="8"/>
      <c r="J11" s="8"/>
      <c r="K11" s="8"/>
    </row>
    <row r="12" customFormat="false" ht="15" hidden="false" customHeight="false" outlineLevel="0" collapsed="false">
      <c r="A12" s="6" t="s">
        <v>22</v>
      </c>
      <c r="B12" s="6" t="n">
        <f aca="false">COUNTA('07_Симбионты'!$A$6:$A$28)</f>
        <v>23</v>
      </c>
      <c r="C12" s="7" t="str">
        <f aca="false">IF(B12=23,"PASS","FAIL")</f>
        <v>PASS</v>
      </c>
      <c r="D12" s="6" t="s">
        <v>23</v>
      </c>
    </row>
    <row r="13" customFormat="false" ht="15" hidden="false" customHeight="false" outlineLevel="0" collapsed="false">
      <c r="A13" s="6" t="s">
        <v>24</v>
      </c>
      <c r="B13" s="6" t="n">
        <f aca="false">COUNTA('09_Узлы_развития'!$A$6:$A$187)</f>
        <v>182</v>
      </c>
      <c r="C13" s="7" t="str">
        <f aca="false">IF(B13=182,"PASS","FAIL")</f>
        <v>PASS</v>
      </c>
      <c r="D13" s="6" t="s">
        <v>25</v>
      </c>
      <c r="F13" s="5" t="s">
        <v>26</v>
      </c>
      <c r="G13" s="5"/>
      <c r="H13" s="5"/>
      <c r="I13" s="5"/>
      <c r="J13" s="5"/>
      <c r="K13" s="5"/>
    </row>
    <row r="14" customFormat="false" ht="15" hidden="false" customHeight="true" outlineLevel="0" collapsed="false">
      <c r="A14" s="6" t="s">
        <v>27</v>
      </c>
      <c r="B14" s="6" t="n">
        <f aca="false">COUNTA('10_Способности'!$A$6:$A$172)</f>
        <v>167</v>
      </c>
      <c r="C14" s="7" t="str">
        <f aca="false">IF(B14=167,"PASS","FAIL")</f>
        <v>PASS</v>
      </c>
      <c r="D14" s="6" t="s">
        <v>28</v>
      </c>
      <c r="F14" s="9" t="s">
        <v>29</v>
      </c>
      <c r="G14" s="9"/>
      <c r="H14" s="9"/>
      <c r="I14" s="9"/>
      <c r="J14" s="9"/>
      <c r="K14" s="9"/>
    </row>
    <row r="15" customFormat="false" ht="15" hidden="false" customHeight="false" outlineLevel="0" collapsed="false">
      <c r="A15" s="6" t="s">
        <v>30</v>
      </c>
      <c r="B15" s="6" t="n">
        <f aca="false">COUNTA('11_Контексты_способностей'!$A$6:$A$339)</f>
        <v>334</v>
      </c>
      <c r="C15" s="7" t="str">
        <f aca="false">IF(B15=334,"PASS","FAIL")</f>
        <v>PASS</v>
      </c>
      <c r="D15" s="6" t="s">
        <v>31</v>
      </c>
      <c r="F15" s="9"/>
      <c r="G15" s="9"/>
      <c r="H15" s="9"/>
      <c r="I15" s="9"/>
      <c r="J15" s="9"/>
      <c r="K15" s="9"/>
    </row>
    <row r="16" customFormat="false" ht="15" hidden="false" customHeight="false" outlineLevel="0" collapsed="false">
      <c r="A16" s="6" t="s">
        <v>32</v>
      </c>
      <c r="B16" s="6" t="n">
        <f aca="false">COUNTIF('09_Узлы_развития'!$K$6:$K$187,"NODE_ONLY_MANUAL")</f>
        <v>15</v>
      </c>
      <c r="C16" s="7" t="str">
        <f aca="false">IF(B16=15,"PASS","FAIL")</f>
        <v>PASS</v>
      </c>
      <c r="D16" s="6" t="s">
        <v>33</v>
      </c>
      <c r="F16" s="9"/>
      <c r="G16" s="9"/>
      <c r="H16" s="9"/>
      <c r="I16" s="9"/>
      <c r="J16" s="9"/>
      <c r="K16" s="9"/>
    </row>
    <row r="17" customFormat="false" ht="15" hidden="false" customHeight="false" outlineLevel="0" collapsed="false">
      <c r="A17" s="6" t="s">
        <v>34</v>
      </c>
      <c r="B17" s="6" t="n">
        <f aca="false">COUNTA('13_Генерируемые_объекты'!$A$6)</f>
        <v>1</v>
      </c>
      <c r="C17" s="7" t="str">
        <f aca="false">IF(B17=1,"PASS","FAIL")</f>
        <v>PASS</v>
      </c>
      <c r="D17" s="6" t="s">
        <v>35</v>
      </c>
      <c r="F17" s="9"/>
      <c r="G17" s="9"/>
      <c r="H17" s="9"/>
      <c r="I17" s="9"/>
      <c r="J17" s="9"/>
      <c r="K17" s="9"/>
    </row>
    <row r="18" customFormat="false" ht="28.35" hidden="false" customHeight="false" outlineLevel="0" collapsed="false">
      <c r="A18" s="6" t="s">
        <v>36</v>
      </c>
      <c r="B18" s="6" t="n">
        <f aca="false">COUNTA('21_QA_совместимость'!$A$6:$A$56)</f>
        <v>51</v>
      </c>
      <c r="C18" s="7" t="str">
        <f aca="false">IF(B18=51,"PASS","FAIL")</f>
        <v>PASS</v>
      </c>
      <c r="D18" s="6" t="s">
        <v>37</v>
      </c>
      <c r="F18" s="9"/>
      <c r="G18" s="9"/>
      <c r="H18" s="9"/>
      <c r="I18" s="9"/>
      <c r="J18" s="9"/>
      <c r="K18" s="9"/>
    </row>
    <row r="19" customFormat="false" ht="15" hidden="false" customHeight="false" outlineLevel="0" collapsed="false">
      <c r="A19" s="6" t="s">
        <v>38</v>
      </c>
      <c r="B19" s="6" t="n">
        <v>60</v>
      </c>
      <c r="C19" s="7" t="str">
        <f aca="false">IF(B19=60,"PASS","FAIL")</f>
        <v>PASS</v>
      </c>
      <c r="D19" s="6" t="s">
        <v>39</v>
      </c>
      <c r="F19" s="9"/>
      <c r="G19" s="9"/>
      <c r="H19" s="9"/>
      <c r="I19" s="9"/>
      <c r="J19" s="9"/>
      <c r="K19" s="9"/>
    </row>
    <row r="20" customFormat="false" ht="28.35" hidden="false" customHeight="false" outlineLevel="0" collapsed="false">
      <c r="A20" s="6" t="s">
        <v>40</v>
      </c>
      <c r="B20" s="6" t="n">
        <v>1144</v>
      </c>
      <c r="C20" s="7" t="str">
        <f aca="false">IF(B20=1144,"PASS","FAIL")</f>
        <v>PASS</v>
      </c>
      <c r="D20" s="6" t="s">
        <v>41</v>
      </c>
      <c r="F20" s="9"/>
      <c r="G20" s="9"/>
      <c r="H20" s="9"/>
      <c r="I20" s="9"/>
      <c r="J20" s="9"/>
      <c r="K20" s="9"/>
    </row>
    <row r="21" customFormat="false" ht="15" hidden="false" customHeight="false" outlineLevel="0" collapsed="false">
      <c r="A21" s="6" t="s">
        <v>42</v>
      </c>
      <c r="B21" s="6" t="str">
        <f aca="false">IF(COUNTIF('21_QA_совместимость'!$G$6:$G$56,"FAIL")+COUNTIF('22_Контроль'!$D$6:$D$53,"FAIL")=0,"PASS","FAIL")</f>
        <v>PASS</v>
      </c>
      <c r="C21" s="7" t="str">
        <f aca="false">IF(B21="PASS","PASS","FAIL")</f>
        <v>PASS</v>
      </c>
      <c r="D21" s="6" t="s">
        <v>43</v>
      </c>
    </row>
    <row r="22" customFormat="false" ht="15" hidden="false" customHeight="false" outlineLevel="0" collapsed="false">
      <c r="A22" s="0" t="s">
        <v>44</v>
      </c>
      <c r="B22" s="0" t="n">
        <f aca="false">COUNTA('07_Симбионты'!$A$35:$A$82)</f>
        <v>48</v>
      </c>
      <c r="C22" s="0" t="str">
        <f aca="false">IF(B22=48,"PASS","FAIL")</f>
        <v>PASS</v>
      </c>
      <c r="D22" s="0" t="s">
        <v>45</v>
      </c>
    </row>
    <row r="23" customFormat="false" ht="15" hidden="false" customHeight="false" outlineLevel="0" collapsed="false">
      <c r="A23" s="0" t="s">
        <v>46</v>
      </c>
      <c r="B23" s="0" t="n">
        <v>36</v>
      </c>
      <c r="C23" s="0" t="str">
        <f aca="false">IF(B23=36,"PASS","FAIL")</f>
        <v>PASS</v>
      </c>
      <c r="D23" s="0" t="s">
        <v>47</v>
      </c>
    </row>
    <row r="24" customFormat="false" ht="15" hidden="false" customHeight="false" outlineLevel="0" collapsed="false">
      <c r="A24" s="0" t="s">
        <v>48</v>
      </c>
      <c r="B24" s="0" t="n">
        <v>19</v>
      </c>
      <c r="C24" s="0" t="str">
        <f aca="false">IF(B24=19,"PASS","FAIL")</f>
        <v>PASS</v>
      </c>
      <c r="D24" s="0" t="s">
        <v>49</v>
      </c>
    </row>
    <row r="25" customFormat="false" ht="15" hidden="false" customHeight="false" outlineLevel="0" collapsed="false">
      <c r="A25" s="0" t="s">
        <v>50</v>
      </c>
      <c r="B25" s="0" t="n">
        <v>1</v>
      </c>
      <c r="C25" s="0" t="str">
        <f aca="false">IF(B25=1,"PASS","FAIL")</f>
        <v>PASS</v>
      </c>
      <c r="D25" s="0" t="s">
        <v>51</v>
      </c>
      <c r="F25" s="0" t="s">
        <v>52</v>
      </c>
    </row>
    <row r="26" customFormat="false" ht="15" hidden="false" customHeight="false" outlineLevel="0" collapsed="false">
      <c r="A26" s="0" t="s">
        <v>53</v>
      </c>
      <c r="B26" s="0" t="n">
        <v>11</v>
      </c>
      <c r="C26" s="0" t="str">
        <f aca="false">IF(B26=11,"PASS","FAIL")</f>
        <v>PASS</v>
      </c>
      <c r="D26" s="0" t="s">
        <v>54</v>
      </c>
      <c r="F26" s="0" t="s">
        <v>55</v>
      </c>
    </row>
  </sheetData>
  <mergeCells count="6">
    <mergeCell ref="A1:K1"/>
    <mergeCell ref="A2:K2"/>
    <mergeCell ref="F5:K5"/>
    <mergeCell ref="F6:K11"/>
    <mergeCell ref="F13:K13"/>
    <mergeCell ref="F14:K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0"/>
    <col collapsed="false" customWidth="true" hidden="false" outlineLevel="0" max="4" min="4" style="0" width="24"/>
    <col collapsed="false" customWidth="true" hidden="false" outlineLevel="0" max="5" min="5" style="0" width="10"/>
    <col collapsed="false" customWidth="true" hidden="false" outlineLevel="0" max="6" min="6" style="0" width="14"/>
    <col collapsed="false" customWidth="true" hidden="false" outlineLevel="0" max="7" min="7" style="0" width="13"/>
    <col collapsed="false" customWidth="true" hidden="false" outlineLevel="0" max="8" min="8" style="0" width="24"/>
    <col collapsed="false" customWidth="true" hidden="false" outlineLevel="0" max="9" min="9" style="0" width="86"/>
    <col collapsed="false" customWidth="true" hidden="false" outlineLevel="0" max="10" min="10" style="0" width="42"/>
    <col collapsed="false" customWidth="true" hidden="false" outlineLevel="0" max="11" min="11" style="0" width="44"/>
    <col collapsed="false" customWidth="true" hidden="false" outlineLevel="0" max="12" min="12" style="0" width="10"/>
  </cols>
  <sheetData>
    <row r="1" customFormat="false" ht="30" hidden="false" customHeight="true" outlineLevel="0" collapsed="false">
      <c r="A1" s="1" t="s">
        <v>56</v>
      </c>
      <c r="B1" s="1"/>
      <c r="C1" s="1"/>
      <c r="D1" s="1"/>
      <c r="E1" s="1"/>
      <c r="F1" s="1"/>
      <c r="G1" s="1"/>
      <c r="H1" s="1"/>
      <c r="I1" s="1"/>
      <c r="J1" s="1"/>
      <c r="K1" s="1"/>
      <c r="L1" s="1"/>
    </row>
    <row r="2" customFormat="false" ht="42" hidden="false" customHeight="true" outlineLevel="0" collapsed="false">
      <c r="A2" s="2" t="s">
        <v>57</v>
      </c>
      <c r="B2" s="2"/>
      <c r="C2" s="2"/>
      <c r="D2" s="2"/>
      <c r="E2" s="2"/>
      <c r="F2" s="2"/>
      <c r="G2" s="2"/>
      <c r="H2" s="2"/>
      <c r="I2" s="2"/>
      <c r="J2" s="2"/>
      <c r="K2" s="2"/>
      <c r="L2" s="2"/>
    </row>
    <row r="3" customFormat="false" ht="15" hidden="false" customHeight="false" outlineLevel="0" collapsed="false">
      <c r="A3" s="3"/>
      <c r="B3" s="3"/>
      <c r="C3" s="3"/>
      <c r="D3" s="3"/>
      <c r="E3" s="3"/>
      <c r="F3" s="3"/>
      <c r="G3" s="3"/>
      <c r="H3" s="3"/>
      <c r="I3" s="3"/>
      <c r="J3" s="3"/>
      <c r="K3" s="3"/>
      <c r="L3" s="3"/>
    </row>
    <row r="5" customFormat="false" ht="38" hidden="false" customHeight="true" outlineLevel="0" collapsed="false">
      <c r="A5" s="10" t="s">
        <v>58</v>
      </c>
      <c r="B5" s="10" t="s">
        <v>59</v>
      </c>
      <c r="C5" s="10" t="s">
        <v>60</v>
      </c>
      <c r="D5" s="10" t="s">
        <v>61</v>
      </c>
      <c r="E5" s="10" t="s">
        <v>62</v>
      </c>
      <c r="F5" s="10" t="s">
        <v>63</v>
      </c>
      <c r="G5" s="10" t="s">
        <v>64</v>
      </c>
      <c r="H5" s="10" t="s">
        <v>65</v>
      </c>
      <c r="I5" s="10" t="s">
        <v>66</v>
      </c>
      <c r="J5" s="10" t="s">
        <v>67</v>
      </c>
      <c r="K5" s="10" t="s">
        <v>68</v>
      </c>
      <c r="L5" s="10" t="s">
        <v>69</v>
      </c>
    </row>
    <row r="6" customFormat="false" ht="72" hidden="false" customHeight="true" outlineLevel="0" collapsed="false">
      <c r="A6" s="11" t="s">
        <v>70</v>
      </c>
      <c r="B6" s="11" t="s">
        <v>71</v>
      </c>
      <c r="C6" s="11" t="n">
        <v>1</v>
      </c>
      <c r="D6" s="11" t="s">
        <v>72</v>
      </c>
      <c r="E6" s="11" t="n">
        <v>1</v>
      </c>
      <c r="F6" s="11" t="n">
        <v>20</v>
      </c>
      <c r="G6" s="11" t="n">
        <v>1</v>
      </c>
      <c r="H6" s="11" t="s">
        <v>73</v>
      </c>
      <c r="I6" s="11" t="s">
        <v>74</v>
      </c>
      <c r="J6" s="11" t="s">
        <v>75</v>
      </c>
      <c r="K6" s="11" t="s">
        <v>76</v>
      </c>
      <c r="L6" s="12" t="n">
        <f aca="false">COUNTIF($A$6:$A$12,A6)</f>
        <v>1</v>
      </c>
    </row>
    <row r="7" customFormat="false" ht="72" hidden="false" customHeight="true" outlineLevel="0" collapsed="false">
      <c r="A7" s="11" t="s">
        <v>77</v>
      </c>
      <c r="B7" s="11" t="s">
        <v>78</v>
      </c>
      <c r="C7" s="11" t="n">
        <v>2</v>
      </c>
      <c r="D7" s="11" t="s">
        <v>72</v>
      </c>
      <c r="E7" s="11" t="n">
        <v>1</v>
      </c>
      <c r="F7" s="11" t="n">
        <v>20</v>
      </c>
      <c r="G7" s="11" t="n">
        <v>1</v>
      </c>
      <c r="H7" s="11" t="s">
        <v>73</v>
      </c>
      <c r="I7" s="11" t="s">
        <v>74</v>
      </c>
      <c r="J7" s="11" t="s">
        <v>75</v>
      </c>
      <c r="K7" s="11" t="s">
        <v>76</v>
      </c>
      <c r="L7" s="12" t="n">
        <f aca="false">COUNTIF($A$6:$A$12,A7)</f>
        <v>1</v>
      </c>
    </row>
    <row r="8" customFormat="false" ht="72" hidden="false" customHeight="true" outlineLevel="0" collapsed="false">
      <c r="A8" s="11" t="s">
        <v>79</v>
      </c>
      <c r="B8" s="11" t="s">
        <v>80</v>
      </c>
      <c r="C8" s="11" t="n">
        <v>3</v>
      </c>
      <c r="D8" s="11" t="s">
        <v>72</v>
      </c>
      <c r="E8" s="11" t="n">
        <v>1</v>
      </c>
      <c r="F8" s="11" t="n">
        <v>20</v>
      </c>
      <c r="G8" s="11" t="n">
        <v>1</v>
      </c>
      <c r="H8" s="11" t="s">
        <v>73</v>
      </c>
      <c r="I8" s="11" t="s">
        <v>81</v>
      </c>
      <c r="J8" s="11" t="s">
        <v>75</v>
      </c>
      <c r="K8" s="11" t="s">
        <v>76</v>
      </c>
      <c r="L8" s="12" t="n">
        <f aca="false">COUNTIF($A$6:$A$12,A8)</f>
        <v>1</v>
      </c>
    </row>
    <row r="9" customFormat="false" ht="72" hidden="false" customHeight="true" outlineLevel="0" collapsed="false">
      <c r="A9" s="11" t="s">
        <v>82</v>
      </c>
      <c r="B9" s="11" t="s">
        <v>83</v>
      </c>
      <c r="C9" s="11" t="n">
        <v>4</v>
      </c>
      <c r="D9" s="11" t="s">
        <v>72</v>
      </c>
      <c r="E9" s="11" t="n">
        <v>1</v>
      </c>
      <c r="F9" s="11" t="n">
        <v>20</v>
      </c>
      <c r="G9" s="11" t="n">
        <v>1</v>
      </c>
      <c r="H9" s="11" t="s">
        <v>73</v>
      </c>
      <c r="I9" s="11" t="s">
        <v>84</v>
      </c>
      <c r="J9" s="11" t="s">
        <v>85</v>
      </c>
      <c r="K9" s="11" t="s">
        <v>76</v>
      </c>
      <c r="L9" s="12" t="n">
        <f aca="false">COUNTIF($A$6:$A$12,A9)</f>
        <v>1</v>
      </c>
    </row>
    <row r="10" customFormat="false" ht="72" hidden="false" customHeight="true" outlineLevel="0" collapsed="false">
      <c r="A10" s="11" t="s">
        <v>86</v>
      </c>
      <c r="B10" s="11" t="s">
        <v>87</v>
      </c>
      <c r="C10" s="11" t="n">
        <v>5</v>
      </c>
      <c r="D10" s="11" t="s">
        <v>72</v>
      </c>
      <c r="E10" s="11" t="n">
        <v>1</v>
      </c>
      <c r="F10" s="11" t="n">
        <v>20</v>
      </c>
      <c r="G10" s="11" t="n">
        <v>1</v>
      </c>
      <c r="H10" s="11" t="s">
        <v>73</v>
      </c>
      <c r="I10" s="11" t="s">
        <v>74</v>
      </c>
      <c r="J10" s="11" t="s">
        <v>75</v>
      </c>
      <c r="K10" s="11" t="s">
        <v>76</v>
      </c>
      <c r="L10" s="12" t="n">
        <f aca="false">COUNTIF($A$6:$A$12,A10)</f>
        <v>1</v>
      </c>
    </row>
    <row r="11" customFormat="false" ht="72" hidden="false" customHeight="true" outlineLevel="0" collapsed="false">
      <c r="A11" s="11" t="s">
        <v>88</v>
      </c>
      <c r="B11" s="11" t="s">
        <v>89</v>
      </c>
      <c r="C11" s="11" t="n">
        <v>6</v>
      </c>
      <c r="D11" s="11" t="s">
        <v>72</v>
      </c>
      <c r="E11" s="11" t="n">
        <v>1</v>
      </c>
      <c r="F11" s="11" t="n">
        <v>20</v>
      </c>
      <c r="G11" s="11" t="n">
        <v>1</v>
      </c>
      <c r="H11" s="11" t="s">
        <v>73</v>
      </c>
      <c r="I11" s="11" t="s">
        <v>90</v>
      </c>
      <c r="J11" s="11" t="s">
        <v>91</v>
      </c>
      <c r="K11" s="11" t="s">
        <v>76</v>
      </c>
      <c r="L11" s="12" t="n">
        <f aca="false">COUNTIF($A$6:$A$12,A11)</f>
        <v>1</v>
      </c>
    </row>
    <row r="12" customFormat="false" ht="72" hidden="false" customHeight="true" outlineLevel="0" collapsed="false">
      <c r="A12" s="11" t="s">
        <v>92</v>
      </c>
      <c r="B12" s="11" t="s">
        <v>93</v>
      </c>
      <c r="C12" s="11" t="n">
        <v>7</v>
      </c>
      <c r="D12" s="11" t="s">
        <v>72</v>
      </c>
      <c r="E12" s="11" t="n">
        <v>1</v>
      </c>
      <c r="F12" s="11" t="n">
        <v>20</v>
      </c>
      <c r="G12" s="11" t="n">
        <v>1</v>
      </c>
      <c r="H12" s="11" t="s">
        <v>73</v>
      </c>
      <c r="I12" s="11" t="s">
        <v>74</v>
      </c>
      <c r="J12" s="11" t="s">
        <v>75</v>
      </c>
      <c r="K12" s="11" t="s">
        <v>76</v>
      </c>
      <c r="L12" s="12" t="n">
        <f aca="false">COUNTIF($A$6:$A$12,A12)</f>
        <v>1</v>
      </c>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5"/>
    <col collapsed="false" customWidth="true" hidden="false" outlineLevel="0" max="4" min="4" style="0" width="18"/>
    <col collapsed="false" customWidth="true" hidden="false" outlineLevel="0" max="7" min="5" style="0" width="25"/>
    <col collapsed="false" customWidth="true" hidden="false" outlineLevel="0" max="8" min="8" style="0" width="24"/>
    <col collapsed="false" customWidth="true" hidden="false" outlineLevel="0" max="9" min="9" style="0" width="34"/>
    <col collapsed="false" customWidth="true" hidden="false" outlineLevel="0" max="10" min="10" style="0" width="30"/>
    <col collapsed="false" customWidth="true" hidden="false" outlineLevel="0" max="11" min="11" style="0" width="12"/>
    <col collapsed="false" customWidth="true" hidden="false" outlineLevel="0" max="12" min="12" style="0" width="10"/>
  </cols>
  <sheetData>
    <row r="1" customFormat="false" ht="30" hidden="false" customHeight="true" outlineLevel="0" collapsed="false">
      <c r="A1" s="1" t="s">
        <v>94</v>
      </c>
      <c r="B1" s="1"/>
      <c r="C1" s="1"/>
      <c r="D1" s="1"/>
      <c r="E1" s="1"/>
      <c r="F1" s="1"/>
      <c r="G1" s="1"/>
      <c r="H1" s="1"/>
      <c r="I1" s="1"/>
      <c r="J1" s="1"/>
      <c r="K1" s="1"/>
      <c r="L1" s="1"/>
    </row>
    <row r="2" customFormat="false" ht="42" hidden="false" customHeight="true" outlineLevel="0" collapsed="false">
      <c r="A2" s="2" t="s">
        <v>95</v>
      </c>
      <c r="B2" s="2"/>
      <c r="C2" s="2"/>
      <c r="D2" s="2"/>
      <c r="E2" s="2"/>
      <c r="F2" s="2"/>
      <c r="G2" s="2"/>
      <c r="H2" s="2"/>
      <c r="I2" s="2"/>
      <c r="J2" s="2"/>
      <c r="K2" s="2"/>
      <c r="L2" s="2"/>
    </row>
    <row r="3" customFormat="false" ht="15" hidden="false" customHeight="false" outlineLevel="0" collapsed="false">
      <c r="A3" s="3"/>
      <c r="B3" s="3"/>
      <c r="C3" s="3"/>
      <c r="D3" s="3"/>
      <c r="E3" s="3"/>
      <c r="F3" s="3"/>
      <c r="G3" s="3"/>
      <c r="H3" s="3"/>
      <c r="I3" s="3"/>
      <c r="J3" s="3"/>
      <c r="K3" s="3"/>
      <c r="L3" s="3"/>
    </row>
    <row r="5" customFormat="false" ht="38" hidden="false" customHeight="true" outlineLevel="0" collapsed="false">
      <c r="A5" s="10" t="s">
        <v>96</v>
      </c>
      <c r="B5" s="10" t="s">
        <v>59</v>
      </c>
      <c r="C5" s="10" t="s">
        <v>97</v>
      </c>
      <c r="D5" s="10" t="s">
        <v>98</v>
      </c>
      <c r="E5" s="10" t="s">
        <v>99</v>
      </c>
      <c r="F5" s="10" t="s">
        <v>100</v>
      </c>
      <c r="G5" s="10" t="s">
        <v>101</v>
      </c>
      <c r="H5" s="10" t="s">
        <v>102</v>
      </c>
      <c r="I5" s="10" t="s">
        <v>103</v>
      </c>
      <c r="J5" s="10" t="s">
        <v>68</v>
      </c>
      <c r="K5" s="10" t="s">
        <v>104</v>
      </c>
      <c r="L5" s="10" t="s">
        <v>69</v>
      </c>
      <c r="M5" s="0" t="s">
        <v>105</v>
      </c>
      <c r="N5" s="0" t="s">
        <v>106</v>
      </c>
      <c r="O5" s="0" t="s">
        <v>107</v>
      </c>
    </row>
    <row r="6" customFormat="false" ht="48" hidden="false" customHeight="true" outlineLevel="0" collapsed="false">
      <c r="A6" s="11" t="s">
        <v>108</v>
      </c>
      <c r="B6" s="11" t="s">
        <v>109</v>
      </c>
      <c r="C6" s="11" t="s">
        <v>110</v>
      </c>
      <c r="D6" s="11" t="n">
        <v>0</v>
      </c>
      <c r="E6" s="11" t="b">
        <f aca="false">FALSE()</f>
        <v>0</v>
      </c>
      <c r="F6" s="11" t="s">
        <v>111</v>
      </c>
      <c r="G6" s="11"/>
      <c r="H6" s="11" t="s">
        <v>112</v>
      </c>
      <c r="I6" s="11" t="s">
        <v>113</v>
      </c>
      <c r="J6" s="11" t="s">
        <v>114</v>
      </c>
      <c r="K6" s="12" t="s">
        <v>115</v>
      </c>
      <c r="L6" s="12" t="n">
        <f aca="false">COUNTIF($A$6:$A$8,A6)</f>
        <v>1</v>
      </c>
      <c r="M6" s="0" t="n">
        <v>1</v>
      </c>
      <c r="N6" s="0" t="n">
        <v>1</v>
      </c>
      <c r="O6" s="0" t="n">
        <v>1</v>
      </c>
    </row>
    <row r="7" customFormat="false" ht="48" hidden="false" customHeight="true" outlineLevel="0" collapsed="false">
      <c r="A7" s="11" t="s">
        <v>116</v>
      </c>
      <c r="B7" s="11" t="s">
        <v>117</v>
      </c>
      <c r="C7" s="11" t="s">
        <v>118</v>
      </c>
      <c r="D7" s="11" t="n">
        <v>1</v>
      </c>
      <c r="E7" s="11" t="b">
        <f aca="false">FALSE()</f>
        <v>0</v>
      </c>
      <c r="F7" s="11" t="s">
        <v>119</v>
      </c>
      <c r="G7" s="11"/>
      <c r="H7" s="11" t="s">
        <v>120</v>
      </c>
      <c r="I7" s="11" t="s">
        <v>121</v>
      </c>
      <c r="J7" s="11" t="s">
        <v>114</v>
      </c>
      <c r="K7" s="12" t="s">
        <v>115</v>
      </c>
      <c r="L7" s="12" t="n">
        <f aca="false">COUNTIF($A$6:$A$8,A7)</f>
        <v>1</v>
      </c>
      <c r="M7" s="0" t="n">
        <v>2</v>
      </c>
      <c r="N7" s="0" t="n">
        <v>1</v>
      </c>
      <c r="O7" s="0" t="n">
        <v>2</v>
      </c>
    </row>
    <row r="8" customFormat="false" ht="48" hidden="false" customHeight="true" outlineLevel="0" collapsed="false">
      <c r="A8" s="11" t="s">
        <v>122</v>
      </c>
      <c r="B8" s="11" t="s">
        <v>123</v>
      </c>
      <c r="C8" s="11" t="s">
        <v>118</v>
      </c>
      <c r="D8" s="11" t="n">
        <v>4</v>
      </c>
      <c r="E8" s="11" t="b">
        <f aca="false">TRUE()</f>
        <v>1</v>
      </c>
      <c r="F8" s="11" t="s">
        <v>124</v>
      </c>
      <c r="G8" s="11" t="s">
        <v>125</v>
      </c>
      <c r="H8" s="11" t="s">
        <v>112</v>
      </c>
      <c r="I8" s="11" t="s">
        <v>126</v>
      </c>
      <c r="J8" s="11" t="s">
        <v>114</v>
      </c>
      <c r="K8" s="12" t="s">
        <v>115</v>
      </c>
      <c r="L8" s="12" t="n">
        <f aca="false">COUNTIF($A$6:$A$8,A8)</f>
        <v>1</v>
      </c>
      <c r="M8" s="0" t="n">
        <v>1</v>
      </c>
      <c r="N8" s="0" t="n">
        <v>1</v>
      </c>
      <c r="O8" s="0" t="n">
        <v>1</v>
      </c>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20"/>
    <col collapsed="false" customWidth="true" hidden="false" outlineLevel="0" max="4" min="4" style="0" width="25"/>
    <col collapsed="false" customWidth="true" hidden="false" outlineLevel="0" max="5" min="5" style="0" width="24"/>
    <col collapsed="false" customWidth="true" hidden="false" outlineLevel="0" max="6" min="6" style="0" width="26"/>
    <col collapsed="false" customWidth="true" hidden="false" outlineLevel="0" max="7" min="7" style="0" width="48"/>
    <col collapsed="false" customWidth="true" hidden="false" outlineLevel="0" max="8" min="8" style="0" width="18"/>
    <col collapsed="false" customWidth="true" hidden="false" outlineLevel="0" max="9" min="9" style="0" width="30"/>
    <col collapsed="false" customWidth="true" hidden="false" outlineLevel="0" max="10" min="10" style="0" width="12"/>
    <col collapsed="false" customWidth="true" hidden="false" outlineLevel="0" max="11" min="11" style="0" width="10"/>
  </cols>
  <sheetData>
    <row r="1" customFormat="false" ht="30" hidden="false" customHeight="true" outlineLevel="0" collapsed="false">
      <c r="A1" s="1" t="s">
        <v>127</v>
      </c>
      <c r="B1" s="1"/>
      <c r="C1" s="1"/>
      <c r="D1" s="1"/>
      <c r="E1" s="1"/>
      <c r="F1" s="1"/>
      <c r="G1" s="1"/>
      <c r="H1" s="1"/>
      <c r="I1" s="1"/>
      <c r="J1" s="1"/>
      <c r="K1" s="1"/>
    </row>
    <row r="2" customFormat="false" ht="42" hidden="false" customHeight="true" outlineLevel="0" collapsed="false">
      <c r="A2" s="2" t="s">
        <v>128</v>
      </c>
      <c r="B2" s="2"/>
      <c r="C2" s="2"/>
      <c r="D2" s="2"/>
      <c r="E2" s="2"/>
      <c r="F2" s="2"/>
      <c r="G2" s="2"/>
      <c r="H2" s="2"/>
      <c r="I2" s="2"/>
      <c r="J2" s="2"/>
      <c r="K2" s="2"/>
    </row>
    <row r="3" customFormat="false" ht="15" hidden="false" customHeight="false" outlineLevel="0" collapsed="false">
      <c r="A3" s="3"/>
      <c r="B3" s="3"/>
      <c r="C3" s="3"/>
      <c r="D3" s="3"/>
      <c r="E3" s="3"/>
      <c r="F3" s="3"/>
      <c r="G3" s="3"/>
      <c r="H3" s="3"/>
      <c r="I3" s="3"/>
      <c r="J3" s="3"/>
      <c r="K3" s="3"/>
    </row>
    <row r="5" customFormat="false" ht="38" hidden="false" customHeight="true" outlineLevel="0" collapsed="false">
      <c r="A5" s="10" t="s">
        <v>129</v>
      </c>
      <c r="B5" s="10" t="s">
        <v>96</v>
      </c>
      <c r="C5" s="10" t="s">
        <v>59</v>
      </c>
      <c r="D5" s="10" t="s">
        <v>130</v>
      </c>
      <c r="E5" s="10" t="s">
        <v>131</v>
      </c>
      <c r="F5" s="10" t="s">
        <v>100</v>
      </c>
      <c r="G5" s="10" t="s">
        <v>132</v>
      </c>
      <c r="H5" s="10" t="s">
        <v>67</v>
      </c>
      <c r="I5" s="10" t="s">
        <v>68</v>
      </c>
      <c r="J5" s="10" t="s">
        <v>104</v>
      </c>
      <c r="K5" s="10" t="s">
        <v>69</v>
      </c>
    </row>
    <row r="6" customFormat="false" ht="52" hidden="false" customHeight="true" outlineLevel="0" collapsed="false">
      <c r="A6" s="11" t="s">
        <v>133</v>
      </c>
      <c r="B6" s="11" t="s">
        <v>108</v>
      </c>
      <c r="C6" s="11" t="s">
        <v>134</v>
      </c>
      <c r="D6" s="11" t="s">
        <v>135</v>
      </c>
      <c r="E6" s="11" t="n">
        <v>1</v>
      </c>
      <c r="F6" s="11" t="s">
        <v>136</v>
      </c>
      <c r="G6" s="11" t="s">
        <v>137</v>
      </c>
      <c r="H6" s="11" t="s">
        <v>138</v>
      </c>
      <c r="I6" s="11" t="s">
        <v>114</v>
      </c>
      <c r="J6" s="12" t="s">
        <v>115</v>
      </c>
      <c r="K6" s="12" t="n">
        <f aca="false">COUNTIF($A$6:$A$8,A6)</f>
        <v>1</v>
      </c>
    </row>
    <row r="7" customFormat="false" ht="52" hidden="false" customHeight="true" outlineLevel="0" collapsed="false">
      <c r="A7" s="11" t="s">
        <v>139</v>
      </c>
      <c r="B7" s="11" t="s">
        <v>108</v>
      </c>
      <c r="C7" s="11" t="s">
        <v>140</v>
      </c>
      <c r="D7" s="11" t="s">
        <v>141</v>
      </c>
      <c r="E7" s="11" t="n">
        <v>1</v>
      </c>
      <c r="F7" s="11" t="s">
        <v>142</v>
      </c>
      <c r="G7" s="11" t="s">
        <v>143</v>
      </c>
      <c r="H7" s="11" t="s">
        <v>144</v>
      </c>
      <c r="I7" s="11" t="s">
        <v>114</v>
      </c>
      <c r="J7" s="12" t="s">
        <v>115</v>
      </c>
      <c r="K7" s="12" t="n">
        <f aca="false">COUNTIF($A$6:$A$8,A7)</f>
        <v>1</v>
      </c>
    </row>
    <row r="8" customFormat="false" ht="52" hidden="false" customHeight="true" outlineLevel="0" collapsed="false">
      <c r="A8" s="11" t="s">
        <v>145</v>
      </c>
      <c r="B8" s="11" t="s">
        <v>108</v>
      </c>
      <c r="C8" s="11" t="s">
        <v>146</v>
      </c>
      <c r="D8" s="11" t="s">
        <v>147</v>
      </c>
      <c r="E8" s="11" t="n">
        <v>1</v>
      </c>
      <c r="F8" s="11" t="s">
        <v>148</v>
      </c>
      <c r="G8" s="11" t="s">
        <v>149</v>
      </c>
      <c r="H8" s="11" t="s">
        <v>150</v>
      </c>
      <c r="I8" s="11" t="s">
        <v>114</v>
      </c>
      <c r="J8" s="12" t="s">
        <v>115</v>
      </c>
      <c r="K8" s="12" t="n">
        <f aca="false">COUNTIF($A$6:$A$8,A8)</f>
        <v>1</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34"/>
    <col collapsed="false" customWidth="true" hidden="false" outlineLevel="0" max="4" min="4" style="0" width="28"/>
    <col collapsed="false" customWidth="true" hidden="false" outlineLevel="0" max="5" min="5" style="0" width="36"/>
    <col collapsed="false" customWidth="true" hidden="false" outlineLevel="0" max="6" min="6" style="0" width="34"/>
    <col collapsed="false" customWidth="true" hidden="false" outlineLevel="0" max="7" min="7" style="0" width="82"/>
    <col collapsed="false" customWidth="true" hidden="false" outlineLevel="0" max="8" min="8" style="0" width="22"/>
    <col collapsed="false" customWidth="true" hidden="false" outlineLevel="0" max="9" min="9" style="0" width="28"/>
    <col collapsed="false" customWidth="true" hidden="false" outlineLevel="0" max="10" min="10" style="0" width="16"/>
    <col collapsed="false" customWidth="true" hidden="false" outlineLevel="0" max="11" min="11" style="0" width="18"/>
    <col collapsed="false" customWidth="true" hidden="false" outlineLevel="0" max="12" min="12" style="0" width="20"/>
    <col collapsed="false" customWidth="true" hidden="false" outlineLevel="0" max="13" min="13" style="0" width="25"/>
    <col collapsed="false" customWidth="true" hidden="false" outlineLevel="0" max="14" min="14" style="0" width="26"/>
    <col collapsed="false" customWidth="true" hidden="false" outlineLevel="0" max="15" min="15" style="0" width="12"/>
    <col collapsed="false" customWidth="true" hidden="false" outlineLevel="0" max="16" min="16" style="0" width="10"/>
  </cols>
  <sheetData>
    <row r="1" customFormat="false" ht="30" hidden="false" customHeight="true" outlineLevel="0" collapsed="false">
      <c r="A1" s="1" t="s">
        <v>151</v>
      </c>
      <c r="B1" s="1"/>
      <c r="C1" s="1"/>
      <c r="D1" s="1"/>
      <c r="E1" s="1"/>
      <c r="F1" s="1"/>
      <c r="G1" s="1"/>
      <c r="H1" s="1"/>
      <c r="I1" s="1"/>
      <c r="J1" s="1"/>
      <c r="K1" s="1"/>
      <c r="L1" s="1"/>
      <c r="M1" s="1"/>
      <c r="N1" s="1"/>
      <c r="O1" s="1"/>
      <c r="P1" s="1"/>
    </row>
    <row r="2" customFormat="false" ht="42" hidden="false" customHeight="true" outlineLevel="0" collapsed="false">
      <c r="A2" s="2" t="s">
        <v>152</v>
      </c>
      <c r="B2" s="2"/>
      <c r="C2" s="2"/>
      <c r="D2" s="2"/>
      <c r="E2" s="2"/>
      <c r="F2" s="2"/>
      <c r="G2" s="2"/>
      <c r="H2" s="2"/>
      <c r="I2" s="2"/>
      <c r="J2" s="2"/>
      <c r="K2" s="2"/>
      <c r="L2" s="2"/>
      <c r="M2" s="2"/>
      <c r="N2" s="2"/>
      <c r="O2" s="2"/>
      <c r="P2" s="2"/>
    </row>
    <row r="3" customFormat="false" ht="15" hidden="false" customHeight="false" outlineLevel="0" collapsed="false">
      <c r="A3" s="3"/>
      <c r="B3" s="3"/>
      <c r="C3" s="3"/>
      <c r="D3" s="3"/>
      <c r="E3" s="3"/>
      <c r="F3" s="3"/>
      <c r="G3" s="3"/>
      <c r="H3" s="3"/>
      <c r="I3" s="3"/>
      <c r="J3" s="3"/>
      <c r="K3" s="3"/>
      <c r="L3" s="3"/>
      <c r="M3" s="3"/>
      <c r="N3" s="3"/>
      <c r="O3" s="3"/>
      <c r="P3" s="3"/>
    </row>
    <row r="5" customFormat="false" ht="38" hidden="false" customHeight="true" outlineLevel="0" collapsed="false">
      <c r="A5" s="10" t="s">
        <v>153</v>
      </c>
      <c r="B5" s="10" t="s">
        <v>154</v>
      </c>
      <c r="C5" s="10" t="s">
        <v>59</v>
      </c>
      <c r="D5" s="10" t="s">
        <v>155</v>
      </c>
      <c r="E5" s="10" t="s">
        <v>156</v>
      </c>
      <c r="F5" s="10" t="s">
        <v>157</v>
      </c>
      <c r="G5" s="10" t="s">
        <v>158</v>
      </c>
      <c r="H5" s="10" t="s">
        <v>159</v>
      </c>
      <c r="I5" s="10" t="s">
        <v>160</v>
      </c>
      <c r="J5" s="10" t="s">
        <v>161</v>
      </c>
      <c r="K5" s="10" t="s">
        <v>162</v>
      </c>
      <c r="L5" s="10" t="s">
        <v>163</v>
      </c>
      <c r="M5" s="10" t="s">
        <v>67</v>
      </c>
      <c r="N5" s="10" t="s">
        <v>164</v>
      </c>
      <c r="O5" s="10" t="s">
        <v>104</v>
      </c>
      <c r="P5" s="10" t="s">
        <v>69</v>
      </c>
    </row>
    <row r="6" customFormat="false" ht="64" hidden="false" customHeight="true" outlineLevel="0" collapsed="false">
      <c r="A6" s="11" t="s">
        <v>165</v>
      </c>
      <c r="B6" s="11" t="s">
        <v>166</v>
      </c>
      <c r="C6" s="11" t="s">
        <v>167</v>
      </c>
      <c r="D6" s="11" t="s">
        <v>168</v>
      </c>
      <c r="E6" s="11" t="s">
        <v>169</v>
      </c>
      <c r="F6" s="11" t="s">
        <v>170</v>
      </c>
      <c r="G6" s="11" t="s">
        <v>171</v>
      </c>
      <c r="H6" s="11" t="s">
        <v>172</v>
      </c>
      <c r="I6" s="11" t="s">
        <v>166</v>
      </c>
      <c r="J6" s="11"/>
      <c r="K6" s="11"/>
      <c r="L6" s="11" t="n">
        <v>-5</v>
      </c>
      <c r="M6" s="11" t="s">
        <v>173</v>
      </c>
      <c r="N6" s="11" t="s">
        <v>174</v>
      </c>
      <c r="O6" s="12" t="s">
        <v>115</v>
      </c>
      <c r="P6" s="12" t="n">
        <f aca="false">COUNTIF($B$6:$B$50,B6)</f>
        <v>1</v>
      </c>
    </row>
    <row r="7" customFormat="false" ht="64" hidden="false" customHeight="true" outlineLevel="0" collapsed="false">
      <c r="A7" s="11" t="s">
        <v>175</v>
      </c>
      <c r="B7" s="11" t="s">
        <v>176</v>
      </c>
      <c r="C7" s="11" t="s">
        <v>177</v>
      </c>
      <c r="D7" s="11" t="s">
        <v>168</v>
      </c>
      <c r="E7" s="11" t="s">
        <v>169</v>
      </c>
      <c r="F7" s="11" t="s">
        <v>170</v>
      </c>
      <c r="G7" s="11" t="s">
        <v>178</v>
      </c>
      <c r="H7" s="11" t="s">
        <v>172</v>
      </c>
      <c r="I7" s="11" t="s">
        <v>176</v>
      </c>
      <c r="J7" s="11"/>
      <c r="K7" s="11"/>
      <c r="L7" s="11" t="n">
        <v>-5</v>
      </c>
      <c r="M7" s="11" t="s">
        <v>173</v>
      </c>
      <c r="N7" s="11" t="s">
        <v>174</v>
      </c>
      <c r="O7" s="12" t="s">
        <v>115</v>
      </c>
      <c r="P7" s="12" t="n">
        <f aca="false">COUNTIF($B$6:$B$50,B7)</f>
        <v>1</v>
      </c>
    </row>
    <row r="8" customFormat="false" ht="64" hidden="false" customHeight="true" outlineLevel="0" collapsed="false">
      <c r="A8" s="11" t="s">
        <v>179</v>
      </c>
      <c r="B8" s="11" t="s">
        <v>180</v>
      </c>
      <c r="C8" s="11" t="s">
        <v>181</v>
      </c>
      <c r="D8" s="11" t="s">
        <v>168</v>
      </c>
      <c r="E8" s="11" t="s">
        <v>169</v>
      </c>
      <c r="F8" s="11" t="s">
        <v>170</v>
      </c>
      <c r="G8" s="11" t="s">
        <v>182</v>
      </c>
      <c r="H8" s="11" t="s">
        <v>172</v>
      </c>
      <c r="I8" s="11" t="s">
        <v>180</v>
      </c>
      <c r="J8" s="11"/>
      <c r="K8" s="11"/>
      <c r="L8" s="11" t="n">
        <v>-3</v>
      </c>
      <c r="M8" s="11" t="s">
        <v>173</v>
      </c>
      <c r="N8" s="11" t="s">
        <v>174</v>
      </c>
      <c r="O8" s="12" t="s">
        <v>115</v>
      </c>
      <c r="P8" s="12" t="n">
        <f aca="false">COUNTIF($B$6:$B$50,B8)</f>
        <v>1</v>
      </c>
    </row>
    <row r="9" customFormat="false" ht="64" hidden="false" customHeight="true" outlineLevel="0" collapsed="false">
      <c r="A9" s="11" t="s">
        <v>183</v>
      </c>
      <c r="B9" s="11" t="s">
        <v>184</v>
      </c>
      <c r="C9" s="11" t="s">
        <v>185</v>
      </c>
      <c r="D9" s="11" t="s">
        <v>168</v>
      </c>
      <c r="E9" s="11" t="s">
        <v>169</v>
      </c>
      <c r="F9" s="11" t="s">
        <v>170</v>
      </c>
      <c r="G9" s="11" t="s">
        <v>186</v>
      </c>
      <c r="H9" s="11" t="s">
        <v>172</v>
      </c>
      <c r="I9" s="11" t="s">
        <v>184</v>
      </c>
      <c r="J9" s="11"/>
      <c r="K9" s="11"/>
      <c r="L9" s="11" t="n">
        <v>-2</v>
      </c>
      <c r="M9" s="11" t="s">
        <v>173</v>
      </c>
      <c r="N9" s="11" t="s">
        <v>174</v>
      </c>
      <c r="O9" s="12" t="s">
        <v>115</v>
      </c>
      <c r="P9" s="12" t="n">
        <f aca="false">COUNTIF($B$6:$B$50,B9)</f>
        <v>1</v>
      </c>
    </row>
    <row r="10" customFormat="false" ht="64" hidden="false" customHeight="true" outlineLevel="0" collapsed="false">
      <c r="A10" s="11" t="s">
        <v>187</v>
      </c>
      <c r="B10" s="11" t="s">
        <v>188</v>
      </c>
      <c r="C10" s="11" t="s">
        <v>189</v>
      </c>
      <c r="D10" s="11" t="s">
        <v>168</v>
      </c>
      <c r="E10" s="11" t="s">
        <v>169</v>
      </c>
      <c r="F10" s="11" t="s">
        <v>170</v>
      </c>
      <c r="G10" s="11" t="s">
        <v>190</v>
      </c>
      <c r="H10" s="11" t="s">
        <v>172</v>
      </c>
      <c r="I10" s="11" t="s">
        <v>188</v>
      </c>
      <c r="J10" s="11"/>
      <c r="K10" s="11"/>
      <c r="L10" s="11"/>
      <c r="M10" s="11" t="s">
        <v>173</v>
      </c>
      <c r="N10" s="11" t="s">
        <v>174</v>
      </c>
      <c r="O10" s="12" t="s">
        <v>115</v>
      </c>
      <c r="P10" s="12" t="n">
        <f aca="false">COUNTIF($B$6:$B$50,B10)</f>
        <v>1</v>
      </c>
    </row>
    <row r="11" customFormat="false" ht="64" hidden="false" customHeight="true" outlineLevel="0" collapsed="false">
      <c r="A11" s="11" t="s">
        <v>191</v>
      </c>
      <c r="B11" s="11" t="s">
        <v>192</v>
      </c>
      <c r="C11" s="11" t="s">
        <v>193</v>
      </c>
      <c r="D11" s="11" t="s">
        <v>168</v>
      </c>
      <c r="E11" s="11" t="s">
        <v>169</v>
      </c>
      <c r="F11" s="11" t="s">
        <v>170</v>
      </c>
      <c r="G11" s="11" t="s">
        <v>194</v>
      </c>
      <c r="H11" s="11" t="s">
        <v>172</v>
      </c>
      <c r="I11" s="11" t="s">
        <v>192</v>
      </c>
      <c r="J11" s="11"/>
      <c r="K11" s="11"/>
      <c r="L11" s="11" t="n">
        <v>-5</v>
      </c>
      <c r="M11" s="11" t="s">
        <v>173</v>
      </c>
      <c r="N11" s="11" t="s">
        <v>174</v>
      </c>
      <c r="O11" s="12" t="s">
        <v>115</v>
      </c>
      <c r="P11" s="12" t="n">
        <f aca="false">COUNTIF($B$6:$B$50,B11)</f>
        <v>1</v>
      </c>
    </row>
    <row r="12" customFormat="false" ht="64" hidden="false" customHeight="true" outlineLevel="0" collapsed="false">
      <c r="A12" s="11" t="s">
        <v>195</v>
      </c>
      <c r="B12" s="11" t="s">
        <v>196</v>
      </c>
      <c r="C12" s="11" t="s">
        <v>197</v>
      </c>
      <c r="D12" s="11" t="s">
        <v>168</v>
      </c>
      <c r="E12" s="11" t="s">
        <v>169</v>
      </c>
      <c r="F12" s="11" t="s">
        <v>170</v>
      </c>
      <c r="G12" s="11" t="s">
        <v>198</v>
      </c>
      <c r="H12" s="11" t="s">
        <v>172</v>
      </c>
      <c r="I12" s="11" t="s">
        <v>196</v>
      </c>
      <c r="J12" s="11"/>
      <c r="K12" s="11"/>
      <c r="L12" s="11" t="n">
        <v>-3</v>
      </c>
      <c r="M12" s="11" t="s">
        <v>173</v>
      </c>
      <c r="N12" s="11" t="s">
        <v>174</v>
      </c>
      <c r="O12" s="12" t="s">
        <v>115</v>
      </c>
      <c r="P12" s="12" t="n">
        <f aca="false">COUNTIF($B$6:$B$50,B12)</f>
        <v>1</v>
      </c>
    </row>
    <row r="13" customFormat="false" ht="64" hidden="false" customHeight="true" outlineLevel="0" collapsed="false">
      <c r="A13" s="11" t="s">
        <v>199</v>
      </c>
      <c r="B13" s="11" t="s">
        <v>200</v>
      </c>
      <c r="C13" s="11" t="s">
        <v>201</v>
      </c>
      <c r="D13" s="11" t="s">
        <v>168</v>
      </c>
      <c r="E13" s="11" t="s">
        <v>169</v>
      </c>
      <c r="F13" s="11" t="s">
        <v>170</v>
      </c>
      <c r="G13" s="11" t="s">
        <v>202</v>
      </c>
      <c r="H13" s="11" t="s">
        <v>172</v>
      </c>
      <c r="I13" s="11" t="s">
        <v>200</v>
      </c>
      <c r="J13" s="11"/>
      <c r="K13" s="11"/>
      <c r="L13" s="11" t="n">
        <v>-5</v>
      </c>
      <c r="M13" s="11" t="s">
        <v>173</v>
      </c>
      <c r="N13" s="11" t="s">
        <v>174</v>
      </c>
      <c r="O13" s="12" t="s">
        <v>115</v>
      </c>
      <c r="P13" s="12" t="n">
        <f aca="false">COUNTIF($B$6:$B$50,B13)</f>
        <v>1</v>
      </c>
    </row>
    <row r="14" customFormat="false" ht="64" hidden="false" customHeight="true" outlineLevel="0" collapsed="false">
      <c r="A14" s="11" t="s">
        <v>203</v>
      </c>
      <c r="B14" s="11" t="s">
        <v>204</v>
      </c>
      <c r="C14" s="11" t="s">
        <v>205</v>
      </c>
      <c r="D14" s="11" t="s">
        <v>168</v>
      </c>
      <c r="E14" s="11" t="s">
        <v>169</v>
      </c>
      <c r="F14" s="11" t="s">
        <v>170</v>
      </c>
      <c r="G14" s="11" t="s">
        <v>206</v>
      </c>
      <c r="H14" s="11" t="s">
        <v>172</v>
      </c>
      <c r="I14" s="11" t="s">
        <v>204</v>
      </c>
      <c r="J14" s="11"/>
      <c r="K14" s="11"/>
      <c r="L14" s="11" t="n">
        <v>-2</v>
      </c>
      <c r="M14" s="11" t="s">
        <v>173</v>
      </c>
      <c r="N14" s="11" t="s">
        <v>174</v>
      </c>
      <c r="O14" s="12" t="s">
        <v>115</v>
      </c>
      <c r="P14" s="12" t="n">
        <f aca="false">COUNTIF($B$6:$B$50,B14)</f>
        <v>1</v>
      </c>
    </row>
    <row r="15" customFormat="false" ht="64" hidden="false" customHeight="true" outlineLevel="0" collapsed="false">
      <c r="A15" s="11" t="s">
        <v>207</v>
      </c>
      <c r="B15" s="11" t="s">
        <v>208</v>
      </c>
      <c r="C15" s="11" t="s">
        <v>209</v>
      </c>
      <c r="D15" s="11" t="s">
        <v>168</v>
      </c>
      <c r="E15" s="11" t="s">
        <v>169</v>
      </c>
      <c r="F15" s="11" t="s">
        <v>170</v>
      </c>
      <c r="G15" s="11" t="s">
        <v>210</v>
      </c>
      <c r="H15" s="11" t="s">
        <v>172</v>
      </c>
      <c r="I15" s="11" t="s">
        <v>208</v>
      </c>
      <c r="J15" s="11"/>
      <c r="K15" s="11"/>
      <c r="L15" s="11" t="n">
        <v>-5</v>
      </c>
      <c r="M15" s="11" t="s">
        <v>173</v>
      </c>
      <c r="N15" s="11" t="s">
        <v>174</v>
      </c>
      <c r="O15" s="12" t="s">
        <v>115</v>
      </c>
      <c r="P15" s="12" t="n">
        <f aca="false">COUNTIF($B$6:$B$50,B15)</f>
        <v>1</v>
      </c>
    </row>
    <row r="16" customFormat="false" ht="64" hidden="false" customHeight="true" outlineLevel="0" collapsed="false">
      <c r="A16" s="11" t="s">
        <v>211</v>
      </c>
      <c r="B16" s="11" t="s">
        <v>212</v>
      </c>
      <c r="C16" s="11" t="s">
        <v>213</v>
      </c>
      <c r="D16" s="11" t="s">
        <v>168</v>
      </c>
      <c r="E16" s="11" t="s">
        <v>169</v>
      </c>
      <c r="F16" s="11" t="s">
        <v>170</v>
      </c>
      <c r="G16" s="11" t="s">
        <v>214</v>
      </c>
      <c r="H16" s="11" t="s">
        <v>172</v>
      </c>
      <c r="I16" s="11" t="s">
        <v>212</v>
      </c>
      <c r="J16" s="11"/>
      <c r="K16" s="11"/>
      <c r="L16" s="11" t="n">
        <v>-5</v>
      </c>
      <c r="M16" s="11" t="s">
        <v>173</v>
      </c>
      <c r="N16" s="11" t="s">
        <v>174</v>
      </c>
      <c r="O16" s="12" t="s">
        <v>115</v>
      </c>
      <c r="P16" s="12" t="n">
        <f aca="false">COUNTIF($B$6:$B$50,B16)</f>
        <v>1</v>
      </c>
    </row>
    <row r="17" customFormat="false" ht="64" hidden="false" customHeight="true" outlineLevel="0" collapsed="false">
      <c r="A17" s="11" t="s">
        <v>215</v>
      </c>
      <c r="B17" s="11" t="s">
        <v>216</v>
      </c>
      <c r="C17" s="11" t="s">
        <v>217</v>
      </c>
      <c r="D17" s="11" t="s">
        <v>168</v>
      </c>
      <c r="E17" s="11" t="s">
        <v>169</v>
      </c>
      <c r="F17" s="11" t="s">
        <v>170</v>
      </c>
      <c r="G17" s="11" t="s">
        <v>218</v>
      </c>
      <c r="H17" s="11" t="s">
        <v>172</v>
      </c>
      <c r="I17" s="11" t="s">
        <v>216</v>
      </c>
      <c r="J17" s="11"/>
      <c r="K17" s="11"/>
      <c r="L17" s="11" t="n">
        <v>-5</v>
      </c>
      <c r="M17" s="11" t="s">
        <v>173</v>
      </c>
      <c r="N17" s="11" t="s">
        <v>174</v>
      </c>
      <c r="O17" s="12" t="s">
        <v>115</v>
      </c>
      <c r="P17" s="12" t="n">
        <f aca="false">COUNTIF($B$6:$B$50,B17)</f>
        <v>1</v>
      </c>
    </row>
    <row r="18" customFormat="false" ht="64" hidden="false" customHeight="true" outlineLevel="0" collapsed="false">
      <c r="A18" s="11" t="s">
        <v>219</v>
      </c>
      <c r="B18" s="11" t="s">
        <v>220</v>
      </c>
      <c r="C18" s="11" t="s">
        <v>221</v>
      </c>
      <c r="D18" s="11" t="s">
        <v>168</v>
      </c>
      <c r="E18" s="11" t="s">
        <v>169</v>
      </c>
      <c r="F18" s="11" t="s">
        <v>170</v>
      </c>
      <c r="G18" s="11" t="s">
        <v>222</v>
      </c>
      <c r="H18" s="11" t="s">
        <v>172</v>
      </c>
      <c r="I18" s="11" t="s">
        <v>220</v>
      </c>
      <c r="J18" s="11"/>
      <c r="K18" s="11"/>
      <c r="L18" s="11" t="n">
        <v>-5</v>
      </c>
      <c r="M18" s="11" t="s">
        <v>173</v>
      </c>
      <c r="N18" s="11" t="s">
        <v>174</v>
      </c>
      <c r="O18" s="12" t="s">
        <v>115</v>
      </c>
      <c r="P18" s="12" t="n">
        <f aca="false">COUNTIF($B$6:$B$50,B18)</f>
        <v>1</v>
      </c>
    </row>
    <row r="19" customFormat="false" ht="64" hidden="false" customHeight="true" outlineLevel="0" collapsed="false">
      <c r="A19" s="11" t="s">
        <v>223</v>
      </c>
      <c r="B19" s="11" t="s">
        <v>224</v>
      </c>
      <c r="C19" s="11" t="s">
        <v>225</v>
      </c>
      <c r="D19" s="11" t="s">
        <v>168</v>
      </c>
      <c r="E19" s="11" t="s">
        <v>169</v>
      </c>
      <c r="F19" s="11" t="s">
        <v>170</v>
      </c>
      <c r="G19" s="11" t="s">
        <v>226</v>
      </c>
      <c r="H19" s="11" t="s">
        <v>172</v>
      </c>
      <c r="I19" s="11" t="s">
        <v>224</v>
      </c>
      <c r="J19" s="11"/>
      <c r="K19" s="11"/>
      <c r="L19" s="11"/>
      <c r="M19" s="11" t="s">
        <v>173</v>
      </c>
      <c r="N19" s="11" t="s">
        <v>174</v>
      </c>
      <c r="O19" s="12" t="s">
        <v>115</v>
      </c>
      <c r="P19" s="12" t="n">
        <f aca="false">COUNTIF($B$6:$B$50,B19)</f>
        <v>1</v>
      </c>
    </row>
    <row r="20" customFormat="false" ht="64" hidden="false" customHeight="true" outlineLevel="0" collapsed="false">
      <c r="A20" s="11" t="s">
        <v>227</v>
      </c>
      <c r="B20" s="11" t="s">
        <v>228</v>
      </c>
      <c r="C20" s="11" t="s">
        <v>229</v>
      </c>
      <c r="D20" s="11" t="s">
        <v>168</v>
      </c>
      <c r="E20" s="11" t="s">
        <v>169</v>
      </c>
      <c r="F20" s="11" t="s">
        <v>170</v>
      </c>
      <c r="G20" s="11" t="s">
        <v>230</v>
      </c>
      <c r="H20" s="11" t="s">
        <v>172</v>
      </c>
      <c r="I20" s="11" t="s">
        <v>228</v>
      </c>
      <c r="J20" s="11"/>
      <c r="K20" s="11"/>
      <c r="L20" s="11"/>
      <c r="M20" s="11" t="s">
        <v>173</v>
      </c>
      <c r="N20" s="11" t="s">
        <v>174</v>
      </c>
      <c r="O20" s="12" t="s">
        <v>115</v>
      </c>
      <c r="P20" s="12" t="n">
        <f aca="false">COUNTIF($B$6:$B$50,B20)</f>
        <v>1</v>
      </c>
    </row>
    <row r="21" customFormat="false" ht="64" hidden="false" customHeight="true" outlineLevel="0" collapsed="false">
      <c r="A21" s="11" t="s">
        <v>231</v>
      </c>
      <c r="B21" s="11" t="s">
        <v>232</v>
      </c>
      <c r="C21" s="11" t="s">
        <v>233</v>
      </c>
      <c r="D21" s="11" t="s">
        <v>168</v>
      </c>
      <c r="E21" s="11" t="s">
        <v>169</v>
      </c>
      <c r="F21" s="11" t="s">
        <v>170</v>
      </c>
      <c r="G21" s="11" t="s">
        <v>234</v>
      </c>
      <c r="H21" s="11" t="s">
        <v>172</v>
      </c>
      <c r="I21" s="11" t="s">
        <v>232</v>
      </c>
      <c r="J21" s="11"/>
      <c r="K21" s="11"/>
      <c r="L21" s="11"/>
      <c r="M21" s="11" t="s">
        <v>173</v>
      </c>
      <c r="N21" s="11" t="s">
        <v>174</v>
      </c>
      <c r="O21" s="12" t="s">
        <v>115</v>
      </c>
      <c r="P21" s="12" t="n">
        <f aca="false">COUNTIF($B$6:$B$50,B21)</f>
        <v>1</v>
      </c>
    </row>
    <row r="22" customFormat="false" ht="64" hidden="false" customHeight="true" outlineLevel="0" collapsed="false">
      <c r="A22" s="11" t="s">
        <v>235</v>
      </c>
      <c r="B22" s="11" t="s">
        <v>236</v>
      </c>
      <c r="C22" s="11" t="s">
        <v>237</v>
      </c>
      <c r="D22" s="11" t="s">
        <v>168</v>
      </c>
      <c r="E22" s="11" t="s">
        <v>169</v>
      </c>
      <c r="F22" s="11" t="s">
        <v>170</v>
      </c>
      <c r="G22" s="11" t="s">
        <v>238</v>
      </c>
      <c r="H22" s="11" t="s">
        <v>172</v>
      </c>
      <c r="I22" s="11" t="s">
        <v>236</v>
      </c>
      <c r="J22" s="11"/>
      <c r="K22" s="11"/>
      <c r="L22" s="11"/>
      <c r="M22" s="11" t="s">
        <v>173</v>
      </c>
      <c r="N22" s="11" t="s">
        <v>174</v>
      </c>
      <c r="O22" s="12" t="s">
        <v>115</v>
      </c>
      <c r="P22" s="12" t="n">
        <f aca="false">COUNTIF($B$6:$B$50,B22)</f>
        <v>1</v>
      </c>
    </row>
    <row r="23" customFormat="false" ht="64" hidden="false" customHeight="true" outlineLevel="0" collapsed="false">
      <c r="A23" s="11" t="s">
        <v>239</v>
      </c>
      <c r="B23" s="11" t="s">
        <v>240</v>
      </c>
      <c r="C23" s="11" t="s">
        <v>241</v>
      </c>
      <c r="D23" s="11" t="s">
        <v>168</v>
      </c>
      <c r="E23" s="11" t="s">
        <v>169</v>
      </c>
      <c r="F23" s="11" t="s">
        <v>170</v>
      </c>
      <c r="G23" s="11" t="s">
        <v>242</v>
      </c>
      <c r="H23" s="11" t="s">
        <v>172</v>
      </c>
      <c r="I23" s="11" t="s">
        <v>240</v>
      </c>
      <c r="J23" s="11"/>
      <c r="K23" s="11"/>
      <c r="L23" s="11"/>
      <c r="M23" s="11" t="s">
        <v>173</v>
      </c>
      <c r="N23" s="11" t="s">
        <v>174</v>
      </c>
      <c r="O23" s="12" t="s">
        <v>115</v>
      </c>
      <c r="P23" s="12" t="n">
        <f aca="false">COUNTIF($B$6:$B$50,B23)</f>
        <v>1</v>
      </c>
    </row>
    <row r="24" customFormat="false" ht="64" hidden="false" customHeight="true" outlineLevel="0" collapsed="false">
      <c r="A24" s="11" t="s">
        <v>243</v>
      </c>
      <c r="B24" s="11" t="s">
        <v>244</v>
      </c>
      <c r="C24" s="11" t="s">
        <v>245</v>
      </c>
      <c r="D24" s="11" t="s">
        <v>168</v>
      </c>
      <c r="E24" s="11" t="s">
        <v>169</v>
      </c>
      <c r="F24" s="11" t="s">
        <v>170</v>
      </c>
      <c r="G24" s="11" t="s">
        <v>246</v>
      </c>
      <c r="H24" s="11" t="s">
        <v>172</v>
      </c>
      <c r="I24" s="11" t="s">
        <v>244</v>
      </c>
      <c r="J24" s="11"/>
      <c r="K24" s="11"/>
      <c r="L24" s="11"/>
      <c r="M24" s="11" t="s">
        <v>173</v>
      </c>
      <c r="N24" s="11" t="s">
        <v>174</v>
      </c>
      <c r="O24" s="12" t="s">
        <v>115</v>
      </c>
      <c r="P24" s="12" t="n">
        <f aca="false">COUNTIF($B$6:$B$50,B24)</f>
        <v>1</v>
      </c>
    </row>
    <row r="25" customFormat="false" ht="64" hidden="false" customHeight="true" outlineLevel="0" collapsed="false">
      <c r="A25" s="11" t="s">
        <v>247</v>
      </c>
      <c r="B25" s="11" t="s">
        <v>248</v>
      </c>
      <c r="C25" s="11" t="s">
        <v>249</v>
      </c>
      <c r="D25" s="11" t="s">
        <v>168</v>
      </c>
      <c r="E25" s="11" t="s">
        <v>169</v>
      </c>
      <c r="F25" s="11" t="s">
        <v>170</v>
      </c>
      <c r="G25" s="11" t="s">
        <v>250</v>
      </c>
      <c r="H25" s="11" t="s">
        <v>172</v>
      </c>
      <c r="I25" s="11" t="s">
        <v>248</v>
      </c>
      <c r="J25" s="11"/>
      <c r="K25" s="11"/>
      <c r="L25" s="11" t="n">
        <v>-5</v>
      </c>
      <c r="M25" s="11" t="s">
        <v>173</v>
      </c>
      <c r="N25" s="11" t="s">
        <v>174</v>
      </c>
      <c r="O25" s="12" t="s">
        <v>115</v>
      </c>
      <c r="P25" s="12" t="n">
        <f aca="false">COUNTIF($B$6:$B$50,B25)</f>
        <v>1</v>
      </c>
    </row>
    <row r="26" customFormat="false" ht="64" hidden="false" customHeight="true" outlineLevel="0" collapsed="false">
      <c r="A26" s="11" t="s">
        <v>251</v>
      </c>
      <c r="B26" s="11" t="s">
        <v>252</v>
      </c>
      <c r="C26" s="11" t="s">
        <v>253</v>
      </c>
      <c r="D26" s="11" t="s">
        <v>168</v>
      </c>
      <c r="E26" s="11" t="s">
        <v>169</v>
      </c>
      <c r="F26" s="11" t="s">
        <v>170</v>
      </c>
      <c r="G26" s="11" t="s">
        <v>253</v>
      </c>
      <c r="H26" s="11" t="s">
        <v>172</v>
      </c>
      <c r="I26" s="11" t="s">
        <v>252</v>
      </c>
      <c r="J26" s="11"/>
      <c r="K26" s="11"/>
      <c r="L26" s="11" t="n">
        <v>-5</v>
      </c>
      <c r="M26" s="11" t="s">
        <v>173</v>
      </c>
      <c r="N26" s="11" t="s">
        <v>174</v>
      </c>
      <c r="O26" s="12" t="s">
        <v>115</v>
      </c>
      <c r="P26" s="12" t="n">
        <f aca="false">COUNTIF($B$6:$B$50,B26)</f>
        <v>1</v>
      </c>
    </row>
    <row r="27" customFormat="false" ht="64" hidden="false" customHeight="true" outlineLevel="0" collapsed="false">
      <c r="A27" s="11" t="s">
        <v>254</v>
      </c>
      <c r="B27" s="11" t="s">
        <v>255</v>
      </c>
      <c r="C27" s="11" t="s">
        <v>256</v>
      </c>
      <c r="D27" s="11" t="s">
        <v>168</v>
      </c>
      <c r="E27" s="11" t="s">
        <v>169</v>
      </c>
      <c r="F27" s="11" t="s">
        <v>170</v>
      </c>
      <c r="G27" s="11" t="s">
        <v>257</v>
      </c>
      <c r="H27" s="11" t="s">
        <v>172</v>
      </c>
      <c r="I27" s="11" t="s">
        <v>255</v>
      </c>
      <c r="J27" s="11"/>
      <c r="K27" s="11"/>
      <c r="L27" s="11"/>
      <c r="M27" s="11" t="s">
        <v>173</v>
      </c>
      <c r="N27" s="11" t="s">
        <v>174</v>
      </c>
      <c r="O27" s="12" t="s">
        <v>115</v>
      </c>
      <c r="P27" s="12" t="n">
        <f aca="false">COUNTIF($B$6:$B$50,B27)</f>
        <v>1</v>
      </c>
    </row>
    <row r="28" customFormat="false" ht="64" hidden="false" customHeight="true" outlineLevel="0" collapsed="false">
      <c r="A28" s="11" t="s">
        <v>258</v>
      </c>
      <c r="B28" s="11" t="s">
        <v>259</v>
      </c>
      <c r="C28" s="11" t="s">
        <v>260</v>
      </c>
      <c r="D28" s="11" t="s">
        <v>168</v>
      </c>
      <c r="E28" s="11" t="s">
        <v>169</v>
      </c>
      <c r="F28" s="11" t="s">
        <v>170</v>
      </c>
      <c r="G28" s="11" t="s">
        <v>261</v>
      </c>
      <c r="H28" s="11" t="s">
        <v>172</v>
      </c>
      <c r="I28" s="11" t="s">
        <v>259</v>
      </c>
      <c r="J28" s="11"/>
      <c r="K28" s="11"/>
      <c r="L28" s="11"/>
      <c r="M28" s="11" t="s">
        <v>173</v>
      </c>
      <c r="N28" s="11" t="s">
        <v>174</v>
      </c>
      <c r="O28" s="12" t="s">
        <v>115</v>
      </c>
      <c r="P28" s="12" t="n">
        <f aca="false">COUNTIF($B$6:$B$50,B28)</f>
        <v>1</v>
      </c>
    </row>
    <row r="29" customFormat="false" ht="64" hidden="false" customHeight="true" outlineLevel="0" collapsed="false">
      <c r="A29" s="11" t="s">
        <v>262</v>
      </c>
      <c r="B29" s="11" t="s">
        <v>263</v>
      </c>
      <c r="C29" s="11" t="s">
        <v>264</v>
      </c>
      <c r="D29" s="11" t="s">
        <v>168</v>
      </c>
      <c r="E29" s="11" t="s">
        <v>169</v>
      </c>
      <c r="F29" s="11" t="s">
        <v>170</v>
      </c>
      <c r="G29" s="11" t="s">
        <v>265</v>
      </c>
      <c r="H29" s="11" t="s">
        <v>172</v>
      </c>
      <c r="I29" s="11" t="s">
        <v>263</v>
      </c>
      <c r="J29" s="11"/>
      <c r="K29" s="11"/>
      <c r="L29" s="11"/>
      <c r="M29" s="11" t="s">
        <v>173</v>
      </c>
      <c r="N29" s="11" t="s">
        <v>174</v>
      </c>
      <c r="O29" s="12" t="s">
        <v>115</v>
      </c>
      <c r="P29" s="12" t="n">
        <f aca="false">COUNTIF($B$6:$B$50,B29)</f>
        <v>1</v>
      </c>
    </row>
    <row r="30" customFormat="false" ht="64" hidden="false" customHeight="true" outlineLevel="0" collapsed="false">
      <c r="A30" s="11" t="s">
        <v>266</v>
      </c>
      <c r="B30" s="11" t="s">
        <v>267</v>
      </c>
      <c r="C30" s="11" t="s">
        <v>268</v>
      </c>
      <c r="D30" s="11" t="s">
        <v>168</v>
      </c>
      <c r="E30" s="11" t="s">
        <v>169</v>
      </c>
      <c r="F30" s="11" t="s">
        <v>170</v>
      </c>
      <c r="G30" s="11" t="s">
        <v>269</v>
      </c>
      <c r="H30" s="11" t="s">
        <v>172</v>
      </c>
      <c r="I30" s="11" t="s">
        <v>267</v>
      </c>
      <c r="J30" s="11"/>
      <c r="K30" s="11"/>
      <c r="L30" s="11"/>
      <c r="M30" s="11" t="s">
        <v>173</v>
      </c>
      <c r="N30" s="11" t="s">
        <v>174</v>
      </c>
      <c r="O30" s="12" t="s">
        <v>115</v>
      </c>
      <c r="P30" s="12" t="n">
        <f aca="false">COUNTIF($B$6:$B$50,B30)</f>
        <v>1</v>
      </c>
    </row>
    <row r="31" customFormat="false" ht="64" hidden="false" customHeight="true" outlineLevel="0" collapsed="false">
      <c r="A31" s="11" t="s">
        <v>270</v>
      </c>
      <c r="B31" s="11" t="s">
        <v>271</v>
      </c>
      <c r="C31" s="11" t="s">
        <v>272</v>
      </c>
      <c r="D31" s="11" t="s">
        <v>168</v>
      </c>
      <c r="E31" s="11" t="s">
        <v>169</v>
      </c>
      <c r="F31" s="11" t="s">
        <v>170</v>
      </c>
      <c r="G31" s="11" t="s">
        <v>273</v>
      </c>
      <c r="H31" s="11" t="s">
        <v>172</v>
      </c>
      <c r="I31" s="11" t="s">
        <v>271</v>
      </c>
      <c r="J31" s="11"/>
      <c r="K31" s="11"/>
      <c r="L31" s="11"/>
      <c r="M31" s="11" t="s">
        <v>173</v>
      </c>
      <c r="N31" s="11" t="s">
        <v>174</v>
      </c>
      <c r="O31" s="12" t="s">
        <v>115</v>
      </c>
      <c r="P31" s="12" t="n">
        <f aca="false">COUNTIF($B$6:$B$50,B31)</f>
        <v>1</v>
      </c>
    </row>
    <row r="32" customFormat="false" ht="64" hidden="false" customHeight="true" outlineLevel="0" collapsed="false">
      <c r="A32" s="11" t="s">
        <v>274</v>
      </c>
      <c r="B32" s="11" t="s">
        <v>275</v>
      </c>
      <c r="C32" s="11" t="s">
        <v>276</v>
      </c>
      <c r="D32" s="11" t="s">
        <v>168</v>
      </c>
      <c r="E32" s="11" t="s">
        <v>169</v>
      </c>
      <c r="F32" s="11" t="s">
        <v>170</v>
      </c>
      <c r="G32" s="11" t="s">
        <v>277</v>
      </c>
      <c r="H32" s="11" t="s">
        <v>172</v>
      </c>
      <c r="I32" s="11" t="s">
        <v>275</v>
      </c>
      <c r="J32" s="11"/>
      <c r="K32" s="11"/>
      <c r="L32" s="11"/>
      <c r="M32" s="11" t="s">
        <v>173</v>
      </c>
      <c r="N32" s="11" t="s">
        <v>174</v>
      </c>
      <c r="O32" s="12" t="s">
        <v>115</v>
      </c>
      <c r="P32" s="12" t="n">
        <f aca="false">COUNTIF($B$6:$B$50,B32)</f>
        <v>1</v>
      </c>
    </row>
    <row r="33" customFormat="false" ht="64" hidden="false" customHeight="true" outlineLevel="0" collapsed="false">
      <c r="A33" s="11" t="s">
        <v>278</v>
      </c>
      <c r="B33" s="11" t="s">
        <v>279</v>
      </c>
      <c r="C33" s="11" t="s">
        <v>280</v>
      </c>
      <c r="D33" s="11" t="s">
        <v>168</v>
      </c>
      <c r="E33" s="11" t="s">
        <v>169</v>
      </c>
      <c r="F33" s="11" t="s">
        <v>170</v>
      </c>
      <c r="G33" s="11" t="s">
        <v>277</v>
      </c>
      <c r="H33" s="11" t="s">
        <v>172</v>
      </c>
      <c r="I33" s="11" t="s">
        <v>279</v>
      </c>
      <c r="J33" s="11"/>
      <c r="K33" s="11"/>
      <c r="L33" s="11"/>
      <c r="M33" s="11" t="s">
        <v>173</v>
      </c>
      <c r="N33" s="11" t="s">
        <v>174</v>
      </c>
      <c r="O33" s="12" t="s">
        <v>115</v>
      </c>
      <c r="P33" s="12" t="n">
        <f aca="false">COUNTIF($B$6:$B$50,B33)</f>
        <v>1</v>
      </c>
    </row>
    <row r="34" customFormat="false" ht="64" hidden="false" customHeight="true" outlineLevel="0" collapsed="false">
      <c r="A34" s="11" t="s">
        <v>281</v>
      </c>
      <c r="B34" s="11" t="s">
        <v>282</v>
      </c>
      <c r="C34" s="11" t="s">
        <v>283</v>
      </c>
      <c r="D34" s="11" t="s">
        <v>168</v>
      </c>
      <c r="E34" s="11" t="s">
        <v>169</v>
      </c>
      <c r="F34" s="11" t="s">
        <v>170</v>
      </c>
      <c r="G34" s="11" t="s">
        <v>277</v>
      </c>
      <c r="H34" s="11" t="s">
        <v>172</v>
      </c>
      <c r="I34" s="11" t="s">
        <v>282</v>
      </c>
      <c r="J34" s="11"/>
      <c r="K34" s="11"/>
      <c r="L34" s="11"/>
      <c r="M34" s="11" t="s">
        <v>173</v>
      </c>
      <c r="N34" s="11" t="s">
        <v>174</v>
      </c>
      <c r="O34" s="12" t="s">
        <v>115</v>
      </c>
      <c r="P34" s="12" t="n">
        <f aca="false">COUNTIF($B$6:$B$50,B34)</f>
        <v>1</v>
      </c>
    </row>
    <row r="35" customFormat="false" ht="64" hidden="false" customHeight="true" outlineLevel="0" collapsed="false">
      <c r="A35" s="11" t="s">
        <v>284</v>
      </c>
      <c r="B35" s="11" t="s">
        <v>285</v>
      </c>
      <c r="C35" s="11" t="s">
        <v>286</v>
      </c>
      <c r="D35" s="11" t="s">
        <v>168</v>
      </c>
      <c r="E35" s="11" t="s">
        <v>169</v>
      </c>
      <c r="F35" s="11" t="s">
        <v>170</v>
      </c>
      <c r="G35" s="11" t="s">
        <v>277</v>
      </c>
      <c r="H35" s="11" t="s">
        <v>172</v>
      </c>
      <c r="I35" s="11" t="s">
        <v>285</v>
      </c>
      <c r="J35" s="11"/>
      <c r="K35" s="11"/>
      <c r="L35" s="11"/>
      <c r="M35" s="11" t="s">
        <v>173</v>
      </c>
      <c r="N35" s="11" t="s">
        <v>174</v>
      </c>
      <c r="O35" s="12" t="s">
        <v>115</v>
      </c>
      <c r="P35" s="12" t="n">
        <f aca="false">COUNTIF($B$6:$B$50,B35)</f>
        <v>1</v>
      </c>
    </row>
    <row r="36" customFormat="false" ht="64" hidden="false" customHeight="true" outlineLevel="0" collapsed="false">
      <c r="A36" s="11" t="s">
        <v>287</v>
      </c>
      <c r="B36" s="11" t="s">
        <v>288</v>
      </c>
      <c r="C36" s="11" t="s">
        <v>289</v>
      </c>
      <c r="D36" s="11" t="s">
        <v>168</v>
      </c>
      <c r="E36" s="11" t="s">
        <v>169</v>
      </c>
      <c r="F36" s="11" t="s">
        <v>170</v>
      </c>
      <c r="G36" s="11" t="s">
        <v>290</v>
      </c>
      <c r="H36" s="11" t="s">
        <v>172</v>
      </c>
      <c r="I36" s="11" t="s">
        <v>288</v>
      </c>
      <c r="J36" s="11"/>
      <c r="K36" s="11"/>
      <c r="L36" s="11"/>
      <c r="M36" s="11" t="s">
        <v>173</v>
      </c>
      <c r="N36" s="11" t="s">
        <v>174</v>
      </c>
      <c r="O36" s="12" t="s">
        <v>115</v>
      </c>
      <c r="P36" s="12" t="n">
        <f aca="false">COUNTIF($B$6:$B$50,B36)</f>
        <v>1</v>
      </c>
    </row>
    <row r="37" customFormat="false" ht="64" hidden="false" customHeight="true" outlineLevel="0" collapsed="false">
      <c r="A37" s="11" t="s">
        <v>291</v>
      </c>
      <c r="B37" s="11" t="s">
        <v>292</v>
      </c>
      <c r="C37" s="11" t="s">
        <v>293</v>
      </c>
      <c r="D37" s="11" t="s">
        <v>168</v>
      </c>
      <c r="E37" s="11" t="s">
        <v>169</v>
      </c>
      <c r="F37" s="11" t="s">
        <v>170</v>
      </c>
      <c r="G37" s="11" t="s">
        <v>294</v>
      </c>
      <c r="H37" s="11" t="s">
        <v>172</v>
      </c>
      <c r="I37" s="11" t="s">
        <v>292</v>
      </c>
      <c r="J37" s="11"/>
      <c r="K37" s="11"/>
      <c r="L37" s="11"/>
      <c r="M37" s="11" t="s">
        <v>173</v>
      </c>
      <c r="N37" s="11" t="s">
        <v>174</v>
      </c>
      <c r="O37" s="12" t="s">
        <v>115</v>
      </c>
      <c r="P37" s="12" t="n">
        <f aca="false">COUNTIF($B$6:$B$50,B37)</f>
        <v>1</v>
      </c>
    </row>
    <row r="38" customFormat="false" ht="64" hidden="false" customHeight="true" outlineLevel="0" collapsed="false">
      <c r="A38" s="11" t="s">
        <v>295</v>
      </c>
      <c r="B38" s="11" t="s">
        <v>296</v>
      </c>
      <c r="C38" s="11" t="s">
        <v>297</v>
      </c>
      <c r="D38" s="11" t="s">
        <v>168</v>
      </c>
      <c r="E38" s="11" t="s">
        <v>169</v>
      </c>
      <c r="F38" s="11" t="s">
        <v>170</v>
      </c>
      <c r="G38" s="11" t="s">
        <v>298</v>
      </c>
      <c r="H38" s="11" t="s">
        <v>172</v>
      </c>
      <c r="I38" s="11" t="s">
        <v>296</v>
      </c>
      <c r="J38" s="11"/>
      <c r="K38" s="11"/>
      <c r="L38" s="11"/>
      <c r="M38" s="11" t="s">
        <v>173</v>
      </c>
      <c r="N38" s="11" t="s">
        <v>174</v>
      </c>
      <c r="O38" s="12" t="s">
        <v>115</v>
      </c>
      <c r="P38" s="12" t="n">
        <f aca="false">COUNTIF($B$6:$B$50,B38)</f>
        <v>1</v>
      </c>
    </row>
    <row r="39" customFormat="false" ht="64" hidden="false" customHeight="true" outlineLevel="0" collapsed="false">
      <c r="A39" s="11" t="s">
        <v>299</v>
      </c>
      <c r="B39" s="11" t="s">
        <v>300</v>
      </c>
      <c r="C39" s="11" t="s">
        <v>301</v>
      </c>
      <c r="D39" s="11" t="s">
        <v>168</v>
      </c>
      <c r="E39" s="11" t="s">
        <v>169</v>
      </c>
      <c r="F39" s="11" t="s">
        <v>170</v>
      </c>
      <c r="G39" s="11" t="s">
        <v>302</v>
      </c>
      <c r="H39" s="11" t="s">
        <v>172</v>
      </c>
      <c r="I39" s="11" t="s">
        <v>300</v>
      </c>
      <c r="J39" s="11"/>
      <c r="K39" s="11"/>
      <c r="L39" s="11"/>
      <c r="M39" s="11" t="s">
        <v>173</v>
      </c>
      <c r="N39" s="11" t="s">
        <v>174</v>
      </c>
      <c r="O39" s="12" t="s">
        <v>115</v>
      </c>
      <c r="P39" s="12" t="n">
        <f aca="false">COUNTIF($B$6:$B$50,B39)</f>
        <v>1</v>
      </c>
    </row>
    <row r="40" customFormat="false" ht="64" hidden="false" customHeight="true" outlineLevel="0" collapsed="false">
      <c r="A40" s="11" t="s">
        <v>303</v>
      </c>
      <c r="B40" s="11" t="s">
        <v>304</v>
      </c>
      <c r="C40" s="11" t="s">
        <v>305</v>
      </c>
      <c r="D40" s="11" t="s">
        <v>168</v>
      </c>
      <c r="E40" s="11" t="s">
        <v>169</v>
      </c>
      <c r="F40" s="11" t="s">
        <v>170</v>
      </c>
      <c r="G40" s="11" t="s">
        <v>306</v>
      </c>
      <c r="H40" s="11" t="s">
        <v>172</v>
      </c>
      <c r="I40" s="11" t="s">
        <v>304</v>
      </c>
      <c r="J40" s="11"/>
      <c r="K40" s="11"/>
      <c r="L40" s="11"/>
      <c r="M40" s="11" t="s">
        <v>173</v>
      </c>
      <c r="N40" s="11" t="s">
        <v>174</v>
      </c>
      <c r="O40" s="12" t="s">
        <v>115</v>
      </c>
      <c r="P40" s="12" t="n">
        <f aca="false">COUNTIF($B$6:$B$50,B40)</f>
        <v>1</v>
      </c>
    </row>
    <row r="41" customFormat="false" ht="64" hidden="false" customHeight="true" outlineLevel="0" collapsed="false">
      <c r="A41" s="11" t="s">
        <v>307</v>
      </c>
      <c r="B41" s="11" t="s">
        <v>308</v>
      </c>
      <c r="C41" s="11" t="s">
        <v>309</v>
      </c>
      <c r="D41" s="11" t="s">
        <v>168</v>
      </c>
      <c r="E41" s="11" t="s">
        <v>169</v>
      </c>
      <c r="F41" s="11" t="s">
        <v>170</v>
      </c>
      <c r="G41" s="11" t="s">
        <v>310</v>
      </c>
      <c r="H41" s="11" t="s">
        <v>172</v>
      </c>
      <c r="I41" s="11" t="s">
        <v>308</v>
      </c>
      <c r="J41" s="11"/>
      <c r="K41" s="11"/>
      <c r="L41" s="11"/>
      <c r="M41" s="11" t="s">
        <v>173</v>
      </c>
      <c r="N41" s="11" t="s">
        <v>174</v>
      </c>
      <c r="O41" s="12" t="s">
        <v>115</v>
      </c>
      <c r="P41" s="12" t="n">
        <f aca="false">COUNTIF($B$6:$B$50,B41)</f>
        <v>1</v>
      </c>
    </row>
    <row r="42" customFormat="false" ht="64" hidden="false" customHeight="true" outlineLevel="0" collapsed="false">
      <c r="A42" s="11" t="s">
        <v>311</v>
      </c>
      <c r="B42" s="11" t="s">
        <v>312</v>
      </c>
      <c r="C42" s="11" t="s">
        <v>313</v>
      </c>
      <c r="D42" s="11" t="s">
        <v>168</v>
      </c>
      <c r="E42" s="11" t="s">
        <v>169</v>
      </c>
      <c r="F42" s="11" t="s">
        <v>170</v>
      </c>
      <c r="G42" s="11" t="s">
        <v>314</v>
      </c>
      <c r="H42" s="11" t="s">
        <v>172</v>
      </c>
      <c r="I42" s="11" t="s">
        <v>312</v>
      </c>
      <c r="J42" s="11"/>
      <c r="K42" s="11"/>
      <c r="L42" s="11"/>
      <c r="M42" s="11" t="s">
        <v>173</v>
      </c>
      <c r="N42" s="11" t="s">
        <v>174</v>
      </c>
      <c r="O42" s="12" t="s">
        <v>115</v>
      </c>
      <c r="P42" s="12" t="n">
        <f aca="false">COUNTIF($B$6:$B$50,B42)</f>
        <v>1</v>
      </c>
    </row>
    <row r="43" customFormat="false" ht="64" hidden="false" customHeight="true" outlineLevel="0" collapsed="false">
      <c r="A43" s="11" t="s">
        <v>315</v>
      </c>
      <c r="B43" s="11" t="s">
        <v>316</v>
      </c>
      <c r="C43" s="11" t="s">
        <v>317</v>
      </c>
      <c r="D43" s="11" t="s">
        <v>168</v>
      </c>
      <c r="E43" s="11" t="s">
        <v>169</v>
      </c>
      <c r="F43" s="11" t="s">
        <v>170</v>
      </c>
      <c r="G43" s="11" t="s">
        <v>318</v>
      </c>
      <c r="H43" s="11" t="s">
        <v>172</v>
      </c>
      <c r="I43" s="11" t="s">
        <v>316</v>
      </c>
      <c r="J43" s="11"/>
      <c r="K43" s="11"/>
      <c r="L43" s="11" t="n">
        <v>-10</v>
      </c>
      <c r="M43" s="11" t="s">
        <v>173</v>
      </c>
      <c r="N43" s="11" t="s">
        <v>174</v>
      </c>
      <c r="O43" s="12" t="s">
        <v>115</v>
      </c>
      <c r="P43" s="12" t="n">
        <f aca="false">COUNTIF($B$6:$B$50,B43)</f>
        <v>1</v>
      </c>
    </row>
    <row r="44" customFormat="false" ht="64" hidden="false" customHeight="true" outlineLevel="0" collapsed="false">
      <c r="A44" s="11" t="s">
        <v>319</v>
      </c>
      <c r="B44" s="11" t="s">
        <v>320</v>
      </c>
      <c r="C44" s="11" t="s">
        <v>321</v>
      </c>
      <c r="D44" s="11" t="s">
        <v>168</v>
      </c>
      <c r="E44" s="11" t="s">
        <v>169</v>
      </c>
      <c r="F44" s="11" t="s">
        <v>170</v>
      </c>
      <c r="G44" s="11" t="s">
        <v>322</v>
      </c>
      <c r="H44" s="11" t="s">
        <v>172</v>
      </c>
      <c r="I44" s="11" t="s">
        <v>320</v>
      </c>
      <c r="J44" s="11"/>
      <c r="K44" s="11"/>
      <c r="L44" s="11"/>
      <c r="M44" s="11" t="s">
        <v>173</v>
      </c>
      <c r="N44" s="11" t="s">
        <v>174</v>
      </c>
      <c r="O44" s="12" t="s">
        <v>115</v>
      </c>
      <c r="P44" s="12" t="n">
        <f aca="false">COUNTIF($B$6:$B$50,B44)</f>
        <v>1</v>
      </c>
    </row>
    <row r="45" customFormat="false" ht="64" hidden="false" customHeight="true" outlineLevel="0" collapsed="false">
      <c r="A45" s="11" t="s">
        <v>323</v>
      </c>
      <c r="B45" s="11" t="s">
        <v>324</v>
      </c>
      <c r="C45" s="11" t="s">
        <v>325</v>
      </c>
      <c r="D45" s="11" t="s">
        <v>168</v>
      </c>
      <c r="E45" s="11" t="s">
        <v>169</v>
      </c>
      <c r="F45" s="11" t="s">
        <v>170</v>
      </c>
      <c r="G45" s="11" t="s">
        <v>326</v>
      </c>
      <c r="H45" s="11" t="s">
        <v>172</v>
      </c>
      <c r="I45" s="11" t="s">
        <v>324</v>
      </c>
      <c r="J45" s="11"/>
      <c r="K45" s="11"/>
      <c r="L45" s="11"/>
      <c r="M45" s="11" t="s">
        <v>173</v>
      </c>
      <c r="N45" s="11" t="s">
        <v>174</v>
      </c>
      <c r="O45" s="12" t="s">
        <v>115</v>
      </c>
      <c r="P45" s="12" t="n">
        <f aca="false">COUNTIF($B$6:$B$50,B45)</f>
        <v>1</v>
      </c>
    </row>
    <row r="46" customFormat="false" ht="64" hidden="false" customHeight="true" outlineLevel="0" collapsed="false">
      <c r="A46" s="11" t="s">
        <v>327</v>
      </c>
      <c r="B46" s="11" t="s">
        <v>328</v>
      </c>
      <c r="C46" s="11" t="s">
        <v>329</v>
      </c>
      <c r="D46" s="11" t="s">
        <v>168</v>
      </c>
      <c r="E46" s="11" t="s">
        <v>169</v>
      </c>
      <c r="F46" s="11" t="s">
        <v>170</v>
      </c>
      <c r="G46" s="11" t="s">
        <v>330</v>
      </c>
      <c r="H46" s="11" t="s">
        <v>172</v>
      </c>
      <c r="I46" s="11" t="s">
        <v>328</v>
      </c>
      <c r="J46" s="11"/>
      <c r="K46" s="11"/>
      <c r="L46" s="11"/>
      <c r="M46" s="11" t="s">
        <v>173</v>
      </c>
      <c r="N46" s="11" t="s">
        <v>174</v>
      </c>
      <c r="O46" s="12" t="s">
        <v>115</v>
      </c>
      <c r="P46" s="12" t="n">
        <f aca="false">COUNTIF($B$6:$B$50,B46)</f>
        <v>1</v>
      </c>
    </row>
    <row r="47" customFormat="false" ht="64" hidden="false" customHeight="true" outlineLevel="0" collapsed="false">
      <c r="A47" s="11" t="s">
        <v>331</v>
      </c>
      <c r="B47" s="11" t="s">
        <v>125</v>
      </c>
      <c r="C47" s="11" t="s">
        <v>332</v>
      </c>
      <c r="D47" s="11" t="s">
        <v>333</v>
      </c>
      <c r="E47" s="11" t="s">
        <v>334</v>
      </c>
      <c r="F47" s="11" t="s">
        <v>335</v>
      </c>
      <c r="G47" s="11" t="s">
        <v>336</v>
      </c>
      <c r="H47" s="11" t="n">
        <v>15</v>
      </c>
      <c r="I47" s="11" t="s">
        <v>125</v>
      </c>
      <c r="J47" s="11" t="s">
        <v>122</v>
      </c>
      <c r="K47" s="11"/>
      <c r="L47" s="11"/>
      <c r="M47" s="11" t="s">
        <v>337</v>
      </c>
      <c r="N47" s="11"/>
      <c r="O47" s="12" t="s">
        <v>115</v>
      </c>
      <c r="P47" s="12" t="n">
        <f aca="false">COUNTIF($B$6:$B$50,B47)</f>
        <v>1</v>
      </c>
    </row>
    <row r="48" customFormat="false" ht="64" hidden="false" customHeight="true" outlineLevel="0" collapsed="false">
      <c r="A48" s="11" t="s">
        <v>338</v>
      </c>
      <c r="B48" s="11" t="s">
        <v>135</v>
      </c>
      <c r="C48" s="11" t="s">
        <v>339</v>
      </c>
      <c r="D48" s="11" t="s">
        <v>340</v>
      </c>
      <c r="E48" s="11" t="s">
        <v>334</v>
      </c>
      <c r="F48" s="11" t="s">
        <v>341</v>
      </c>
      <c r="G48" s="11" t="s">
        <v>342</v>
      </c>
      <c r="H48" s="11" t="n">
        <v>5</v>
      </c>
      <c r="I48" s="11" t="s">
        <v>135</v>
      </c>
      <c r="J48" s="11" t="s">
        <v>108</v>
      </c>
      <c r="K48" s="11" t="s">
        <v>133</v>
      </c>
      <c r="L48" s="11"/>
      <c r="M48" s="11" t="s">
        <v>138</v>
      </c>
      <c r="N48" s="11"/>
      <c r="O48" s="12" t="s">
        <v>115</v>
      </c>
      <c r="P48" s="12" t="n">
        <f aca="false">COUNTIF($B$6:$B$50,B48)</f>
        <v>1</v>
      </c>
    </row>
    <row r="49" customFormat="false" ht="64" hidden="false" customHeight="true" outlineLevel="0" collapsed="false">
      <c r="A49" s="11" t="s">
        <v>343</v>
      </c>
      <c r="B49" s="11" t="s">
        <v>141</v>
      </c>
      <c r="C49" s="11" t="s">
        <v>344</v>
      </c>
      <c r="D49" s="11" t="s">
        <v>340</v>
      </c>
      <c r="E49" s="11" t="s">
        <v>334</v>
      </c>
      <c r="F49" s="11" t="s">
        <v>341</v>
      </c>
      <c r="G49" s="11" t="s">
        <v>345</v>
      </c>
      <c r="H49" s="11" t="n">
        <v>4</v>
      </c>
      <c r="I49" s="11" t="s">
        <v>141</v>
      </c>
      <c r="J49" s="11" t="s">
        <v>108</v>
      </c>
      <c r="K49" s="11" t="s">
        <v>139</v>
      </c>
      <c r="L49" s="11"/>
      <c r="M49" s="11" t="s">
        <v>144</v>
      </c>
      <c r="N49" s="11"/>
      <c r="O49" s="12" t="s">
        <v>115</v>
      </c>
      <c r="P49" s="12" t="n">
        <f aca="false">COUNTIF($B$6:$B$50,B49)</f>
        <v>1</v>
      </c>
    </row>
    <row r="50" customFormat="false" ht="64" hidden="false" customHeight="true" outlineLevel="0" collapsed="false">
      <c r="A50" s="11" t="s">
        <v>346</v>
      </c>
      <c r="B50" s="11" t="s">
        <v>147</v>
      </c>
      <c r="C50" s="11" t="s">
        <v>347</v>
      </c>
      <c r="D50" s="11" t="s">
        <v>340</v>
      </c>
      <c r="E50" s="11" t="s">
        <v>334</v>
      </c>
      <c r="F50" s="11" t="s">
        <v>341</v>
      </c>
      <c r="G50" s="11" t="s">
        <v>348</v>
      </c>
      <c r="H50" s="11" t="n">
        <v>3</v>
      </c>
      <c r="I50" s="11" t="s">
        <v>147</v>
      </c>
      <c r="J50" s="11" t="s">
        <v>108</v>
      </c>
      <c r="K50" s="11" t="s">
        <v>145</v>
      </c>
      <c r="L50" s="11"/>
      <c r="M50" s="11" t="s">
        <v>150</v>
      </c>
      <c r="N50" s="11"/>
      <c r="O50" s="12" t="s">
        <v>115</v>
      </c>
      <c r="P50" s="12" t="n">
        <f aca="false">COUNTIF($B$6:$B$50,B50)</f>
        <v>1</v>
      </c>
    </row>
  </sheetData>
  <mergeCells count="2">
    <mergeCell ref="A1:P1"/>
    <mergeCell ref="A2:P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8"/>
    <col collapsed="false" customWidth="true" hidden="false" outlineLevel="0" max="3" min="3" style="0" width="38"/>
    <col collapsed="false" customWidth="true" hidden="false" outlineLevel="0" max="5" min="4" style="0" width="12"/>
    <col collapsed="false" customWidth="true" hidden="false" outlineLevel="0" max="6" min="6" style="0" width="30"/>
    <col collapsed="false" customWidth="true" hidden="false" outlineLevel="0" max="7" min="7" style="0" width="25"/>
    <col collapsed="false" customWidth="true" hidden="false" outlineLevel="0" max="8" min="8" style="0" width="14"/>
    <col collapsed="false" customWidth="true" hidden="false" outlineLevel="0" max="9" min="9" style="0" width="22"/>
    <col collapsed="false" customWidth="true" hidden="false" outlineLevel="0" max="10" min="10" style="0" width="10"/>
  </cols>
  <sheetData>
    <row r="1" customFormat="false" ht="30" hidden="false" customHeight="true" outlineLevel="0" collapsed="false">
      <c r="A1" s="1" t="s">
        <v>349</v>
      </c>
      <c r="B1" s="1"/>
      <c r="C1" s="1"/>
      <c r="D1" s="1"/>
      <c r="E1" s="1"/>
      <c r="F1" s="1"/>
      <c r="G1" s="1"/>
      <c r="H1" s="1"/>
      <c r="I1" s="1"/>
      <c r="J1" s="1"/>
    </row>
    <row r="2" customFormat="false" ht="42" hidden="false" customHeight="true" outlineLevel="0" collapsed="false">
      <c r="A2" s="2" t="s">
        <v>350</v>
      </c>
      <c r="B2" s="2"/>
      <c r="C2" s="2"/>
      <c r="D2" s="2"/>
      <c r="E2" s="2"/>
      <c r="F2" s="2"/>
      <c r="G2" s="2"/>
      <c r="H2" s="2"/>
      <c r="I2" s="2"/>
      <c r="J2" s="2"/>
    </row>
    <row r="3" customFormat="false" ht="15" hidden="false" customHeight="false" outlineLevel="0" collapsed="false">
      <c r="A3" s="3"/>
      <c r="B3" s="3"/>
      <c r="C3" s="3"/>
      <c r="D3" s="3"/>
      <c r="E3" s="3"/>
      <c r="F3" s="3"/>
      <c r="G3" s="3"/>
      <c r="H3" s="3"/>
      <c r="I3" s="3"/>
      <c r="J3" s="3"/>
    </row>
    <row r="5" customFormat="false" ht="38" hidden="false" customHeight="true" outlineLevel="0" collapsed="false">
      <c r="A5" s="10" t="s">
        <v>351</v>
      </c>
      <c r="B5" s="10" t="s">
        <v>154</v>
      </c>
      <c r="C5" s="10" t="s">
        <v>352</v>
      </c>
      <c r="D5" s="10" t="s">
        <v>58</v>
      </c>
      <c r="E5" s="10" t="s">
        <v>353</v>
      </c>
      <c r="F5" s="10" t="s">
        <v>354</v>
      </c>
      <c r="G5" s="10" t="s">
        <v>355</v>
      </c>
      <c r="H5" s="10" t="s">
        <v>356</v>
      </c>
      <c r="I5" s="10" t="s">
        <v>357</v>
      </c>
      <c r="J5" s="10" t="s">
        <v>69</v>
      </c>
    </row>
    <row r="6" customFormat="false" ht="34" hidden="false" customHeight="true" outlineLevel="0" collapsed="false">
      <c r="A6" s="11" t="s">
        <v>358</v>
      </c>
      <c r="B6" s="11" t="s">
        <v>166</v>
      </c>
      <c r="C6" s="11" t="s">
        <v>359</v>
      </c>
      <c r="D6" s="11" t="s">
        <v>70</v>
      </c>
      <c r="E6" s="11" t="n">
        <v>9</v>
      </c>
      <c r="F6" s="11" t="s">
        <v>360</v>
      </c>
      <c r="G6" s="11" t="b">
        <f aca="false">TRUE()</f>
        <v>1</v>
      </c>
      <c r="H6" s="11" t="s">
        <v>361</v>
      </c>
      <c r="I6" s="11" t="s">
        <v>362</v>
      </c>
      <c r="J6" s="12" t="n">
        <f aca="false">COUNTIF($A$6:$A$89,A6)</f>
        <v>1</v>
      </c>
    </row>
    <row r="7" customFormat="false" ht="34" hidden="false" customHeight="true" outlineLevel="0" collapsed="false">
      <c r="A7" s="11" t="s">
        <v>363</v>
      </c>
      <c r="B7" s="11" t="s">
        <v>166</v>
      </c>
      <c r="C7" s="11" t="s">
        <v>359</v>
      </c>
      <c r="D7" s="11" t="s">
        <v>77</v>
      </c>
      <c r="E7" s="11" t="n">
        <v>11</v>
      </c>
      <c r="F7" s="11" t="s">
        <v>360</v>
      </c>
      <c r="G7" s="11" t="b">
        <f aca="false">TRUE()</f>
        <v>1</v>
      </c>
      <c r="H7" s="11" t="s">
        <v>361</v>
      </c>
      <c r="I7" s="11" t="s">
        <v>362</v>
      </c>
      <c r="J7" s="12" t="n">
        <f aca="false">COUNTIF($A$6:$A$89,A7)</f>
        <v>1</v>
      </c>
    </row>
    <row r="8" customFormat="false" ht="34" hidden="false" customHeight="true" outlineLevel="0" collapsed="false">
      <c r="A8" s="11" t="s">
        <v>364</v>
      </c>
      <c r="B8" s="11" t="s">
        <v>176</v>
      </c>
      <c r="C8" s="11" t="s">
        <v>365</v>
      </c>
      <c r="D8" s="11" t="s">
        <v>70</v>
      </c>
      <c r="E8" s="11" t="n">
        <v>11</v>
      </c>
      <c r="F8" s="11" t="s">
        <v>360</v>
      </c>
      <c r="G8" s="11" t="b">
        <f aca="false">TRUE()</f>
        <v>1</v>
      </c>
      <c r="H8" s="11" t="s">
        <v>361</v>
      </c>
      <c r="I8" s="11" t="s">
        <v>362</v>
      </c>
      <c r="J8" s="12" t="n">
        <f aca="false">COUNTIF($A$6:$A$89,A8)</f>
        <v>1</v>
      </c>
    </row>
    <row r="9" customFormat="false" ht="34" hidden="false" customHeight="true" outlineLevel="0" collapsed="false">
      <c r="A9" s="11" t="s">
        <v>366</v>
      </c>
      <c r="B9" s="11" t="s">
        <v>176</v>
      </c>
      <c r="C9" s="11" t="s">
        <v>365</v>
      </c>
      <c r="D9" s="11" t="s">
        <v>77</v>
      </c>
      <c r="E9" s="11" t="n">
        <v>9</v>
      </c>
      <c r="F9" s="11" t="s">
        <v>360</v>
      </c>
      <c r="G9" s="11" t="b">
        <f aca="false">TRUE()</f>
        <v>1</v>
      </c>
      <c r="H9" s="11" t="s">
        <v>361</v>
      </c>
      <c r="I9" s="11" t="s">
        <v>362</v>
      </c>
      <c r="J9" s="12" t="n">
        <f aca="false">COUNTIF($A$6:$A$89,A9)</f>
        <v>1</v>
      </c>
    </row>
    <row r="10" customFormat="false" ht="34" hidden="false" customHeight="true" outlineLevel="0" collapsed="false">
      <c r="A10" s="11" t="s">
        <v>367</v>
      </c>
      <c r="B10" s="11" t="s">
        <v>176</v>
      </c>
      <c r="C10" s="11" t="s">
        <v>365</v>
      </c>
      <c r="D10" s="11" t="s">
        <v>86</v>
      </c>
      <c r="E10" s="11" t="n">
        <v>4</v>
      </c>
      <c r="F10" s="11" t="s">
        <v>360</v>
      </c>
      <c r="G10" s="11" t="b">
        <f aca="false">TRUE()</f>
        <v>1</v>
      </c>
      <c r="H10" s="11" t="s">
        <v>361</v>
      </c>
      <c r="I10" s="11" t="s">
        <v>362</v>
      </c>
      <c r="J10" s="12" t="n">
        <f aca="false">COUNTIF($A$6:$A$89,A10)</f>
        <v>1</v>
      </c>
    </row>
    <row r="11" customFormat="false" ht="34" hidden="false" customHeight="true" outlineLevel="0" collapsed="false">
      <c r="A11" s="11" t="s">
        <v>368</v>
      </c>
      <c r="B11" s="11" t="s">
        <v>180</v>
      </c>
      <c r="C11" s="11" t="s">
        <v>369</v>
      </c>
      <c r="D11" s="11" t="s">
        <v>70</v>
      </c>
      <c r="E11" s="11" t="n">
        <v>5</v>
      </c>
      <c r="F11" s="11" t="s">
        <v>360</v>
      </c>
      <c r="G11" s="11" t="b">
        <f aca="false">TRUE()</f>
        <v>1</v>
      </c>
      <c r="H11" s="11" t="s">
        <v>361</v>
      </c>
      <c r="I11" s="11" t="s">
        <v>362</v>
      </c>
      <c r="J11" s="12" t="n">
        <f aca="false">COUNTIF($A$6:$A$89,A11)</f>
        <v>1</v>
      </c>
    </row>
    <row r="12" customFormat="false" ht="34" hidden="false" customHeight="true" outlineLevel="0" collapsed="false">
      <c r="A12" s="11" t="s">
        <v>370</v>
      </c>
      <c r="B12" s="11" t="s">
        <v>180</v>
      </c>
      <c r="C12" s="11" t="s">
        <v>369</v>
      </c>
      <c r="D12" s="11" t="s">
        <v>77</v>
      </c>
      <c r="E12" s="11" t="n">
        <v>11</v>
      </c>
      <c r="F12" s="11" t="s">
        <v>360</v>
      </c>
      <c r="G12" s="11" t="b">
        <f aca="false">TRUE()</f>
        <v>1</v>
      </c>
      <c r="H12" s="11" t="s">
        <v>361</v>
      </c>
      <c r="I12" s="11" t="s">
        <v>362</v>
      </c>
      <c r="J12" s="12" t="n">
        <f aca="false">COUNTIF($A$6:$A$89,A12)</f>
        <v>1</v>
      </c>
    </row>
    <row r="13" customFormat="false" ht="34" hidden="false" customHeight="true" outlineLevel="0" collapsed="false">
      <c r="A13" s="11" t="s">
        <v>371</v>
      </c>
      <c r="B13" s="11" t="s">
        <v>180</v>
      </c>
      <c r="C13" s="11" t="s">
        <v>369</v>
      </c>
      <c r="D13" s="11" t="s">
        <v>86</v>
      </c>
      <c r="E13" s="11" t="n">
        <v>5</v>
      </c>
      <c r="F13" s="11" t="s">
        <v>360</v>
      </c>
      <c r="G13" s="11" t="b">
        <f aca="false">TRUE()</f>
        <v>1</v>
      </c>
      <c r="H13" s="11" t="s">
        <v>361</v>
      </c>
      <c r="I13" s="11" t="s">
        <v>362</v>
      </c>
      <c r="J13" s="12" t="n">
        <f aca="false">COUNTIF($A$6:$A$89,A13)</f>
        <v>1</v>
      </c>
    </row>
    <row r="14" customFormat="false" ht="34" hidden="false" customHeight="true" outlineLevel="0" collapsed="false">
      <c r="A14" s="11" t="s">
        <v>372</v>
      </c>
      <c r="B14" s="11" t="s">
        <v>184</v>
      </c>
      <c r="C14" s="11" t="s">
        <v>373</v>
      </c>
      <c r="D14" s="11" t="s">
        <v>70</v>
      </c>
      <c r="E14" s="11" t="n">
        <v>11</v>
      </c>
      <c r="F14" s="11" t="s">
        <v>360</v>
      </c>
      <c r="G14" s="11" t="b">
        <f aca="false">TRUE()</f>
        <v>1</v>
      </c>
      <c r="H14" s="11" t="s">
        <v>361</v>
      </c>
      <c r="I14" s="11" t="s">
        <v>362</v>
      </c>
      <c r="J14" s="12" t="n">
        <f aca="false">COUNTIF($A$6:$A$89,A14)</f>
        <v>1</v>
      </c>
    </row>
    <row r="15" customFormat="false" ht="34" hidden="false" customHeight="true" outlineLevel="0" collapsed="false">
      <c r="A15" s="11" t="s">
        <v>374</v>
      </c>
      <c r="B15" s="11" t="s">
        <v>184</v>
      </c>
      <c r="C15" s="11" t="s">
        <v>373</v>
      </c>
      <c r="D15" s="11" t="s">
        <v>77</v>
      </c>
      <c r="E15" s="11" t="n">
        <v>5</v>
      </c>
      <c r="F15" s="11" t="s">
        <v>360</v>
      </c>
      <c r="G15" s="11" t="b">
        <f aca="false">TRUE()</f>
        <v>1</v>
      </c>
      <c r="H15" s="11" t="s">
        <v>361</v>
      </c>
      <c r="I15" s="11" t="s">
        <v>362</v>
      </c>
      <c r="J15" s="12" t="n">
        <f aca="false">COUNTIF($A$6:$A$89,A15)</f>
        <v>1</v>
      </c>
    </row>
    <row r="16" customFormat="false" ht="34" hidden="false" customHeight="true" outlineLevel="0" collapsed="false">
      <c r="A16" s="11" t="s">
        <v>375</v>
      </c>
      <c r="B16" s="11" t="s">
        <v>188</v>
      </c>
      <c r="C16" s="11" t="s">
        <v>376</v>
      </c>
      <c r="D16" s="11" t="s">
        <v>70</v>
      </c>
      <c r="E16" s="11" t="n">
        <v>5</v>
      </c>
      <c r="F16" s="11" t="s">
        <v>360</v>
      </c>
      <c r="G16" s="11" t="b">
        <f aca="false">TRUE()</f>
        <v>1</v>
      </c>
      <c r="H16" s="11" t="s">
        <v>361</v>
      </c>
      <c r="I16" s="11" t="s">
        <v>362</v>
      </c>
      <c r="J16" s="12" t="n">
        <f aca="false">COUNTIF($A$6:$A$89,A16)</f>
        <v>1</v>
      </c>
    </row>
    <row r="17" customFormat="false" ht="34" hidden="false" customHeight="true" outlineLevel="0" collapsed="false">
      <c r="A17" s="11" t="s">
        <v>377</v>
      </c>
      <c r="B17" s="11" t="s">
        <v>188</v>
      </c>
      <c r="C17" s="11" t="s">
        <v>376</v>
      </c>
      <c r="D17" s="11" t="s">
        <v>77</v>
      </c>
      <c r="E17" s="11" t="n">
        <v>6</v>
      </c>
      <c r="F17" s="11" t="s">
        <v>360</v>
      </c>
      <c r="G17" s="11" t="b">
        <f aca="false">TRUE()</f>
        <v>1</v>
      </c>
      <c r="H17" s="11" t="s">
        <v>361</v>
      </c>
      <c r="I17" s="11" t="s">
        <v>362</v>
      </c>
      <c r="J17" s="12" t="n">
        <f aca="false">COUNTIF($A$6:$A$89,A17)</f>
        <v>1</v>
      </c>
    </row>
    <row r="18" customFormat="false" ht="34" hidden="false" customHeight="true" outlineLevel="0" collapsed="false">
      <c r="A18" s="11" t="s">
        <v>378</v>
      </c>
      <c r="B18" s="11" t="s">
        <v>188</v>
      </c>
      <c r="C18" s="11" t="s">
        <v>376</v>
      </c>
      <c r="D18" s="11" t="s">
        <v>86</v>
      </c>
      <c r="E18" s="11" t="n">
        <v>4</v>
      </c>
      <c r="F18" s="11" t="s">
        <v>360</v>
      </c>
      <c r="G18" s="11" t="b">
        <f aca="false">TRUE()</f>
        <v>1</v>
      </c>
      <c r="H18" s="11" t="s">
        <v>361</v>
      </c>
      <c r="I18" s="11" t="s">
        <v>362</v>
      </c>
      <c r="J18" s="12" t="n">
        <f aca="false">COUNTIF($A$6:$A$89,A18)</f>
        <v>1</v>
      </c>
    </row>
    <row r="19" customFormat="false" ht="34" hidden="false" customHeight="true" outlineLevel="0" collapsed="false">
      <c r="A19" s="11" t="s">
        <v>379</v>
      </c>
      <c r="B19" s="11" t="s">
        <v>192</v>
      </c>
      <c r="C19" s="11" t="s">
        <v>380</v>
      </c>
      <c r="D19" s="11" t="s">
        <v>70</v>
      </c>
      <c r="E19" s="11" t="n">
        <v>8</v>
      </c>
      <c r="F19" s="11" t="s">
        <v>360</v>
      </c>
      <c r="G19" s="11" t="b">
        <f aca="false">TRUE()</f>
        <v>1</v>
      </c>
      <c r="H19" s="11" t="s">
        <v>361</v>
      </c>
      <c r="I19" s="11" t="s">
        <v>362</v>
      </c>
      <c r="J19" s="12" t="n">
        <f aca="false">COUNTIF($A$6:$A$89,A19)</f>
        <v>1</v>
      </c>
    </row>
    <row r="20" customFormat="false" ht="34" hidden="false" customHeight="true" outlineLevel="0" collapsed="false">
      <c r="A20" s="11" t="s">
        <v>381</v>
      </c>
      <c r="B20" s="11" t="s">
        <v>192</v>
      </c>
      <c r="C20" s="11" t="s">
        <v>380</v>
      </c>
      <c r="D20" s="11" t="s">
        <v>77</v>
      </c>
      <c r="E20" s="11" t="n">
        <v>12</v>
      </c>
      <c r="F20" s="11" t="s">
        <v>360</v>
      </c>
      <c r="G20" s="11" t="b">
        <f aca="false">TRUE()</f>
        <v>1</v>
      </c>
      <c r="H20" s="11" t="s">
        <v>361</v>
      </c>
      <c r="I20" s="11" t="s">
        <v>362</v>
      </c>
      <c r="J20" s="12" t="n">
        <f aca="false">COUNTIF($A$6:$A$89,A20)</f>
        <v>1</v>
      </c>
    </row>
    <row r="21" customFormat="false" ht="34" hidden="false" customHeight="true" outlineLevel="0" collapsed="false">
      <c r="A21" s="11" t="s">
        <v>382</v>
      </c>
      <c r="B21" s="11" t="s">
        <v>192</v>
      </c>
      <c r="C21" s="11" t="s">
        <v>380</v>
      </c>
      <c r="D21" s="11" t="s">
        <v>86</v>
      </c>
      <c r="E21" s="11" t="n">
        <v>5</v>
      </c>
      <c r="F21" s="11" t="s">
        <v>360</v>
      </c>
      <c r="G21" s="11" t="b">
        <f aca="false">TRUE()</f>
        <v>1</v>
      </c>
      <c r="H21" s="11" t="s">
        <v>361</v>
      </c>
      <c r="I21" s="11" t="s">
        <v>362</v>
      </c>
      <c r="J21" s="12" t="n">
        <f aca="false">COUNTIF($A$6:$A$89,A21)</f>
        <v>1</v>
      </c>
    </row>
    <row r="22" customFormat="false" ht="34" hidden="false" customHeight="true" outlineLevel="0" collapsed="false">
      <c r="A22" s="11" t="s">
        <v>383</v>
      </c>
      <c r="B22" s="11" t="s">
        <v>196</v>
      </c>
      <c r="C22" s="11" t="s">
        <v>384</v>
      </c>
      <c r="D22" s="11" t="s">
        <v>70</v>
      </c>
      <c r="E22" s="11" t="n">
        <v>14</v>
      </c>
      <c r="F22" s="11" t="s">
        <v>360</v>
      </c>
      <c r="G22" s="11" t="b">
        <f aca="false">TRUE()</f>
        <v>1</v>
      </c>
      <c r="H22" s="11" t="s">
        <v>361</v>
      </c>
      <c r="I22" s="11" t="s">
        <v>362</v>
      </c>
      <c r="J22" s="12" t="n">
        <f aca="false">COUNTIF($A$6:$A$89,A22)</f>
        <v>1</v>
      </c>
    </row>
    <row r="23" customFormat="false" ht="34" hidden="false" customHeight="true" outlineLevel="0" collapsed="false">
      <c r="A23" s="11" t="s">
        <v>385</v>
      </c>
      <c r="B23" s="11" t="s">
        <v>196</v>
      </c>
      <c r="C23" s="11" t="s">
        <v>384</v>
      </c>
      <c r="D23" s="11" t="s">
        <v>77</v>
      </c>
      <c r="E23" s="11" t="n">
        <v>6</v>
      </c>
      <c r="F23" s="11" t="s">
        <v>360</v>
      </c>
      <c r="G23" s="11" t="b">
        <f aca="false">TRUE()</f>
        <v>1</v>
      </c>
      <c r="H23" s="11" t="s">
        <v>361</v>
      </c>
      <c r="I23" s="11" t="s">
        <v>362</v>
      </c>
      <c r="J23" s="12" t="n">
        <f aca="false">COUNTIF($A$6:$A$89,A23)</f>
        <v>1</v>
      </c>
    </row>
    <row r="24" customFormat="false" ht="34" hidden="false" customHeight="true" outlineLevel="0" collapsed="false">
      <c r="A24" s="11" t="s">
        <v>386</v>
      </c>
      <c r="B24" s="11" t="s">
        <v>200</v>
      </c>
      <c r="C24" s="11" t="s">
        <v>387</v>
      </c>
      <c r="D24" s="11" t="s">
        <v>70</v>
      </c>
      <c r="E24" s="11" t="n">
        <v>10</v>
      </c>
      <c r="F24" s="11" t="s">
        <v>360</v>
      </c>
      <c r="G24" s="11" t="b">
        <f aca="false">TRUE()</f>
        <v>1</v>
      </c>
      <c r="H24" s="11" t="s">
        <v>361</v>
      </c>
      <c r="I24" s="11" t="s">
        <v>362</v>
      </c>
      <c r="J24" s="12" t="n">
        <f aca="false">COUNTIF($A$6:$A$89,A24)</f>
        <v>1</v>
      </c>
    </row>
    <row r="25" customFormat="false" ht="34" hidden="false" customHeight="true" outlineLevel="0" collapsed="false">
      <c r="A25" s="11" t="s">
        <v>388</v>
      </c>
      <c r="B25" s="11" t="s">
        <v>200</v>
      </c>
      <c r="C25" s="11" t="s">
        <v>387</v>
      </c>
      <c r="D25" s="11" t="s">
        <v>77</v>
      </c>
      <c r="E25" s="11" t="n">
        <v>10</v>
      </c>
      <c r="F25" s="11" t="s">
        <v>360</v>
      </c>
      <c r="G25" s="11" t="b">
        <f aca="false">TRUE()</f>
        <v>1</v>
      </c>
      <c r="H25" s="11" t="s">
        <v>361</v>
      </c>
      <c r="I25" s="11" t="s">
        <v>362</v>
      </c>
      <c r="J25" s="12" t="n">
        <f aca="false">COUNTIF($A$6:$A$89,A25)</f>
        <v>1</v>
      </c>
    </row>
    <row r="26" customFormat="false" ht="34" hidden="false" customHeight="true" outlineLevel="0" collapsed="false">
      <c r="A26" s="11" t="s">
        <v>389</v>
      </c>
      <c r="B26" s="11" t="s">
        <v>200</v>
      </c>
      <c r="C26" s="11" t="s">
        <v>387</v>
      </c>
      <c r="D26" s="11" t="s">
        <v>86</v>
      </c>
      <c r="E26" s="11" t="n">
        <v>3</v>
      </c>
      <c r="F26" s="11" t="s">
        <v>360</v>
      </c>
      <c r="G26" s="11" t="b">
        <f aca="false">TRUE()</f>
        <v>1</v>
      </c>
      <c r="H26" s="11" t="s">
        <v>361</v>
      </c>
      <c r="I26" s="11" t="s">
        <v>362</v>
      </c>
      <c r="J26" s="12" t="n">
        <f aca="false">COUNTIF($A$6:$A$89,A26)</f>
        <v>1</v>
      </c>
    </row>
    <row r="27" customFormat="false" ht="34" hidden="false" customHeight="true" outlineLevel="0" collapsed="false">
      <c r="A27" s="11" t="s">
        <v>390</v>
      </c>
      <c r="B27" s="11" t="s">
        <v>204</v>
      </c>
      <c r="C27" s="11" t="s">
        <v>391</v>
      </c>
      <c r="D27" s="11" t="s">
        <v>70</v>
      </c>
      <c r="E27" s="11" t="n">
        <v>10</v>
      </c>
      <c r="F27" s="11" t="s">
        <v>360</v>
      </c>
      <c r="G27" s="11" t="b">
        <f aca="false">TRUE()</f>
        <v>1</v>
      </c>
      <c r="H27" s="11" t="s">
        <v>361</v>
      </c>
      <c r="I27" s="11" t="s">
        <v>362</v>
      </c>
      <c r="J27" s="12" t="n">
        <f aca="false">COUNTIF($A$6:$A$89,A27)</f>
        <v>1</v>
      </c>
    </row>
    <row r="28" customFormat="false" ht="34" hidden="false" customHeight="true" outlineLevel="0" collapsed="false">
      <c r="A28" s="11" t="s">
        <v>392</v>
      </c>
      <c r="B28" s="11" t="s">
        <v>204</v>
      </c>
      <c r="C28" s="11" t="s">
        <v>391</v>
      </c>
      <c r="D28" s="11" t="s">
        <v>77</v>
      </c>
      <c r="E28" s="11" t="n">
        <v>10</v>
      </c>
      <c r="F28" s="11" t="s">
        <v>360</v>
      </c>
      <c r="G28" s="11" t="b">
        <f aca="false">TRUE()</f>
        <v>1</v>
      </c>
      <c r="H28" s="11" t="s">
        <v>361</v>
      </c>
      <c r="I28" s="11" t="s">
        <v>362</v>
      </c>
      <c r="J28" s="12" t="n">
        <f aca="false">COUNTIF($A$6:$A$89,A28)</f>
        <v>1</v>
      </c>
    </row>
    <row r="29" customFormat="false" ht="34" hidden="false" customHeight="true" outlineLevel="0" collapsed="false">
      <c r="A29" s="11" t="s">
        <v>393</v>
      </c>
      <c r="B29" s="11" t="s">
        <v>208</v>
      </c>
      <c r="C29" s="11" t="s">
        <v>394</v>
      </c>
      <c r="D29" s="11" t="s">
        <v>70</v>
      </c>
      <c r="E29" s="11" t="n">
        <v>6</v>
      </c>
      <c r="F29" s="11" t="s">
        <v>360</v>
      </c>
      <c r="G29" s="11" t="b">
        <f aca="false">TRUE()</f>
        <v>1</v>
      </c>
      <c r="H29" s="11" t="s">
        <v>361</v>
      </c>
      <c r="I29" s="11" t="s">
        <v>362</v>
      </c>
      <c r="J29" s="12" t="n">
        <f aca="false">COUNTIF($A$6:$A$89,A29)</f>
        <v>1</v>
      </c>
    </row>
    <row r="30" customFormat="false" ht="34" hidden="false" customHeight="true" outlineLevel="0" collapsed="false">
      <c r="A30" s="11" t="s">
        <v>395</v>
      </c>
      <c r="B30" s="11" t="s">
        <v>208</v>
      </c>
      <c r="C30" s="11" t="s">
        <v>394</v>
      </c>
      <c r="D30" s="11" t="s">
        <v>77</v>
      </c>
      <c r="E30" s="11" t="n">
        <v>12</v>
      </c>
      <c r="F30" s="11" t="s">
        <v>360</v>
      </c>
      <c r="G30" s="11" t="b">
        <f aca="false">TRUE()</f>
        <v>1</v>
      </c>
      <c r="H30" s="11" t="s">
        <v>361</v>
      </c>
      <c r="I30" s="11" t="s">
        <v>362</v>
      </c>
      <c r="J30" s="12" t="n">
        <f aca="false">COUNTIF($A$6:$A$89,A30)</f>
        <v>1</v>
      </c>
    </row>
    <row r="31" customFormat="false" ht="34" hidden="false" customHeight="true" outlineLevel="0" collapsed="false">
      <c r="A31" s="11" t="s">
        <v>396</v>
      </c>
      <c r="B31" s="11" t="s">
        <v>208</v>
      </c>
      <c r="C31" s="11" t="s">
        <v>394</v>
      </c>
      <c r="D31" s="11" t="s">
        <v>86</v>
      </c>
      <c r="E31" s="11" t="n">
        <v>3</v>
      </c>
      <c r="F31" s="11" t="s">
        <v>360</v>
      </c>
      <c r="G31" s="11" t="b">
        <f aca="false">TRUE()</f>
        <v>1</v>
      </c>
      <c r="H31" s="11" t="s">
        <v>361</v>
      </c>
      <c r="I31" s="11" t="s">
        <v>362</v>
      </c>
      <c r="J31" s="12" t="n">
        <f aca="false">COUNTIF($A$6:$A$89,A31)</f>
        <v>1</v>
      </c>
    </row>
    <row r="32" customFormat="false" ht="34" hidden="false" customHeight="true" outlineLevel="0" collapsed="false">
      <c r="A32" s="11" t="s">
        <v>397</v>
      </c>
      <c r="B32" s="11" t="s">
        <v>212</v>
      </c>
      <c r="C32" s="11" t="s">
        <v>398</v>
      </c>
      <c r="D32" s="11" t="s">
        <v>70</v>
      </c>
      <c r="E32" s="11" t="n">
        <v>12</v>
      </c>
      <c r="F32" s="11" t="s">
        <v>360</v>
      </c>
      <c r="G32" s="11" t="b">
        <f aca="false">TRUE()</f>
        <v>1</v>
      </c>
      <c r="H32" s="11" t="s">
        <v>361</v>
      </c>
      <c r="I32" s="11" t="s">
        <v>362</v>
      </c>
      <c r="J32" s="12" t="n">
        <f aca="false">COUNTIF($A$6:$A$89,A32)</f>
        <v>1</v>
      </c>
    </row>
    <row r="33" customFormat="false" ht="34" hidden="false" customHeight="true" outlineLevel="0" collapsed="false">
      <c r="A33" s="11" t="s">
        <v>399</v>
      </c>
      <c r="B33" s="11" t="s">
        <v>212</v>
      </c>
      <c r="C33" s="11" t="s">
        <v>398</v>
      </c>
      <c r="D33" s="11" t="s">
        <v>77</v>
      </c>
      <c r="E33" s="11" t="n">
        <v>10</v>
      </c>
      <c r="F33" s="11" t="s">
        <v>360</v>
      </c>
      <c r="G33" s="11" t="b">
        <f aca="false">TRUE()</f>
        <v>1</v>
      </c>
      <c r="H33" s="11" t="s">
        <v>361</v>
      </c>
      <c r="I33" s="11" t="s">
        <v>362</v>
      </c>
      <c r="J33" s="12" t="n">
        <f aca="false">COUNTIF($A$6:$A$89,A33)</f>
        <v>1</v>
      </c>
    </row>
    <row r="34" customFormat="false" ht="34" hidden="false" customHeight="true" outlineLevel="0" collapsed="false">
      <c r="A34" s="11" t="s">
        <v>400</v>
      </c>
      <c r="B34" s="11" t="s">
        <v>212</v>
      </c>
      <c r="C34" s="11" t="s">
        <v>398</v>
      </c>
      <c r="D34" s="11" t="s">
        <v>86</v>
      </c>
      <c r="E34" s="11" t="n">
        <v>2</v>
      </c>
      <c r="F34" s="11" t="s">
        <v>360</v>
      </c>
      <c r="G34" s="11" t="b">
        <f aca="false">TRUE()</f>
        <v>1</v>
      </c>
      <c r="H34" s="11" t="s">
        <v>361</v>
      </c>
      <c r="I34" s="11" t="s">
        <v>362</v>
      </c>
      <c r="J34" s="12" t="n">
        <f aca="false">COUNTIF($A$6:$A$89,A34)</f>
        <v>1</v>
      </c>
    </row>
    <row r="35" customFormat="false" ht="34" hidden="false" customHeight="true" outlineLevel="0" collapsed="false">
      <c r="A35" s="11" t="s">
        <v>401</v>
      </c>
      <c r="B35" s="11" t="s">
        <v>216</v>
      </c>
      <c r="C35" s="11" t="s">
        <v>402</v>
      </c>
      <c r="D35" s="11" t="s">
        <v>70</v>
      </c>
      <c r="E35" s="11" t="n">
        <v>10</v>
      </c>
      <c r="F35" s="11" t="s">
        <v>360</v>
      </c>
      <c r="G35" s="11" t="b">
        <f aca="false">TRUE()</f>
        <v>1</v>
      </c>
      <c r="H35" s="11" t="s">
        <v>361</v>
      </c>
      <c r="I35" s="11" t="s">
        <v>362</v>
      </c>
      <c r="J35" s="12" t="n">
        <f aca="false">COUNTIF($A$6:$A$89,A35)</f>
        <v>1</v>
      </c>
    </row>
    <row r="36" customFormat="false" ht="34" hidden="false" customHeight="true" outlineLevel="0" collapsed="false">
      <c r="A36" s="11" t="s">
        <v>403</v>
      </c>
      <c r="B36" s="11" t="s">
        <v>216</v>
      </c>
      <c r="C36" s="11" t="s">
        <v>402</v>
      </c>
      <c r="D36" s="11" t="s">
        <v>77</v>
      </c>
      <c r="E36" s="11" t="n">
        <v>8</v>
      </c>
      <c r="F36" s="11" t="s">
        <v>360</v>
      </c>
      <c r="G36" s="11" t="b">
        <f aca="false">TRUE()</f>
        <v>1</v>
      </c>
      <c r="H36" s="11" t="s">
        <v>361</v>
      </c>
      <c r="I36" s="11" t="s">
        <v>362</v>
      </c>
      <c r="J36" s="12" t="n">
        <f aca="false">COUNTIF($A$6:$A$89,A36)</f>
        <v>1</v>
      </c>
    </row>
    <row r="37" customFormat="false" ht="34" hidden="false" customHeight="true" outlineLevel="0" collapsed="false">
      <c r="A37" s="11" t="s">
        <v>404</v>
      </c>
      <c r="B37" s="11" t="s">
        <v>216</v>
      </c>
      <c r="C37" s="11" t="s">
        <v>402</v>
      </c>
      <c r="D37" s="11" t="s">
        <v>86</v>
      </c>
      <c r="E37" s="11" t="n">
        <v>2</v>
      </c>
      <c r="F37" s="11" t="s">
        <v>360</v>
      </c>
      <c r="G37" s="11" t="b">
        <f aca="false">TRUE()</f>
        <v>1</v>
      </c>
      <c r="H37" s="11" t="s">
        <v>361</v>
      </c>
      <c r="I37" s="11" t="s">
        <v>362</v>
      </c>
      <c r="J37" s="12" t="n">
        <f aca="false">COUNTIF($A$6:$A$89,A37)</f>
        <v>1</v>
      </c>
    </row>
    <row r="38" customFormat="false" ht="34" hidden="false" customHeight="true" outlineLevel="0" collapsed="false">
      <c r="A38" s="11" t="s">
        <v>405</v>
      </c>
      <c r="B38" s="11" t="s">
        <v>220</v>
      </c>
      <c r="C38" s="11" t="s">
        <v>406</v>
      </c>
      <c r="D38" s="11" t="s">
        <v>70</v>
      </c>
      <c r="E38" s="11" t="n">
        <v>4</v>
      </c>
      <c r="F38" s="11" t="s">
        <v>360</v>
      </c>
      <c r="G38" s="11" t="b">
        <f aca="false">TRUE()</f>
        <v>1</v>
      </c>
      <c r="H38" s="11" t="s">
        <v>361</v>
      </c>
      <c r="I38" s="11" t="s">
        <v>362</v>
      </c>
      <c r="J38" s="12" t="n">
        <f aca="false">COUNTIF($A$6:$A$89,A38)</f>
        <v>1</v>
      </c>
    </row>
    <row r="39" customFormat="false" ht="34" hidden="false" customHeight="true" outlineLevel="0" collapsed="false">
      <c r="A39" s="11" t="s">
        <v>407</v>
      </c>
      <c r="B39" s="11" t="s">
        <v>220</v>
      </c>
      <c r="C39" s="11" t="s">
        <v>406</v>
      </c>
      <c r="D39" s="11" t="s">
        <v>77</v>
      </c>
      <c r="E39" s="11" t="n">
        <v>5</v>
      </c>
      <c r="F39" s="11" t="s">
        <v>360</v>
      </c>
      <c r="G39" s="11" t="b">
        <f aca="false">TRUE()</f>
        <v>1</v>
      </c>
      <c r="H39" s="11" t="s">
        <v>361</v>
      </c>
      <c r="I39" s="11" t="s">
        <v>362</v>
      </c>
      <c r="J39" s="12" t="n">
        <f aca="false">COUNTIF($A$6:$A$89,A39)</f>
        <v>1</v>
      </c>
    </row>
    <row r="40" customFormat="false" ht="34" hidden="false" customHeight="true" outlineLevel="0" collapsed="false">
      <c r="A40" s="11" t="s">
        <v>408</v>
      </c>
      <c r="B40" s="11" t="s">
        <v>220</v>
      </c>
      <c r="C40" s="11" t="s">
        <v>406</v>
      </c>
      <c r="D40" s="11" t="s">
        <v>86</v>
      </c>
      <c r="E40" s="11" t="n">
        <v>5</v>
      </c>
      <c r="F40" s="11" t="s">
        <v>360</v>
      </c>
      <c r="G40" s="11" t="b">
        <f aca="false">TRUE()</f>
        <v>1</v>
      </c>
      <c r="H40" s="11" t="s">
        <v>361</v>
      </c>
      <c r="I40" s="11" t="s">
        <v>362</v>
      </c>
      <c r="J40" s="12" t="n">
        <f aca="false">COUNTIF($A$6:$A$89,A40)</f>
        <v>1</v>
      </c>
    </row>
    <row r="41" customFormat="false" ht="34" hidden="false" customHeight="true" outlineLevel="0" collapsed="false">
      <c r="A41" s="11" t="s">
        <v>409</v>
      </c>
      <c r="B41" s="11" t="s">
        <v>224</v>
      </c>
      <c r="C41" s="11" t="s">
        <v>410</v>
      </c>
      <c r="D41" s="11" t="s">
        <v>77</v>
      </c>
      <c r="E41" s="11" t="n">
        <v>12</v>
      </c>
      <c r="F41" s="11" t="s">
        <v>360</v>
      </c>
      <c r="G41" s="11" t="b">
        <f aca="false">TRUE()</f>
        <v>1</v>
      </c>
      <c r="H41" s="11" t="s">
        <v>361</v>
      </c>
      <c r="I41" s="11" t="s">
        <v>362</v>
      </c>
      <c r="J41" s="12" t="n">
        <f aca="false">COUNTIF($A$6:$A$89,A41)</f>
        <v>1</v>
      </c>
    </row>
    <row r="42" customFormat="false" ht="34" hidden="false" customHeight="true" outlineLevel="0" collapsed="false">
      <c r="A42" s="11" t="s">
        <v>411</v>
      </c>
      <c r="B42" s="11" t="s">
        <v>224</v>
      </c>
      <c r="C42" s="11" t="s">
        <v>410</v>
      </c>
      <c r="D42" s="11" t="s">
        <v>86</v>
      </c>
      <c r="E42" s="11" t="n">
        <v>5</v>
      </c>
      <c r="F42" s="11" t="s">
        <v>360</v>
      </c>
      <c r="G42" s="11" t="b">
        <f aca="false">TRUE()</f>
        <v>1</v>
      </c>
      <c r="H42" s="11" t="s">
        <v>361</v>
      </c>
      <c r="I42" s="11" t="s">
        <v>362</v>
      </c>
      <c r="J42" s="12" t="n">
        <f aca="false">COUNTIF($A$6:$A$89,A42)</f>
        <v>1</v>
      </c>
    </row>
    <row r="43" customFormat="false" ht="34" hidden="false" customHeight="true" outlineLevel="0" collapsed="false">
      <c r="A43" s="11" t="s">
        <v>412</v>
      </c>
      <c r="B43" s="11" t="s">
        <v>228</v>
      </c>
      <c r="C43" s="11" t="s">
        <v>413</v>
      </c>
      <c r="D43" s="11" t="s">
        <v>77</v>
      </c>
      <c r="E43" s="11" t="n">
        <v>13</v>
      </c>
      <c r="F43" s="11" t="s">
        <v>360</v>
      </c>
      <c r="G43" s="11" t="b">
        <f aca="false">TRUE()</f>
        <v>1</v>
      </c>
      <c r="H43" s="11" t="s">
        <v>361</v>
      </c>
      <c r="I43" s="11" t="s">
        <v>362</v>
      </c>
      <c r="J43" s="12" t="n">
        <f aca="false">COUNTIF($A$6:$A$89,A43)</f>
        <v>1</v>
      </c>
    </row>
    <row r="44" customFormat="false" ht="34" hidden="false" customHeight="true" outlineLevel="0" collapsed="false">
      <c r="A44" s="11" t="s">
        <v>414</v>
      </c>
      <c r="B44" s="11" t="s">
        <v>228</v>
      </c>
      <c r="C44" s="11" t="s">
        <v>413</v>
      </c>
      <c r="D44" s="11" t="s">
        <v>86</v>
      </c>
      <c r="E44" s="11" t="n">
        <v>8</v>
      </c>
      <c r="F44" s="11" t="s">
        <v>360</v>
      </c>
      <c r="G44" s="11" t="b">
        <f aca="false">TRUE()</f>
        <v>1</v>
      </c>
      <c r="H44" s="11" t="s">
        <v>361</v>
      </c>
      <c r="I44" s="11" t="s">
        <v>362</v>
      </c>
      <c r="J44" s="12" t="n">
        <f aca="false">COUNTIF($A$6:$A$89,A44)</f>
        <v>1</v>
      </c>
    </row>
    <row r="45" customFormat="false" ht="34" hidden="false" customHeight="true" outlineLevel="0" collapsed="false">
      <c r="A45" s="11" t="s">
        <v>415</v>
      </c>
      <c r="B45" s="11" t="s">
        <v>232</v>
      </c>
      <c r="C45" s="11" t="s">
        <v>416</v>
      </c>
      <c r="D45" s="11" t="s">
        <v>77</v>
      </c>
      <c r="E45" s="11" t="n">
        <v>14</v>
      </c>
      <c r="F45" s="11" t="s">
        <v>360</v>
      </c>
      <c r="G45" s="11" t="b">
        <f aca="false">TRUE()</f>
        <v>1</v>
      </c>
      <c r="H45" s="11" t="s">
        <v>361</v>
      </c>
      <c r="I45" s="11" t="s">
        <v>362</v>
      </c>
      <c r="J45" s="12" t="n">
        <f aca="false">COUNTIF($A$6:$A$89,A45)</f>
        <v>1</v>
      </c>
    </row>
    <row r="46" customFormat="false" ht="34" hidden="false" customHeight="true" outlineLevel="0" collapsed="false">
      <c r="A46" s="11" t="s">
        <v>417</v>
      </c>
      <c r="B46" s="11" t="s">
        <v>236</v>
      </c>
      <c r="C46" s="11" t="s">
        <v>418</v>
      </c>
      <c r="D46" s="11" t="s">
        <v>86</v>
      </c>
      <c r="E46" s="11" t="n">
        <v>11</v>
      </c>
      <c r="F46" s="11" t="s">
        <v>360</v>
      </c>
      <c r="G46" s="11" t="b">
        <f aca="false">TRUE()</f>
        <v>1</v>
      </c>
      <c r="H46" s="11" t="s">
        <v>361</v>
      </c>
      <c r="I46" s="11" t="s">
        <v>362</v>
      </c>
      <c r="J46" s="12" t="n">
        <f aca="false">COUNTIF($A$6:$A$89,A46)</f>
        <v>1</v>
      </c>
    </row>
    <row r="47" customFormat="false" ht="34" hidden="false" customHeight="true" outlineLevel="0" collapsed="false">
      <c r="A47" s="11" t="s">
        <v>419</v>
      </c>
      <c r="B47" s="11" t="s">
        <v>240</v>
      </c>
      <c r="C47" s="11" t="s">
        <v>420</v>
      </c>
      <c r="D47" s="11" t="s">
        <v>86</v>
      </c>
      <c r="E47" s="11" t="n">
        <v>12</v>
      </c>
      <c r="F47" s="11" t="s">
        <v>360</v>
      </c>
      <c r="G47" s="11" t="b">
        <f aca="false">TRUE()</f>
        <v>1</v>
      </c>
      <c r="H47" s="11" t="s">
        <v>361</v>
      </c>
      <c r="I47" s="11" t="s">
        <v>362</v>
      </c>
      <c r="J47" s="12" t="n">
        <f aca="false">COUNTIF($A$6:$A$89,A47)</f>
        <v>1</v>
      </c>
    </row>
    <row r="48" customFormat="false" ht="34" hidden="false" customHeight="true" outlineLevel="0" collapsed="false">
      <c r="A48" s="11" t="s">
        <v>421</v>
      </c>
      <c r="B48" s="11" t="s">
        <v>244</v>
      </c>
      <c r="C48" s="11" t="s">
        <v>422</v>
      </c>
      <c r="D48" s="11" t="s">
        <v>86</v>
      </c>
      <c r="E48" s="11" t="n">
        <v>13</v>
      </c>
      <c r="F48" s="11" t="s">
        <v>360</v>
      </c>
      <c r="G48" s="11" t="b">
        <f aca="false">TRUE()</f>
        <v>1</v>
      </c>
      <c r="H48" s="11" t="s">
        <v>361</v>
      </c>
      <c r="I48" s="11" t="s">
        <v>362</v>
      </c>
      <c r="J48" s="12" t="n">
        <f aca="false">COUNTIF($A$6:$A$89,A48)</f>
        <v>1</v>
      </c>
    </row>
    <row r="49" customFormat="false" ht="34" hidden="false" customHeight="true" outlineLevel="0" collapsed="false">
      <c r="A49" s="11" t="s">
        <v>423</v>
      </c>
      <c r="B49" s="11" t="s">
        <v>244</v>
      </c>
      <c r="C49" s="11" t="s">
        <v>422</v>
      </c>
      <c r="D49" s="11" t="s">
        <v>92</v>
      </c>
      <c r="E49" s="11" t="n">
        <v>10</v>
      </c>
      <c r="F49" s="11" t="s">
        <v>360</v>
      </c>
      <c r="G49" s="11" t="b">
        <f aca="false">TRUE()</f>
        <v>1</v>
      </c>
      <c r="H49" s="11" t="s">
        <v>361</v>
      </c>
      <c r="I49" s="11" t="s">
        <v>362</v>
      </c>
      <c r="J49" s="12" t="n">
        <f aca="false">COUNTIF($A$6:$A$89,A49)</f>
        <v>1</v>
      </c>
    </row>
    <row r="50" customFormat="false" ht="34" hidden="false" customHeight="true" outlineLevel="0" collapsed="false">
      <c r="A50" s="11" t="s">
        <v>424</v>
      </c>
      <c r="B50" s="11" t="s">
        <v>248</v>
      </c>
      <c r="C50" s="11" t="s">
        <v>425</v>
      </c>
      <c r="D50" s="11" t="s">
        <v>86</v>
      </c>
      <c r="E50" s="11" t="n">
        <v>12</v>
      </c>
      <c r="F50" s="11" t="s">
        <v>360</v>
      </c>
      <c r="G50" s="11" t="b">
        <f aca="false">TRUE()</f>
        <v>1</v>
      </c>
      <c r="H50" s="11" t="s">
        <v>361</v>
      </c>
      <c r="I50" s="11" t="s">
        <v>362</v>
      </c>
      <c r="J50" s="12" t="n">
        <f aca="false">COUNTIF($A$6:$A$89,A50)</f>
        <v>1</v>
      </c>
    </row>
    <row r="51" customFormat="false" ht="34" hidden="false" customHeight="true" outlineLevel="0" collapsed="false">
      <c r="A51" s="11" t="s">
        <v>426</v>
      </c>
      <c r="B51" s="11" t="s">
        <v>248</v>
      </c>
      <c r="C51" s="11" t="s">
        <v>425</v>
      </c>
      <c r="D51" s="11" t="s">
        <v>88</v>
      </c>
      <c r="E51" s="11" t="n">
        <v>14</v>
      </c>
      <c r="F51" s="11" t="s">
        <v>360</v>
      </c>
      <c r="G51" s="11" t="b">
        <f aca="false">TRUE()</f>
        <v>1</v>
      </c>
      <c r="H51" s="11" t="s">
        <v>361</v>
      </c>
      <c r="I51" s="11" t="s">
        <v>362</v>
      </c>
      <c r="J51" s="12" t="n">
        <f aca="false">COUNTIF($A$6:$A$89,A51)</f>
        <v>1</v>
      </c>
    </row>
    <row r="52" customFormat="false" ht="34" hidden="false" customHeight="true" outlineLevel="0" collapsed="false">
      <c r="A52" s="11" t="s">
        <v>427</v>
      </c>
      <c r="B52" s="11" t="s">
        <v>252</v>
      </c>
      <c r="C52" s="11" t="s">
        <v>428</v>
      </c>
      <c r="D52" s="11" t="s">
        <v>86</v>
      </c>
      <c r="E52" s="11" t="n">
        <v>10</v>
      </c>
      <c r="F52" s="11" t="s">
        <v>360</v>
      </c>
      <c r="G52" s="11" t="b">
        <f aca="false">TRUE()</f>
        <v>1</v>
      </c>
      <c r="H52" s="11" t="s">
        <v>361</v>
      </c>
      <c r="I52" s="11" t="s">
        <v>362</v>
      </c>
      <c r="J52" s="12" t="n">
        <f aca="false">COUNTIF($A$6:$A$89,A52)</f>
        <v>1</v>
      </c>
    </row>
    <row r="53" customFormat="false" ht="34" hidden="false" customHeight="true" outlineLevel="0" collapsed="false">
      <c r="A53" s="11" t="s">
        <v>429</v>
      </c>
      <c r="B53" s="11" t="s">
        <v>252</v>
      </c>
      <c r="C53" s="11" t="s">
        <v>428</v>
      </c>
      <c r="D53" s="11" t="s">
        <v>88</v>
      </c>
      <c r="E53" s="11" t="n">
        <v>12</v>
      </c>
      <c r="F53" s="11" t="s">
        <v>360</v>
      </c>
      <c r="G53" s="11" t="b">
        <f aca="false">TRUE()</f>
        <v>1</v>
      </c>
      <c r="H53" s="11" t="s">
        <v>361</v>
      </c>
      <c r="I53" s="11" t="s">
        <v>362</v>
      </c>
      <c r="J53" s="12" t="n">
        <f aca="false">COUNTIF($A$6:$A$89,A53)</f>
        <v>1</v>
      </c>
    </row>
    <row r="54" customFormat="false" ht="34" hidden="false" customHeight="true" outlineLevel="0" collapsed="false">
      <c r="A54" s="11" t="s">
        <v>430</v>
      </c>
      <c r="B54" s="11" t="s">
        <v>255</v>
      </c>
      <c r="C54" s="11" t="s">
        <v>431</v>
      </c>
      <c r="D54" s="11" t="s">
        <v>86</v>
      </c>
      <c r="E54" s="11" t="n">
        <v>9</v>
      </c>
      <c r="F54" s="11" t="s">
        <v>360</v>
      </c>
      <c r="G54" s="11" t="b">
        <f aca="false">TRUE()</f>
        <v>1</v>
      </c>
      <c r="H54" s="11" t="s">
        <v>361</v>
      </c>
      <c r="I54" s="11" t="s">
        <v>362</v>
      </c>
      <c r="J54" s="12" t="n">
        <f aca="false">COUNTIF($A$6:$A$89,A54)</f>
        <v>1</v>
      </c>
    </row>
    <row r="55" customFormat="false" ht="34" hidden="false" customHeight="true" outlineLevel="0" collapsed="false">
      <c r="A55" s="11" t="s">
        <v>432</v>
      </c>
      <c r="B55" s="11" t="s">
        <v>255</v>
      </c>
      <c r="C55" s="11" t="s">
        <v>431</v>
      </c>
      <c r="D55" s="11" t="s">
        <v>88</v>
      </c>
      <c r="E55" s="11" t="n">
        <v>11</v>
      </c>
      <c r="F55" s="11" t="s">
        <v>360</v>
      </c>
      <c r="G55" s="11" t="b">
        <f aca="false">TRUE()</f>
        <v>1</v>
      </c>
      <c r="H55" s="11" t="s">
        <v>361</v>
      </c>
      <c r="I55" s="11" t="s">
        <v>362</v>
      </c>
      <c r="J55" s="12" t="n">
        <f aca="false">COUNTIF($A$6:$A$89,A55)</f>
        <v>1</v>
      </c>
    </row>
    <row r="56" customFormat="false" ht="34" hidden="false" customHeight="true" outlineLevel="0" collapsed="false">
      <c r="A56" s="11" t="s">
        <v>433</v>
      </c>
      <c r="B56" s="11" t="s">
        <v>259</v>
      </c>
      <c r="C56" s="11" t="s">
        <v>434</v>
      </c>
      <c r="D56" s="11" t="s">
        <v>88</v>
      </c>
      <c r="E56" s="11" t="n">
        <v>16</v>
      </c>
      <c r="F56" s="11" t="s">
        <v>360</v>
      </c>
      <c r="G56" s="11" t="b">
        <f aca="false">TRUE()</f>
        <v>1</v>
      </c>
      <c r="H56" s="11" t="s">
        <v>361</v>
      </c>
      <c r="I56" s="11" t="s">
        <v>362</v>
      </c>
      <c r="J56" s="12" t="n">
        <f aca="false">COUNTIF($A$6:$A$89,A56)</f>
        <v>1</v>
      </c>
    </row>
    <row r="57" customFormat="false" ht="34" hidden="false" customHeight="true" outlineLevel="0" collapsed="false">
      <c r="A57" s="11" t="s">
        <v>435</v>
      </c>
      <c r="B57" s="11" t="s">
        <v>263</v>
      </c>
      <c r="C57" s="11" t="s">
        <v>436</v>
      </c>
      <c r="D57" s="11" t="s">
        <v>86</v>
      </c>
      <c r="E57" s="11" t="n">
        <v>16</v>
      </c>
      <c r="F57" s="11" t="s">
        <v>360</v>
      </c>
      <c r="G57" s="11" t="b">
        <f aca="false">TRUE()</f>
        <v>1</v>
      </c>
      <c r="H57" s="11" t="s">
        <v>361</v>
      </c>
      <c r="I57" s="11" t="s">
        <v>362</v>
      </c>
      <c r="J57" s="12" t="n">
        <f aca="false">COUNTIF($A$6:$A$89,A57)</f>
        <v>1</v>
      </c>
    </row>
    <row r="58" customFormat="false" ht="34" hidden="false" customHeight="true" outlineLevel="0" collapsed="false">
      <c r="A58" s="11" t="s">
        <v>437</v>
      </c>
      <c r="B58" s="11" t="s">
        <v>267</v>
      </c>
      <c r="C58" s="11" t="s">
        <v>438</v>
      </c>
      <c r="D58" s="11" t="s">
        <v>86</v>
      </c>
      <c r="E58" s="11" t="n">
        <v>18</v>
      </c>
      <c r="F58" s="11" t="s">
        <v>360</v>
      </c>
      <c r="G58" s="11" t="b">
        <f aca="false">TRUE()</f>
        <v>1</v>
      </c>
      <c r="H58" s="11" t="s">
        <v>361</v>
      </c>
      <c r="I58" s="11" t="s">
        <v>362</v>
      </c>
      <c r="J58" s="12" t="n">
        <f aca="false">COUNTIF($A$6:$A$89,A58)</f>
        <v>1</v>
      </c>
    </row>
    <row r="59" customFormat="false" ht="34" hidden="false" customHeight="true" outlineLevel="0" collapsed="false">
      <c r="A59" s="11" t="s">
        <v>439</v>
      </c>
      <c r="B59" s="11" t="s">
        <v>271</v>
      </c>
      <c r="C59" s="11" t="s">
        <v>440</v>
      </c>
      <c r="D59" s="11" t="s">
        <v>86</v>
      </c>
      <c r="E59" s="11" t="n">
        <v>10</v>
      </c>
      <c r="F59" s="11" t="s">
        <v>360</v>
      </c>
      <c r="G59" s="11" t="b">
        <f aca="false">TRUE()</f>
        <v>1</v>
      </c>
      <c r="H59" s="11" t="s">
        <v>361</v>
      </c>
      <c r="I59" s="11" t="s">
        <v>362</v>
      </c>
      <c r="J59" s="12" t="n">
        <f aca="false">COUNTIF($A$6:$A$89,A59)</f>
        <v>1</v>
      </c>
    </row>
    <row r="60" customFormat="false" ht="34" hidden="false" customHeight="true" outlineLevel="0" collapsed="false">
      <c r="A60" s="11" t="s">
        <v>441</v>
      </c>
      <c r="B60" s="11" t="s">
        <v>271</v>
      </c>
      <c r="C60" s="11" t="s">
        <v>440</v>
      </c>
      <c r="D60" s="11" t="s">
        <v>88</v>
      </c>
      <c r="E60" s="11" t="n">
        <v>8</v>
      </c>
      <c r="F60" s="11" t="s">
        <v>360</v>
      </c>
      <c r="G60" s="11" t="b">
        <f aca="false">TRUE()</f>
        <v>1</v>
      </c>
      <c r="H60" s="11" t="s">
        <v>361</v>
      </c>
      <c r="I60" s="11" t="s">
        <v>362</v>
      </c>
      <c r="J60" s="12" t="n">
        <f aca="false">COUNTIF($A$6:$A$89,A60)</f>
        <v>1</v>
      </c>
    </row>
    <row r="61" customFormat="false" ht="34" hidden="false" customHeight="true" outlineLevel="0" collapsed="false">
      <c r="A61" s="11" t="s">
        <v>442</v>
      </c>
      <c r="B61" s="11" t="s">
        <v>275</v>
      </c>
      <c r="C61" s="11" t="s">
        <v>443</v>
      </c>
      <c r="D61" s="11" t="s">
        <v>92</v>
      </c>
      <c r="E61" s="11" t="n">
        <v>13</v>
      </c>
      <c r="F61" s="11" t="s">
        <v>360</v>
      </c>
      <c r="G61" s="11" t="b">
        <f aca="false">TRUE()</f>
        <v>1</v>
      </c>
      <c r="H61" s="11" t="s">
        <v>361</v>
      </c>
      <c r="I61" s="11" t="s">
        <v>362</v>
      </c>
      <c r="J61" s="12" t="n">
        <f aca="false">COUNTIF($A$6:$A$89,A61)</f>
        <v>1</v>
      </c>
    </row>
    <row r="62" customFormat="false" ht="34" hidden="false" customHeight="true" outlineLevel="0" collapsed="false">
      <c r="A62" s="11" t="s">
        <v>444</v>
      </c>
      <c r="B62" s="11" t="s">
        <v>279</v>
      </c>
      <c r="C62" s="11" t="s">
        <v>445</v>
      </c>
      <c r="D62" s="11" t="s">
        <v>92</v>
      </c>
      <c r="E62" s="11" t="n">
        <v>11</v>
      </c>
      <c r="F62" s="11" t="s">
        <v>360</v>
      </c>
      <c r="G62" s="11" t="b">
        <f aca="false">TRUE()</f>
        <v>1</v>
      </c>
      <c r="H62" s="11" t="s">
        <v>361</v>
      </c>
      <c r="I62" s="11" t="s">
        <v>362</v>
      </c>
      <c r="J62" s="12" t="n">
        <f aca="false">COUNTIF($A$6:$A$89,A62)</f>
        <v>1</v>
      </c>
    </row>
    <row r="63" customFormat="false" ht="34" hidden="false" customHeight="true" outlineLevel="0" collapsed="false">
      <c r="A63" s="11" t="s">
        <v>446</v>
      </c>
      <c r="B63" s="11" t="s">
        <v>282</v>
      </c>
      <c r="C63" s="11" t="s">
        <v>447</v>
      </c>
      <c r="D63" s="11" t="s">
        <v>92</v>
      </c>
      <c r="E63" s="11" t="n">
        <v>14</v>
      </c>
      <c r="F63" s="11" t="s">
        <v>360</v>
      </c>
      <c r="G63" s="11" t="b">
        <f aca="false">TRUE()</f>
        <v>1</v>
      </c>
      <c r="H63" s="11" t="s">
        <v>361</v>
      </c>
      <c r="I63" s="11" t="s">
        <v>362</v>
      </c>
      <c r="J63" s="12" t="n">
        <f aca="false">COUNTIF($A$6:$A$89,A63)</f>
        <v>1</v>
      </c>
    </row>
    <row r="64" customFormat="false" ht="34" hidden="false" customHeight="true" outlineLevel="0" collapsed="false">
      <c r="A64" s="11" t="s">
        <v>448</v>
      </c>
      <c r="B64" s="11" t="s">
        <v>285</v>
      </c>
      <c r="C64" s="11" t="s">
        <v>449</v>
      </c>
      <c r="D64" s="11" t="s">
        <v>92</v>
      </c>
      <c r="E64" s="11" t="n">
        <v>11</v>
      </c>
      <c r="F64" s="11" t="s">
        <v>360</v>
      </c>
      <c r="G64" s="11" t="b">
        <f aca="false">TRUE()</f>
        <v>1</v>
      </c>
      <c r="H64" s="11" t="s">
        <v>361</v>
      </c>
      <c r="I64" s="11" t="s">
        <v>362</v>
      </c>
      <c r="J64" s="12" t="n">
        <f aca="false">COUNTIF($A$6:$A$89,A64)</f>
        <v>1</v>
      </c>
    </row>
    <row r="65" customFormat="false" ht="34" hidden="false" customHeight="true" outlineLevel="0" collapsed="false">
      <c r="A65" s="11" t="s">
        <v>450</v>
      </c>
      <c r="B65" s="11" t="s">
        <v>285</v>
      </c>
      <c r="C65" s="11" t="s">
        <v>449</v>
      </c>
      <c r="D65" s="11" t="s">
        <v>86</v>
      </c>
      <c r="E65" s="11" t="n">
        <v>10</v>
      </c>
      <c r="F65" s="11" t="s">
        <v>360</v>
      </c>
      <c r="G65" s="11" t="b">
        <f aca="false">TRUE()</f>
        <v>1</v>
      </c>
      <c r="H65" s="11" t="s">
        <v>361</v>
      </c>
      <c r="I65" s="11" t="s">
        <v>362</v>
      </c>
      <c r="J65" s="12" t="n">
        <f aca="false">COUNTIF($A$6:$A$89,A65)</f>
        <v>1</v>
      </c>
    </row>
    <row r="66" customFormat="false" ht="34" hidden="false" customHeight="true" outlineLevel="0" collapsed="false">
      <c r="A66" s="11" t="s">
        <v>451</v>
      </c>
      <c r="B66" s="11" t="s">
        <v>288</v>
      </c>
      <c r="C66" s="11" t="s">
        <v>452</v>
      </c>
      <c r="D66" s="11" t="s">
        <v>92</v>
      </c>
      <c r="E66" s="11" t="n">
        <v>11</v>
      </c>
      <c r="F66" s="11" t="s">
        <v>360</v>
      </c>
      <c r="G66" s="11" t="b">
        <f aca="false">TRUE()</f>
        <v>1</v>
      </c>
      <c r="H66" s="11" t="s">
        <v>361</v>
      </c>
      <c r="I66" s="11" t="s">
        <v>362</v>
      </c>
      <c r="J66" s="12" t="n">
        <f aca="false">COUNTIF($A$6:$A$89,A66)</f>
        <v>1</v>
      </c>
    </row>
    <row r="67" customFormat="false" ht="34" hidden="false" customHeight="true" outlineLevel="0" collapsed="false">
      <c r="A67" s="11" t="s">
        <v>453</v>
      </c>
      <c r="B67" s="11" t="s">
        <v>288</v>
      </c>
      <c r="C67" s="11" t="s">
        <v>452</v>
      </c>
      <c r="D67" s="11" t="s">
        <v>70</v>
      </c>
      <c r="E67" s="11" t="n">
        <v>6</v>
      </c>
      <c r="F67" s="11" t="s">
        <v>360</v>
      </c>
      <c r="G67" s="11" t="b">
        <f aca="false">TRUE()</f>
        <v>1</v>
      </c>
      <c r="H67" s="11" t="s">
        <v>361</v>
      </c>
      <c r="I67" s="11" t="s">
        <v>362</v>
      </c>
      <c r="J67" s="12" t="n">
        <f aca="false">COUNTIF($A$6:$A$89,A67)</f>
        <v>1</v>
      </c>
    </row>
    <row r="68" customFormat="false" ht="34" hidden="false" customHeight="true" outlineLevel="0" collapsed="false">
      <c r="A68" s="11" t="s">
        <v>454</v>
      </c>
      <c r="B68" s="11" t="s">
        <v>292</v>
      </c>
      <c r="C68" s="11" t="s">
        <v>455</v>
      </c>
      <c r="D68" s="11" t="s">
        <v>86</v>
      </c>
      <c r="E68" s="11" t="n">
        <v>10</v>
      </c>
      <c r="F68" s="11" t="s">
        <v>360</v>
      </c>
      <c r="G68" s="11" t="b">
        <f aca="false">TRUE()</f>
        <v>1</v>
      </c>
      <c r="H68" s="11" t="s">
        <v>361</v>
      </c>
      <c r="I68" s="11" t="s">
        <v>362</v>
      </c>
      <c r="J68" s="12" t="n">
        <f aca="false">COUNTIF($A$6:$A$89,A68)</f>
        <v>1</v>
      </c>
    </row>
    <row r="69" customFormat="false" ht="34" hidden="false" customHeight="true" outlineLevel="0" collapsed="false">
      <c r="A69" s="11" t="s">
        <v>456</v>
      </c>
      <c r="B69" s="11" t="s">
        <v>292</v>
      </c>
      <c r="C69" s="11" t="s">
        <v>455</v>
      </c>
      <c r="D69" s="11" t="s">
        <v>88</v>
      </c>
      <c r="E69" s="11" t="n">
        <v>12</v>
      </c>
      <c r="F69" s="11" t="s">
        <v>360</v>
      </c>
      <c r="G69" s="11" t="b">
        <f aca="false">TRUE()</f>
        <v>1</v>
      </c>
      <c r="H69" s="11" t="s">
        <v>361</v>
      </c>
      <c r="I69" s="11" t="s">
        <v>362</v>
      </c>
      <c r="J69" s="12" t="n">
        <f aca="false">COUNTIF($A$6:$A$89,A69)</f>
        <v>1</v>
      </c>
    </row>
    <row r="70" customFormat="false" ht="34" hidden="false" customHeight="true" outlineLevel="0" collapsed="false">
      <c r="A70" s="11" t="s">
        <v>457</v>
      </c>
      <c r="B70" s="11" t="s">
        <v>292</v>
      </c>
      <c r="C70" s="11" t="s">
        <v>455</v>
      </c>
      <c r="D70" s="11" t="s">
        <v>70</v>
      </c>
      <c r="E70" s="11" t="n">
        <v>8</v>
      </c>
      <c r="F70" s="11" t="s">
        <v>360</v>
      </c>
      <c r="G70" s="11" t="b">
        <f aca="false">TRUE()</f>
        <v>1</v>
      </c>
      <c r="H70" s="11" t="s">
        <v>361</v>
      </c>
      <c r="I70" s="11" t="s">
        <v>362</v>
      </c>
      <c r="J70" s="12" t="n">
        <f aca="false">COUNTIF($A$6:$A$89,A70)</f>
        <v>1</v>
      </c>
    </row>
    <row r="71" customFormat="false" ht="34" hidden="false" customHeight="true" outlineLevel="0" collapsed="false">
      <c r="A71" s="11" t="s">
        <v>458</v>
      </c>
      <c r="B71" s="11" t="s">
        <v>292</v>
      </c>
      <c r="C71" s="11" t="s">
        <v>455</v>
      </c>
      <c r="D71" s="11" t="s">
        <v>77</v>
      </c>
      <c r="E71" s="11" t="n">
        <v>8</v>
      </c>
      <c r="F71" s="11" t="s">
        <v>360</v>
      </c>
      <c r="G71" s="11" t="b">
        <f aca="false">TRUE()</f>
        <v>1</v>
      </c>
      <c r="H71" s="11" t="s">
        <v>361</v>
      </c>
      <c r="I71" s="11" t="s">
        <v>362</v>
      </c>
      <c r="J71" s="12" t="n">
        <f aca="false">COUNTIF($A$6:$A$89,A71)</f>
        <v>1</v>
      </c>
    </row>
    <row r="72" customFormat="false" ht="34" hidden="false" customHeight="true" outlineLevel="0" collapsed="false">
      <c r="A72" s="11" t="s">
        <v>459</v>
      </c>
      <c r="B72" s="11" t="s">
        <v>296</v>
      </c>
      <c r="C72" s="11" t="s">
        <v>460</v>
      </c>
      <c r="D72" s="11" t="s">
        <v>77</v>
      </c>
      <c r="E72" s="11" t="n">
        <v>16</v>
      </c>
      <c r="F72" s="11" t="s">
        <v>360</v>
      </c>
      <c r="G72" s="11" t="b">
        <f aca="false">TRUE()</f>
        <v>1</v>
      </c>
      <c r="H72" s="11" t="s">
        <v>361</v>
      </c>
      <c r="I72" s="11" t="s">
        <v>362</v>
      </c>
      <c r="J72" s="12" t="n">
        <f aca="false">COUNTIF($A$6:$A$89,A72)</f>
        <v>1</v>
      </c>
    </row>
    <row r="73" customFormat="false" ht="34" hidden="false" customHeight="true" outlineLevel="0" collapsed="false">
      <c r="A73" s="11" t="s">
        <v>461</v>
      </c>
      <c r="B73" s="11" t="s">
        <v>296</v>
      </c>
      <c r="C73" s="11" t="s">
        <v>460</v>
      </c>
      <c r="D73" s="11" t="s">
        <v>86</v>
      </c>
      <c r="E73" s="11" t="n">
        <v>14</v>
      </c>
      <c r="F73" s="11" t="s">
        <v>360</v>
      </c>
      <c r="G73" s="11" t="b">
        <f aca="false">TRUE()</f>
        <v>1</v>
      </c>
      <c r="H73" s="11" t="s">
        <v>361</v>
      </c>
      <c r="I73" s="11" t="s">
        <v>362</v>
      </c>
      <c r="J73" s="12" t="n">
        <f aca="false">COUNTIF($A$6:$A$89,A73)</f>
        <v>1</v>
      </c>
    </row>
    <row r="74" customFormat="false" ht="34" hidden="false" customHeight="true" outlineLevel="0" collapsed="false">
      <c r="A74" s="11" t="s">
        <v>462</v>
      </c>
      <c r="B74" s="11" t="s">
        <v>296</v>
      </c>
      <c r="C74" s="11" t="s">
        <v>460</v>
      </c>
      <c r="D74" s="11" t="s">
        <v>88</v>
      </c>
      <c r="E74" s="11" t="n">
        <v>14</v>
      </c>
      <c r="F74" s="11" t="s">
        <v>360</v>
      </c>
      <c r="G74" s="11" t="b">
        <f aca="false">TRUE()</f>
        <v>1</v>
      </c>
      <c r="H74" s="11" t="s">
        <v>361</v>
      </c>
      <c r="I74" s="11" t="s">
        <v>362</v>
      </c>
      <c r="J74" s="12" t="n">
        <f aca="false">COUNTIF($A$6:$A$89,A74)</f>
        <v>1</v>
      </c>
    </row>
    <row r="75" customFormat="false" ht="34" hidden="false" customHeight="true" outlineLevel="0" collapsed="false">
      <c r="A75" s="11" t="s">
        <v>463</v>
      </c>
      <c r="B75" s="11" t="s">
        <v>300</v>
      </c>
      <c r="C75" s="11" t="s">
        <v>464</v>
      </c>
      <c r="D75" s="11" t="s">
        <v>86</v>
      </c>
      <c r="E75" s="11" t="n">
        <v>18</v>
      </c>
      <c r="F75" s="11" t="s">
        <v>360</v>
      </c>
      <c r="G75" s="11" t="b">
        <f aca="false">TRUE()</f>
        <v>1</v>
      </c>
      <c r="H75" s="11" t="s">
        <v>361</v>
      </c>
      <c r="I75" s="11" t="s">
        <v>362</v>
      </c>
      <c r="J75" s="12" t="n">
        <f aca="false">COUNTIF($A$6:$A$89,A75)</f>
        <v>1</v>
      </c>
    </row>
    <row r="76" customFormat="false" ht="34" hidden="false" customHeight="true" outlineLevel="0" collapsed="false">
      <c r="A76" s="11" t="s">
        <v>465</v>
      </c>
      <c r="B76" s="11" t="s">
        <v>300</v>
      </c>
      <c r="C76" s="11" t="s">
        <v>464</v>
      </c>
      <c r="D76" s="11" t="s">
        <v>88</v>
      </c>
      <c r="E76" s="11" t="n">
        <v>16</v>
      </c>
      <c r="F76" s="11" t="s">
        <v>360</v>
      </c>
      <c r="G76" s="11" t="b">
        <f aca="false">TRUE()</f>
        <v>1</v>
      </c>
      <c r="H76" s="11" t="s">
        <v>361</v>
      </c>
      <c r="I76" s="11" t="s">
        <v>362</v>
      </c>
      <c r="J76" s="12" t="n">
        <f aca="false">COUNTIF($A$6:$A$89,A76)</f>
        <v>1</v>
      </c>
    </row>
    <row r="77" customFormat="false" ht="34" hidden="false" customHeight="true" outlineLevel="0" collapsed="false">
      <c r="A77" s="11" t="s">
        <v>466</v>
      </c>
      <c r="B77" s="11" t="s">
        <v>304</v>
      </c>
      <c r="C77" s="11" t="s">
        <v>467</v>
      </c>
      <c r="D77" s="11" t="s">
        <v>82</v>
      </c>
      <c r="E77" s="11" t="n">
        <v>14</v>
      </c>
      <c r="F77" s="11" t="s">
        <v>360</v>
      </c>
      <c r="G77" s="11" t="b">
        <f aca="false">TRUE()</f>
        <v>1</v>
      </c>
      <c r="H77" s="11" t="s">
        <v>361</v>
      </c>
      <c r="I77" s="11" t="s">
        <v>362</v>
      </c>
      <c r="J77" s="12" t="n">
        <f aca="false">COUNTIF($A$6:$A$89,A77)</f>
        <v>1</v>
      </c>
    </row>
    <row r="78" customFormat="false" ht="34" hidden="false" customHeight="true" outlineLevel="0" collapsed="false">
      <c r="A78" s="11" t="s">
        <v>468</v>
      </c>
      <c r="B78" s="11" t="s">
        <v>304</v>
      </c>
      <c r="C78" s="11" t="s">
        <v>467</v>
      </c>
      <c r="D78" s="11" t="s">
        <v>86</v>
      </c>
      <c r="E78" s="11" t="n">
        <v>8</v>
      </c>
      <c r="F78" s="11" t="s">
        <v>360</v>
      </c>
      <c r="G78" s="11" t="b">
        <f aca="false">TRUE()</f>
        <v>1</v>
      </c>
      <c r="H78" s="11" t="s">
        <v>361</v>
      </c>
      <c r="I78" s="11" t="s">
        <v>362</v>
      </c>
      <c r="J78" s="12" t="n">
        <f aca="false">COUNTIF($A$6:$A$89,A78)</f>
        <v>1</v>
      </c>
    </row>
    <row r="79" customFormat="false" ht="34" hidden="false" customHeight="true" outlineLevel="0" collapsed="false">
      <c r="A79" s="11" t="s">
        <v>469</v>
      </c>
      <c r="B79" s="11" t="s">
        <v>304</v>
      </c>
      <c r="C79" s="11" t="s">
        <v>467</v>
      </c>
      <c r="D79" s="11" t="s">
        <v>88</v>
      </c>
      <c r="E79" s="11" t="n">
        <v>8</v>
      </c>
      <c r="F79" s="11" t="s">
        <v>360</v>
      </c>
      <c r="G79" s="11" t="b">
        <f aca="false">TRUE()</f>
        <v>1</v>
      </c>
      <c r="H79" s="11" t="s">
        <v>361</v>
      </c>
      <c r="I79" s="11" t="s">
        <v>362</v>
      </c>
      <c r="J79" s="12" t="n">
        <f aca="false">COUNTIF($A$6:$A$89,A79)</f>
        <v>1</v>
      </c>
    </row>
    <row r="80" customFormat="false" ht="34" hidden="false" customHeight="true" outlineLevel="0" collapsed="false">
      <c r="A80" s="11" t="s">
        <v>470</v>
      </c>
      <c r="B80" s="11" t="s">
        <v>308</v>
      </c>
      <c r="C80" s="11" t="s">
        <v>471</v>
      </c>
      <c r="D80" s="11" t="s">
        <v>92</v>
      </c>
      <c r="E80" s="11" t="n">
        <v>15</v>
      </c>
      <c r="F80" s="11" t="s">
        <v>360</v>
      </c>
      <c r="G80" s="11" t="b">
        <f aca="false">TRUE()</f>
        <v>1</v>
      </c>
      <c r="H80" s="11" t="s">
        <v>361</v>
      </c>
      <c r="I80" s="11" t="s">
        <v>362</v>
      </c>
      <c r="J80" s="12" t="n">
        <f aca="false">COUNTIF($A$6:$A$89,A80)</f>
        <v>1</v>
      </c>
    </row>
    <row r="81" customFormat="false" ht="34" hidden="false" customHeight="true" outlineLevel="0" collapsed="false">
      <c r="A81" s="11" t="s">
        <v>472</v>
      </c>
      <c r="B81" s="11" t="s">
        <v>308</v>
      </c>
      <c r="C81" s="11" t="s">
        <v>471</v>
      </c>
      <c r="D81" s="11" t="s">
        <v>86</v>
      </c>
      <c r="E81" s="11" t="n">
        <v>15</v>
      </c>
      <c r="F81" s="11" t="s">
        <v>360</v>
      </c>
      <c r="G81" s="11" t="b">
        <f aca="false">TRUE()</f>
        <v>1</v>
      </c>
      <c r="H81" s="11" t="s">
        <v>361</v>
      </c>
      <c r="I81" s="11" t="s">
        <v>362</v>
      </c>
      <c r="J81" s="12" t="n">
        <f aca="false">COUNTIF($A$6:$A$89,A81)</f>
        <v>1</v>
      </c>
    </row>
    <row r="82" customFormat="false" ht="34" hidden="false" customHeight="true" outlineLevel="0" collapsed="false">
      <c r="A82" s="11" t="s">
        <v>473</v>
      </c>
      <c r="B82" s="11" t="s">
        <v>312</v>
      </c>
      <c r="C82" s="11" t="s">
        <v>474</v>
      </c>
      <c r="D82" s="11" t="s">
        <v>88</v>
      </c>
      <c r="E82" s="11" t="n">
        <v>7</v>
      </c>
      <c r="F82" s="11" t="s">
        <v>360</v>
      </c>
      <c r="G82" s="11" t="b">
        <f aca="false">TRUE()</f>
        <v>1</v>
      </c>
      <c r="H82" s="11" t="s">
        <v>361</v>
      </c>
      <c r="I82" s="11" t="s">
        <v>362</v>
      </c>
      <c r="J82" s="12" t="n">
        <f aca="false">COUNTIF($A$6:$A$89,A82)</f>
        <v>1</v>
      </c>
    </row>
    <row r="83" customFormat="false" ht="34" hidden="false" customHeight="true" outlineLevel="0" collapsed="false">
      <c r="A83" s="11" t="s">
        <v>475</v>
      </c>
      <c r="B83" s="11" t="s">
        <v>316</v>
      </c>
      <c r="C83" s="11" t="s">
        <v>476</v>
      </c>
      <c r="D83" s="11" t="s">
        <v>86</v>
      </c>
      <c r="E83" s="11" t="n">
        <v>14</v>
      </c>
      <c r="F83" s="11" t="s">
        <v>360</v>
      </c>
      <c r="G83" s="11" t="b">
        <f aca="false">TRUE()</f>
        <v>1</v>
      </c>
      <c r="H83" s="11" t="s">
        <v>361</v>
      </c>
      <c r="I83" s="11" t="s">
        <v>362</v>
      </c>
      <c r="J83" s="12" t="n">
        <f aca="false">COUNTIF($A$6:$A$89,A83)</f>
        <v>1</v>
      </c>
    </row>
    <row r="84" customFormat="false" ht="34" hidden="false" customHeight="true" outlineLevel="0" collapsed="false">
      <c r="A84" s="11" t="s">
        <v>477</v>
      </c>
      <c r="B84" s="11" t="s">
        <v>316</v>
      </c>
      <c r="C84" s="11" t="s">
        <v>476</v>
      </c>
      <c r="D84" s="11" t="s">
        <v>88</v>
      </c>
      <c r="E84" s="11" t="n">
        <v>12</v>
      </c>
      <c r="F84" s="11" t="s">
        <v>360</v>
      </c>
      <c r="G84" s="11" t="b">
        <f aca="false">TRUE()</f>
        <v>1</v>
      </c>
      <c r="H84" s="11" t="s">
        <v>361</v>
      </c>
      <c r="I84" s="11" t="s">
        <v>362</v>
      </c>
      <c r="J84" s="12" t="n">
        <f aca="false">COUNTIF($A$6:$A$89,A84)</f>
        <v>1</v>
      </c>
    </row>
    <row r="85" customFormat="false" ht="34" hidden="false" customHeight="true" outlineLevel="0" collapsed="false">
      <c r="A85" s="11" t="s">
        <v>478</v>
      </c>
      <c r="B85" s="11" t="s">
        <v>320</v>
      </c>
      <c r="C85" s="11" t="s">
        <v>479</v>
      </c>
      <c r="D85" s="11" t="s">
        <v>86</v>
      </c>
      <c r="E85" s="11" t="n">
        <v>10</v>
      </c>
      <c r="F85" s="11" t="s">
        <v>360</v>
      </c>
      <c r="G85" s="11" t="b">
        <f aca="false">TRUE()</f>
        <v>1</v>
      </c>
      <c r="H85" s="11" t="s">
        <v>361</v>
      </c>
      <c r="I85" s="11" t="s">
        <v>362</v>
      </c>
      <c r="J85" s="12" t="n">
        <f aca="false">COUNTIF($A$6:$A$89,A85)</f>
        <v>1</v>
      </c>
    </row>
    <row r="86" customFormat="false" ht="34" hidden="false" customHeight="true" outlineLevel="0" collapsed="false">
      <c r="A86" s="11" t="s">
        <v>480</v>
      </c>
      <c r="B86" s="11" t="s">
        <v>320</v>
      </c>
      <c r="C86" s="11" t="s">
        <v>479</v>
      </c>
      <c r="D86" s="11" t="s">
        <v>88</v>
      </c>
      <c r="E86" s="11" t="n">
        <v>12</v>
      </c>
      <c r="F86" s="11" t="s">
        <v>360</v>
      </c>
      <c r="G86" s="11" t="b">
        <f aca="false">TRUE()</f>
        <v>1</v>
      </c>
      <c r="H86" s="11" t="s">
        <v>361</v>
      </c>
      <c r="I86" s="11" t="s">
        <v>362</v>
      </c>
      <c r="J86" s="12" t="n">
        <f aca="false">COUNTIF($A$6:$A$89,A86)</f>
        <v>1</v>
      </c>
    </row>
    <row r="87" customFormat="false" ht="34" hidden="false" customHeight="true" outlineLevel="0" collapsed="false">
      <c r="A87" s="11" t="s">
        <v>481</v>
      </c>
      <c r="B87" s="11" t="s">
        <v>324</v>
      </c>
      <c r="C87" s="11" t="s">
        <v>482</v>
      </c>
      <c r="D87" s="11" t="s">
        <v>86</v>
      </c>
      <c r="E87" s="11" t="n">
        <v>14</v>
      </c>
      <c r="F87" s="11" t="s">
        <v>360</v>
      </c>
      <c r="G87" s="11" t="b">
        <f aca="false">TRUE()</f>
        <v>1</v>
      </c>
      <c r="H87" s="11" t="s">
        <v>361</v>
      </c>
      <c r="I87" s="11" t="s">
        <v>362</v>
      </c>
      <c r="J87" s="12" t="n">
        <f aca="false">COUNTIF($A$6:$A$89,A87)</f>
        <v>1</v>
      </c>
    </row>
    <row r="88" customFormat="false" ht="34" hidden="false" customHeight="true" outlineLevel="0" collapsed="false">
      <c r="A88" s="11" t="s">
        <v>483</v>
      </c>
      <c r="B88" s="11" t="s">
        <v>324</v>
      </c>
      <c r="C88" s="11" t="s">
        <v>482</v>
      </c>
      <c r="D88" s="11" t="s">
        <v>88</v>
      </c>
      <c r="E88" s="11" t="n">
        <v>10</v>
      </c>
      <c r="F88" s="11" t="s">
        <v>360</v>
      </c>
      <c r="G88" s="11" t="b">
        <f aca="false">TRUE()</f>
        <v>1</v>
      </c>
      <c r="H88" s="11" t="s">
        <v>361</v>
      </c>
      <c r="I88" s="11" t="s">
        <v>362</v>
      </c>
      <c r="J88" s="12" t="n">
        <f aca="false">COUNTIF($A$6:$A$89,A88)</f>
        <v>1</v>
      </c>
    </row>
    <row r="89" customFormat="false" ht="34" hidden="false" customHeight="true" outlineLevel="0" collapsed="false">
      <c r="A89" s="11" t="s">
        <v>484</v>
      </c>
      <c r="B89" s="11" t="s">
        <v>328</v>
      </c>
      <c r="C89" s="11" t="s">
        <v>485</v>
      </c>
      <c r="D89" s="11" t="s">
        <v>82</v>
      </c>
      <c r="E89" s="11" t="n">
        <v>8</v>
      </c>
      <c r="F89" s="11" t="s">
        <v>360</v>
      </c>
      <c r="G89" s="11" t="b">
        <f aca="false">TRUE()</f>
        <v>1</v>
      </c>
      <c r="H89" s="11" t="s">
        <v>361</v>
      </c>
      <c r="I89" s="11" t="s">
        <v>362</v>
      </c>
      <c r="J89" s="12" t="n">
        <f aca="false">COUNTIF($A$6:$A$89,A89)</f>
        <v>1</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3" min="2" style="0" width="24"/>
    <col collapsed="false" customWidth="true" hidden="false" outlineLevel="0" max="4" min="4" style="0" width="18"/>
    <col collapsed="false" customWidth="true" hidden="false" outlineLevel="0" max="6" min="5" style="0" width="12"/>
    <col collapsed="false" customWidth="true" hidden="false" outlineLevel="0" max="7" min="7" style="0" width="10"/>
    <col collapsed="false" customWidth="true" hidden="false" outlineLevel="0" max="8" min="8" style="0" width="54"/>
    <col collapsed="false" customWidth="true" hidden="false" outlineLevel="0" max="9" min="9" style="0" width="24"/>
    <col collapsed="false" customWidth="true" hidden="false" outlineLevel="0" max="10" min="10" style="0" width="32"/>
    <col collapsed="false" customWidth="true" hidden="false" outlineLevel="0" max="11" min="11" style="0" width="24"/>
    <col collapsed="false" customWidth="true" hidden="false" outlineLevel="0" max="12" min="12" style="0" width="10"/>
  </cols>
  <sheetData>
    <row r="1" customFormat="false" ht="30" hidden="false" customHeight="true" outlineLevel="0" collapsed="false">
      <c r="A1" s="1" t="s">
        <v>486</v>
      </c>
      <c r="B1" s="1"/>
      <c r="C1" s="1"/>
      <c r="D1" s="1"/>
      <c r="E1" s="1"/>
      <c r="F1" s="1"/>
      <c r="G1" s="1"/>
      <c r="H1" s="1"/>
      <c r="I1" s="1"/>
      <c r="J1" s="1"/>
      <c r="K1" s="1"/>
      <c r="L1" s="1"/>
    </row>
    <row r="2" customFormat="false" ht="42" hidden="false" customHeight="true" outlineLevel="0" collapsed="false">
      <c r="A2" s="2" t="s">
        <v>487</v>
      </c>
      <c r="B2" s="2"/>
      <c r="C2" s="2"/>
      <c r="D2" s="2"/>
      <c r="E2" s="2"/>
      <c r="F2" s="2"/>
      <c r="G2" s="2"/>
      <c r="H2" s="2"/>
      <c r="I2" s="2"/>
      <c r="J2" s="2"/>
      <c r="K2" s="2"/>
      <c r="L2" s="2"/>
    </row>
    <row r="3" customFormat="false" ht="15" hidden="false" customHeight="false" outlineLevel="0" collapsed="false">
      <c r="A3" s="3"/>
      <c r="B3" s="3"/>
      <c r="C3" s="3"/>
      <c r="D3" s="3"/>
      <c r="E3" s="3"/>
      <c r="F3" s="3"/>
      <c r="G3" s="3"/>
      <c r="H3" s="3"/>
      <c r="I3" s="3"/>
      <c r="J3" s="3"/>
      <c r="K3" s="3"/>
      <c r="L3" s="3"/>
    </row>
    <row r="5" customFormat="false" ht="38" hidden="false" customHeight="true" outlineLevel="0" collapsed="false">
      <c r="A5" s="10" t="s">
        <v>488</v>
      </c>
      <c r="B5" s="10" t="s">
        <v>489</v>
      </c>
      <c r="C5" s="10" t="s">
        <v>490</v>
      </c>
      <c r="D5" s="10" t="s">
        <v>491</v>
      </c>
      <c r="E5" s="10" t="s">
        <v>492</v>
      </c>
      <c r="F5" s="10" t="s">
        <v>493</v>
      </c>
      <c r="G5" s="10" t="s">
        <v>494</v>
      </c>
      <c r="H5" s="10" t="s">
        <v>495</v>
      </c>
      <c r="I5" s="10" t="s">
        <v>496</v>
      </c>
      <c r="J5" s="10" t="s">
        <v>497</v>
      </c>
      <c r="K5" s="10" t="s">
        <v>67</v>
      </c>
      <c r="L5" s="10" t="s">
        <v>69</v>
      </c>
    </row>
    <row r="6" customFormat="false" ht="48" hidden="false" customHeight="true" outlineLevel="0" collapsed="false">
      <c r="A6" s="11" t="s">
        <v>498</v>
      </c>
      <c r="B6" s="11" t="s">
        <v>499</v>
      </c>
      <c r="C6" s="11" t="s">
        <v>116</v>
      </c>
      <c r="D6" s="11" t="s">
        <v>500</v>
      </c>
      <c r="E6" s="11" t="s">
        <v>70</v>
      </c>
      <c r="F6" s="11" t="s">
        <v>501</v>
      </c>
      <c r="G6" s="11" t="n">
        <v>-2</v>
      </c>
      <c r="H6" s="11" t="s">
        <v>502</v>
      </c>
      <c r="I6" s="11" t="s">
        <v>503</v>
      </c>
      <c r="J6" s="11" t="s">
        <v>504</v>
      </c>
      <c r="K6" s="11" t="s">
        <v>505</v>
      </c>
      <c r="L6" s="12" t="n">
        <f aca="false">COUNTIF($A$6:$A$48,A6)</f>
        <v>1</v>
      </c>
    </row>
    <row r="7" customFormat="false" ht="48" hidden="false" customHeight="true" outlineLevel="0" collapsed="false">
      <c r="A7" s="11" t="s">
        <v>506</v>
      </c>
      <c r="B7" s="11" t="s">
        <v>499</v>
      </c>
      <c r="C7" s="11" t="s">
        <v>116</v>
      </c>
      <c r="D7" s="11" t="s">
        <v>500</v>
      </c>
      <c r="E7" s="11" t="s">
        <v>79</v>
      </c>
      <c r="F7" s="11" t="s">
        <v>501</v>
      </c>
      <c r="G7" s="11" t="n">
        <v>-2</v>
      </c>
      <c r="H7" s="11" t="s">
        <v>502</v>
      </c>
      <c r="I7" s="11" t="s">
        <v>503</v>
      </c>
      <c r="J7" s="11" t="s">
        <v>504</v>
      </c>
      <c r="K7" s="11" t="s">
        <v>505</v>
      </c>
      <c r="L7" s="12" t="n">
        <f aca="false">COUNTIF($A$6:$A$48,A7)</f>
        <v>1</v>
      </c>
    </row>
    <row r="8" customFormat="false" ht="48" hidden="false" customHeight="true" outlineLevel="0" collapsed="false">
      <c r="A8" s="11" t="s">
        <v>507</v>
      </c>
      <c r="B8" s="11" t="s">
        <v>499</v>
      </c>
      <c r="C8" s="11" t="s">
        <v>116</v>
      </c>
      <c r="D8" s="11" t="s">
        <v>500</v>
      </c>
      <c r="E8" s="11" t="s">
        <v>82</v>
      </c>
      <c r="F8" s="11" t="s">
        <v>501</v>
      </c>
      <c r="G8" s="11" t="n">
        <v>-2</v>
      </c>
      <c r="H8" s="11" t="s">
        <v>502</v>
      </c>
      <c r="I8" s="11" t="s">
        <v>503</v>
      </c>
      <c r="J8" s="11" t="s">
        <v>504</v>
      </c>
      <c r="K8" s="11" t="s">
        <v>505</v>
      </c>
      <c r="L8" s="12" t="n">
        <f aca="false">COUNTIF($A$6:$A$48,A8)</f>
        <v>1</v>
      </c>
    </row>
    <row r="9" customFormat="false" ht="48" hidden="false" customHeight="true" outlineLevel="0" collapsed="false">
      <c r="A9" s="11" t="s">
        <v>508</v>
      </c>
      <c r="B9" s="11" t="s">
        <v>499</v>
      </c>
      <c r="C9" s="11" t="s">
        <v>122</v>
      </c>
      <c r="D9" s="11" t="s">
        <v>500</v>
      </c>
      <c r="E9" s="11" t="s">
        <v>70</v>
      </c>
      <c r="F9" s="11" t="s">
        <v>501</v>
      </c>
      <c r="G9" s="11" t="n">
        <v>-3</v>
      </c>
      <c r="H9" s="11" t="s">
        <v>509</v>
      </c>
      <c r="I9" s="11" t="s">
        <v>503</v>
      </c>
      <c r="J9" s="11" t="s">
        <v>504</v>
      </c>
      <c r="K9" s="11" t="s">
        <v>510</v>
      </c>
      <c r="L9" s="12" t="n">
        <f aca="false">COUNTIF($A$6:$A$48,A9)</f>
        <v>1</v>
      </c>
    </row>
    <row r="10" customFormat="false" ht="48" hidden="false" customHeight="true" outlineLevel="0" collapsed="false">
      <c r="A10" s="11" t="s">
        <v>511</v>
      </c>
      <c r="B10" s="11" t="s">
        <v>499</v>
      </c>
      <c r="C10" s="11" t="s">
        <v>122</v>
      </c>
      <c r="D10" s="11" t="s">
        <v>500</v>
      </c>
      <c r="E10" s="11" t="s">
        <v>79</v>
      </c>
      <c r="F10" s="11" t="s">
        <v>501</v>
      </c>
      <c r="G10" s="11" t="n">
        <v>-6</v>
      </c>
      <c r="H10" s="11" t="s">
        <v>509</v>
      </c>
      <c r="I10" s="11" t="s">
        <v>503</v>
      </c>
      <c r="J10" s="11" t="s">
        <v>504</v>
      </c>
      <c r="K10" s="11" t="s">
        <v>510</v>
      </c>
      <c r="L10" s="12" t="n">
        <f aca="false">COUNTIF($A$6:$A$48,A10)</f>
        <v>1</v>
      </c>
    </row>
    <row r="11" customFormat="false" ht="48" hidden="false" customHeight="true" outlineLevel="0" collapsed="false">
      <c r="A11" s="11" t="s">
        <v>512</v>
      </c>
      <c r="B11" s="11" t="s">
        <v>499</v>
      </c>
      <c r="C11" s="11" t="s">
        <v>122</v>
      </c>
      <c r="D11" s="11" t="s">
        <v>500</v>
      </c>
      <c r="E11" s="11" t="s">
        <v>82</v>
      </c>
      <c r="F11" s="11" t="s">
        <v>501</v>
      </c>
      <c r="G11" s="11" t="n">
        <v>-6</v>
      </c>
      <c r="H11" s="11" t="s">
        <v>509</v>
      </c>
      <c r="I11" s="11" t="s">
        <v>503</v>
      </c>
      <c r="J11" s="11" t="s">
        <v>504</v>
      </c>
      <c r="K11" s="11" t="s">
        <v>510</v>
      </c>
      <c r="L11" s="12" t="n">
        <f aca="false">COUNTIF($A$6:$A$48,A11)</f>
        <v>1</v>
      </c>
    </row>
    <row r="12" customFormat="false" ht="48" hidden="false" customHeight="true" outlineLevel="0" collapsed="false">
      <c r="A12" s="11" t="s">
        <v>513</v>
      </c>
      <c r="B12" s="11" t="s">
        <v>499</v>
      </c>
      <c r="C12" s="11" t="s">
        <v>122</v>
      </c>
      <c r="D12" s="11" t="s">
        <v>500</v>
      </c>
      <c r="E12" s="11" t="s">
        <v>70</v>
      </c>
      <c r="F12" s="11" t="s">
        <v>501</v>
      </c>
      <c r="G12" s="11" t="n">
        <v>-7</v>
      </c>
      <c r="H12" s="11" t="s">
        <v>502</v>
      </c>
      <c r="I12" s="11" t="s">
        <v>503</v>
      </c>
      <c r="J12" s="11" t="s">
        <v>504</v>
      </c>
      <c r="K12" s="11" t="s">
        <v>510</v>
      </c>
      <c r="L12" s="12" t="n">
        <f aca="false">COUNTIF($A$6:$A$48,A12)</f>
        <v>1</v>
      </c>
    </row>
    <row r="13" customFormat="false" ht="48" hidden="false" customHeight="true" outlineLevel="0" collapsed="false">
      <c r="A13" s="11" t="s">
        <v>514</v>
      </c>
      <c r="B13" s="11" t="s">
        <v>499</v>
      </c>
      <c r="C13" s="11" t="s">
        <v>122</v>
      </c>
      <c r="D13" s="11" t="s">
        <v>500</v>
      </c>
      <c r="E13" s="11" t="s">
        <v>79</v>
      </c>
      <c r="F13" s="11" t="s">
        <v>501</v>
      </c>
      <c r="G13" s="11" t="n">
        <v>-10</v>
      </c>
      <c r="H13" s="11" t="s">
        <v>502</v>
      </c>
      <c r="I13" s="11" t="s">
        <v>503</v>
      </c>
      <c r="J13" s="11" t="s">
        <v>504</v>
      </c>
      <c r="K13" s="11" t="s">
        <v>510</v>
      </c>
      <c r="L13" s="12" t="n">
        <f aca="false">COUNTIF($A$6:$A$48,A13)</f>
        <v>1</v>
      </c>
    </row>
    <row r="14" customFormat="false" ht="48" hidden="false" customHeight="true" outlineLevel="0" collapsed="false">
      <c r="A14" s="11" t="s">
        <v>515</v>
      </c>
      <c r="B14" s="11" t="s">
        <v>499</v>
      </c>
      <c r="C14" s="11" t="s">
        <v>122</v>
      </c>
      <c r="D14" s="11" t="s">
        <v>500</v>
      </c>
      <c r="E14" s="11" t="s">
        <v>82</v>
      </c>
      <c r="F14" s="11" t="s">
        <v>501</v>
      </c>
      <c r="G14" s="11" t="n">
        <v>-10</v>
      </c>
      <c r="H14" s="11" t="s">
        <v>502</v>
      </c>
      <c r="I14" s="11" t="s">
        <v>503</v>
      </c>
      <c r="J14" s="11" t="s">
        <v>504</v>
      </c>
      <c r="K14" s="11" t="s">
        <v>510</v>
      </c>
      <c r="L14" s="12" t="n">
        <f aca="false">COUNTIF($A$6:$A$48,A14)</f>
        <v>1</v>
      </c>
    </row>
    <row r="15" customFormat="false" ht="48" hidden="false" customHeight="true" outlineLevel="0" collapsed="false">
      <c r="A15" s="11" t="s">
        <v>516</v>
      </c>
      <c r="B15" s="11" t="s">
        <v>499</v>
      </c>
      <c r="C15" s="11" t="s">
        <v>122</v>
      </c>
      <c r="D15" s="11" t="s">
        <v>500</v>
      </c>
      <c r="E15" s="11" t="s">
        <v>92</v>
      </c>
      <c r="F15" s="11" t="s">
        <v>501</v>
      </c>
      <c r="G15" s="11" t="n">
        <v>5</v>
      </c>
      <c r="H15" s="11" t="s">
        <v>517</v>
      </c>
      <c r="I15" s="11" t="s">
        <v>518</v>
      </c>
      <c r="J15" s="11" t="s">
        <v>519</v>
      </c>
      <c r="K15" s="11" t="s">
        <v>510</v>
      </c>
      <c r="L15" s="12" t="n">
        <f aca="false">COUNTIF($A$6:$A$48,A15)</f>
        <v>1</v>
      </c>
    </row>
    <row r="16" customFormat="false" ht="48" hidden="false" customHeight="true" outlineLevel="0" collapsed="false">
      <c r="A16" s="11" t="s">
        <v>520</v>
      </c>
      <c r="B16" s="11" t="s">
        <v>499</v>
      </c>
      <c r="C16" s="11" t="s">
        <v>122</v>
      </c>
      <c r="D16" s="11" t="s">
        <v>500</v>
      </c>
      <c r="E16" s="11" t="s">
        <v>92</v>
      </c>
      <c r="F16" s="11" t="s">
        <v>501</v>
      </c>
      <c r="G16" s="11" t="n">
        <v>-15</v>
      </c>
      <c r="H16" s="11" t="s">
        <v>521</v>
      </c>
      <c r="I16" s="11" t="s">
        <v>518</v>
      </c>
      <c r="J16" s="11" t="s">
        <v>519</v>
      </c>
      <c r="K16" s="11" t="s">
        <v>510</v>
      </c>
      <c r="L16" s="12" t="n">
        <f aca="false">COUNTIF($A$6:$A$48,A16)</f>
        <v>1</v>
      </c>
    </row>
    <row r="17" customFormat="false" ht="48" hidden="false" customHeight="true" outlineLevel="0" collapsed="false">
      <c r="A17" s="11" t="s">
        <v>522</v>
      </c>
      <c r="B17" s="11" t="s">
        <v>523</v>
      </c>
      <c r="C17" s="11" t="s">
        <v>133</v>
      </c>
      <c r="D17" s="11" t="s">
        <v>500</v>
      </c>
      <c r="E17" s="11" t="s">
        <v>70</v>
      </c>
      <c r="F17" s="11" t="s">
        <v>501</v>
      </c>
      <c r="G17" s="11" t="n">
        <v>2</v>
      </c>
      <c r="H17" s="11" t="s">
        <v>524</v>
      </c>
      <c r="I17" s="11" t="s">
        <v>503</v>
      </c>
      <c r="J17" s="11" t="s">
        <v>504</v>
      </c>
      <c r="K17" s="11" t="s">
        <v>138</v>
      </c>
      <c r="L17" s="12" t="n">
        <f aca="false">COUNTIF($A$6:$A$48,A17)</f>
        <v>1</v>
      </c>
    </row>
    <row r="18" customFormat="false" ht="48" hidden="false" customHeight="true" outlineLevel="0" collapsed="false">
      <c r="A18" s="11" t="s">
        <v>525</v>
      </c>
      <c r="B18" s="11" t="s">
        <v>523</v>
      </c>
      <c r="C18" s="11" t="s">
        <v>133</v>
      </c>
      <c r="D18" s="11" t="s">
        <v>500</v>
      </c>
      <c r="E18" s="11" t="s">
        <v>77</v>
      </c>
      <c r="F18" s="11" t="s">
        <v>501</v>
      </c>
      <c r="G18" s="11" t="n">
        <v>2</v>
      </c>
      <c r="H18" s="11" t="s">
        <v>524</v>
      </c>
      <c r="I18" s="11" t="s">
        <v>503</v>
      </c>
      <c r="J18" s="11" t="s">
        <v>504</v>
      </c>
      <c r="K18" s="11" t="s">
        <v>138</v>
      </c>
      <c r="L18" s="12" t="n">
        <f aca="false">COUNTIF($A$6:$A$48,A18)</f>
        <v>1</v>
      </c>
    </row>
    <row r="19" customFormat="false" ht="48" hidden="false" customHeight="true" outlineLevel="0" collapsed="false">
      <c r="A19" s="11" t="s">
        <v>526</v>
      </c>
      <c r="B19" s="11" t="s">
        <v>523</v>
      </c>
      <c r="C19" s="11" t="s">
        <v>133</v>
      </c>
      <c r="D19" s="11" t="s">
        <v>500</v>
      </c>
      <c r="E19" s="11" t="s">
        <v>82</v>
      </c>
      <c r="F19" s="11" t="s">
        <v>501</v>
      </c>
      <c r="G19" s="11" t="n">
        <v>5</v>
      </c>
      <c r="H19" s="11" t="s">
        <v>524</v>
      </c>
      <c r="I19" s="11" t="s">
        <v>503</v>
      </c>
      <c r="J19" s="11" t="s">
        <v>504</v>
      </c>
      <c r="K19" s="11" t="s">
        <v>138</v>
      </c>
      <c r="L19" s="12" t="n">
        <f aca="false">COUNTIF($A$6:$A$48,A19)</f>
        <v>1</v>
      </c>
    </row>
    <row r="20" customFormat="false" ht="48" hidden="false" customHeight="true" outlineLevel="0" collapsed="false">
      <c r="A20" s="11" t="s">
        <v>527</v>
      </c>
      <c r="B20" s="11" t="s">
        <v>523</v>
      </c>
      <c r="C20" s="11" t="s">
        <v>133</v>
      </c>
      <c r="D20" s="11" t="s">
        <v>500</v>
      </c>
      <c r="E20" s="11" t="s">
        <v>86</v>
      </c>
      <c r="F20" s="11" t="s">
        <v>501</v>
      </c>
      <c r="G20" s="11" t="n">
        <v>7</v>
      </c>
      <c r="H20" s="11" t="s">
        <v>524</v>
      </c>
      <c r="I20" s="11" t="s">
        <v>503</v>
      </c>
      <c r="J20" s="11" t="s">
        <v>504</v>
      </c>
      <c r="K20" s="11" t="s">
        <v>138</v>
      </c>
      <c r="L20" s="12" t="n">
        <f aca="false">COUNTIF($A$6:$A$48,A20)</f>
        <v>1</v>
      </c>
    </row>
    <row r="21" customFormat="false" ht="48" hidden="false" customHeight="true" outlineLevel="0" collapsed="false">
      <c r="A21" s="11" t="s">
        <v>528</v>
      </c>
      <c r="B21" s="11" t="s">
        <v>523</v>
      </c>
      <c r="C21" s="11" t="s">
        <v>133</v>
      </c>
      <c r="D21" s="11" t="s">
        <v>500</v>
      </c>
      <c r="E21" s="11" t="s">
        <v>92</v>
      </c>
      <c r="F21" s="11" t="s">
        <v>501</v>
      </c>
      <c r="G21" s="11" t="n">
        <v>5</v>
      </c>
      <c r="H21" s="11" t="s">
        <v>521</v>
      </c>
      <c r="I21" s="11" t="s">
        <v>518</v>
      </c>
      <c r="J21" s="11" t="s">
        <v>519</v>
      </c>
      <c r="K21" s="11" t="s">
        <v>138</v>
      </c>
      <c r="L21" s="12" t="n">
        <f aca="false">COUNTIF($A$6:$A$48,A21)</f>
        <v>1</v>
      </c>
    </row>
    <row r="22" customFormat="false" ht="48" hidden="false" customHeight="true" outlineLevel="0" collapsed="false">
      <c r="A22" s="11" t="s">
        <v>529</v>
      </c>
      <c r="B22" s="11" t="s">
        <v>523</v>
      </c>
      <c r="C22" s="11" t="s">
        <v>133</v>
      </c>
      <c r="D22" s="11" t="s">
        <v>500</v>
      </c>
      <c r="E22" s="11" t="s">
        <v>92</v>
      </c>
      <c r="F22" s="11" t="s">
        <v>501</v>
      </c>
      <c r="G22" s="11" t="n">
        <v>-15</v>
      </c>
      <c r="H22" s="11" t="s">
        <v>517</v>
      </c>
      <c r="I22" s="11" t="s">
        <v>518</v>
      </c>
      <c r="J22" s="11" t="s">
        <v>519</v>
      </c>
      <c r="K22" s="11" t="s">
        <v>138</v>
      </c>
      <c r="L22" s="12" t="n">
        <f aca="false">COUNTIF($A$6:$A$48,A22)</f>
        <v>1</v>
      </c>
    </row>
    <row r="23" customFormat="false" ht="48" hidden="false" customHeight="true" outlineLevel="0" collapsed="false">
      <c r="A23" s="11" t="s">
        <v>530</v>
      </c>
      <c r="B23" s="11" t="s">
        <v>523</v>
      </c>
      <c r="C23" s="11" t="s">
        <v>139</v>
      </c>
      <c r="D23" s="11" t="s">
        <v>500</v>
      </c>
      <c r="E23" s="11" t="s">
        <v>70</v>
      </c>
      <c r="F23" s="11" t="s">
        <v>501</v>
      </c>
      <c r="G23" s="11" t="n">
        <v>2</v>
      </c>
      <c r="H23" s="11" t="s">
        <v>524</v>
      </c>
      <c r="I23" s="11" t="s">
        <v>503</v>
      </c>
      <c r="J23" s="11" t="s">
        <v>504</v>
      </c>
      <c r="K23" s="11" t="s">
        <v>144</v>
      </c>
      <c r="L23" s="12" t="n">
        <f aca="false">COUNTIF($A$6:$A$48,A23)</f>
        <v>1</v>
      </c>
    </row>
    <row r="24" customFormat="false" ht="48" hidden="false" customHeight="true" outlineLevel="0" collapsed="false">
      <c r="A24" s="11" t="s">
        <v>531</v>
      </c>
      <c r="B24" s="11" t="s">
        <v>523</v>
      </c>
      <c r="C24" s="11" t="s">
        <v>139</v>
      </c>
      <c r="D24" s="11" t="s">
        <v>500</v>
      </c>
      <c r="E24" s="11" t="s">
        <v>77</v>
      </c>
      <c r="F24" s="11" t="s">
        <v>501</v>
      </c>
      <c r="G24" s="11" t="n">
        <v>5</v>
      </c>
      <c r="H24" s="11" t="s">
        <v>524</v>
      </c>
      <c r="I24" s="11" t="s">
        <v>503</v>
      </c>
      <c r="J24" s="11" t="s">
        <v>504</v>
      </c>
      <c r="K24" s="11" t="s">
        <v>144</v>
      </c>
      <c r="L24" s="12" t="n">
        <f aca="false">COUNTIF($A$6:$A$48,A24)</f>
        <v>1</v>
      </c>
    </row>
    <row r="25" customFormat="false" ht="48" hidden="false" customHeight="true" outlineLevel="0" collapsed="false">
      <c r="A25" s="11" t="s">
        <v>532</v>
      </c>
      <c r="B25" s="11" t="s">
        <v>523</v>
      </c>
      <c r="C25" s="11" t="s">
        <v>139</v>
      </c>
      <c r="D25" s="11" t="s">
        <v>500</v>
      </c>
      <c r="E25" s="11" t="s">
        <v>79</v>
      </c>
      <c r="F25" s="11" t="s">
        <v>501</v>
      </c>
      <c r="G25" s="11" t="n">
        <v>5</v>
      </c>
      <c r="H25" s="11" t="s">
        <v>524</v>
      </c>
      <c r="I25" s="11" t="s">
        <v>503</v>
      </c>
      <c r="J25" s="11" t="s">
        <v>504</v>
      </c>
      <c r="K25" s="11" t="s">
        <v>144</v>
      </c>
      <c r="L25" s="12" t="n">
        <f aca="false">COUNTIF($A$6:$A$48,A25)</f>
        <v>1</v>
      </c>
    </row>
    <row r="26" customFormat="false" ht="48" hidden="false" customHeight="true" outlineLevel="0" collapsed="false">
      <c r="A26" s="11" t="s">
        <v>533</v>
      </c>
      <c r="B26" s="11" t="s">
        <v>523</v>
      </c>
      <c r="C26" s="11" t="s">
        <v>139</v>
      </c>
      <c r="D26" s="11" t="s">
        <v>500</v>
      </c>
      <c r="E26" s="11" t="s">
        <v>82</v>
      </c>
      <c r="F26" s="11" t="s">
        <v>501</v>
      </c>
      <c r="G26" s="11" t="n">
        <v>5</v>
      </c>
      <c r="H26" s="11" t="s">
        <v>524</v>
      </c>
      <c r="I26" s="11" t="s">
        <v>503</v>
      </c>
      <c r="J26" s="11" t="s">
        <v>504</v>
      </c>
      <c r="K26" s="11" t="s">
        <v>144</v>
      </c>
      <c r="L26" s="12" t="n">
        <f aca="false">COUNTIF($A$6:$A$48,A26)</f>
        <v>1</v>
      </c>
    </row>
    <row r="27" customFormat="false" ht="48" hidden="false" customHeight="true" outlineLevel="0" collapsed="false">
      <c r="A27" s="11" t="s">
        <v>534</v>
      </c>
      <c r="B27" s="11" t="s">
        <v>523</v>
      </c>
      <c r="C27" s="11" t="s">
        <v>139</v>
      </c>
      <c r="D27" s="11" t="s">
        <v>500</v>
      </c>
      <c r="E27" s="11" t="s">
        <v>92</v>
      </c>
      <c r="F27" s="11" t="s">
        <v>501</v>
      </c>
      <c r="G27" s="11" t="n">
        <v>5</v>
      </c>
      <c r="H27" s="11" t="s">
        <v>521</v>
      </c>
      <c r="I27" s="11" t="s">
        <v>518</v>
      </c>
      <c r="J27" s="11" t="s">
        <v>519</v>
      </c>
      <c r="K27" s="11" t="s">
        <v>144</v>
      </c>
      <c r="L27" s="12" t="n">
        <f aca="false">COUNTIF($A$6:$A$48,A27)</f>
        <v>1</v>
      </c>
    </row>
    <row r="28" customFormat="false" ht="48" hidden="false" customHeight="true" outlineLevel="0" collapsed="false">
      <c r="A28" s="11" t="s">
        <v>535</v>
      </c>
      <c r="B28" s="11" t="s">
        <v>523</v>
      </c>
      <c r="C28" s="11" t="s">
        <v>139</v>
      </c>
      <c r="D28" s="11" t="s">
        <v>500</v>
      </c>
      <c r="E28" s="11" t="s">
        <v>92</v>
      </c>
      <c r="F28" s="11" t="s">
        <v>501</v>
      </c>
      <c r="G28" s="11" t="n">
        <v>-10</v>
      </c>
      <c r="H28" s="11" t="s">
        <v>517</v>
      </c>
      <c r="I28" s="11" t="s">
        <v>518</v>
      </c>
      <c r="J28" s="11" t="s">
        <v>519</v>
      </c>
      <c r="K28" s="11" t="s">
        <v>144</v>
      </c>
      <c r="L28" s="12" t="n">
        <f aca="false">COUNTIF($A$6:$A$48,A28)</f>
        <v>1</v>
      </c>
    </row>
    <row r="29" customFormat="false" ht="48" hidden="false" customHeight="true" outlineLevel="0" collapsed="false">
      <c r="A29" s="11" t="s">
        <v>536</v>
      </c>
      <c r="B29" s="11" t="s">
        <v>523</v>
      </c>
      <c r="C29" s="11" t="s">
        <v>145</v>
      </c>
      <c r="D29" s="11" t="s">
        <v>500</v>
      </c>
      <c r="E29" s="11" t="s">
        <v>70</v>
      </c>
      <c r="F29" s="11" t="s">
        <v>501</v>
      </c>
      <c r="G29" s="11" t="n">
        <v>5</v>
      </c>
      <c r="H29" s="11" t="s">
        <v>524</v>
      </c>
      <c r="I29" s="11" t="s">
        <v>503</v>
      </c>
      <c r="J29" s="11" t="s">
        <v>504</v>
      </c>
      <c r="K29" s="11" t="s">
        <v>150</v>
      </c>
      <c r="L29" s="12" t="n">
        <f aca="false">COUNTIF($A$6:$A$48,A29)</f>
        <v>1</v>
      </c>
    </row>
    <row r="30" customFormat="false" ht="48" hidden="false" customHeight="true" outlineLevel="0" collapsed="false">
      <c r="A30" s="11" t="s">
        <v>537</v>
      </c>
      <c r="B30" s="11" t="s">
        <v>523</v>
      </c>
      <c r="C30" s="11" t="s">
        <v>145</v>
      </c>
      <c r="D30" s="11" t="s">
        <v>500</v>
      </c>
      <c r="E30" s="11" t="s">
        <v>77</v>
      </c>
      <c r="F30" s="11" t="s">
        <v>501</v>
      </c>
      <c r="G30" s="11" t="n">
        <v>2</v>
      </c>
      <c r="H30" s="11" t="s">
        <v>524</v>
      </c>
      <c r="I30" s="11" t="s">
        <v>503</v>
      </c>
      <c r="J30" s="11" t="s">
        <v>504</v>
      </c>
      <c r="K30" s="11" t="s">
        <v>150</v>
      </c>
      <c r="L30" s="12" t="n">
        <f aca="false">COUNTIF($A$6:$A$48,A30)</f>
        <v>1</v>
      </c>
    </row>
    <row r="31" customFormat="false" ht="48" hidden="false" customHeight="true" outlineLevel="0" collapsed="false">
      <c r="A31" s="11" t="s">
        <v>538</v>
      </c>
      <c r="B31" s="11" t="s">
        <v>523</v>
      </c>
      <c r="C31" s="11" t="s">
        <v>145</v>
      </c>
      <c r="D31" s="11" t="s">
        <v>500</v>
      </c>
      <c r="E31" s="11" t="s">
        <v>79</v>
      </c>
      <c r="F31" s="11" t="s">
        <v>501</v>
      </c>
      <c r="G31" s="11" t="n">
        <v>5</v>
      </c>
      <c r="H31" s="11" t="s">
        <v>524</v>
      </c>
      <c r="I31" s="11" t="s">
        <v>503</v>
      </c>
      <c r="J31" s="11" t="s">
        <v>504</v>
      </c>
      <c r="K31" s="11" t="s">
        <v>150</v>
      </c>
      <c r="L31" s="12" t="n">
        <f aca="false">COUNTIF($A$6:$A$48,A31)</f>
        <v>1</v>
      </c>
    </row>
    <row r="32" customFormat="false" ht="48" hidden="false" customHeight="true" outlineLevel="0" collapsed="false">
      <c r="A32" s="11" t="s">
        <v>539</v>
      </c>
      <c r="B32" s="11" t="s">
        <v>523</v>
      </c>
      <c r="C32" s="11" t="s">
        <v>145</v>
      </c>
      <c r="D32" s="11" t="s">
        <v>500</v>
      </c>
      <c r="E32" s="11" t="s">
        <v>82</v>
      </c>
      <c r="F32" s="11" t="s">
        <v>501</v>
      </c>
      <c r="G32" s="11" t="n">
        <v>5</v>
      </c>
      <c r="H32" s="11" t="s">
        <v>524</v>
      </c>
      <c r="I32" s="11" t="s">
        <v>503</v>
      </c>
      <c r="J32" s="11" t="s">
        <v>504</v>
      </c>
      <c r="K32" s="11" t="s">
        <v>150</v>
      </c>
      <c r="L32" s="12" t="n">
        <f aca="false">COUNTIF($A$6:$A$48,A32)</f>
        <v>1</v>
      </c>
    </row>
    <row r="33" customFormat="false" ht="48" hidden="false" customHeight="true" outlineLevel="0" collapsed="false">
      <c r="A33" s="11" t="s">
        <v>540</v>
      </c>
      <c r="B33" s="11" t="s">
        <v>523</v>
      </c>
      <c r="C33" s="11" t="s">
        <v>145</v>
      </c>
      <c r="D33" s="11" t="s">
        <v>500</v>
      </c>
      <c r="E33" s="11" t="s">
        <v>92</v>
      </c>
      <c r="F33" s="11" t="s">
        <v>501</v>
      </c>
      <c r="G33" s="11" t="n">
        <v>5</v>
      </c>
      <c r="H33" s="11" t="s">
        <v>521</v>
      </c>
      <c r="I33" s="11" t="s">
        <v>518</v>
      </c>
      <c r="J33" s="11" t="s">
        <v>519</v>
      </c>
      <c r="K33" s="11" t="s">
        <v>150</v>
      </c>
      <c r="L33" s="12" t="n">
        <f aca="false">COUNTIF($A$6:$A$48,A33)</f>
        <v>1</v>
      </c>
    </row>
    <row r="34" customFormat="false" ht="48" hidden="false" customHeight="true" outlineLevel="0" collapsed="false">
      <c r="A34" s="11" t="s">
        <v>541</v>
      </c>
      <c r="B34" s="11" t="s">
        <v>523</v>
      </c>
      <c r="C34" s="11" t="s">
        <v>145</v>
      </c>
      <c r="D34" s="11" t="s">
        <v>500</v>
      </c>
      <c r="E34" s="11" t="s">
        <v>92</v>
      </c>
      <c r="F34" s="11" t="s">
        <v>501</v>
      </c>
      <c r="G34" s="11" t="n">
        <v>-20</v>
      </c>
      <c r="H34" s="11" t="s">
        <v>517</v>
      </c>
      <c r="I34" s="11" t="s">
        <v>518</v>
      </c>
      <c r="J34" s="11" t="s">
        <v>519</v>
      </c>
      <c r="K34" s="11" t="s">
        <v>150</v>
      </c>
      <c r="L34" s="12" t="n">
        <f aca="false">COUNTIF($A$6:$A$48,A34)</f>
        <v>1</v>
      </c>
    </row>
    <row r="35" customFormat="false" ht="48" hidden="false" customHeight="true" outlineLevel="0" collapsed="false">
      <c r="A35" s="11" t="s">
        <v>542</v>
      </c>
      <c r="B35" s="11" t="s">
        <v>543</v>
      </c>
      <c r="C35" s="11" t="s">
        <v>544</v>
      </c>
      <c r="D35" s="11" t="s">
        <v>500</v>
      </c>
      <c r="E35" s="11" t="s">
        <v>82</v>
      </c>
      <c r="F35" s="11" t="s">
        <v>501</v>
      </c>
      <c r="G35" s="11" t="n">
        <v>-5</v>
      </c>
      <c r="H35" s="11" t="s">
        <v>545</v>
      </c>
      <c r="I35" s="11" t="s">
        <v>546</v>
      </c>
      <c r="J35" s="11" t="s">
        <v>547</v>
      </c>
      <c r="K35" s="11" t="s">
        <v>548</v>
      </c>
      <c r="L35" s="12" t="n">
        <f aca="false">COUNTIF($A$6:$A$48,A35)</f>
        <v>1</v>
      </c>
    </row>
    <row r="36" customFormat="false" ht="48" hidden="false" customHeight="true" outlineLevel="0" collapsed="false">
      <c r="A36" s="11" t="s">
        <v>549</v>
      </c>
      <c r="B36" s="11" t="s">
        <v>543</v>
      </c>
      <c r="C36" s="11" t="s">
        <v>550</v>
      </c>
      <c r="D36" s="11" t="s">
        <v>500</v>
      </c>
      <c r="E36" s="11" t="s">
        <v>88</v>
      </c>
      <c r="F36" s="11" t="s">
        <v>501</v>
      </c>
      <c r="G36" s="11" t="n">
        <v>5</v>
      </c>
      <c r="H36" s="11" t="s">
        <v>545</v>
      </c>
      <c r="I36" s="11" t="s">
        <v>546</v>
      </c>
      <c r="J36" s="11" t="s">
        <v>547</v>
      </c>
      <c r="K36" s="11" t="s">
        <v>551</v>
      </c>
      <c r="L36" s="12" t="n">
        <f aca="false">COUNTIF($A$6:$A$48,A36)</f>
        <v>1</v>
      </c>
    </row>
    <row r="37" customFormat="false" ht="48" hidden="false" customHeight="true" outlineLevel="0" collapsed="false">
      <c r="A37" s="11" t="s">
        <v>552</v>
      </c>
      <c r="B37" s="11" t="s">
        <v>543</v>
      </c>
      <c r="C37" s="11" t="s">
        <v>553</v>
      </c>
      <c r="D37" s="11" t="s">
        <v>500</v>
      </c>
      <c r="E37" s="11" t="s">
        <v>79</v>
      </c>
      <c r="F37" s="11" t="s">
        <v>501</v>
      </c>
      <c r="G37" s="11" t="n">
        <v>-5</v>
      </c>
      <c r="H37" s="11" t="s">
        <v>545</v>
      </c>
      <c r="I37" s="11" t="s">
        <v>546</v>
      </c>
      <c r="J37" s="11" t="s">
        <v>547</v>
      </c>
      <c r="K37" s="11" t="s">
        <v>554</v>
      </c>
      <c r="L37" s="12" t="n">
        <f aca="false">COUNTIF($A$6:$A$48,A37)</f>
        <v>1</v>
      </c>
    </row>
    <row r="38" customFormat="false" ht="48" hidden="false" customHeight="true" outlineLevel="0" collapsed="false">
      <c r="A38" s="11" t="s">
        <v>555</v>
      </c>
      <c r="B38" s="11" t="s">
        <v>543</v>
      </c>
      <c r="C38" s="11" t="s">
        <v>553</v>
      </c>
      <c r="D38" s="11" t="s">
        <v>500</v>
      </c>
      <c r="E38" s="11" t="s">
        <v>82</v>
      </c>
      <c r="F38" s="11" t="s">
        <v>501</v>
      </c>
      <c r="G38" s="11" t="n">
        <v>-5</v>
      </c>
      <c r="H38" s="11" t="s">
        <v>545</v>
      </c>
      <c r="I38" s="11" t="s">
        <v>546</v>
      </c>
      <c r="J38" s="11" t="s">
        <v>547</v>
      </c>
      <c r="K38" s="11" t="s">
        <v>554</v>
      </c>
      <c r="L38" s="12" t="n">
        <f aca="false">COUNTIF($A$6:$A$48,A38)</f>
        <v>1</v>
      </c>
    </row>
    <row r="39" customFormat="false" ht="48" hidden="false" customHeight="true" outlineLevel="0" collapsed="false">
      <c r="A39" s="11" t="s">
        <v>556</v>
      </c>
      <c r="B39" s="11" t="s">
        <v>543</v>
      </c>
      <c r="C39" s="11" t="s">
        <v>557</v>
      </c>
      <c r="D39" s="11" t="s">
        <v>500</v>
      </c>
      <c r="E39" s="11" t="s">
        <v>82</v>
      </c>
      <c r="F39" s="11" t="s">
        <v>501</v>
      </c>
      <c r="G39" s="11" t="n">
        <v>5</v>
      </c>
      <c r="H39" s="11" t="s">
        <v>545</v>
      </c>
      <c r="I39" s="11" t="s">
        <v>546</v>
      </c>
      <c r="J39" s="11" t="s">
        <v>547</v>
      </c>
      <c r="K39" s="11" t="s">
        <v>558</v>
      </c>
      <c r="L39" s="12" t="n">
        <f aca="false">COUNTIF($A$6:$A$48,A39)</f>
        <v>1</v>
      </c>
    </row>
    <row r="40" customFormat="false" ht="48" hidden="false" customHeight="true" outlineLevel="0" collapsed="false">
      <c r="A40" s="11" t="s">
        <v>559</v>
      </c>
      <c r="B40" s="11" t="s">
        <v>543</v>
      </c>
      <c r="C40" s="11" t="s">
        <v>560</v>
      </c>
      <c r="D40" s="11" t="s">
        <v>500</v>
      </c>
      <c r="E40" s="11" t="s">
        <v>77</v>
      </c>
      <c r="F40" s="11" t="s">
        <v>501</v>
      </c>
      <c r="G40" s="11" t="n">
        <v>5</v>
      </c>
      <c r="H40" s="11" t="s">
        <v>545</v>
      </c>
      <c r="I40" s="11" t="s">
        <v>546</v>
      </c>
      <c r="J40" s="11" t="s">
        <v>547</v>
      </c>
      <c r="K40" s="11" t="s">
        <v>561</v>
      </c>
      <c r="L40" s="12" t="n">
        <f aca="false">COUNTIF($A$6:$A$48,A40)</f>
        <v>1</v>
      </c>
    </row>
    <row r="41" customFormat="false" ht="48" hidden="false" customHeight="true" outlineLevel="0" collapsed="false">
      <c r="A41" s="11" t="s">
        <v>562</v>
      </c>
      <c r="B41" s="11" t="s">
        <v>543</v>
      </c>
      <c r="C41" s="11" t="s">
        <v>563</v>
      </c>
      <c r="D41" s="11" t="s">
        <v>500</v>
      </c>
      <c r="E41" s="11" t="s">
        <v>92</v>
      </c>
      <c r="F41" s="11" t="s">
        <v>501</v>
      </c>
      <c r="G41" s="11" t="n">
        <v>-10</v>
      </c>
      <c r="H41" s="11" t="s">
        <v>564</v>
      </c>
      <c r="I41" s="11" t="s">
        <v>546</v>
      </c>
      <c r="J41" s="11" t="s">
        <v>547</v>
      </c>
      <c r="K41" s="11" t="s">
        <v>565</v>
      </c>
      <c r="L41" s="12" t="n">
        <f aca="false">COUNTIF($A$6:$A$48,A41)</f>
        <v>1</v>
      </c>
    </row>
    <row r="42" customFormat="false" ht="48" hidden="false" customHeight="true" outlineLevel="0" collapsed="false">
      <c r="A42" s="11" t="s">
        <v>566</v>
      </c>
      <c r="B42" s="11" t="s">
        <v>543</v>
      </c>
      <c r="C42" s="11" t="s">
        <v>567</v>
      </c>
      <c r="D42" s="11" t="s">
        <v>500</v>
      </c>
      <c r="E42" s="11" t="s">
        <v>70</v>
      </c>
      <c r="F42" s="11" t="s">
        <v>501</v>
      </c>
      <c r="G42" s="11" t="n">
        <v>5</v>
      </c>
      <c r="H42" s="11" t="s">
        <v>545</v>
      </c>
      <c r="I42" s="11" t="s">
        <v>546</v>
      </c>
      <c r="J42" s="11" t="s">
        <v>547</v>
      </c>
      <c r="K42" s="11" t="s">
        <v>568</v>
      </c>
      <c r="L42" s="12" t="n">
        <f aca="false">COUNTIF($A$6:$A$48,A42)</f>
        <v>1</v>
      </c>
    </row>
    <row r="43" customFormat="false" ht="48" hidden="false" customHeight="true" outlineLevel="0" collapsed="false">
      <c r="A43" s="11" t="s">
        <v>569</v>
      </c>
      <c r="B43" s="11" t="s">
        <v>543</v>
      </c>
      <c r="C43" s="11" t="s">
        <v>567</v>
      </c>
      <c r="D43" s="11" t="s">
        <v>500</v>
      </c>
      <c r="E43" s="11" t="s">
        <v>79</v>
      </c>
      <c r="F43" s="11" t="s">
        <v>501</v>
      </c>
      <c r="G43" s="11" t="n">
        <v>10</v>
      </c>
      <c r="H43" s="11" t="s">
        <v>545</v>
      </c>
      <c r="I43" s="11" t="s">
        <v>546</v>
      </c>
      <c r="J43" s="11" t="s">
        <v>547</v>
      </c>
      <c r="K43" s="11" t="s">
        <v>568</v>
      </c>
      <c r="L43" s="12" t="n">
        <f aca="false">COUNTIF($A$6:$A$48,A43)</f>
        <v>1</v>
      </c>
    </row>
    <row r="44" customFormat="false" ht="48" hidden="false" customHeight="true" outlineLevel="0" collapsed="false">
      <c r="A44" s="11" t="s">
        <v>570</v>
      </c>
      <c r="B44" s="11" t="s">
        <v>543</v>
      </c>
      <c r="C44" s="11" t="s">
        <v>571</v>
      </c>
      <c r="D44" s="11" t="s">
        <v>500</v>
      </c>
      <c r="E44" s="11" t="s">
        <v>92</v>
      </c>
      <c r="F44" s="11" t="s">
        <v>501</v>
      </c>
      <c r="G44" s="11" t="n">
        <v>10</v>
      </c>
      <c r="H44" s="11" t="s">
        <v>545</v>
      </c>
      <c r="I44" s="11" t="s">
        <v>546</v>
      </c>
      <c r="J44" s="11" t="s">
        <v>547</v>
      </c>
      <c r="K44" s="11" t="s">
        <v>572</v>
      </c>
      <c r="L44" s="12" t="n">
        <f aca="false">COUNTIF($A$6:$A$48,A44)</f>
        <v>1</v>
      </c>
    </row>
    <row r="45" customFormat="false" ht="48" hidden="false" customHeight="true" outlineLevel="0" collapsed="false">
      <c r="A45" s="11" t="s">
        <v>573</v>
      </c>
      <c r="B45" s="11" t="s">
        <v>543</v>
      </c>
      <c r="C45" s="11" t="s">
        <v>574</v>
      </c>
      <c r="D45" s="11" t="s">
        <v>500</v>
      </c>
      <c r="E45" s="11" t="s">
        <v>70</v>
      </c>
      <c r="F45" s="11" t="s">
        <v>501</v>
      </c>
      <c r="G45" s="11" t="n">
        <v>-5</v>
      </c>
      <c r="H45" s="11" t="s">
        <v>545</v>
      </c>
      <c r="I45" s="11" t="s">
        <v>546</v>
      </c>
      <c r="J45" s="11" t="s">
        <v>547</v>
      </c>
      <c r="K45" s="11" t="s">
        <v>575</v>
      </c>
      <c r="L45" s="12" t="n">
        <f aca="false">COUNTIF($A$6:$A$48,A45)</f>
        <v>1</v>
      </c>
    </row>
    <row r="46" customFormat="false" ht="48" hidden="false" customHeight="true" outlineLevel="0" collapsed="false">
      <c r="A46" s="11" t="s">
        <v>576</v>
      </c>
      <c r="B46" s="11" t="s">
        <v>543</v>
      </c>
      <c r="C46" s="11" t="s">
        <v>574</v>
      </c>
      <c r="D46" s="11" t="s">
        <v>500</v>
      </c>
      <c r="E46" s="11" t="s">
        <v>77</v>
      </c>
      <c r="F46" s="11" t="s">
        <v>501</v>
      </c>
      <c r="G46" s="11" t="n">
        <v>-5</v>
      </c>
      <c r="H46" s="11" t="s">
        <v>545</v>
      </c>
      <c r="I46" s="11" t="s">
        <v>546</v>
      </c>
      <c r="J46" s="11" t="s">
        <v>547</v>
      </c>
      <c r="K46" s="11" t="s">
        <v>575</v>
      </c>
      <c r="L46" s="12" t="n">
        <f aca="false">COUNTIF($A$6:$A$48,A46)</f>
        <v>1</v>
      </c>
    </row>
    <row r="47" customFormat="false" ht="48" hidden="false" customHeight="true" outlineLevel="0" collapsed="false">
      <c r="A47" s="11" t="s">
        <v>577</v>
      </c>
      <c r="B47" s="11" t="s">
        <v>543</v>
      </c>
      <c r="C47" s="11" t="s">
        <v>574</v>
      </c>
      <c r="D47" s="11" t="s">
        <v>500</v>
      </c>
      <c r="E47" s="11" t="s">
        <v>79</v>
      </c>
      <c r="F47" s="11" t="s">
        <v>501</v>
      </c>
      <c r="G47" s="11" t="n">
        <v>-5</v>
      </c>
      <c r="H47" s="11" t="s">
        <v>545</v>
      </c>
      <c r="I47" s="11" t="s">
        <v>546</v>
      </c>
      <c r="J47" s="11" t="s">
        <v>547</v>
      </c>
      <c r="K47" s="11" t="s">
        <v>575</v>
      </c>
      <c r="L47" s="12" t="n">
        <f aca="false">COUNTIF($A$6:$A$48,A47)</f>
        <v>1</v>
      </c>
    </row>
    <row r="48" customFormat="false" ht="48" hidden="false" customHeight="true" outlineLevel="0" collapsed="false">
      <c r="A48" s="11" t="s">
        <v>578</v>
      </c>
      <c r="B48" s="11" t="s">
        <v>543</v>
      </c>
      <c r="C48" s="11" t="s">
        <v>574</v>
      </c>
      <c r="D48" s="11" t="s">
        <v>500</v>
      </c>
      <c r="E48" s="11" t="s">
        <v>86</v>
      </c>
      <c r="F48" s="11" t="s">
        <v>501</v>
      </c>
      <c r="G48" s="11" t="n">
        <v>10</v>
      </c>
      <c r="H48" s="11" t="s">
        <v>545</v>
      </c>
      <c r="I48" s="11" t="s">
        <v>546</v>
      </c>
      <c r="J48" s="11" t="s">
        <v>547</v>
      </c>
      <c r="K48" s="11" t="s">
        <v>575</v>
      </c>
      <c r="L48" s="12" t="n">
        <f aca="false">COUNTIF($A$6:$A$48,A48)</f>
        <v>1</v>
      </c>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25"/>
    <col collapsed="false" customWidth="true" hidden="false" outlineLevel="0" max="4" min="4" style="0" width="12"/>
    <col collapsed="false" customWidth="true" hidden="false" outlineLevel="0" max="5" min="5" style="0" width="22"/>
    <col collapsed="false" customWidth="true" hidden="false" outlineLevel="0" max="6" min="6" style="0" width="10"/>
    <col collapsed="false" customWidth="true" hidden="false" outlineLevel="0" max="7" min="7" style="0" width="40"/>
    <col collapsed="false" customWidth="true" hidden="false" outlineLevel="0" max="8" min="8" style="0" width="68"/>
    <col collapsed="false" customWidth="true" hidden="false" outlineLevel="0" max="9" min="9" style="0" width="30"/>
    <col collapsed="false" customWidth="true" hidden="false" outlineLevel="0" max="10" min="10" style="0" width="70"/>
    <col collapsed="false" customWidth="true" hidden="false" outlineLevel="0" max="11" min="11" style="0" width="22"/>
    <col collapsed="false" customWidth="true" hidden="false" outlineLevel="0" max="12" min="12" style="0" width="18"/>
    <col collapsed="false" customWidth="true" hidden="false" outlineLevel="0" max="13" min="13" style="0" width="50"/>
    <col collapsed="false" customWidth="true" hidden="false" outlineLevel="0" max="14" min="14" style="0" width="58"/>
    <col collapsed="false" customWidth="true" hidden="false" outlineLevel="0" max="15" min="15" style="0" width="12"/>
    <col collapsed="false" customWidth="true" hidden="false" outlineLevel="0" max="16" min="16" style="0" width="10"/>
  </cols>
  <sheetData>
    <row r="1" customFormat="false" ht="30" hidden="false" customHeight="true" outlineLevel="0" collapsed="false">
      <c r="A1" s="13" t="s">
        <v>579</v>
      </c>
      <c r="B1" s="13"/>
      <c r="C1" s="13"/>
      <c r="D1" s="13"/>
      <c r="E1" s="13"/>
      <c r="F1" s="13"/>
      <c r="G1" s="13"/>
      <c r="H1" s="13"/>
      <c r="I1" s="13"/>
      <c r="J1" s="13"/>
      <c r="K1" s="13"/>
      <c r="L1" s="13"/>
      <c r="M1" s="13"/>
      <c r="N1" s="13"/>
      <c r="O1" s="13"/>
      <c r="P1" s="13"/>
      <c r="Q1" s="14"/>
    </row>
    <row r="2" customFormat="false" ht="42" hidden="false" customHeight="true" outlineLevel="0" collapsed="false">
      <c r="A2" s="15" t="s">
        <v>580</v>
      </c>
      <c r="B2" s="15"/>
      <c r="C2" s="15"/>
      <c r="D2" s="15"/>
      <c r="E2" s="15"/>
      <c r="F2" s="15"/>
      <c r="G2" s="15"/>
      <c r="H2" s="15"/>
      <c r="I2" s="15"/>
      <c r="J2" s="15"/>
      <c r="K2" s="15"/>
      <c r="L2" s="15"/>
      <c r="M2" s="15"/>
      <c r="N2" s="15"/>
      <c r="O2" s="15"/>
      <c r="P2" s="15"/>
      <c r="Q2" s="14"/>
    </row>
    <row r="3" customFormat="false" ht="15" hidden="false" customHeight="false" outlineLevel="0" collapsed="false">
      <c r="A3" s="16"/>
      <c r="B3" s="16"/>
      <c r="C3" s="16"/>
      <c r="D3" s="16"/>
      <c r="E3" s="16"/>
      <c r="F3" s="16"/>
      <c r="G3" s="16"/>
      <c r="H3" s="16"/>
      <c r="I3" s="16"/>
      <c r="J3" s="16"/>
      <c r="K3" s="16"/>
      <c r="L3" s="16"/>
      <c r="M3" s="16"/>
      <c r="N3" s="16"/>
      <c r="O3" s="16"/>
      <c r="P3" s="16"/>
      <c r="Q3" s="14"/>
    </row>
    <row r="4" customFormat="false" ht="15" hidden="false" customHeight="false" outlineLevel="0" collapsed="false">
      <c r="A4" s="14"/>
      <c r="B4" s="14"/>
      <c r="C4" s="14"/>
      <c r="D4" s="14"/>
      <c r="E4" s="14"/>
      <c r="F4" s="14"/>
      <c r="G4" s="14"/>
      <c r="H4" s="14"/>
      <c r="I4" s="14"/>
      <c r="J4" s="14"/>
      <c r="K4" s="14"/>
      <c r="L4" s="14"/>
      <c r="M4" s="14"/>
      <c r="N4" s="14"/>
      <c r="O4" s="14"/>
      <c r="P4" s="14"/>
      <c r="Q4" s="14"/>
    </row>
    <row r="5" customFormat="false" ht="38" hidden="false" customHeight="true" outlineLevel="0" collapsed="false">
      <c r="A5" s="17" t="s">
        <v>581</v>
      </c>
      <c r="B5" s="17" t="s">
        <v>59</v>
      </c>
      <c r="C5" s="17" t="s">
        <v>582</v>
      </c>
      <c r="D5" s="17" t="s">
        <v>583</v>
      </c>
      <c r="E5" s="17" t="s">
        <v>584</v>
      </c>
      <c r="F5" s="17" t="s">
        <v>585</v>
      </c>
      <c r="G5" s="17" t="s">
        <v>586</v>
      </c>
      <c r="H5" s="17" t="s">
        <v>587</v>
      </c>
      <c r="I5" s="17" t="s">
        <v>588</v>
      </c>
      <c r="J5" s="17" t="s">
        <v>589</v>
      </c>
      <c r="K5" s="17" t="s">
        <v>590</v>
      </c>
      <c r="L5" s="17" t="s">
        <v>591</v>
      </c>
      <c r="M5" s="17" t="s">
        <v>67</v>
      </c>
      <c r="N5" s="17" t="s">
        <v>68</v>
      </c>
      <c r="O5" s="17" t="s">
        <v>104</v>
      </c>
      <c r="P5" s="17" t="s">
        <v>69</v>
      </c>
      <c r="Q5" s="14" t="s">
        <v>592</v>
      </c>
    </row>
    <row r="6" customFormat="false" ht="82" hidden="false" customHeight="true" outlineLevel="0" collapsed="false">
      <c r="A6" s="18" t="s">
        <v>593</v>
      </c>
      <c r="B6" s="18" t="s">
        <v>594</v>
      </c>
      <c r="C6" s="18" t="s">
        <v>595</v>
      </c>
      <c r="D6" s="18" t="n">
        <v>1</v>
      </c>
      <c r="E6" s="18" t="s">
        <v>596</v>
      </c>
      <c r="F6" s="18" t="n">
        <v>6</v>
      </c>
      <c r="G6" s="18" t="s">
        <v>597</v>
      </c>
      <c r="H6" s="18" t="s">
        <v>598</v>
      </c>
      <c r="I6" s="18" t="s">
        <v>599</v>
      </c>
      <c r="J6" s="18" t="s">
        <v>600</v>
      </c>
      <c r="K6" s="18"/>
      <c r="L6" s="18" t="s">
        <v>601</v>
      </c>
      <c r="M6" s="18" t="s">
        <v>602</v>
      </c>
      <c r="N6" s="18" t="s">
        <v>603</v>
      </c>
      <c r="O6" s="19" t="s">
        <v>115</v>
      </c>
      <c r="P6" s="19" t="n">
        <f aca="false">COUNTIF($A$6:$A$28,A6)</f>
        <v>1</v>
      </c>
      <c r="Q6" s="14" t="s">
        <v>86</v>
      </c>
    </row>
    <row r="7" customFormat="false" ht="82" hidden="false" customHeight="true" outlineLevel="0" collapsed="false">
      <c r="A7" s="18" t="s">
        <v>544</v>
      </c>
      <c r="B7" s="18" t="s">
        <v>604</v>
      </c>
      <c r="C7" s="18" t="s">
        <v>595</v>
      </c>
      <c r="D7" s="18" t="n">
        <v>1</v>
      </c>
      <c r="E7" s="18" t="s">
        <v>596</v>
      </c>
      <c r="F7" s="18" t="n">
        <v>7</v>
      </c>
      <c r="G7" s="18" t="s">
        <v>597</v>
      </c>
      <c r="H7" s="18" t="s">
        <v>598</v>
      </c>
      <c r="I7" s="18" t="s">
        <v>605</v>
      </c>
      <c r="J7" s="18" t="s">
        <v>600</v>
      </c>
      <c r="K7" s="18"/>
      <c r="L7" s="18" t="s">
        <v>548</v>
      </c>
      <c r="M7" s="18" t="s">
        <v>606</v>
      </c>
      <c r="N7" s="18" t="s">
        <v>607</v>
      </c>
      <c r="O7" s="19" t="s">
        <v>115</v>
      </c>
      <c r="P7" s="19" t="n">
        <f aca="false">COUNTIF($A$6:$A$28,A7)</f>
        <v>1</v>
      </c>
      <c r="Q7" s="14" t="s">
        <v>608</v>
      </c>
    </row>
    <row r="8" customFormat="false" ht="82" hidden="false" customHeight="true" outlineLevel="0" collapsed="false">
      <c r="A8" s="18" t="s">
        <v>550</v>
      </c>
      <c r="B8" s="18" t="s">
        <v>609</v>
      </c>
      <c r="C8" s="18" t="s">
        <v>595</v>
      </c>
      <c r="D8" s="18" t="n">
        <v>1</v>
      </c>
      <c r="E8" s="18" t="s">
        <v>596</v>
      </c>
      <c r="F8" s="18" t="n">
        <v>6</v>
      </c>
      <c r="G8" s="18" t="s">
        <v>597</v>
      </c>
      <c r="H8" s="18" t="s">
        <v>610</v>
      </c>
      <c r="I8" s="18" t="s">
        <v>605</v>
      </c>
      <c r="J8" s="18" t="s">
        <v>600</v>
      </c>
      <c r="K8" s="18"/>
      <c r="L8" s="18" t="s">
        <v>551</v>
      </c>
      <c r="M8" s="18" t="s">
        <v>611</v>
      </c>
      <c r="N8" s="18" t="s">
        <v>612</v>
      </c>
      <c r="O8" s="19" t="s">
        <v>115</v>
      </c>
      <c r="P8" s="19" t="n">
        <f aca="false">COUNTIF($A$6:$A$28,A8)</f>
        <v>1</v>
      </c>
      <c r="Q8" s="14" t="s">
        <v>88</v>
      </c>
    </row>
    <row r="9" customFormat="false" ht="82" hidden="false" customHeight="true" outlineLevel="0" collapsed="false">
      <c r="A9" s="18" t="s">
        <v>613</v>
      </c>
      <c r="B9" s="18" t="s">
        <v>245</v>
      </c>
      <c r="C9" s="18" t="s">
        <v>595</v>
      </c>
      <c r="D9" s="18" t="n">
        <v>1</v>
      </c>
      <c r="E9" s="18" t="s">
        <v>596</v>
      </c>
      <c r="F9" s="18" t="n">
        <v>6</v>
      </c>
      <c r="G9" s="18" t="s">
        <v>597</v>
      </c>
      <c r="H9" s="18" t="s">
        <v>614</v>
      </c>
      <c r="I9" s="18" t="s">
        <v>605</v>
      </c>
      <c r="J9" s="18" t="s">
        <v>600</v>
      </c>
      <c r="K9" s="18"/>
      <c r="L9" s="18" t="s">
        <v>615</v>
      </c>
      <c r="M9" s="18" t="s">
        <v>616</v>
      </c>
      <c r="N9" s="18" t="s">
        <v>617</v>
      </c>
      <c r="O9" s="19" t="s">
        <v>115</v>
      </c>
      <c r="P9" s="19" t="n">
        <f aca="false">COUNTIF($A$6:$A$28,A9)</f>
        <v>1</v>
      </c>
      <c r="Q9" s="14" t="s">
        <v>88</v>
      </c>
    </row>
    <row r="10" customFormat="false" ht="82" hidden="false" customHeight="true" outlineLevel="0" collapsed="false">
      <c r="A10" s="18" t="s">
        <v>618</v>
      </c>
      <c r="B10" s="18" t="s">
        <v>619</v>
      </c>
      <c r="C10" s="18" t="s">
        <v>595</v>
      </c>
      <c r="D10" s="18" t="n">
        <v>1</v>
      </c>
      <c r="E10" s="18" t="s">
        <v>596</v>
      </c>
      <c r="F10" s="18" t="n">
        <v>6</v>
      </c>
      <c r="G10" s="18" t="s">
        <v>597</v>
      </c>
      <c r="H10" s="18" t="s">
        <v>598</v>
      </c>
      <c r="I10" s="18" t="s">
        <v>605</v>
      </c>
      <c r="J10" s="18" t="s">
        <v>600</v>
      </c>
      <c r="K10" s="18"/>
      <c r="L10" s="18" t="s">
        <v>620</v>
      </c>
      <c r="M10" s="18" t="s">
        <v>621</v>
      </c>
      <c r="N10" s="18" t="s">
        <v>622</v>
      </c>
      <c r="O10" s="19" t="s">
        <v>115</v>
      </c>
      <c r="P10" s="19" t="n">
        <f aca="false">COUNTIF($A$6:$A$28,A10)</f>
        <v>1</v>
      </c>
      <c r="Q10" s="14" t="s">
        <v>623</v>
      </c>
    </row>
    <row r="11" customFormat="false" ht="82" hidden="false" customHeight="true" outlineLevel="0" collapsed="false">
      <c r="A11" s="18" t="s">
        <v>553</v>
      </c>
      <c r="B11" s="18" t="s">
        <v>624</v>
      </c>
      <c r="C11" s="18" t="s">
        <v>595</v>
      </c>
      <c r="D11" s="18" t="n">
        <v>1</v>
      </c>
      <c r="E11" s="18" t="s">
        <v>596</v>
      </c>
      <c r="F11" s="18" t="n">
        <v>6</v>
      </c>
      <c r="G11" s="18" t="s">
        <v>597</v>
      </c>
      <c r="H11" s="18" t="s">
        <v>625</v>
      </c>
      <c r="I11" s="18" t="s">
        <v>605</v>
      </c>
      <c r="J11" s="18" t="s">
        <v>600</v>
      </c>
      <c r="K11" s="18"/>
      <c r="L11" s="18" t="s">
        <v>554</v>
      </c>
      <c r="M11" s="18" t="s">
        <v>626</v>
      </c>
      <c r="N11" s="18" t="s">
        <v>627</v>
      </c>
      <c r="O11" s="19" t="s">
        <v>115</v>
      </c>
      <c r="P11" s="19" t="n">
        <f aca="false">COUNTIF($A$6:$A$28,A11)</f>
        <v>1</v>
      </c>
      <c r="Q11" s="14" t="s">
        <v>608</v>
      </c>
    </row>
    <row r="12" customFormat="false" ht="82" hidden="false" customHeight="true" outlineLevel="0" collapsed="false">
      <c r="A12" s="18" t="s">
        <v>628</v>
      </c>
      <c r="B12" s="18" t="s">
        <v>629</v>
      </c>
      <c r="C12" s="18" t="s">
        <v>595</v>
      </c>
      <c r="D12" s="18" t="n">
        <v>1</v>
      </c>
      <c r="E12" s="18" t="s">
        <v>596</v>
      </c>
      <c r="F12" s="18" t="n">
        <v>6</v>
      </c>
      <c r="G12" s="18" t="s">
        <v>597</v>
      </c>
      <c r="H12" s="18" t="s">
        <v>630</v>
      </c>
      <c r="I12" s="18" t="s">
        <v>631</v>
      </c>
      <c r="J12" s="18" t="s">
        <v>600</v>
      </c>
      <c r="K12" s="18"/>
      <c r="L12" s="18" t="s">
        <v>632</v>
      </c>
      <c r="M12" s="18" t="s">
        <v>633</v>
      </c>
      <c r="N12" s="18" t="s">
        <v>634</v>
      </c>
      <c r="O12" s="19" t="s">
        <v>115</v>
      </c>
      <c r="P12" s="19" t="n">
        <f aca="false">COUNTIF($A$6:$A$28,A12)</f>
        <v>1</v>
      </c>
      <c r="Q12" s="14" t="s">
        <v>635</v>
      </c>
    </row>
    <row r="13" customFormat="false" ht="82" hidden="false" customHeight="true" outlineLevel="0" collapsed="false">
      <c r="A13" s="18" t="s">
        <v>636</v>
      </c>
      <c r="B13" s="18" t="s">
        <v>637</v>
      </c>
      <c r="C13" s="18" t="s">
        <v>595</v>
      </c>
      <c r="D13" s="18" t="n">
        <v>1</v>
      </c>
      <c r="E13" s="18" t="s">
        <v>596</v>
      </c>
      <c r="F13" s="18" t="n">
        <v>6</v>
      </c>
      <c r="G13" s="18" t="s">
        <v>597</v>
      </c>
      <c r="H13" s="18" t="s">
        <v>638</v>
      </c>
      <c r="I13" s="18" t="s">
        <v>639</v>
      </c>
      <c r="J13" s="18" t="s">
        <v>600</v>
      </c>
      <c r="K13" s="18"/>
      <c r="L13" s="18" t="s">
        <v>640</v>
      </c>
      <c r="M13" s="18" t="s">
        <v>641</v>
      </c>
      <c r="N13" s="18" t="s">
        <v>642</v>
      </c>
      <c r="O13" s="19" t="s">
        <v>115</v>
      </c>
      <c r="P13" s="19" t="n">
        <f aca="false">COUNTIF($A$6:$A$28,A13)</f>
        <v>1</v>
      </c>
      <c r="Q13" s="14" t="s">
        <v>643</v>
      </c>
    </row>
    <row r="14" customFormat="false" ht="82" hidden="false" customHeight="true" outlineLevel="0" collapsed="false">
      <c r="A14" s="18" t="s">
        <v>644</v>
      </c>
      <c r="B14" s="18" t="s">
        <v>645</v>
      </c>
      <c r="C14" s="18" t="s">
        <v>595</v>
      </c>
      <c r="D14" s="18" t="n">
        <v>1</v>
      </c>
      <c r="E14" s="18" t="s">
        <v>596</v>
      </c>
      <c r="F14" s="18" t="n">
        <v>6</v>
      </c>
      <c r="G14" s="18" t="s">
        <v>597</v>
      </c>
      <c r="H14" s="18" t="s">
        <v>614</v>
      </c>
      <c r="I14" s="18" t="s">
        <v>605</v>
      </c>
      <c r="J14" s="18" t="s">
        <v>600</v>
      </c>
      <c r="K14" s="18"/>
      <c r="L14" s="18" t="s">
        <v>646</v>
      </c>
      <c r="M14" s="18" t="s">
        <v>647</v>
      </c>
      <c r="N14" s="18" t="s">
        <v>648</v>
      </c>
      <c r="O14" s="19" t="s">
        <v>115</v>
      </c>
      <c r="P14" s="19" t="n">
        <f aca="false">COUNTIF($A$6:$A$28,A14)</f>
        <v>1</v>
      </c>
      <c r="Q14" s="14" t="s">
        <v>649</v>
      </c>
    </row>
    <row r="15" customFormat="false" ht="82" hidden="false" customHeight="true" outlineLevel="0" collapsed="false">
      <c r="A15" s="18" t="s">
        <v>650</v>
      </c>
      <c r="B15" s="18" t="s">
        <v>651</v>
      </c>
      <c r="C15" s="18" t="s">
        <v>595</v>
      </c>
      <c r="D15" s="18" t="n">
        <v>1</v>
      </c>
      <c r="E15" s="18" t="s">
        <v>596</v>
      </c>
      <c r="F15" s="18" t="n">
        <v>6</v>
      </c>
      <c r="G15" s="18" t="s">
        <v>597</v>
      </c>
      <c r="H15" s="18" t="s">
        <v>598</v>
      </c>
      <c r="I15" s="18" t="s">
        <v>605</v>
      </c>
      <c r="J15" s="18" t="s">
        <v>600</v>
      </c>
      <c r="K15" s="18"/>
      <c r="L15" s="18" t="s">
        <v>652</v>
      </c>
      <c r="M15" s="18" t="s">
        <v>653</v>
      </c>
      <c r="N15" s="18" t="s">
        <v>654</v>
      </c>
      <c r="O15" s="19" t="s">
        <v>115</v>
      </c>
      <c r="P15" s="19" t="n">
        <f aca="false">COUNTIF($A$6:$A$28,A15)</f>
        <v>1</v>
      </c>
      <c r="Q15" s="14" t="s">
        <v>655</v>
      </c>
    </row>
    <row r="16" customFormat="false" ht="82" hidden="false" customHeight="true" outlineLevel="0" collapsed="false">
      <c r="A16" s="18" t="s">
        <v>656</v>
      </c>
      <c r="B16" s="18" t="s">
        <v>657</v>
      </c>
      <c r="C16" s="18" t="s">
        <v>595</v>
      </c>
      <c r="D16" s="18" t="n">
        <v>1</v>
      </c>
      <c r="E16" s="18" t="s">
        <v>596</v>
      </c>
      <c r="F16" s="18" t="n">
        <v>6</v>
      </c>
      <c r="G16" s="18" t="s">
        <v>597</v>
      </c>
      <c r="H16" s="18" t="s">
        <v>598</v>
      </c>
      <c r="I16" s="18" t="s">
        <v>605</v>
      </c>
      <c r="J16" s="18" t="s">
        <v>600</v>
      </c>
      <c r="K16" s="18"/>
      <c r="L16" s="18" t="s">
        <v>658</v>
      </c>
      <c r="M16" s="18" t="s">
        <v>659</v>
      </c>
      <c r="N16" s="18" t="s">
        <v>660</v>
      </c>
      <c r="O16" s="19" t="s">
        <v>115</v>
      </c>
      <c r="P16" s="19" t="n">
        <f aca="false">COUNTIF($A$6:$A$28,A16)</f>
        <v>1</v>
      </c>
      <c r="Q16" s="14" t="s">
        <v>661</v>
      </c>
    </row>
    <row r="17" customFormat="false" ht="82" hidden="false" customHeight="true" outlineLevel="0" collapsed="false">
      <c r="A17" s="18" t="s">
        <v>662</v>
      </c>
      <c r="B17" s="18" t="s">
        <v>663</v>
      </c>
      <c r="C17" s="18" t="s">
        <v>595</v>
      </c>
      <c r="D17" s="18" t="n">
        <v>1</v>
      </c>
      <c r="E17" s="18" t="s">
        <v>596</v>
      </c>
      <c r="F17" s="18" t="n">
        <v>6</v>
      </c>
      <c r="G17" s="18" t="s">
        <v>597</v>
      </c>
      <c r="H17" s="18" t="s">
        <v>598</v>
      </c>
      <c r="I17" s="18" t="s">
        <v>605</v>
      </c>
      <c r="J17" s="18" t="s">
        <v>600</v>
      </c>
      <c r="K17" s="18"/>
      <c r="L17" s="18" t="s">
        <v>664</v>
      </c>
      <c r="M17" s="18" t="s">
        <v>665</v>
      </c>
      <c r="N17" s="18" t="s">
        <v>666</v>
      </c>
      <c r="O17" s="19" t="s">
        <v>115</v>
      </c>
      <c r="P17" s="19" t="n">
        <f aca="false">COUNTIF($A$6:$A$28,A17)</f>
        <v>1</v>
      </c>
      <c r="Q17" s="14" t="s">
        <v>608</v>
      </c>
    </row>
    <row r="18" customFormat="false" ht="82" hidden="false" customHeight="true" outlineLevel="0" collapsed="false">
      <c r="A18" s="18" t="s">
        <v>667</v>
      </c>
      <c r="B18" s="18" t="s">
        <v>668</v>
      </c>
      <c r="C18" s="18" t="s">
        <v>595</v>
      </c>
      <c r="D18" s="18" t="n">
        <v>1</v>
      </c>
      <c r="E18" s="18" t="s">
        <v>596</v>
      </c>
      <c r="F18" s="18" t="n">
        <v>6</v>
      </c>
      <c r="G18" s="18" t="s">
        <v>597</v>
      </c>
      <c r="H18" s="18" t="s">
        <v>669</v>
      </c>
      <c r="I18" s="18" t="s">
        <v>605</v>
      </c>
      <c r="J18" s="18" t="s">
        <v>600</v>
      </c>
      <c r="K18" s="18"/>
      <c r="L18" s="18" t="s">
        <v>670</v>
      </c>
      <c r="M18" s="18" t="s">
        <v>671</v>
      </c>
      <c r="N18" s="18" t="s">
        <v>672</v>
      </c>
      <c r="O18" s="19" t="s">
        <v>115</v>
      </c>
      <c r="P18" s="19" t="n">
        <f aca="false">COUNTIF($A$6:$A$28,A18)</f>
        <v>1</v>
      </c>
      <c r="Q18" s="14" t="s">
        <v>673</v>
      </c>
    </row>
    <row r="19" customFormat="false" ht="82" hidden="false" customHeight="true" outlineLevel="0" collapsed="false">
      <c r="A19" s="18" t="s">
        <v>674</v>
      </c>
      <c r="B19" s="18" t="s">
        <v>675</v>
      </c>
      <c r="C19" s="18" t="s">
        <v>595</v>
      </c>
      <c r="D19" s="18" t="n">
        <v>1</v>
      </c>
      <c r="E19" s="18" t="s">
        <v>596</v>
      </c>
      <c r="F19" s="18" t="n">
        <v>7</v>
      </c>
      <c r="G19" s="18" t="s">
        <v>597</v>
      </c>
      <c r="H19" s="18" t="s">
        <v>614</v>
      </c>
      <c r="I19" s="18" t="s">
        <v>605</v>
      </c>
      <c r="J19" s="18" t="s">
        <v>600</v>
      </c>
      <c r="K19" s="18"/>
      <c r="L19" s="18" t="s">
        <v>676</v>
      </c>
      <c r="M19" s="18" t="s">
        <v>677</v>
      </c>
      <c r="N19" s="18" t="s">
        <v>678</v>
      </c>
      <c r="O19" s="19" t="s">
        <v>115</v>
      </c>
      <c r="P19" s="19" t="n">
        <f aca="false">COUNTIF($A$6:$A$28,A19)</f>
        <v>1</v>
      </c>
      <c r="Q19" s="14" t="s">
        <v>679</v>
      </c>
    </row>
    <row r="20" customFormat="false" ht="82" hidden="false" customHeight="true" outlineLevel="0" collapsed="false">
      <c r="A20" s="18" t="s">
        <v>680</v>
      </c>
      <c r="B20" s="18" t="s">
        <v>681</v>
      </c>
      <c r="C20" s="18" t="s">
        <v>595</v>
      </c>
      <c r="D20" s="18" t="n">
        <v>1</v>
      </c>
      <c r="E20" s="18" t="s">
        <v>596</v>
      </c>
      <c r="F20" s="18" t="n">
        <v>6</v>
      </c>
      <c r="G20" s="18" t="s">
        <v>597</v>
      </c>
      <c r="H20" s="18" t="s">
        <v>669</v>
      </c>
      <c r="I20" s="18" t="s">
        <v>605</v>
      </c>
      <c r="J20" s="18" t="s">
        <v>600</v>
      </c>
      <c r="K20" s="18"/>
      <c r="L20" s="18" t="s">
        <v>682</v>
      </c>
      <c r="M20" s="18" t="s">
        <v>683</v>
      </c>
      <c r="N20" s="18" t="s">
        <v>684</v>
      </c>
      <c r="O20" s="19" t="s">
        <v>115</v>
      </c>
      <c r="P20" s="19" t="n">
        <f aca="false">COUNTIF($A$6:$A$28,A20)</f>
        <v>1</v>
      </c>
      <c r="Q20" s="14" t="s">
        <v>673</v>
      </c>
    </row>
    <row r="21" customFormat="false" ht="82" hidden="false" customHeight="true" outlineLevel="0" collapsed="false">
      <c r="A21" s="18" t="s">
        <v>557</v>
      </c>
      <c r="B21" s="18" t="s">
        <v>685</v>
      </c>
      <c r="C21" s="18" t="s">
        <v>595</v>
      </c>
      <c r="D21" s="18" t="n">
        <v>1</v>
      </c>
      <c r="E21" s="18" t="s">
        <v>596</v>
      </c>
      <c r="F21" s="18" t="n">
        <v>7</v>
      </c>
      <c r="G21" s="18" t="s">
        <v>597</v>
      </c>
      <c r="H21" s="18" t="s">
        <v>686</v>
      </c>
      <c r="I21" s="18" t="s">
        <v>605</v>
      </c>
      <c r="J21" s="18" t="s">
        <v>600</v>
      </c>
      <c r="K21" s="18"/>
      <c r="L21" s="18" t="s">
        <v>558</v>
      </c>
      <c r="M21" s="18" t="s">
        <v>687</v>
      </c>
      <c r="N21" s="18" t="s">
        <v>688</v>
      </c>
      <c r="O21" s="19" t="s">
        <v>115</v>
      </c>
      <c r="P21" s="19" t="n">
        <f aca="false">COUNTIF($A$6:$A$28,A21)</f>
        <v>1</v>
      </c>
      <c r="Q21" s="14" t="s">
        <v>623</v>
      </c>
    </row>
    <row r="22" customFormat="false" ht="82" hidden="false" customHeight="true" outlineLevel="0" collapsed="false">
      <c r="A22" s="18" t="s">
        <v>689</v>
      </c>
      <c r="B22" s="18" t="s">
        <v>690</v>
      </c>
      <c r="C22" s="18" t="s">
        <v>595</v>
      </c>
      <c r="D22" s="18" t="n">
        <v>1</v>
      </c>
      <c r="E22" s="18" t="s">
        <v>596</v>
      </c>
      <c r="F22" s="18" t="n">
        <v>7</v>
      </c>
      <c r="G22" s="18" t="s">
        <v>597</v>
      </c>
      <c r="H22" s="18" t="s">
        <v>598</v>
      </c>
      <c r="I22" s="18" t="s">
        <v>639</v>
      </c>
      <c r="J22" s="18" t="s">
        <v>600</v>
      </c>
      <c r="K22" s="18"/>
      <c r="L22" s="18" t="s">
        <v>691</v>
      </c>
      <c r="M22" s="18" t="s">
        <v>692</v>
      </c>
      <c r="N22" s="18" t="s">
        <v>693</v>
      </c>
      <c r="O22" s="19" t="s">
        <v>115</v>
      </c>
      <c r="P22" s="19" t="n">
        <f aca="false">COUNTIF($A$6:$A$28,A22)</f>
        <v>1</v>
      </c>
      <c r="Q22" s="14" t="s">
        <v>694</v>
      </c>
    </row>
    <row r="23" customFormat="false" ht="82" hidden="false" customHeight="true" outlineLevel="0" collapsed="false">
      <c r="A23" s="18" t="s">
        <v>695</v>
      </c>
      <c r="B23" s="18" t="s">
        <v>696</v>
      </c>
      <c r="C23" s="18" t="s">
        <v>595</v>
      </c>
      <c r="D23" s="18" t="n">
        <v>1</v>
      </c>
      <c r="E23" s="18" t="s">
        <v>596</v>
      </c>
      <c r="F23" s="18" t="n">
        <v>6</v>
      </c>
      <c r="G23" s="18" t="s">
        <v>597</v>
      </c>
      <c r="H23" s="18" t="s">
        <v>625</v>
      </c>
      <c r="I23" s="18" t="s">
        <v>605</v>
      </c>
      <c r="J23" s="18" t="s">
        <v>600</v>
      </c>
      <c r="K23" s="18"/>
      <c r="L23" s="18" t="s">
        <v>697</v>
      </c>
      <c r="M23" s="18" t="s">
        <v>698</v>
      </c>
      <c r="N23" s="18" t="s">
        <v>699</v>
      </c>
      <c r="O23" s="19" t="s">
        <v>115</v>
      </c>
      <c r="P23" s="19" t="n">
        <f aca="false">COUNTIF($A$6:$A$28,A23)</f>
        <v>1</v>
      </c>
      <c r="Q23" s="14" t="s">
        <v>649</v>
      </c>
    </row>
    <row r="24" customFormat="false" ht="82" hidden="false" customHeight="true" outlineLevel="0" collapsed="false">
      <c r="A24" s="18" t="s">
        <v>560</v>
      </c>
      <c r="B24" s="18" t="s">
        <v>700</v>
      </c>
      <c r="C24" s="18" t="s">
        <v>595</v>
      </c>
      <c r="D24" s="18" t="n">
        <v>1</v>
      </c>
      <c r="E24" s="18" t="s">
        <v>596</v>
      </c>
      <c r="F24" s="18" t="n">
        <v>6</v>
      </c>
      <c r="G24" s="18" t="s">
        <v>597</v>
      </c>
      <c r="H24" s="18" t="s">
        <v>686</v>
      </c>
      <c r="I24" s="18" t="s">
        <v>605</v>
      </c>
      <c r="J24" s="18" t="s">
        <v>600</v>
      </c>
      <c r="K24" s="18"/>
      <c r="L24" s="18" t="s">
        <v>561</v>
      </c>
      <c r="M24" s="18" t="s">
        <v>701</v>
      </c>
      <c r="N24" s="18" t="s">
        <v>702</v>
      </c>
      <c r="O24" s="19" t="s">
        <v>115</v>
      </c>
      <c r="P24" s="19" t="n">
        <f aca="false">COUNTIF($A$6:$A$28,A24)</f>
        <v>1</v>
      </c>
      <c r="Q24" s="14" t="s">
        <v>655</v>
      </c>
    </row>
    <row r="25" customFormat="false" ht="82" hidden="false" customHeight="true" outlineLevel="0" collapsed="false">
      <c r="A25" s="18" t="s">
        <v>563</v>
      </c>
      <c r="B25" s="18" t="s">
        <v>703</v>
      </c>
      <c r="C25" s="18" t="s">
        <v>595</v>
      </c>
      <c r="D25" s="18" t="n">
        <v>1</v>
      </c>
      <c r="E25" s="18" t="s">
        <v>596</v>
      </c>
      <c r="F25" s="18" t="n">
        <v>6</v>
      </c>
      <c r="G25" s="18" t="s">
        <v>597</v>
      </c>
      <c r="H25" s="18" t="s">
        <v>598</v>
      </c>
      <c r="I25" s="18" t="s">
        <v>605</v>
      </c>
      <c r="J25" s="18" t="s">
        <v>600</v>
      </c>
      <c r="K25" s="18"/>
      <c r="L25" s="18" t="s">
        <v>565</v>
      </c>
      <c r="M25" s="18" t="s">
        <v>704</v>
      </c>
      <c r="N25" s="18" t="s">
        <v>705</v>
      </c>
      <c r="O25" s="19" t="s">
        <v>115</v>
      </c>
      <c r="P25" s="19" t="n">
        <f aca="false">COUNTIF($A$6:$A$28,A25)</f>
        <v>1</v>
      </c>
      <c r="Q25" s="14" t="s">
        <v>661</v>
      </c>
    </row>
    <row r="26" customFormat="false" ht="82" hidden="false" customHeight="true" outlineLevel="0" collapsed="false">
      <c r="A26" s="18" t="s">
        <v>567</v>
      </c>
      <c r="B26" s="18" t="s">
        <v>706</v>
      </c>
      <c r="C26" s="18" t="s">
        <v>707</v>
      </c>
      <c r="D26" s="18" t="n">
        <v>4</v>
      </c>
      <c r="E26" s="18" t="s">
        <v>122</v>
      </c>
      <c r="F26" s="18" t="n">
        <v>6</v>
      </c>
      <c r="G26" s="18" t="s">
        <v>597</v>
      </c>
      <c r="H26" s="18" t="s">
        <v>708</v>
      </c>
      <c r="I26" s="18" t="s">
        <v>605</v>
      </c>
      <c r="J26" s="18" t="s">
        <v>709</v>
      </c>
      <c r="K26" s="18" t="s">
        <v>568</v>
      </c>
      <c r="L26" s="18" t="s">
        <v>568</v>
      </c>
      <c r="M26" s="18" t="s">
        <v>710</v>
      </c>
      <c r="N26" s="18" t="s">
        <v>711</v>
      </c>
      <c r="O26" s="19" t="s">
        <v>115</v>
      </c>
      <c r="P26" s="19" t="n">
        <f aca="false">COUNTIF($A$6:$A$28,A26)</f>
        <v>1</v>
      </c>
      <c r="Q26" s="14" t="s">
        <v>712</v>
      </c>
    </row>
    <row r="27" customFormat="false" ht="82" hidden="false" customHeight="true" outlineLevel="0" collapsed="false">
      <c r="A27" s="18" t="s">
        <v>571</v>
      </c>
      <c r="B27" s="18" t="s">
        <v>713</v>
      </c>
      <c r="C27" s="18" t="s">
        <v>707</v>
      </c>
      <c r="D27" s="18" t="n">
        <v>4</v>
      </c>
      <c r="E27" s="18" t="s">
        <v>122</v>
      </c>
      <c r="F27" s="18" t="n">
        <v>6</v>
      </c>
      <c r="G27" s="18" t="s">
        <v>597</v>
      </c>
      <c r="H27" s="18" t="s">
        <v>708</v>
      </c>
      <c r="I27" s="18" t="s">
        <v>605</v>
      </c>
      <c r="J27" s="18" t="s">
        <v>714</v>
      </c>
      <c r="K27" s="18" t="s">
        <v>572</v>
      </c>
      <c r="L27" s="18" t="s">
        <v>572</v>
      </c>
      <c r="M27" s="18" t="s">
        <v>715</v>
      </c>
      <c r="N27" s="18" t="s">
        <v>716</v>
      </c>
      <c r="O27" s="19" t="s">
        <v>115</v>
      </c>
      <c r="P27" s="19" t="n">
        <f aca="false">COUNTIF($A$6:$A$28,A27)</f>
        <v>1</v>
      </c>
      <c r="Q27" s="14" t="s">
        <v>717</v>
      </c>
    </row>
    <row r="28" customFormat="false" ht="82" hidden="false" customHeight="true" outlineLevel="0" collapsed="false">
      <c r="A28" s="18" t="s">
        <v>574</v>
      </c>
      <c r="B28" s="18" t="s">
        <v>718</v>
      </c>
      <c r="C28" s="18" t="s">
        <v>707</v>
      </c>
      <c r="D28" s="18" t="n">
        <v>4</v>
      </c>
      <c r="E28" s="18" t="s">
        <v>122</v>
      </c>
      <c r="F28" s="18" t="n">
        <v>8</v>
      </c>
      <c r="G28" s="18" t="s">
        <v>597</v>
      </c>
      <c r="H28" s="18" t="s">
        <v>708</v>
      </c>
      <c r="I28" s="18" t="s">
        <v>631</v>
      </c>
      <c r="J28" s="18" t="s">
        <v>714</v>
      </c>
      <c r="K28" s="18" t="s">
        <v>575</v>
      </c>
      <c r="L28" s="18" t="s">
        <v>575</v>
      </c>
      <c r="M28" s="18" t="s">
        <v>719</v>
      </c>
      <c r="N28" s="18" t="s">
        <v>720</v>
      </c>
      <c r="O28" s="19" t="s">
        <v>115</v>
      </c>
      <c r="P28" s="19" t="n">
        <f aca="false">COUNTIF($A$6:$A$28,A28)</f>
        <v>1</v>
      </c>
      <c r="Q28" s="14" t="s">
        <v>721</v>
      </c>
    </row>
    <row r="29" customFormat="false" ht="15" hidden="false" customHeight="false" outlineLevel="0" collapsed="false">
      <c r="A29" s="14"/>
      <c r="B29" s="14"/>
      <c r="C29" s="14"/>
      <c r="D29" s="14"/>
      <c r="E29" s="14"/>
      <c r="F29" s="14"/>
      <c r="G29" s="14"/>
      <c r="H29" s="14"/>
      <c r="I29" s="14"/>
      <c r="J29" s="14"/>
      <c r="K29" s="14"/>
      <c r="L29" s="14"/>
      <c r="M29" s="14"/>
      <c r="N29" s="14"/>
      <c r="O29" s="14"/>
      <c r="P29" s="14"/>
      <c r="Q29" s="14"/>
    </row>
    <row r="30" customFormat="false" ht="15" hidden="false" customHeight="false" outlineLevel="0" collapsed="false">
      <c r="A30" s="14"/>
      <c r="B30" s="14"/>
      <c r="C30" s="14"/>
      <c r="D30" s="14"/>
      <c r="E30" s="14"/>
      <c r="F30" s="14"/>
      <c r="G30" s="14"/>
      <c r="H30" s="14"/>
      <c r="I30" s="14"/>
      <c r="J30" s="14"/>
      <c r="K30" s="14"/>
      <c r="L30" s="14"/>
      <c r="M30" s="14"/>
      <c r="N30" s="14"/>
      <c r="O30" s="14"/>
      <c r="P30" s="14"/>
      <c r="Q30" s="14"/>
    </row>
    <row r="31" customFormat="false" ht="22" hidden="false" customHeight="true" outlineLevel="0" collapsed="false">
      <c r="A31" s="20" t="s">
        <v>722</v>
      </c>
      <c r="B31" s="20" t="s">
        <v>722</v>
      </c>
      <c r="C31" s="20" t="s">
        <v>722</v>
      </c>
      <c r="D31" s="20" t="s">
        <v>722</v>
      </c>
      <c r="E31" s="20" t="s">
        <v>722</v>
      </c>
      <c r="F31" s="20" t="s">
        <v>722</v>
      </c>
      <c r="G31" s="20" t="s">
        <v>722</v>
      </c>
      <c r="H31" s="14"/>
      <c r="I31" s="14"/>
      <c r="J31" s="14"/>
      <c r="K31" s="14"/>
      <c r="L31" s="14"/>
      <c r="M31" s="14"/>
      <c r="N31" s="14"/>
      <c r="O31" s="14"/>
      <c r="P31" s="14"/>
      <c r="Q31" s="14"/>
    </row>
    <row r="32" customFormat="false" ht="32" hidden="false" customHeight="true" outlineLevel="0" collapsed="false">
      <c r="A32" s="21" t="s">
        <v>723</v>
      </c>
      <c r="B32" s="21" t="s">
        <v>723</v>
      </c>
      <c r="C32" s="21" t="s">
        <v>723</v>
      </c>
      <c r="D32" s="21" t="s">
        <v>723</v>
      </c>
      <c r="E32" s="21" t="s">
        <v>723</v>
      </c>
      <c r="F32" s="21" t="s">
        <v>723</v>
      </c>
      <c r="G32" s="21" t="s">
        <v>723</v>
      </c>
      <c r="H32" s="14"/>
      <c r="I32" s="14"/>
      <c r="J32" s="14"/>
      <c r="K32" s="14"/>
      <c r="L32" s="14"/>
      <c r="M32" s="14"/>
      <c r="N32" s="14"/>
      <c r="O32" s="14"/>
      <c r="P32" s="14"/>
      <c r="Q32" s="14"/>
    </row>
    <row r="33" customFormat="false" ht="15" hidden="false" customHeight="false" outlineLevel="0" collapsed="false">
      <c r="A33" s="14"/>
      <c r="B33" s="14"/>
      <c r="C33" s="14"/>
      <c r="D33" s="14"/>
      <c r="E33" s="14"/>
      <c r="F33" s="14"/>
      <c r="G33" s="14"/>
      <c r="H33" s="14"/>
      <c r="I33" s="14"/>
      <c r="J33" s="14"/>
      <c r="K33" s="14"/>
      <c r="L33" s="14"/>
      <c r="M33" s="14"/>
      <c r="N33" s="14"/>
      <c r="O33" s="14"/>
      <c r="P33" s="14"/>
      <c r="Q33" s="14"/>
    </row>
    <row r="34" customFormat="false" ht="15" hidden="false" customHeight="false" outlineLevel="0" collapsed="false">
      <c r="A34" s="14" t="s">
        <v>724</v>
      </c>
      <c r="B34" s="14" t="s">
        <v>581</v>
      </c>
      <c r="C34" s="14" t="s">
        <v>725</v>
      </c>
      <c r="D34" s="14" t="s">
        <v>726</v>
      </c>
      <c r="E34" s="14" t="s">
        <v>591</v>
      </c>
      <c r="F34" s="14" t="s">
        <v>104</v>
      </c>
      <c r="G34" s="14" t="s">
        <v>69</v>
      </c>
      <c r="H34" s="14"/>
      <c r="I34" s="14"/>
      <c r="J34" s="14"/>
      <c r="K34" s="14"/>
      <c r="L34" s="14"/>
      <c r="M34" s="14"/>
      <c r="N34" s="14"/>
      <c r="O34" s="14"/>
      <c r="P34" s="14"/>
      <c r="Q34" s="14"/>
    </row>
    <row r="35" customFormat="false" ht="15" hidden="false" customHeight="false" outlineLevel="0" collapsed="false">
      <c r="A35" s="14" t="s">
        <v>727</v>
      </c>
      <c r="B35" s="14" t="s">
        <v>593</v>
      </c>
      <c r="C35" s="14" t="s">
        <v>86</v>
      </c>
      <c r="D35" s="14" t="n">
        <v>5</v>
      </c>
      <c r="E35" s="14" t="s">
        <v>601</v>
      </c>
      <c r="F35" s="14" t="s">
        <v>115</v>
      </c>
      <c r="G35" s="14" t="n">
        <f aca="false">COUNTIF($A$35:$A$80,A35)</f>
        <v>1</v>
      </c>
      <c r="H35" s="14"/>
      <c r="I35" s="14"/>
      <c r="J35" s="14"/>
      <c r="K35" s="14"/>
      <c r="L35" s="14"/>
      <c r="M35" s="14"/>
      <c r="N35" s="14"/>
      <c r="O35" s="14"/>
      <c r="P35" s="14"/>
      <c r="Q35" s="14"/>
    </row>
    <row r="36" customFormat="false" ht="15" hidden="false" customHeight="false" outlineLevel="0" collapsed="false">
      <c r="A36" s="14" t="s">
        <v>728</v>
      </c>
      <c r="B36" s="14" t="s">
        <v>544</v>
      </c>
      <c r="C36" s="14" t="s">
        <v>77</v>
      </c>
      <c r="D36" s="14" t="n">
        <v>2</v>
      </c>
      <c r="E36" s="14" t="s">
        <v>548</v>
      </c>
      <c r="F36" s="14" t="s">
        <v>115</v>
      </c>
      <c r="G36" s="14" t="n">
        <f aca="false">COUNTIF($A$35:$A$80,A36)</f>
        <v>1</v>
      </c>
      <c r="H36" s="14"/>
      <c r="I36" s="14"/>
      <c r="J36" s="14"/>
      <c r="K36" s="14"/>
      <c r="L36" s="14"/>
      <c r="M36" s="14"/>
      <c r="N36" s="14"/>
      <c r="O36" s="14"/>
      <c r="P36" s="14"/>
      <c r="Q36" s="14"/>
    </row>
    <row r="37" customFormat="false" ht="15" hidden="false" customHeight="false" outlineLevel="0" collapsed="false">
      <c r="A37" s="14" t="s">
        <v>729</v>
      </c>
      <c r="B37" s="14" t="s">
        <v>544</v>
      </c>
      <c r="C37" s="14" t="s">
        <v>88</v>
      </c>
      <c r="D37" s="14" t="n">
        <v>6</v>
      </c>
      <c r="E37" s="14" t="s">
        <v>548</v>
      </c>
      <c r="F37" s="14" t="s">
        <v>115</v>
      </c>
      <c r="G37" s="14" t="n">
        <f aca="false">COUNTIF($A$35:$A$80,A37)</f>
        <v>1</v>
      </c>
      <c r="H37" s="14"/>
      <c r="I37" s="14"/>
      <c r="J37" s="14"/>
      <c r="K37" s="14"/>
      <c r="L37" s="14"/>
      <c r="M37" s="14"/>
      <c r="N37" s="14"/>
      <c r="O37" s="14"/>
      <c r="P37" s="14"/>
      <c r="Q37" s="14"/>
    </row>
    <row r="38" customFormat="false" ht="15" hidden="false" customHeight="false" outlineLevel="0" collapsed="false">
      <c r="A38" s="14" t="s">
        <v>730</v>
      </c>
      <c r="B38" s="14" t="s">
        <v>550</v>
      </c>
      <c r="C38" s="14" t="s">
        <v>88</v>
      </c>
      <c r="D38" s="14" t="n">
        <v>6</v>
      </c>
      <c r="E38" s="14" t="s">
        <v>551</v>
      </c>
      <c r="F38" s="14" t="s">
        <v>115</v>
      </c>
      <c r="G38" s="14" t="n">
        <f aca="false">COUNTIF($A$35:$A$80,A38)</f>
        <v>1</v>
      </c>
      <c r="H38" s="14"/>
      <c r="I38" s="14"/>
      <c r="J38" s="14"/>
      <c r="K38" s="14"/>
      <c r="L38" s="14"/>
      <c r="M38" s="14"/>
      <c r="N38" s="14"/>
      <c r="O38" s="14"/>
      <c r="P38" s="14"/>
      <c r="Q38" s="14"/>
    </row>
    <row r="39" customFormat="false" ht="15" hidden="false" customHeight="false" outlineLevel="0" collapsed="false">
      <c r="A39" s="14" t="s">
        <v>731</v>
      </c>
      <c r="B39" s="14" t="s">
        <v>613</v>
      </c>
      <c r="C39" s="14" t="s">
        <v>88</v>
      </c>
      <c r="D39" s="14" t="n">
        <v>6</v>
      </c>
      <c r="E39" s="14" t="s">
        <v>615</v>
      </c>
      <c r="F39" s="14" t="s">
        <v>115</v>
      </c>
      <c r="G39" s="14" t="n">
        <f aca="false">COUNTIF($A$35:$A$80,A39)</f>
        <v>1</v>
      </c>
      <c r="H39" s="14"/>
      <c r="I39" s="14"/>
      <c r="J39" s="14"/>
      <c r="K39" s="14"/>
      <c r="L39" s="14"/>
      <c r="M39" s="14"/>
      <c r="N39" s="14"/>
      <c r="O39" s="14"/>
      <c r="P39" s="14"/>
      <c r="Q39" s="14"/>
    </row>
    <row r="40" customFormat="false" ht="15" hidden="false" customHeight="false" outlineLevel="0" collapsed="false">
      <c r="A40" s="14" t="s">
        <v>732</v>
      </c>
      <c r="B40" s="14" t="s">
        <v>618</v>
      </c>
      <c r="C40" s="14" t="s">
        <v>79</v>
      </c>
      <c r="D40" s="14" t="n">
        <v>3</v>
      </c>
      <c r="E40" s="14" t="s">
        <v>620</v>
      </c>
      <c r="F40" s="14" t="s">
        <v>115</v>
      </c>
      <c r="G40" s="14" t="n">
        <f aca="false">COUNTIF($A$35:$A$80,A40)</f>
        <v>1</v>
      </c>
      <c r="H40" s="14"/>
      <c r="I40" s="14"/>
      <c r="J40" s="14"/>
      <c r="K40" s="14"/>
      <c r="L40" s="14"/>
      <c r="M40" s="14"/>
      <c r="N40" s="14"/>
      <c r="O40" s="14"/>
      <c r="P40" s="14"/>
      <c r="Q40" s="14"/>
    </row>
    <row r="41" customFormat="false" ht="15" hidden="false" customHeight="false" outlineLevel="0" collapsed="false">
      <c r="A41" s="14" t="s">
        <v>733</v>
      </c>
      <c r="B41" s="14" t="s">
        <v>618</v>
      </c>
      <c r="C41" s="14" t="s">
        <v>82</v>
      </c>
      <c r="D41" s="14" t="n">
        <v>4</v>
      </c>
      <c r="E41" s="14" t="s">
        <v>620</v>
      </c>
      <c r="F41" s="14" t="s">
        <v>115</v>
      </c>
      <c r="G41" s="14" t="n">
        <f aca="false">COUNTIF($A$35:$A$80,A41)</f>
        <v>1</v>
      </c>
      <c r="H41" s="14"/>
      <c r="I41" s="14"/>
      <c r="J41" s="14"/>
      <c r="K41" s="14"/>
      <c r="L41" s="14"/>
      <c r="M41" s="14"/>
      <c r="N41" s="14"/>
      <c r="O41" s="14"/>
      <c r="P41" s="14"/>
      <c r="Q41" s="14"/>
    </row>
    <row r="42" customFormat="false" ht="15" hidden="false" customHeight="false" outlineLevel="0" collapsed="false">
      <c r="A42" s="14" t="s">
        <v>734</v>
      </c>
      <c r="B42" s="14" t="s">
        <v>553</v>
      </c>
      <c r="C42" s="14" t="s">
        <v>77</v>
      </c>
      <c r="D42" s="14" t="n">
        <v>2</v>
      </c>
      <c r="E42" s="14" t="s">
        <v>554</v>
      </c>
      <c r="F42" s="14" t="s">
        <v>115</v>
      </c>
      <c r="G42" s="14" t="n">
        <f aca="false">COUNTIF($A$35:$A$80,A42)</f>
        <v>1</v>
      </c>
      <c r="H42" s="14"/>
      <c r="I42" s="14"/>
      <c r="J42" s="14"/>
      <c r="K42" s="14"/>
      <c r="L42" s="14"/>
      <c r="M42" s="14"/>
      <c r="N42" s="14"/>
      <c r="O42" s="14"/>
      <c r="P42" s="14"/>
      <c r="Q42" s="14"/>
    </row>
    <row r="43" customFormat="false" ht="15" hidden="false" customHeight="false" outlineLevel="0" collapsed="false">
      <c r="A43" s="14" t="s">
        <v>735</v>
      </c>
      <c r="B43" s="14" t="s">
        <v>553</v>
      </c>
      <c r="C43" s="14" t="s">
        <v>88</v>
      </c>
      <c r="D43" s="14" t="n">
        <v>6</v>
      </c>
      <c r="E43" s="14" t="s">
        <v>554</v>
      </c>
      <c r="F43" s="14" t="s">
        <v>115</v>
      </c>
      <c r="G43" s="14" t="n">
        <f aca="false">COUNTIF($A$35:$A$80,A43)</f>
        <v>1</v>
      </c>
      <c r="H43" s="14"/>
      <c r="I43" s="14"/>
      <c r="J43" s="14"/>
      <c r="K43" s="14"/>
      <c r="L43" s="14"/>
      <c r="M43" s="14"/>
      <c r="N43" s="14"/>
      <c r="O43" s="14"/>
      <c r="P43" s="14"/>
      <c r="Q43" s="14"/>
    </row>
    <row r="44" customFormat="false" ht="15" hidden="false" customHeight="false" outlineLevel="0" collapsed="false">
      <c r="A44" s="14" t="s">
        <v>736</v>
      </c>
      <c r="B44" s="14" t="s">
        <v>628</v>
      </c>
      <c r="C44" s="14" t="s">
        <v>70</v>
      </c>
      <c r="D44" s="14" t="n">
        <v>1</v>
      </c>
      <c r="E44" s="14" t="s">
        <v>632</v>
      </c>
      <c r="F44" s="14" t="s">
        <v>115</v>
      </c>
      <c r="G44" s="14" t="n">
        <f aca="false">COUNTIF($A$35:$A$80,A44)</f>
        <v>1</v>
      </c>
      <c r="H44" s="14"/>
      <c r="I44" s="14"/>
      <c r="J44" s="14"/>
      <c r="K44" s="14"/>
      <c r="L44" s="14"/>
      <c r="M44" s="14"/>
      <c r="N44" s="14"/>
      <c r="O44" s="14"/>
      <c r="P44" s="14"/>
      <c r="Q44" s="14"/>
    </row>
    <row r="45" customFormat="false" ht="15" hidden="false" customHeight="false" outlineLevel="0" collapsed="false">
      <c r="A45" s="14" t="s">
        <v>737</v>
      </c>
      <c r="B45" s="14" t="s">
        <v>628</v>
      </c>
      <c r="C45" s="14" t="s">
        <v>77</v>
      </c>
      <c r="D45" s="14" t="n">
        <v>2</v>
      </c>
      <c r="E45" s="14" t="s">
        <v>632</v>
      </c>
      <c r="F45" s="14" t="s">
        <v>115</v>
      </c>
      <c r="G45" s="14" t="n">
        <f aca="false">COUNTIF($A$35:$A$80,A45)</f>
        <v>1</v>
      </c>
      <c r="H45" s="14"/>
      <c r="I45" s="14"/>
      <c r="J45" s="14"/>
      <c r="K45" s="14"/>
      <c r="L45" s="14"/>
      <c r="M45" s="14"/>
      <c r="N45" s="14"/>
      <c r="O45" s="14"/>
      <c r="P45" s="14"/>
      <c r="Q45" s="14"/>
    </row>
    <row r="46" customFormat="false" ht="15" hidden="false" customHeight="false" outlineLevel="0" collapsed="false">
      <c r="A46" s="14" t="s">
        <v>738</v>
      </c>
      <c r="B46" s="14" t="s">
        <v>628</v>
      </c>
      <c r="C46" s="14" t="s">
        <v>79</v>
      </c>
      <c r="D46" s="14" t="n">
        <v>3</v>
      </c>
      <c r="E46" s="14" t="s">
        <v>632</v>
      </c>
      <c r="F46" s="14" t="s">
        <v>115</v>
      </c>
      <c r="G46" s="14" t="n">
        <f aca="false">COUNTIF($A$35:$A$80,A46)</f>
        <v>1</v>
      </c>
      <c r="H46" s="14"/>
      <c r="I46" s="14"/>
      <c r="J46" s="14"/>
      <c r="K46" s="14"/>
      <c r="L46" s="14"/>
      <c r="M46" s="14"/>
      <c r="N46" s="14"/>
      <c r="O46" s="14"/>
      <c r="P46" s="14"/>
      <c r="Q46" s="14"/>
    </row>
    <row r="47" customFormat="false" ht="15" hidden="false" customHeight="false" outlineLevel="0" collapsed="false">
      <c r="A47" s="14" t="s">
        <v>739</v>
      </c>
      <c r="B47" s="14" t="s">
        <v>636</v>
      </c>
      <c r="C47" s="14" t="s">
        <v>88</v>
      </c>
      <c r="D47" s="14" t="n">
        <v>6</v>
      </c>
      <c r="E47" s="14" t="s">
        <v>640</v>
      </c>
      <c r="F47" s="14" t="s">
        <v>115</v>
      </c>
      <c r="G47" s="14" t="n">
        <f aca="false">COUNTIF($A$35:$A$80,A47)</f>
        <v>1</v>
      </c>
      <c r="H47" s="14"/>
      <c r="I47" s="14"/>
      <c r="J47" s="14"/>
      <c r="K47" s="14"/>
      <c r="L47" s="14"/>
      <c r="M47" s="14"/>
      <c r="N47" s="14"/>
      <c r="O47" s="14"/>
      <c r="P47" s="14"/>
      <c r="Q47" s="14"/>
    </row>
    <row r="48" customFormat="false" ht="15" hidden="false" customHeight="false" outlineLevel="0" collapsed="false">
      <c r="A48" s="14" t="s">
        <v>740</v>
      </c>
      <c r="B48" s="14" t="s">
        <v>636</v>
      </c>
      <c r="C48" s="14" t="s">
        <v>82</v>
      </c>
      <c r="D48" s="14" t="n">
        <v>4</v>
      </c>
      <c r="E48" s="14" t="s">
        <v>640</v>
      </c>
      <c r="F48" s="14" t="s">
        <v>115</v>
      </c>
      <c r="G48" s="14" t="n">
        <f aca="false">COUNTIF($A$35:$A$80,A48)</f>
        <v>1</v>
      </c>
      <c r="H48" s="14"/>
      <c r="I48" s="14"/>
      <c r="J48" s="14"/>
      <c r="K48" s="14"/>
      <c r="L48" s="14"/>
      <c r="M48" s="14"/>
      <c r="N48" s="14"/>
      <c r="O48" s="14"/>
      <c r="P48" s="14"/>
      <c r="Q48" s="14"/>
    </row>
    <row r="49" customFormat="false" ht="15" hidden="false" customHeight="false" outlineLevel="0" collapsed="false">
      <c r="A49" s="14" t="s">
        <v>741</v>
      </c>
      <c r="B49" s="14" t="s">
        <v>644</v>
      </c>
      <c r="C49" s="14" t="s">
        <v>86</v>
      </c>
      <c r="D49" s="14" t="n">
        <v>5</v>
      </c>
      <c r="E49" s="14" t="s">
        <v>646</v>
      </c>
      <c r="F49" s="14" t="s">
        <v>115</v>
      </c>
      <c r="G49" s="14" t="n">
        <f aca="false">COUNTIF($A$35:$A$80,A49)</f>
        <v>1</v>
      </c>
      <c r="H49" s="14"/>
      <c r="I49" s="14"/>
      <c r="J49" s="14"/>
      <c r="K49" s="14"/>
      <c r="L49" s="14"/>
      <c r="M49" s="14"/>
      <c r="N49" s="14"/>
      <c r="O49" s="14"/>
      <c r="P49" s="14"/>
      <c r="Q49" s="14"/>
    </row>
    <row r="50" customFormat="false" ht="15" hidden="false" customHeight="false" outlineLevel="0" collapsed="false">
      <c r="A50" s="14" t="s">
        <v>742</v>
      </c>
      <c r="B50" s="14" t="s">
        <v>644</v>
      </c>
      <c r="C50" s="14" t="s">
        <v>88</v>
      </c>
      <c r="D50" s="14" t="n">
        <v>6</v>
      </c>
      <c r="E50" s="14" t="s">
        <v>646</v>
      </c>
      <c r="F50" s="14" t="s">
        <v>115</v>
      </c>
      <c r="G50" s="14" t="n">
        <f aca="false">COUNTIF($A$35:$A$80,A50)</f>
        <v>1</v>
      </c>
      <c r="H50" s="14"/>
      <c r="I50" s="14"/>
      <c r="J50" s="14"/>
      <c r="K50" s="14"/>
      <c r="L50" s="14"/>
      <c r="M50" s="14"/>
      <c r="N50" s="14"/>
      <c r="O50" s="14"/>
      <c r="P50" s="14"/>
      <c r="Q50" s="14"/>
    </row>
    <row r="51" customFormat="false" ht="15" hidden="false" customHeight="false" outlineLevel="0" collapsed="false">
      <c r="A51" s="14" t="s">
        <v>743</v>
      </c>
      <c r="B51" s="14" t="s">
        <v>650</v>
      </c>
      <c r="C51" s="14" t="s">
        <v>70</v>
      </c>
      <c r="D51" s="14" t="n">
        <v>1</v>
      </c>
      <c r="E51" s="14" t="s">
        <v>652</v>
      </c>
      <c r="F51" s="14" t="s">
        <v>115</v>
      </c>
      <c r="G51" s="14" t="n">
        <f aca="false">COUNTIF($A$35:$A$80,A51)</f>
        <v>1</v>
      </c>
      <c r="H51" s="14"/>
      <c r="I51" s="14"/>
      <c r="J51" s="14"/>
      <c r="K51" s="14"/>
      <c r="L51" s="14"/>
      <c r="M51" s="14"/>
      <c r="N51" s="14"/>
      <c r="O51" s="14"/>
      <c r="P51" s="14"/>
      <c r="Q51" s="14"/>
    </row>
    <row r="52" customFormat="false" ht="15" hidden="false" customHeight="false" outlineLevel="0" collapsed="false">
      <c r="A52" s="14" t="s">
        <v>744</v>
      </c>
      <c r="B52" s="14" t="s">
        <v>650</v>
      </c>
      <c r="C52" s="14" t="s">
        <v>77</v>
      </c>
      <c r="D52" s="14" t="n">
        <v>2</v>
      </c>
      <c r="E52" s="14" t="s">
        <v>652</v>
      </c>
      <c r="F52" s="14" t="s">
        <v>115</v>
      </c>
      <c r="G52" s="14" t="n">
        <f aca="false">COUNTIF($A$35:$A$80,A52)</f>
        <v>1</v>
      </c>
      <c r="H52" s="14"/>
      <c r="I52" s="14"/>
      <c r="J52" s="14"/>
      <c r="K52" s="14"/>
      <c r="L52" s="14"/>
      <c r="M52" s="14"/>
      <c r="N52" s="14"/>
      <c r="O52" s="14"/>
      <c r="P52" s="14"/>
      <c r="Q52" s="14"/>
    </row>
    <row r="53" customFormat="false" ht="15" hidden="false" customHeight="false" outlineLevel="0" collapsed="false">
      <c r="A53" s="14" t="s">
        <v>745</v>
      </c>
      <c r="B53" s="14" t="s">
        <v>656</v>
      </c>
      <c r="C53" s="14" t="s">
        <v>77</v>
      </c>
      <c r="D53" s="14" t="n">
        <v>2</v>
      </c>
      <c r="E53" s="14" t="s">
        <v>658</v>
      </c>
      <c r="F53" s="14" t="s">
        <v>115</v>
      </c>
      <c r="G53" s="14" t="n">
        <f aca="false">COUNTIF($A$35:$A$80,A53)</f>
        <v>1</v>
      </c>
      <c r="H53" s="14"/>
      <c r="I53" s="14"/>
      <c r="J53" s="14"/>
      <c r="K53" s="14"/>
      <c r="L53" s="14"/>
      <c r="M53" s="14"/>
      <c r="N53" s="14"/>
      <c r="O53" s="14"/>
      <c r="P53" s="14"/>
      <c r="Q53" s="14"/>
    </row>
    <row r="54" customFormat="false" ht="15" hidden="false" customHeight="false" outlineLevel="0" collapsed="false">
      <c r="A54" s="14" t="s">
        <v>746</v>
      </c>
      <c r="B54" s="14" t="s">
        <v>656</v>
      </c>
      <c r="C54" s="14" t="s">
        <v>79</v>
      </c>
      <c r="D54" s="14" t="n">
        <v>3</v>
      </c>
      <c r="E54" s="14" t="s">
        <v>658</v>
      </c>
      <c r="F54" s="14" t="s">
        <v>115</v>
      </c>
      <c r="G54" s="14" t="n">
        <f aca="false">COUNTIF($A$35:$A$80,A54)</f>
        <v>1</v>
      </c>
      <c r="H54" s="14"/>
      <c r="I54" s="14"/>
      <c r="J54" s="14"/>
      <c r="K54" s="14"/>
      <c r="L54" s="14"/>
      <c r="M54" s="14"/>
      <c r="N54" s="14"/>
      <c r="O54" s="14"/>
      <c r="P54" s="14"/>
      <c r="Q54" s="14"/>
    </row>
    <row r="55" customFormat="false" ht="15" hidden="false" customHeight="false" outlineLevel="0" collapsed="false">
      <c r="A55" s="14" t="s">
        <v>747</v>
      </c>
      <c r="B55" s="14" t="s">
        <v>662</v>
      </c>
      <c r="C55" s="14" t="s">
        <v>77</v>
      </c>
      <c r="D55" s="14" t="n">
        <v>2</v>
      </c>
      <c r="E55" s="14" t="s">
        <v>664</v>
      </c>
      <c r="F55" s="14" t="s">
        <v>115</v>
      </c>
      <c r="G55" s="14" t="n">
        <f aca="false">COUNTIF($A$35:$A$80,A55)</f>
        <v>1</v>
      </c>
      <c r="H55" s="14"/>
      <c r="I55" s="14"/>
      <c r="J55" s="14"/>
      <c r="K55" s="14"/>
      <c r="L55" s="14"/>
      <c r="M55" s="14"/>
      <c r="N55" s="14"/>
      <c r="O55" s="14"/>
      <c r="P55" s="14"/>
      <c r="Q55" s="14"/>
    </row>
    <row r="56" customFormat="false" ht="15" hidden="false" customHeight="false" outlineLevel="0" collapsed="false">
      <c r="A56" s="14" t="s">
        <v>748</v>
      </c>
      <c r="B56" s="14" t="s">
        <v>662</v>
      </c>
      <c r="C56" s="14" t="s">
        <v>88</v>
      </c>
      <c r="D56" s="14" t="n">
        <v>6</v>
      </c>
      <c r="E56" s="14" t="s">
        <v>664</v>
      </c>
      <c r="F56" s="14" t="s">
        <v>115</v>
      </c>
      <c r="G56" s="14" t="n">
        <f aca="false">COUNTIF($A$35:$A$80,A56)</f>
        <v>1</v>
      </c>
      <c r="H56" s="14"/>
      <c r="I56" s="14"/>
      <c r="J56" s="14"/>
      <c r="K56" s="14"/>
      <c r="L56" s="14"/>
      <c r="M56" s="14"/>
      <c r="N56" s="14"/>
      <c r="O56" s="14"/>
      <c r="P56" s="14"/>
      <c r="Q56" s="14"/>
    </row>
    <row r="57" customFormat="false" ht="15" hidden="false" customHeight="false" outlineLevel="0" collapsed="false">
      <c r="A57" s="14" t="s">
        <v>749</v>
      </c>
      <c r="B57" s="14" t="s">
        <v>667</v>
      </c>
      <c r="C57" s="14" t="s">
        <v>77</v>
      </c>
      <c r="D57" s="14" t="n">
        <v>2</v>
      </c>
      <c r="E57" s="14" t="s">
        <v>670</v>
      </c>
      <c r="F57" s="14" t="s">
        <v>115</v>
      </c>
      <c r="G57" s="14" t="n">
        <f aca="false">COUNTIF($A$35:$A$80,A57)</f>
        <v>1</v>
      </c>
      <c r="H57" s="14"/>
      <c r="I57" s="14"/>
      <c r="J57" s="14"/>
      <c r="K57" s="14"/>
      <c r="L57" s="14"/>
      <c r="M57" s="14"/>
      <c r="N57" s="14"/>
      <c r="O57" s="14"/>
      <c r="P57" s="14"/>
      <c r="Q57" s="14"/>
    </row>
    <row r="58" customFormat="false" ht="15" hidden="false" customHeight="false" outlineLevel="0" collapsed="false">
      <c r="A58" s="14" t="s">
        <v>750</v>
      </c>
      <c r="B58" s="14" t="s">
        <v>667</v>
      </c>
      <c r="C58" s="14" t="s">
        <v>86</v>
      </c>
      <c r="D58" s="14" t="n">
        <v>5</v>
      </c>
      <c r="E58" s="14" t="s">
        <v>670</v>
      </c>
      <c r="F58" s="14" t="s">
        <v>115</v>
      </c>
      <c r="G58" s="14" t="n">
        <f aca="false">COUNTIF($A$35:$A$80,A58)</f>
        <v>1</v>
      </c>
      <c r="H58" s="14"/>
      <c r="I58" s="14"/>
      <c r="J58" s="14"/>
      <c r="K58" s="14"/>
      <c r="L58" s="14"/>
      <c r="M58" s="14"/>
      <c r="N58" s="14"/>
      <c r="O58" s="14"/>
      <c r="P58" s="14"/>
      <c r="Q58" s="14"/>
    </row>
    <row r="59" customFormat="false" ht="15" hidden="false" customHeight="false" outlineLevel="0" collapsed="false">
      <c r="A59" s="14" t="s">
        <v>751</v>
      </c>
      <c r="B59" s="14" t="s">
        <v>674</v>
      </c>
      <c r="C59" s="14" t="s">
        <v>92</v>
      </c>
      <c r="D59" s="14" t="n">
        <v>7</v>
      </c>
      <c r="E59" s="14" t="s">
        <v>676</v>
      </c>
      <c r="F59" s="14" t="s">
        <v>115</v>
      </c>
      <c r="G59" s="14" t="n">
        <f aca="false">COUNTIF($A$35:$A$80,A59)</f>
        <v>1</v>
      </c>
      <c r="H59" s="14"/>
      <c r="I59" s="14"/>
      <c r="J59" s="14"/>
      <c r="K59" s="14"/>
      <c r="L59" s="14"/>
      <c r="M59" s="14"/>
      <c r="N59" s="14"/>
      <c r="O59" s="14"/>
      <c r="P59" s="14"/>
      <c r="Q59" s="14"/>
    </row>
    <row r="60" customFormat="false" ht="15" hidden="false" customHeight="false" outlineLevel="0" collapsed="false">
      <c r="A60" s="14" t="s">
        <v>752</v>
      </c>
      <c r="B60" s="14" t="s">
        <v>674</v>
      </c>
      <c r="C60" s="14" t="s">
        <v>88</v>
      </c>
      <c r="D60" s="14" t="n">
        <v>6</v>
      </c>
      <c r="E60" s="14" t="s">
        <v>676</v>
      </c>
      <c r="F60" s="14" t="s">
        <v>115</v>
      </c>
      <c r="G60" s="14" t="n">
        <f aca="false">COUNTIF($A$35:$A$80,A60)</f>
        <v>1</v>
      </c>
      <c r="H60" s="14"/>
      <c r="I60" s="14"/>
      <c r="J60" s="14"/>
      <c r="K60" s="14"/>
      <c r="L60" s="14"/>
      <c r="M60" s="14"/>
      <c r="N60" s="14"/>
      <c r="O60" s="14"/>
      <c r="P60" s="14"/>
      <c r="Q60" s="14"/>
    </row>
    <row r="61" customFormat="false" ht="15" hidden="false" customHeight="false" outlineLevel="0" collapsed="false">
      <c r="A61" s="14" t="s">
        <v>753</v>
      </c>
      <c r="B61" s="14" t="s">
        <v>680</v>
      </c>
      <c r="C61" s="14" t="s">
        <v>77</v>
      </c>
      <c r="D61" s="14" t="n">
        <v>2</v>
      </c>
      <c r="E61" s="14" t="s">
        <v>682</v>
      </c>
      <c r="F61" s="14" t="s">
        <v>115</v>
      </c>
      <c r="G61" s="14" t="n">
        <f aca="false">COUNTIF($A$35:$A$80,A61)</f>
        <v>1</v>
      </c>
      <c r="H61" s="14"/>
      <c r="I61" s="14"/>
      <c r="J61" s="14"/>
      <c r="K61" s="14"/>
      <c r="L61" s="14"/>
      <c r="M61" s="14"/>
      <c r="N61" s="14"/>
      <c r="O61" s="14"/>
      <c r="P61" s="14"/>
      <c r="Q61" s="14"/>
    </row>
    <row r="62" customFormat="false" ht="15" hidden="false" customHeight="false" outlineLevel="0" collapsed="false">
      <c r="A62" s="14" t="s">
        <v>754</v>
      </c>
      <c r="B62" s="14" t="s">
        <v>680</v>
      </c>
      <c r="C62" s="14" t="s">
        <v>86</v>
      </c>
      <c r="D62" s="14" t="n">
        <v>5</v>
      </c>
      <c r="E62" s="14" t="s">
        <v>682</v>
      </c>
      <c r="F62" s="14" t="s">
        <v>115</v>
      </c>
      <c r="G62" s="14" t="n">
        <f aca="false">COUNTIF($A$35:$A$80,A62)</f>
        <v>1</v>
      </c>
      <c r="H62" s="14"/>
      <c r="I62" s="14"/>
      <c r="J62" s="14"/>
      <c r="K62" s="14"/>
      <c r="L62" s="14"/>
      <c r="M62" s="14"/>
      <c r="N62" s="14"/>
      <c r="O62" s="14"/>
      <c r="P62" s="14"/>
      <c r="Q62" s="14"/>
    </row>
    <row r="63" customFormat="false" ht="15" hidden="false" customHeight="false" outlineLevel="0" collapsed="false">
      <c r="A63" s="14" t="s">
        <v>755</v>
      </c>
      <c r="B63" s="14" t="s">
        <v>557</v>
      </c>
      <c r="C63" s="14" t="s">
        <v>79</v>
      </c>
      <c r="D63" s="14" t="n">
        <v>3</v>
      </c>
      <c r="E63" s="14" t="s">
        <v>558</v>
      </c>
      <c r="F63" s="14" t="s">
        <v>115</v>
      </c>
      <c r="G63" s="14" t="n">
        <f aca="false">COUNTIF($A$35:$A$80,A63)</f>
        <v>1</v>
      </c>
      <c r="H63" s="14"/>
      <c r="I63" s="14"/>
      <c r="J63" s="14"/>
      <c r="K63" s="14"/>
      <c r="L63" s="14"/>
      <c r="M63" s="14"/>
      <c r="N63" s="14"/>
      <c r="O63" s="14"/>
      <c r="P63" s="14"/>
      <c r="Q63" s="14"/>
    </row>
    <row r="64" customFormat="false" ht="15" hidden="false" customHeight="false" outlineLevel="0" collapsed="false">
      <c r="A64" s="14" t="s">
        <v>756</v>
      </c>
      <c r="B64" s="14" t="s">
        <v>557</v>
      </c>
      <c r="C64" s="14" t="s">
        <v>82</v>
      </c>
      <c r="D64" s="14" t="n">
        <v>4</v>
      </c>
      <c r="E64" s="14" t="s">
        <v>558</v>
      </c>
      <c r="F64" s="14" t="s">
        <v>115</v>
      </c>
      <c r="G64" s="14" t="n">
        <f aca="false">COUNTIF($A$35:$A$80,A64)</f>
        <v>1</v>
      </c>
      <c r="H64" s="14"/>
      <c r="I64" s="14"/>
      <c r="J64" s="14"/>
      <c r="K64" s="14"/>
      <c r="L64" s="14"/>
      <c r="M64" s="14"/>
      <c r="N64" s="14"/>
      <c r="O64" s="14"/>
      <c r="P64" s="14"/>
      <c r="Q64" s="14"/>
    </row>
    <row r="65" customFormat="false" ht="15" hidden="false" customHeight="false" outlineLevel="0" collapsed="false">
      <c r="A65" s="14" t="s">
        <v>757</v>
      </c>
      <c r="B65" s="14" t="s">
        <v>689</v>
      </c>
      <c r="C65" s="14" t="s">
        <v>77</v>
      </c>
      <c r="D65" s="14" t="n">
        <v>2</v>
      </c>
      <c r="E65" s="14" t="s">
        <v>691</v>
      </c>
      <c r="F65" s="14" t="s">
        <v>115</v>
      </c>
      <c r="G65" s="14" t="n">
        <f aca="false">COUNTIF($A$35:$A$80,A65)</f>
        <v>1</v>
      </c>
      <c r="H65" s="14"/>
      <c r="I65" s="14"/>
      <c r="J65" s="14"/>
      <c r="K65" s="14"/>
      <c r="L65" s="14"/>
      <c r="M65" s="14"/>
      <c r="N65" s="14"/>
      <c r="O65" s="14"/>
      <c r="P65" s="14"/>
      <c r="Q65" s="14"/>
    </row>
    <row r="66" customFormat="false" ht="15" hidden="false" customHeight="false" outlineLevel="0" collapsed="false">
      <c r="A66" s="14" t="s">
        <v>758</v>
      </c>
      <c r="B66" s="14" t="s">
        <v>689</v>
      </c>
      <c r="C66" s="14" t="s">
        <v>92</v>
      </c>
      <c r="D66" s="14" t="n">
        <v>7</v>
      </c>
      <c r="E66" s="14" t="s">
        <v>691</v>
      </c>
      <c r="F66" s="14" t="s">
        <v>115</v>
      </c>
      <c r="G66" s="14" t="n">
        <f aca="false">COUNTIF($A$35:$A$80,A66)</f>
        <v>1</v>
      </c>
      <c r="H66" s="14"/>
      <c r="I66" s="14"/>
      <c r="J66" s="14"/>
      <c r="K66" s="14"/>
      <c r="L66" s="14"/>
      <c r="M66" s="14"/>
      <c r="N66" s="14"/>
      <c r="O66" s="14"/>
      <c r="P66" s="14"/>
      <c r="Q66" s="14"/>
    </row>
    <row r="67" customFormat="false" ht="15" hidden="false" customHeight="false" outlineLevel="0" collapsed="false">
      <c r="A67" s="14" t="s">
        <v>759</v>
      </c>
      <c r="B67" s="14" t="s">
        <v>689</v>
      </c>
      <c r="C67" s="14" t="s">
        <v>86</v>
      </c>
      <c r="D67" s="14" t="n">
        <v>5</v>
      </c>
      <c r="E67" s="14" t="s">
        <v>691</v>
      </c>
      <c r="F67" s="14" t="s">
        <v>115</v>
      </c>
      <c r="G67" s="14" t="n">
        <f aca="false">COUNTIF($A$35:$A$80,A67)</f>
        <v>1</v>
      </c>
      <c r="H67" s="14"/>
      <c r="I67" s="14"/>
      <c r="J67" s="14"/>
      <c r="K67" s="14"/>
      <c r="L67" s="14"/>
      <c r="M67" s="14"/>
      <c r="N67" s="14"/>
      <c r="O67" s="14"/>
      <c r="P67" s="14"/>
      <c r="Q67" s="14"/>
    </row>
    <row r="68" customFormat="false" ht="15" hidden="false" customHeight="false" outlineLevel="0" collapsed="false">
      <c r="A68" s="14" t="s">
        <v>760</v>
      </c>
      <c r="B68" s="14" t="s">
        <v>695</v>
      </c>
      <c r="C68" s="14" t="s">
        <v>86</v>
      </c>
      <c r="D68" s="14" t="n">
        <v>5</v>
      </c>
      <c r="E68" s="14" t="s">
        <v>697</v>
      </c>
      <c r="F68" s="14" t="s">
        <v>115</v>
      </c>
      <c r="G68" s="14" t="n">
        <f aca="false">COUNTIF($A$35:$A$80,A68)</f>
        <v>1</v>
      </c>
      <c r="H68" s="14"/>
      <c r="I68" s="14"/>
      <c r="J68" s="14"/>
      <c r="K68" s="14"/>
      <c r="L68" s="14"/>
      <c r="M68" s="14"/>
      <c r="N68" s="14"/>
      <c r="O68" s="14"/>
      <c r="P68" s="14"/>
      <c r="Q68" s="14"/>
    </row>
    <row r="69" customFormat="false" ht="15" hidden="false" customHeight="false" outlineLevel="0" collapsed="false">
      <c r="A69" s="14" t="s">
        <v>761</v>
      </c>
      <c r="B69" s="14" t="s">
        <v>695</v>
      </c>
      <c r="C69" s="14" t="s">
        <v>88</v>
      </c>
      <c r="D69" s="14" t="n">
        <v>6</v>
      </c>
      <c r="E69" s="14" t="s">
        <v>697</v>
      </c>
      <c r="F69" s="14" t="s">
        <v>115</v>
      </c>
      <c r="G69" s="14" t="n">
        <f aca="false">COUNTIF($A$35:$A$80,A69)</f>
        <v>1</v>
      </c>
      <c r="H69" s="14"/>
      <c r="I69" s="14"/>
      <c r="J69" s="14"/>
      <c r="K69" s="14"/>
      <c r="L69" s="14"/>
      <c r="M69" s="14"/>
      <c r="N69" s="14"/>
      <c r="O69" s="14"/>
      <c r="P69" s="14"/>
      <c r="Q69" s="14"/>
    </row>
    <row r="70" customFormat="false" ht="15" hidden="false" customHeight="false" outlineLevel="0" collapsed="false">
      <c r="A70" s="14" t="s">
        <v>762</v>
      </c>
      <c r="B70" s="14" t="s">
        <v>560</v>
      </c>
      <c r="C70" s="14" t="s">
        <v>70</v>
      </c>
      <c r="D70" s="14" t="n">
        <v>1</v>
      </c>
      <c r="E70" s="14" t="s">
        <v>561</v>
      </c>
      <c r="F70" s="14" t="s">
        <v>115</v>
      </c>
      <c r="G70" s="14" t="n">
        <f aca="false">COUNTIF($A$35:$A$80,A70)</f>
        <v>1</v>
      </c>
      <c r="H70" s="14"/>
      <c r="I70" s="14"/>
      <c r="J70" s="14"/>
      <c r="K70" s="14"/>
      <c r="L70" s="14"/>
      <c r="M70" s="14"/>
      <c r="N70" s="14"/>
      <c r="O70" s="14"/>
      <c r="P70" s="14"/>
      <c r="Q70" s="14"/>
    </row>
    <row r="71" customFormat="false" ht="15" hidden="false" customHeight="false" outlineLevel="0" collapsed="false">
      <c r="A71" s="14" t="s">
        <v>763</v>
      </c>
      <c r="B71" s="14" t="s">
        <v>560</v>
      </c>
      <c r="C71" s="14" t="s">
        <v>77</v>
      </c>
      <c r="D71" s="14" t="n">
        <v>2</v>
      </c>
      <c r="E71" s="14" t="s">
        <v>561</v>
      </c>
      <c r="F71" s="14" t="s">
        <v>115</v>
      </c>
      <c r="G71" s="14" t="n">
        <f aca="false">COUNTIF($A$35:$A$80,A71)</f>
        <v>1</v>
      </c>
      <c r="H71" s="14"/>
      <c r="I71" s="14"/>
      <c r="J71" s="14"/>
      <c r="K71" s="14"/>
      <c r="L71" s="14"/>
      <c r="M71" s="14"/>
      <c r="N71" s="14"/>
      <c r="O71" s="14"/>
      <c r="P71" s="14"/>
      <c r="Q71" s="14"/>
    </row>
    <row r="72" customFormat="false" ht="15" hidden="false" customHeight="false" outlineLevel="0" collapsed="false">
      <c r="A72" s="14" t="s">
        <v>764</v>
      </c>
      <c r="B72" s="14" t="s">
        <v>563</v>
      </c>
      <c r="C72" s="14" t="s">
        <v>77</v>
      </c>
      <c r="D72" s="14" t="n">
        <v>2</v>
      </c>
      <c r="E72" s="14" t="s">
        <v>565</v>
      </c>
      <c r="F72" s="14" t="s">
        <v>115</v>
      </c>
      <c r="G72" s="14" t="n">
        <f aca="false">COUNTIF($A$35:$A$80,A72)</f>
        <v>1</v>
      </c>
      <c r="H72" s="14"/>
      <c r="I72" s="14"/>
      <c r="J72" s="14"/>
      <c r="K72" s="14"/>
      <c r="L72" s="14"/>
      <c r="M72" s="14"/>
      <c r="N72" s="14"/>
      <c r="O72" s="14"/>
      <c r="P72" s="14"/>
      <c r="Q72" s="14"/>
    </row>
    <row r="73" customFormat="false" ht="15" hidden="false" customHeight="false" outlineLevel="0" collapsed="false">
      <c r="A73" s="14" t="s">
        <v>765</v>
      </c>
      <c r="B73" s="14" t="s">
        <v>563</v>
      </c>
      <c r="C73" s="14" t="s">
        <v>79</v>
      </c>
      <c r="D73" s="14" t="n">
        <v>3</v>
      </c>
      <c r="E73" s="14" t="s">
        <v>565</v>
      </c>
      <c r="F73" s="14" t="s">
        <v>115</v>
      </c>
      <c r="G73" s="14" t="n">
        <f aca="false">COUNTIF($A$35:$A$80,A73)</f>
        <v>1</v>
      </c>
      <c r="H73" s="14"/>
      <c r="I73" s="14"/>
      <c r="J73" s="14"/>
      <c r="K73" s="14"/>
      <c r="L73" s="14"/>
      <c r="M73" s="14"/>
      <c r="N73" s="14"/>
      <c r="O73" s="14"/>
      <c r="P73" s="14"/>
      <c r="Q73" s="14"/>
    </row>
    <row r="74" customFormat="false" ht="15" hidden="false" customHeight="false" outlineLevel="0" collapsed="false">
      <c r="A74" s="14" t="s">
        <v>766</v>
      </c>
      <c r="B74" s="14" t="s">
        <v>567</v>
      </c>
      <c r="C74" s="14" t="s">
        <v>82</v>
      </c>
      <c r="D74" s="14" t="n">
        <v>4</v>
      </c>
      <c r="E74" s="14" t="s">
        <v>568</v>
      </c>
      <c r="F74" s="14" t="s">
        <v>115</v>
      </c>
      <c r="G74" s="14" t="n">
        <f aca="false">COUNTIF($A$35:$A$80,A74)</f>
        <v>1</v>
      </c>
      <c r="H74" s="14"/>
      <c r="I74" s="14"/>
      <c r="J74" s="14"/>
      <c r="K74" s="14"/>
      <c r="L74" s="14"/>
      <c r="M74" s="14"/>
      <c r="N74" s="14"/>
      <c r="O74" s="14"/>
      <c r="P74" s="14"/>
      <c r="Q74" s="14"/>
    </row>
    <row r="75" customFormat="false" ht="15" hidden="false" customHeight="false" outlineLevel="0" collapsed="false">
      <c r="A75" s="14" t="s">
        <v>767</v>
      </c>
      <c r="B75" s="14" t="s">
        <v>567</v>
      </c>
      <c r="C75" s="14" t="s">
        <v>70</v>
      </c>
      <c r="D75" s="14" t="n">
        <v>1</v>
      </c>
      <c r="E75" s="14" t="s">
        <v>568</v>
      </c>
      <c r="F75" s="14" t="s">
        <v>115</v>
      </c>
      <c r="G75" s="14" t="n">
        <f aca="false">COUNTIF($A$35:$A$80,A75)</f>
        <v>1</v>
      </c>
      <c r="H75" s="14"/>
      <c r="I75" s="14"/>
      <c r="J75" s="14"/>
      <c r="K75" s="14"/>
      <c r="L75" s="14"/>
      <c r="M75" s="14"/>
      <c r="N75" s="14"/>
      <c r="O75" s="14"/>
      <c r="P75" s="14"/>
      <c r="Q75" s="14"/>
    </row>
    <row r="76" customFormat="false" ht="15" hidden="false" customHeight="false" outlineLevel="0" collapsed="false">
      <c r="A76" s="14" t="s">
        <v>768</v>
      </c>
      <c r="B76" s="14" t="s">
        <v>567</v>
      </c>
      <c r="C76" s="14" t="s">
        <v>77</v>
      </c>
      <c r="D76" s="14" t="n">
        <v>2</v>
      </c>
      <c r="E76" s="14" t="s">
        <v>568</v>
      </c>
      <c r="F76" s="14" t="s">
        <v>115</v>
      </c>
      <c r="G76" s="14" t="n">
        <f aca="false">COUNTIF($A$35:$A$80,A76)</f>
        <v>1</v>
      </c>
      <c r="H76" s="14"/>
      <c r="I76" s="14"/>
      <c r="J76" s="14"/>
      <c r="K76" s="14"/>
      <c r="L76" s="14"/>
      <c r="M76" s="14"/>
      <c r="N76" s="14"/>
      <c r="O76" s="14"/>
      <c r="P76" s="14"/>
      <c r="Q76" s="14"/>
    </row>
    <row r="77" customFormat="false" ht="15" hidden="false" customHeight="false" outlineLevel="0" collapsed="false">
      <c r="A77" s="14" t="s">
        <v>769</v>
      </c>
      <c r="B77" s="14" t="s">
        <v>571</v>
      </c>
      <c r="C77" s="14" t="s">
        <v>92</v>
      </c>
      <c r="D77" s="14" t="n">
        <v>7</v>
      </c>
      <c r="E77" s="14" t="s">
        <v>572</v>
      </c>
      <c r="F77" s="14" t="s">
        <v>115</v>
      </c>
      <c r="G77" s="14" t="n">
        <f aca="false">COUNTIF($A$35:$A$80,A77)</f>
        <v>1</v>
      </c>
      <c r="H77" s="14"/>
      <c r="I77" s="14"/>
      <c r="J77" s="14"/>
      <c r="K77" s="14"/>
      <c r="L77" s="14"/>
      <c r="M77" s="14"/>
      <c r="N77" s="14"/>
      <c r="O77" s="14"/>
      <c r="P77" s="14"/>
      <c r="Q77" s="14"/>
    </row>
    <row r="78" customFormat="false" ht="15" hidden="false" customHeight="false" outlineLevel="0" collapsed="false">
      <c r="A78" s="14" t="s">
        <v>770</v>
      </c>
      <c r="B78" s="14" t="s">
        <v>571</v>
      </c>
      <c r="C78" s="14" t="s">
        <v>86</v>
      </c>
      <c r="D78" s="14" t="n">
        <v>5</v>
      </c>
      <c r="E78" s="14" t="s">
        <v>572</v>
      </c>
      <c r="F78" s="14" t="s">
        <v>115</v>
      </c>
      <c r="G78" s="14" t="n">
        <f aca="false">COUNTIF($A$35:$A$80,A78)</f>
        <v>1</v>
      </c>
      <c r="H78" s="14"/>
      <c r="I78" s="14"/>
      <c r="J78" s="14"/>
      <c r="K78" s="14"/>
      <c r="L78" s="14"/>
      <c r="M78" s="14"/>
      <c r="N78" s="14"/>
      <c r="O78" s="14"/>
      <c r="P78" s="14"/>
      <c r="Q78" s="14"/>
    </row>
    <row r="79" customFormat="false" ht="15" hidden="false" customHeight="false" outlineLevel="0" collapsed="false">
      <c r="A79" s="14" t="s">
        <v>771</v>
      </c>
      <c r="B79" s="14" t="s">
        <v>571</v>
      </c>
      <c r="C79" s="14" t="s">
        <v>88</v>
      </c>
      <c r="D79" s="14" t="n">
        <v>6</v>
      </c>
      <c r="E79" s="14" t="s">
        <v>572</v>
      </c>
      <c r="F79" s="14" t="s">
        <v>115</v>
      </c>
      <c r="G79" s="14" t="n">
        <f aca="false">COUNTIF($A$35:$A$80,A79)</f>
        <v>1</v>
      </c>
      <c r="H79" s="14"/>
      <c r="I79" s="14"/>
      <c r="J79" s="14"/>
      <c r="K79" s="14"/>
      <c r="L79" s="14"/>
      <c r="M79" s="14"/>
      <c r="N79" s="14"/>
      <c r="O79" s="14"/>
      <c r="P79" s="14"/>
      <c r="Q79" s="14"/>
    </row>
    <row r="80" customFormat="false" ht="23.85" hidden="false" customHeight="false" outlineLevel="0" collapsed="false">
      <c r="A80" s="14" t="s">
        <v>772</v>
      </c>
      <c r="B80" s="14" t="s">
        <v>574</v>
      </c>
      <c r="C80" s="14" t="s">
        <v>82</v>
      </c>
      <c r="D80" s="14" t="n">
        <v>4</v>
      </c>
      <c r="E80" s="14" t="s">
        <v>575</v>
      </c>
      <c r="F80" s="14" t="s">
        <v>115</v>
      </c>
      <c r="G80" s="14" t="n">
        <f aca="false">COUNTIF($A$35:$A$80,A80)</f>
        <v>1</v>
      </c>
      <c r="H80" s="14"/>
      <c r="I80" s="14"/>
      <c r="J80" s="14"/>
      <c r="K80" s="14"/>
      <c r="L80" s="14"/>
      <c r="M80" s="14"/>
      <c r="N80" s="14"/>
      <c r="O80" s="14"/>
      <c r="P80" s="14"/>
      <c r="Q80" s="14"/>
    </row>
    <row r="81" customFormat="false" ht="15" hidden="false" customHeight="false" outlineLevel="0" collapsed="false">
      <c r="A81" s="0" t="s">
        <v>773</v>
      </c>
      <c r="B81" s="0" t="s">
        <v>574</v>
      </c>
      <c r="C81" s="0" t="s">
        <v>86</v>
      </c>
      <c r="D81" s="0" t="n">
        <v>5</v>
      </c>
      <c r="E81" s="0" t="s">
        <v>575</v>
      </c>
      <c r="F81" s="0" t="s">
        <v>115</v>
      </c>
      <c r="G81" s="0" t="n">
        <v>1</v>
      </c>
    </row>
    <row r="82" customFormat="false" ht="15" hidden="false" customHeight="false" outlineLevel="0" collapsed="false">
      <c r="A82" s="0" t="s">
        <v>774</v>
      </c>
      <c r="B82" s="0" t="s">
        <v>574</v>
      </c>
      <c r="C82" s="0" t="s">
        <v>88</v>
      </c>
      <c r="D82" s="0" t="n">
        <v>6</v>
      </c>
      <c r="E82" s="0" t="s">
        <v>575</v>
      </c>
      <c r="F82" s="0" t="s">
        <v>115</v>
      </c>
      <c r="G82" s="0" t="n">
        <v>1</v>
      </c>
    </row>
  </sheetData>
  <mergeCells count="4">
    <mergeCell ref="A1:P1"/>
    <mergeCell ref="A2:P2"/>
    <mergeCell ref="A31:G31"/>
    <mergeCell ref="A32:G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8"/>
    <col collapsed="false" customWidth="true" hidden="false" outlineLevel="0" max="4" min="4" style="0" width="24"/>
    <col collapsed="false" customWidth="true" hidden="false" outlineLevel="0" max="5" min="5" style="0" width="16"/>
    <col collapsed="false" customWidth="true" hidden="false" outlineLevel="0" max="6" min="6" style="0" width="20"/>
    <col collapsed="false" customWidth="true" hidden="false" outlineLevel="0" max="7" min="7" style="0" width="22"/>
    <col collapsed="false" customWidth="true" hidden="false" outlineLevel="0" max="8" min="8" style="0" width="44"/>
    <col collapsed="false" customWidth="true" hidden="false" outlineLevel="0" max="9" min="9" style="0" width="10"/>
  </cols>
  <sheetData>
    <row r="1" customFormat="false" ht="30" hidden="false" customHeight="true" outlineLevel="0" collapsed="false">
      <c r="A1" s="1" t="s">
        <v>775</v>
      </c>
      <c r="B1" s="1"/>
      <c r="C1" s="1"/>
      <c r="D1" s="1"/>
      <c r="E1" s="1"/>
      <c r="F1" s="1"/>
      <c r="G1" s="1"/>
      <c r="H1" s="1"/>
      <c r="I1" s="1"/>
    </row>
    <row r="2" customFormat="false" ht="42" hidden="false" customHeight="true" outlineLevel="0" collapsed="false">
      <c r="A2" s="2" t="s">
        <v>776</v>
      </c>
      <c r="B2" s="2"/>
      <c r="C2" s="2"/>
      <c r="D2" s="2"/>
      <c r="E2" s="2"/>
      <c r="F2" s="2"/>
      <c r="G2" s="2"/>
      <c r="H2" s="2"/>
      <c r="I2" s="2"/>
    </row>
    <row r="3" customFormat="false" ht="15" hidden="false" customHeight="false" outlineLevel="0" collapsed="false">
      <c r="A3" s="3"/>
      <c r="B3" s="3"/>
      <c r="C3" s="3"/>
      <c r="D3" s="3"/>
      <c r="E3" s="3"/>
      <c r="F3" s="3"/>
      <c r="G3" s="3"/>
      <c r="H3" s="3"/>
      <c r="I3" s="3"/>
    </row>
    <row r="5" customFormat="false" ht="38" hidden="false" customHeight="true" outlineLevel="0" collapsed="false">
      <c r="A5" s="10" t="s">
        <v>777</v>
      </c>
      <c r="B5" s="10" t="s">
        <v>581</v>
      </c>
      <c r="C5" s="10" t="s">
        <v>778</v>
      </c>
      <c r="D5" s="10" t="s">
        <v>779</v>
      </c>
      <c r="E5" s="10" t="s">
        <v>780</v>
      </c>
      <c r="F5" s="10" t="s">
        <v>781</v>
      </c>
      <c r="G5" s="10" t="s">
        <v>782</v>
      </c>
      <c r="H5" s="10" t="s">
        <v>67</v>
      </c>
      <c r="I5" s="10" t="s">
        <v>69</v>
      </c>
    </row>
    <row r="6" customFormat="false" ht="30" hidden="false" customHeight="true" outlineLevel="0" collapsed="false">
      <c r="A6" s="11" t="s">
        <v>783</v>
      </c>
      <c r="B6" s="11" t="s">
        <v>593</v>
      </c>
      <c r="C6" s="11" t="n">
        <v>1</v>
      </c>
      <c r="D6" s="11" t="n">
        <v>0</v>
      </c>
      <c r="E6" s="11" t="n">
        <v>50</v>
      </c>
      <c r="F6" s="11" t="n">
        <v>1</v>
      </c>
      <c r="G6" s="11"/>
      <c r="H6" s="11" t="s">
        <v>784</v>
      </c>
      <c r="I6" s="12" t="n">
        <f aca="false">COUNTIF($A$6:$A$149,A6)</f>
        <v>1</v>
      </c>
    </row>
    <row r="7" customFormat="false" ht="30" hidden="false" customHeight="true" outlineLevel="0" collapsed="false">
      <c r="A7" s="11" t="s">
        <v>785</v>
      </c>
      <c r="B7" s="11" t="s">
        <v>593</v>
      </c>
      <c r="C7" s="11" t="n">
        <v>2</v>
      </c>
      <c r="D7" s="11" t="n">
        <v>2</v>
      </c>
      <c r="E7" s="11" t="n">
        <v>100</v>
      </c>
      <c r="F7" s="11" t="n">
        <v>2</v>
      </c>
      <c r="G7" s="11" t="n">
        <v>1</v>
      </c>
      <c r="H7" s="11" t="s">
        <v>784</v>
      </c>
      <c r="I7" s="12" t="n">
        <f aca="false">COUNTIF($A$6:$A$149,A7)</f>
        <v>1</v>
      </c>
    </row>
    <row r="8" customFormat="false" ht="30" hidden="false" customHeight="true" outlineLevel="0" collapsed="false">
      <c r="A8" s="11" t="s">
        <v>786</v>
      </c>
      <c r="B8" s="11" t="s">
        <v>593</v>
      </c>
      <c r="C8" s="11" t="n">
        <v>3</v>
      </c>
      <c r="D8" s="11" t="n">
        <v>3</v>
      </c>
      <c r="E8" s="11" t="n">
        <v>150</v>
      </c>
      <c r="F8" s="11" t="n">
        <v>2</v>
      </c>
      <c r="G8" s="11" t="n">
        <v>2</v>
      </c>
      <c r="H8" s="11" t="s">
        <v>784</v>
      </c>
      <c r="I8" s="12" t="n">
        <f aca="false">COUNTIF($A$6:$A$149,A8)</f>
        <v>1</v>
      </c>
    </row>
    <row r="9" customFormat="false" ht="30" hidden="false" customHeight="true" outlineLevel="0" collapsed="false">
      <c r="A9" s="11" t="s">
        <v>787</v>
      </c>
      <c r="B9" s="11" t="s">
        <v>593</v>
      </c>
      <c r="C9" s="11" t="n">
        <v>4</v>
      </c>
      <c r="D9" s="11" t="n">
        <v>4</v>
      </c>
      <c r="E9" s="11" t="n">
        <v>200</v>
      </c>
      <c r="F9" s="11" t="n">
        <v>2</v>
      </c>
      <c r="G9" s="11" t="n">
        <v>3</v>
      </c>
      <c r="H9" s="11" t="s">
        <v>784</v>
      </c>
      <c r="I9" s="12" t="n">
        <f aca="false">COUNTIF($A$6:$A$149,A9)</f>
        <v>1</v>
      </c>
    </row>
    <row r="10" customFormat="false" ht="30" hidden="false" customHeight="true" outlineLevel="0" collapsed="false">
      <c r="A10" s="11" t="s">
        <v>788</v>
      </c>
      <c r="B10" s="11" t="s">
        <v>593</v>
      </c>
      <c r="C10" s="11" t="n">
        <v>5</v>
      </c>
      <c r="D10" s="11" t="n">
        <v>5</v>
      </c>
      <c r="E10" s="11" t="n">
        <v>250</v>
      </c>
      <c r="F10" s="11" t="n">
        <v>2</v>
      </c>
      <c r="G10" s="11" t="n">
        <v>4</v>
      </c>
      <c r="H10" s="11" t="s">
        <v>784</v>
      </c>
      <c r="I10" s="12" t="n">
        <f aca="false">COUNTIF($A$6:$A$149,A10)</f>
        <v>1</v>
      </c>
    </row>
    <row r="11" customFormat="false" ht="30" hidden="false" customHeight="true" outlineLevel="0" collapsed="false">
      <c r="A11" s="11" t="s">
        <v>789</v>
      </c>
      <c r="B11" s="11" t="s">
        <v>593</v>
      </c>
      <c r="C11" s="11" t="n">
        <v>6</v>
      </c>
      <c r="D11" s="11" t="n">
        <v>6</v>
      </c>
      <c r="E11" s="11" t="n">
        <v>300</v>
      </c>
      <c r="F11" s="11" t="n">
        <v>1</v>
      </c>
      <c r="G11" s="11" t="n">
        <v>5</v>
      </c>
      <c r="H11" s="11" t="s">
        <v>784</v>
      </c>
      <c r="I11" s="12" t="n">
        <f aca="false">COUNTIF($A$6:$A$149,A11)</f>
        <v>1</v>
      </c>
    </row>
    <row r="12" customFormat="false" ht="30" hidden="false" customHeight="true" outlineLevel="0" collapsed="false">
      <c r="A12" s="11" t="s">
        <v>790</v>
      </c>
      <c r="B12" s="11" t="s">
        <v>544</v>
      </c>
      <c r="C12" s="11" t="n">
        <v>1</v>
      </c>
      <c r="D12" s="11" t="n">
        <v>0</v>
      </c>
      <c r="E12" s="11" t="n">
        <v>50</v>
      </c>
      <c r="F12" s="11" t="n">
        <v>1</v>
      </c>
      <c r="G12" s="11"/>
      <c r="H12" s="11" t="s">
        <v>791</v>
      </c>
      <c r="I12" s="12" t="n">
        <f aca="false">COUNTIF($A$6:$A$149,A12)</f>
        <v>1</v>
      </c>
    </row>
    <row r="13" customFormat="false" ht="30" hidden="false" customHeight="true" outlineLevel="0" collapsed="false">
      <c r="A13" s="11" t="s">
        <v>792</v>
      </c>
      <c r="B13" s="11" t="s">
        <v>544</v>
      </c>
      <c r="C13" s="11" t="n">
        <v>2</v>
      </c>
      <c r="D13" s="11" t="n">
        <v>2</v>
      </c>
      <c r="E13" s="11" t="n">
        <v>100</v>
      </c>
      <c r="F13" s="11" t="n">
        <v>1</v>
      </c>
      <c r="G13" s="11" t="n">
        <v>1</v>
      </c>
      <c r="H13" s="11" t="s">
        <v>791</v>
      </c>
      <c r="I13" s="12" t="n">
        <f aca="false">COUNTIF($A$6:$A$149,A13)</f>
        <v>1</v>
      </c>
    </row>
    <row r="14" customFormat="false" ht="30" hidden="false" customHeight="true" outlineLevel="0" collapsed="false">
      <c r="A14" s="11" t="s">
        <v>793</v>
      </c>
      <c r="B14" s="11" t="s">
        <v>544</v>
      </c>
      <c r="C14" s="11" t="n">
        <v>3</v>
      </c>
      <c r="D14" s="11" t="n">
        <v>3</v>
      </c>
      <c r="E14" s="11" t="n">
        <v>150</v>
      </c>
      <c r="F14" s="11" t="n">
        <v>1</v>
      </c>
      <c r="G14" s="11" t="n">
        <v>2</v>
      </c>
      <c r="H14" s="11" t="s">
        <v>791</v>
      </c>
      <c r="I14" s="12" t="n">
        <f aca="false">COUNTIF($A$6:$A$149,A14)</f>
        <v>1</v>
      </c>
    </row>
    <row r="15" customFormat="false" ht="30" hidden="false" customHeight="true" outlineLevel="0" collapsed="false">
      <c r="A15" s="11" t="s">
        <v>794</v>
      </c>
      <c r="B15" s="11" t="s">
        <v>544</v>
      </c>
      <c r="C15" s="11" t="n">
        <v>4</v>
      </c>
      <c r="D15" s="11" t="n">
        <v>4</v>
      </c>
      <c r="E15" s="11" t="n">
        <v>200</v>
      </c>
      <c r="F15" s="11" t="n">
        <v>1</v>
      </c>
      <c r="G15" s="11" t="n">
        <v>3</v>
      </c>
      <c r="H15" s="11" t="s">
        <v>791</v>
      </c>
      <c r="I15" s="12" t="n">
        <f aca="false">COUNTIF($A$6:$A$149,A15)</f>
        <v>1</v>
      </c>
    </row>
    <row r="16" customFormat="false" ht="30" hidden="false" customHeight="true" outlineLevel="0" collapsed="false">
      <c r="A16" s="11" t="s">
        <v>795</v>
      </c>
      <c r="B16" s="11" t="s">
        <v>544</v>
      </c>
      <c r="C16" s="11" t="n">
        <v>5</v>
      </c>
      <c r="D16" s="11" t="n">
        <v>5</v>
      </c>
      <c r="E16" s="11" t="n">
        <v>250</v>
      </c>
      <c r="F16" s="11" t="n">
        <v>1</v>
      </c>
      <c r="G16" s="11" t="n">
        <v>4</v>
      </c>
      <c r="H16" s="11" t="s">
        <v>791</v>
      </c>
      <c r="I16" s="12" t="n">
        <f aca="false">COUNTIF($A$6:$A$149,A16)</f>
        <v>1</v>
      </c>
    </row>
    <row r="17" customFormat="false" ht="30" hidden="false" customHeight="true" outlineLevel="0" collapsed="false">
      <c r="A17" s="11" t="s">
        <v>796</v>
      </c>
      <c r="B17" s="11" t="s">
        <v>544</v>
      </c>
      <c r="C17" s="11" t="n">
        <v>6</v>
      </c>
      <c r="D17" s="11" t="n">
        <v>6</v>
      </c>
      <c r="E17" s="11" t="n">
        <v>300</v>
      </c>
      <c r="F17" s="11" t="n">
        <v>1</v>
      </c>
      <c r="G17" s="11" t="n">
        <v>5</v>
      </c>
      <c r="H17" s="11" t="s">
        <v>791</v>
      </c>
      <c r="I17" s="12" t="n">
        <f aca="false">COUNTIF($A$6:$A$149,A17)</f>
        <v>1</v>
      </c>
    </row>
    <row r="18" customFormat="false" ht="30" hidden="false" customHeight="true" outlineLevel="0" collapsed="false">
      <c r="A18" s="11" t="s">
        <v>797</v>
      </c>
      <c r="B18" s="11" t="s">
        <v>544</v>
      </c>
      <c r="C18" s="11" t="n">
        <v>7</v>
      </c>
      <c r="D18" s="11" t="n">
        <v>7</v>
      </c>
      <c r="E18" s="11" t="n">
        <v>350</v>
      </c>
      <c r="F18" s="11" t="n">
        <v>1</v>
      </c>
      <c r="G18" s="11" t="n">
        <v>6</v>
      </c>
      <c r="H18" s="11" t="s">
        <v>791</v>
      </c>
      <c r="I18" s="12" t="n">
        <f aca="false">COUNTIF($A$6:$A$149,A18)</f>
        <v>1</v>
      </c>
    </row>
    <row r="19" customFormat="false" ht="30" hidden="false" customHeight="true" outlineLevel="0" collapsed="false">
      <c r="A19" s="11" t="s">
        <v>798</v>
      </c>
      <c r="B19" s="11" t="s">
        <v>550</v>
      </c>
      <c r="C19" s="11" t="n">
        <v>1</v>
      </c>
      <c r="D19" s="11" t="n">
        <v>0</v>
      </c>
      <c r="E19" s="11" t="n">
        <v>10</v>
      </c>
      <c r="F19" s="11" t="n">
        <v>1</v>
      </c>
      <c r="G19" s="11"/>
      <c r="H19" s="11" t="s">
        <v>799</v>
      </c>
      <c r="I19" s="12" t="n">
        <f aca="false">COUNTIF($A$6:$A$149,A19)</f>
        <v>1</v>
      </c>
    </row>
    <row r="20" customFormat="false" ht="30" hidden="false" customHeight="true" outlineLevel="0" collapsed="false">
      <c r="A20" s="11" t="s">
        <v>800</v>
      </c>
      <c r="B20" s="11" t="s">
        <v>550</v>
      </c>
      <c r="C20" s="11" t="n">
        <v>2</v>
      </c>
      <c r="D20" s="11" t="n">
        <v>2</v>
      </c>
      <c r="E20" s="11" t="n">
        <v>20</v>
      </c>
      <c r="F20" s="11" t="n">
        <v>1</v>
      </c>
      <c r="G20" s="11" t="n">
        <v>1</v>
      </c>
      <c r="H20" s="11" t="s">
        <v>799</v>
      </c>
      <c r="I20" s="12" t="n">
        <f aca="false">COUNTIF($A$6:$A$149,A20)</f>
        <v>1</v>
      </c>
    </row>
    <row r="21" customFormat="false" ht="30" hidden="false" customHeight="true" outlineLevel="0" collapsed="false">
      <c r="A21" s="11" t="s">
        <v>801</v>
      </c>
      <c r="B21" s="11" t="s">
        <v>550</v>
      </c>
      <c r="C21" s="11" t="n">
        <v>3</v>
      </c>
      <c r="D21" s="11" t="n">
        <v>3</v>
      </c>
      <c r="E21" s="11" t="n">
        <v>30</v>
      </c>
      <c r="F21" s="11" t="n">
        <v>1</v>
      </c>
      <c r="G21" s="11" t="n">
        <v>2</v>
      </c>
      <c r="H21" s="11" t="s">
        <v>799</v>
      </c>
      <c r="I21" s="12" t="n">
        <f aca="false">COUNTIF($A$6:$A$149,A21)</f>
        <v>1</v>
      </c>
    </row>
    <row r="22" customFormat="false" ht="30" hidden="false" customHeight="true" outlineLevel="0" collapsed="false">
      <c r="A22" s="11" t="s">
        <v>802</v>
      </c>
      <c r="B22" s="11" t="s">
        <v>550</v>
      </c>
      <c r="C22" s="11" t="n">
        <v>4</v>
      </c>
      <c r="D22" s="11" t="n">
        <v>4</v>
      </c>
      <c r="E22" s="11" t="n">
        <v>40</v>
      </c>
      <c r="F22" s="11" t="n">
        <v>1</v>
      </c>
      <c r="G22" s="11" t="n">
        <v>3</v>
      </c>
      <c r="H22" s="11" t="s">
        <v>799</v>
      </c>
      <c r="I22" s="12" t="n">
        <f aca="false">COUNTIF($A$6:$A$149,A22)</f>
        <v>1</v>
      </c>
    </row>
    <row r="23" customFormat="false" ht="30" hidden="false" customHeight="true" outlineLevel="0" collapsed="false">
      <c r="A23" s="11" t="s">
        <v>803</v>
      </c>
      <c r="B23" s="11" t="s">
        <v>550</v>
      </c>
      <c r="C23" s="11" t="n">
        <v>5</v>
      </c>
      <c r="D23" s="11" t="n">
        <v>5</v>
      </c>
      <c r="E23" s="11" t="n">
        <v>50</v>
      </c>
      <c r="F23" s="11" t="n">
        <v>1</v>
      </c>
      <c r="G23" s="11" t="n">
        <v>4</v>
      </c>
      <c r="H23" s="11" t="s">
        <v>799</v>
      </c>
      <c r="I23" s="12" t="n">
        <f aca="false">COUNTIF($A$6:$A$149,A23)</f>
        <v>1</v>
      </c>
    </row>
    <row r="24" customFormat="false" ht="30" hidden="false" customHeight="true" outlineLevel="0" collapsed="false">
      <c r="A24" s="11" t="s">
        <v>804</v>
      </c>
      <c r="B24" s="11" t="s">
        <v>550</v>
      </c>
      <c r="C24" s="11" t="n">
        <v>6</v>
      </c>
      <c r="D24" s="11" t="n">
        <v>6</v>
      </c>
      <c r="E24" s="11" t="n">
        <v>60</v>
      </c>
      <c r="F24" s="11" t="n">
        <v>1</v>
      </c>
      <c r="G24" s="11" t="n">
        <v>5</v>
      </c>
      <c r="H24" s="11" t="s">
        <v>799</v>
      </c>
      <c r="I24" s="12" t="n">
        <f aca="false">COUNTIF($A$6:$A$149,A24)</f>
        <v>1</v>
      </c>
    </row>
    <row r="25" customFormat="false" ht="30" hidden="false" customHeight="true" outlineLevel="0" collapsed="false">
      <c r="A25" s="11" t="s">
        <v>805</v>
      </c>
      <c r="B25" s="11" t="s">
        <v>613</v>
      </c>
      <c r="C25" s="11" t="n">
        <v>1</v>
      </c>
      <c r="D25" s="11" t="n">
        <v>0</v>
      </c>
      <c r="E25" s="11" t="n">
        <v>20</v>
      </c>
      <c r="F25" s="11" t="n">
        <v>1</v>
      </c>
      <c r="G25" s="11"/>
      <c r="H25" s="11" t="s">
        <v>806</v>
      </c>
      <c r="I25" s="12" t="n">
        <f aca="false">COUNTIF($A$6:$A$149,A25)</f>
        <v>1</v>
      </c>
    </row>
    <row r="26" customFormat="false" ht="30" hidden="false" customHeight="true" outlineLevel="0" collapsed="false">
      <c r="A26" s="11" t="s">
        <v>807</v>
      </c>
      <c r="B26" s="11" t="s">
        <v>613</v>
      </c>
      <c r="C26" s="11" t="n">
        <v>2</v>
      </c>
      <c r="D26" s="11" t="n">
        <v>2</v>
      </c>
      <c r="E26" s="11" t="n">
        <v>40</v>
      </c>
      <c r="F26" s="11" t="n">
        <v>1</v>
      </c>
      <c r="G26" s="11" t="n">
        <v>1</v>
      </c>
      <c r="H26" s="11" t="s">
        <v>806</v>
      </c>
      <c r="I26" s="12" t="n">
        <f aca="false">COUNTIF($A$6:$A$149,A26)</f>
        <v>1</v>
      </c>
    </row>
    <row r="27" customFormat="false" ht="30" hidden="false" customHeight="true" outlineLevel="0" collapsed="false">
      <c r="A27" s="11" t="s">
        <v>808</v>
      </c>
      <c r="B27" s="11" t="s">
        <v>613</v>
      </c>
      <c r="C27" s="11" t="n">
        <v>3</v>
      </c>
      <c r="D27" s="11" t="n">
        <v>3</v>
      </c>
      <c r="E27" s="11" t="n">
        <v>60</v>
      </c>
      <c r="F27" s="11" t="n">
        <v>1</v>
      </c>
      <c r="G27" s="11" t="n">
        <v>2</v>
      </c>
      <c r="H27" s="11" t="s">
        <v>806</v>
      </c>
      <c r="I27" s="12" t="n">
        <f aca="false">COUNTIF($A$6:$A$149,A27)</f>
        <v>1</v>
      </c>
    </row>
    <row r="28" customFormat="false" ht="30" hidden="false" customHeight="true" outlineLevel="0" collapsed="false">
      <c r="A28" s="11" t="s">
        <v>809</v>
      </c>
      <c r="B28" s="11" t="s">
        <v>613</v>
      </c>
      <c r="C28" s="11" t="n">
        <v>4</v>
      </c>
      <c r="D28" s="11" t="n">
        <v>4</v>
      </c>
      <c r="E28" s="11" t="n">
        <v>80</v>
      </c>
      <c r="F28" s="11" t="n">
        <v>1</v>
      </c>
      <c r="G28" s="11" t="n">
        <v>3</v>
      </c>
      <c r="H28" s="11" t="s">
        <v>806</v>
      </c>
      <c r="I28" s="12" t="n">
        <f aca="false">COUNTIF($A$6:$A$149,A28)</f>
        <v>1</v>
      </c>
    </row>
    <row r="29" customFormat="false" ht="30" hidden="false" customHeight="true" outlineLevel="0" collapsed="false">
      <c r="A29" s="11" t="s">
        <v>810</v>
      </c>
      <c r="B29" s="11" t="s">
        <v>613</v>
      </c>
      <c r="C29" s="11" t="n">
        <v>5</v>
      </c>
      <c r="D29" s="11" t="n">
        <v>5</v>
      </c>
      <c r="E29" s="11" t="n">
        <v>100</v>
      </c>
      <c r="F29" s="11" t="n">
        <v>1</v>
      </c>
      <c r="G29" s="11" t="n">
        <v>4</v>
      </c>
      <c r="H29" s="11" t="s">
        <v>806</v>
      </c>
      <c r="I29" s="12" t="n">
        <f aca="false">COUNTIF($A$6:$A$149,A29)</f>
        <v>1</v>
      </c>
    </row>
    <row r="30" customFormat="false" ht="30" hidden="false" customHeight="true" outlineLevel="0" collapsed="false">
      <c r="A30" s="11" t="s">
        <v>811</v>
      </c>
      <c r="B30" s="11" t="s">
        <v>613</v>
      </c>
      <c r="C30" s="11" t="n">
        <v>6</v>
      </c>
      <c r="D30" s="11" t="n">
        <v>6</v>
      </c>
      <c r="E30" s="11" t="n">
        <v>120</v>
      </c>
      <c r="F30" s="11" t="n">
        <v>1</v>
      </c>
      <c r="G30" s="11" t="n">
        <v>5</v>
      </c>
      <c r="H30" s="11" t="s">
        <v>806</v>
      </c>
      <c r="I30" s="12" t="n">
        <f aca="false">COUNTIF($A$6:$A$149,A30)</f>
        <v>1</v>
      </c>
    </row>
    <row r="31" customFormat="false" ht="30" hidden="false" customHeight="true" outlineLevel="0" collapsed="false">
      <c r="A31" s="11" t="s">
        <v>812</v>
      </c>
      <c r="B31" s="11" t="s">
        <v>618</v>
      </c>
      <c r="C31" s="11" t="n">
        <v>1</v>
      </c>
      <c r="D31" s="11" t="n">
        <v>0</v>
      </c>
      <c r="E31" s="11" t="n">
        <v>50</v>
      </c>
      <c r="F31" s="11" t="n">
        <v>1</v>
      </c>
      <c r="G31" s="11"/>
      <c r="H31" s="11" t="s">
        <v>813</v>
      </c>
      <c r="I31" s="12" t="n">
        <f aca="false">COUNTIF($A$6:$A$149,A31)</f>
        <v>1</v>
      </c>
    </row>
    <row r="32" customFormat="false" ht="30" hidden="false" customHeight="true" outlineLevel="0" collapsed="false">
      <c r="A32" s="11" t="s">
        <v>814</v>
      </c>
      <c r="B32" s="11" t="s">
        <v>618</v>
      </c>
      <c r="C32" s="11" t="n">
        <v>2</v>
      </c>
      <c r="D32" s="11" t="n">
        <v>2</v>
      </c>
      <c r="E32" s="11" t="n">
        <v>100</v>
      </c>
      <c r="F32" s="11" t="n">
        <v>1</v>
      </c>
      <c r="G32" s="11" t="n">
        <v>1</v>
      </c>
      <c r="H32" s="11" t="s">
        <v>813</v>
      </c>
      <c r="I32" s="12" t="n">
        <f aca="false">COUNTIF($A$6:$A$149,A32)</f>
        <v>1</v>
      </c>
    </row>
    <row r="33" customFormat="false" ht="30" hidden="false" customHeight="true" outlineLevel="0" collapsed="false">
      <c r="A33" s="11" t="s">
        <v>815</v>
      </c>
      <c r="B33" s="11" t="s">
        <v>618</v>
      </c>
      <c r="C33" s="11" t="n">
        <v>3</v>
      </c>
      <c r="D33" s="11" t="n">
        <v>3</v>
      </c>
      <c r="E33" s="11" t="n">
        <v>150</v>
      </c>
      <c r="F33" s="11" t="n">
        <v>1</v>
      </c>
      <c r="G33" s="11" t="n">
        <v>2</v>
      </c>
      <c r="H33" s="11" t="s">
        <v>813</v>
      </c>
      <c r="I33" s="12" t="n">
        <f aca="false">COUNTIF($A$6:$A$149,A33)</f>
        <v>1</v>
      </c>
    </row>
    <row r="34" customFormat="false" ht="30" hidden="false" customHeight="true" outlineLevel="0" collapsed="false">
      <c r="A34" s="11" t="s">
        <v>816</v>
      </c>
      <c r="B34" s="11" t="s">
        <v>618</v>
      </c>
      <c r="C34" s="11" t="n">
        <v>4</v>
      </c>
      <c r="D34" s="11" t="n">
        <v>4</v>
      </c>
      <c r="E34" s="11" t="n">
        <v>200</v>
      </c>
      <c r="F34" s="11" t="n">
        <v>1</v>
      </c>
      <c r="G34" s="11" t="n">
        <v>3</v>
      </c>
      <c r="H34" s="11" t="s">
        <v>813</v>
      </c>
      <c r="I34" s="12" t="n">
        <f aca="false">COUNTIF($A$6:$A$149,A34)</f>
        <v>1</v>
      </c>
    </row>
    <row r="35" customFormat="false" ht="30" hidden="false" customHeight="true" outlineLevel="0" collapsed="false">
      <c r="A35" s="11" t="s">
        <v>817</v>
      </c>
      <c r="B35" s="11" t="s">
        <v>618</v>
      </c>
      <c r="C35" s="11" t="n">
        <v>5</v>
      </c>
      <c r="D35" s="11" t="n">
        <v>5</v>
      </c>
      <c r="E35" s="11" t="n">
        <v>250</v>
      </c>
      <c r="F35" s="11" t="n">
        <v>1</v>
      </c>
      <c r="G35" s="11" t="n">
        <v>4</v>
      </c>
      <c r="H35" s="11" t="s">
        <v>813</v>
      </c>
      <c r="I35" s="12" t="n">
        <f aca="false">COUNTIF($A$6:$A$149,A35)</f>
        <v>1</v>
      </c>
    </row>
    <row r="36" customFormat="false" ht="30" hidden="false" customHeight="true" outlineLevel="0" collapsed="false">
      <c r="A36" s="11" t="s">
        <v>818</v>
      </c>
      <c r="B36" s="11" t="s">
        <v>618</v>
      </c>
      <c r="C36" s="11" t="n">
        <v>6</v>
      </c>
      <c r="D36" s="11" t="n">
        <v>6</v>
      </c>
      <c r="E36" s="11" t="n">
        <v>300</v>
      </c>
      <c r="F36" s="11" t="n">
        <v>1</v>
      </c>
      <c r="G36" s="11" t="n">
        <v>5</v>
      </c>
      <c r="H36" s="11" t="s">
        <v>813</v>
      </c>
      <c r="I36" s="12" t="n">
        <f aca="false">COUNTIF($A$6:$A$149,A36)</f>
        <v>1</v>
      </c>
    </row>
    <row r="37" customFormat="false" ht="30" hidden="false" customHeight="true" outlineLevel="0" collapsed="false">
      <c r="A37" s="11" t="s">
        <v>819</v>
      </c>
      <c r="B37" s="11" t="s">
        <v>553</v>
      </c>
      <c r="C37" s="11" t="n">
        <v>1</v>
      </c>
      <c r="D37" s="11" t="n">
        <v>0</v>
      </c>
      <c r="E37" s="11" t="n">
        <v>30</v>
      </c>
      <c r="F37" s="11" t="n">
        <v>1</v>
      </c>
      <c r="G37" s="11"/>
      <c r="H37" s="11" t="s">
        <v>820</v>
      </c>
      <c r="I37" s="12" t="n">
        <f aca="false">COUNTIF($A$6:$A$149,A37)</f>
        <v>1</v>
      </c>
    </row>
    <row r="38" customFormat="false" ht="30" hidden="false" customHeight="true" outlineLevel="0" collapsed="false">
      <c r="A38" s="11" t="s">
        <v>821</v>
      </c>
      <c r="B38" s="11" t="s">
        <v>553</v>
      </c>
      <c r="C38" s="11" t="n">
        <v>2</v>
      </c>
      <c r="D38" s="11" t="n">
        <v>2</v>
      </c>
      <c r="E38" s="11" t="n">
        <v>60</v>
      </c>
      <c r="F38" s="11" t="n">
        <v>1</v>
      </c>
      <c r="G38" s="11" t="n">
        <v>1</v>
      </c>
      <c r="H38" s="11" t="s">
        <v>820</v>
      </c>
      <c r="I38" s="12" t="n">
        <f aca="false">COUNTIF($A$6:$A$149,A38)</f>
        <v>1</v>
      </c>
    </row>
    <row r="39" customFormat="false" ht="30" hidden="false" customHeight="true" outlineLevel="0" collapsed="false">
      <c r="A39" s="11" t="s">
        <v>822</v>
      </c>
      <c r="B39" s="11" t="s">
        <v>553</v>
      </c>
      <c r="C39" s="11" t="n">
        <v>3</v>
      </c>
      <c r="D39" s="11" t="n">
        <v>3</v>
      </c>
      <c r="E39" s="11" t="n">
        <v>90</v>
      </c>
      <c r="F39" s="11" t="n">
        <v>1</v>
      </c>
      <c r="G39" s="11" t="n">
        <v>2</v>
      </c>
      <c r="H39" s="11" t="s">
        <v>820</v>
      </c>
      <c r="I39" s="12" t="n">
        <f aca="false">COUNTIF($A$6:$A$149,A39)</f>
        <v>1</v>
      </c>
    </row>
    <row r="40" customFormat="false" ht="30" hidden="false" customHeight="true" outlineLevel="0" collapsed="false">
      <c r="A40" s="11" t="s">
        <v>823</v>
      </c>
      <c r="B40" s="11" t="s">
        <v>553</v>
      </c>
      <c r="C40" s="11" t="n">
        <v>4</v>
      </c>
      <c r="D40" s="11" t="n">
        <v>4</v>
      </c>
      <c r="E40" s="11" t="n">
        <v>120</v>
      </c>
      <c r="F40" s="11" t="n">
        <v>1</v>
      </c>
      <c r="G40" s="11" t="n">
        <v>3</v>
      </c>
      <c r="H40" s="11" t="s">
        <v>820</v>
      </c>
      <c r="I40" s="12" t="n">
        <f aca="false">COUNTIF($A$6:$A$149,A40)</f>
        <v>1</v>
      </c>
    </row>
    <row r="41" customFormat="false" ht="30" hidden="false" customHeight="true" outlineLevel="0" collapsed="false">
      <c r="A41" s="11" t="s">
        <v>824</v>
      </c>
      <c r="B41" s="11" t="s">
        <v>553</v>
      </c>
      <c r="C41" s="11" t="n">
        <v>5</v>
      </c>
      <c r="D41" s="11" t="n">
        <v>5</v>
      </c>
      <c r="E41" s="11" t="n">
        <v>150</v>
      </c>
      <c r="F41" s="11" t="n">
        <v>1</v>
      </c>
      <c r="G41" s="11" t="n">
        <v>4</v>
      </c>
      <c r="H41" s="11" t="s">
        <v>820</v>
      </c>
      <c r="I41" s="12" t="n">
        <f aca="false">COUNTIF($A$6:$A$149,A41)</f>
        <v>1</v>
      </c>
    </row>
    <row r="42" customFormat="false" ht="30" hidden="false" customHeight="true" outlineLevel="0" collapsed="false">
      <c r="A42" s="11" t="s">
        <v>825</v>
      </c>
      <c r="B42" s="11" t="s">
        <v>553</v>
      </c>
      <c r="C42" s="11" t="n">
        <v>6</v>
      </c>
      <c r="D42" s="11" t="n">
        <v>6</v>
      </c>
      <c r="E42" s="11" t="n">
        <v>180</v>
      </c>
      <c r="F42" s="11" t="n">
        <v>1</v>
      </c>
      <c r="G42" s="11" t="n">
        <v>5</v>
      </c>
      <c r="H42" s="11" t="s">
        <v>820</v>
      </c>
      <c r="I42" s="12" t="n">
        <f aca="false">COUNTIF($A$6:$A$149,A42)</f>
        <v>1</v>
      </c>
    </row>
    <row r="43" customFormat="false" ht="30" hidden="false" customHeight="true" outlineLevel="0" collapsed="false">
      <c r="A43" s="11" t="s">
        <v>826</v>
      </c>
      <c r="B43" s="11" t="s">
        <v>628</v>
      </c>
      <c r="C43" s="11" t="n">
        <v>1</v>
      </c>
      <c r="D43" s="11" t="n">
        <v>0</v>
      </c>
      <c r="E43" s="11" t="n">
        <v>1000</v>
      </c>
      <c r="F43" s="11" t="n">
        <v>1</v>
      </c>
      <c r="G43" s="11"/>
      <c r="H43" s="11" t="s">
        <v>827</v>
      </c>
      <c r="I43" s="12" t="n">
        <f aca="false">COUNTIF($A$6:$A$149,A43)</f>
        <v>1</v>
      </c>
    </row>
    <row r="44" customFormat="false" ht="30" hidden="false" customHeight="true" outlineLevel="0" collapsed="false">
      <c r="A44" s="11" t="s">
        <v>828</v>
      </c>
      <c r="B44" s="11" t="s">
        <v>628</v>
      </c>
      <c r="C44" s="11" t="n">
        <v>2</v>
      </c>
      <c r="D44" s="11" t="n">
        <v>2</v>
      </c>
      <c r="E44" s="11" t="n">
        <v>2000</v>
      </c>
      <c r="F44" s="11" t="n">
        <v>1</v>
      </c>
      <c r="G44" s="11" t="n">
        <v>1</v>
      </c>
      <c r="H44" s="11" t="s">
        <v>827</v>
      </c>
      <c r="I44" s="12" t="n">
        <f aca="false">COUNTIF($A$6:$A$149,A44)</f>
        <v>1</v>
      </c>
    </row>
    <row r="45" customFormat="false" ht="30" hidden="false" customHeight="true" outlineLevel="0" collapsed="false">
      <c r="A45" s="11" t="s">
        <v>829</v>
      </c>
      <c r="B45" s="11" t="s">
        <v>628</v>
      </c>
      <c r="C45" s="11" t="n">
        <v>3</v>
      </c>
      <c r="D45" s="11" t="n">
        <v>3</v>
      </c>
      <c r="E45" s="11" t="n">
        <v>3000</v>
      </c>
      <c r="F45" s="11" t="n">
        <v>1</v>
      </c>
      <c r="G45" s="11" t="n">
        <v>2</v>
      </c>
      <c r="H45" s="11" t="s">
        <v>827</v>
      </c>
      <c r="I45" s="12" t="n">
        <f aca="false">COUNTIF($A$6:$A$149,A45)</f>
        <v>1</v>
      </c>
    </row>
    <row r="46" customFormat="false" ht="30" hidden="false" customHeight="true" outlineLevel="0" collapsed="false">
      <c r="A46" s="11" t="s">
        <v>830</v>
      </c>
      <c r="B46" s="11" t="s">
        <v>628</v>
      </c>
      <c r="C46" s="11" t="n">
        <v>4</v>
      </c>
      <c r="D46" s="11" t="n">
        <v>4</v>
      </c>
      <c r="E46" s="11" t="n">
        <v>4000</v>
      </c>
      <c r="F46" s="11" t="n">
        <v>1</v>
      </c>
      <c r="G46" s="11" t="n">
        <v>3</v>
      </c>
      <c r="H46" s="11" t="s">
        <v>827</v>
      </c>
      <c r="I46" s="12" t="n">
        <f aca="false">COUNTIF($A$6:$A$149,A46)</f>
        <v>1</v>
      </c>
    </row>
    <row r="47" customFormat="false" ht="30" hidden="false" customHeight="true" outlineLevel="0" collapsed="false">
      <c r="A47" s="11" t="s">
        <v>831</v>
      </c>
      <c r="B47" s="11" t="s">
        <v>628</v>
      </c>
      <c r="C47" s="11" t="n">
        <v>5</v>
      </c>
      <c r="D47" s="11" t="n">
        <v>5</v>
      </c>
      <c r="E47" s="11" t="n">
        <v>5000</v>
      </c>
      <c r="F47" s="11" t="n">
        <v>1</v>
      </c>
      <c r="G47" s="11" t="n">
        <v>4</v>
      </c>
      <c r="H47" s="11" t="s">
        <v>827</v>
      </c>
      <c r="I47" s="12" t="n">
        <f aca="false">COUNTIF($A$6:$A$149,A47)</f>
        <v>1</v>
      </c>
    </row>
    <row r="48" customFormat="false" ht="30" hidden="false" customHeight="true" outlineLevel="0" collapsed="false">
      <c r="A48" s="11" t="s">
        <v>832</v>
      </c>
      <c r="B48" s="11" t="s">
        <v>628</v>
      </c>
      <c r="C48" s="11" t="n">
        <v>6</v>
      </c>
      <c r="D48" s="11" t="n">
        <v>6</v>
      </c>
      <c r="E48" s="11" t="n">
        <v>6000</v>
      </c>
      <c r="F48" s="11" t="n">
        <v>2</v>
      </c>
      <c r="G48" s="11" t="n">
        <v>5</v>
      </c>
      <c r="H48" s="11" t="s">
        <v>827</v>
      </c>
      <c r="I48" s="12" t="n">
        <f aca="false">COUNTIF($A$6:$A$149,A48)</f>
        <v>1</v>
      </c>
    </row>
    <row r="49" customFormat="false" ht="30" hidden="false" customHeight="true" outlineLevel="0" collapsed="false">
      <c r="A49" s="11" t="s">
        <v>833</v>
      </c>
      <c r="B49" s="11" t="s">
        <v>636</v>
      </c>
      <c r="C49" s="11" t="n">
        <v>1</v>
      </c>
      <c r="D49" s="11" t="n">
        <v>0</v>
      </c>
      <c r="E49" s="11" t="n">
        <v>100</v>
      </c>
      <c r="F49" s="11" t="n">
        <v>1</v>
      </c>
      <c r="G49" s="11"/>
      <c r="H49" s="11" t="s">
        <v>834</v>
      </c>
      <c r="I49" s="12" t="n">
        <f aca="false">COUNTIF($A$6:$A$149,A49)</f>
        <v>1</v>
      </c>
    </row>
    <row r="50" customFormat="false" ht="30" hidden="false" customHeight="true" outlineLevel="0" collapsed="false">
      <c r="A50" s="11" t="s">
        <v>835</v>
      </c>
      <c r="B50" s="11" t="s">
        <v>636</v>
      </c>
      <c r="C50" s="11" t="n">
        <v>2</v>
      </c>
      <c r="D50" s="11" t="n">
        <v>2</v>
      </c>
      <c r="E50" s="11" t="n">
        <v>200</v>
      </c>
      <c r="F50" s="11" t="n">
        <v>2</v>
      </c>
      <c r="G50" s="11" t="n">
        <v>1</v>
      </c>
      <c r="H50" s="11" t="s">
        <v>834</v>
      </c>
      <c r="I50" s="12" t="n">
        <f aca="false">COUNTIF($A$6:$A$149,A50)</f>
        <v>1</v>
      </c>
    </row>
    <row r="51" customFormat="false" ht="30" hidden="false" customHeight="true" outlineLevel="0" collapsed="false">
      <c r="A51" s="11" t="s">
        <v>836</v>
      </c>
      <c r="B51" s="11" t="s">
        <v>636</v>
      </c>
      <c r="C51" s="11" t="n">
        <v>3</v>
      </c>
      <c r="D51" s="11" t="n">
        <v>3</v>
      </c>
      <c r="E51" s="11" t="n">
        <v>300</v>
      </c>
      <c r="F51" s="11" t="n">
        <v>2</v>
      </c>
      <c r="G51" s="11" t="n">
        <v>2</v>
      </c>
      <c r="H51" s="11" t="s">
        <v>834</v>
      </c>
      <c r="I51" s="12" t="n">
        <f aca="false">COUNTIF($A$6:$A$149,A51)</f>
        <v>1</v>
      </c>
    </row>
    <row r="52" customFormat="false" ht="30" hidden="false" customHeight="true" outlineLevel="0" collapsed="false">
      <c r="A52" s="11" t="s">
        <v>837</v>
      </c>
      <c r="B52" s="11" t="s">
        <v>636</v>
      </c>
      <c r="C52" s="11" t="n">
        <v>4</v>
      </c>
      <c r="D52" s="11" t="n">
        <v>4</v>
      </c>
      <c r="E52" s="11" t="n">
        <v>400</v>
      </c>
      <c r="F52" s="11" t="n">
        <v>2</v>
      </c>
      <c r="G52" s="11" t="n">
        <v>3</v>
      </c>
      <c r="H52" s="11" t="s">
        <v>834</v>
      </c>
      <c r="I52" s="12" t="n">
        <f aca="false">COUNTIF($A$6:$A$149,A52)</f>
        <v>1</v>
      </c>
    </row>
    <row r="53" customFormat="false" ht="30" hidden="false" customHeight="true" outlineLevel="0" collapsed="false">
      <c r="A53" s="11" t="s">
        <v>838</v>
      </c>
      <c r="B53" s="11" t="s">
        <v>636</v>
      </c>
      <c r="C53" s="11" t="n">
        <v>5</v>
      </c>
      <c r="D53" s="11" t="n">
        <v>5</v>
      </c>
      <c r="E53" s="11" t="n">
        <v>500</v>
      </c>
      <c r="F53" s="11" t="n">
        <v>2</v>
      </c>
      <c r="G53" s="11" t="n">
        <v>4</v>
      </c>
      <c r="H53" s="11" t="s">
        <v>834</v>
      </c>
      <c r="I53" s="12" t="n">
        <f aca="false">COUNTIF($A$6:$A$149,A53)</f>
        <v>1</v>
      </c>
    </row>
    <row r="54" customFormat="false" ht="30" hidden="false" customHeight="true" outlineLevel="0" collapsed="false">
      <c r="A54" s="11" t="s">
        <v>839</v>
      </c>
      <c r="B54" s="11" t="s">
        <v>636</v>
      </c>
      <c r="C54" s="11" t="n">
        <v>6</v>
      </c>
      <c r="D54" s="11" t="n">
        <v>6</v>
      </c>
      <c r="E54" s="11" t="n">
        <v>600</v>
      </c>
      <c r="F54" s="11" t="n">
        <v>1</v>
      </c>
      <c r="G54" s="11" t="n">
        <v>5</v>
      </c>
      <c r="H54" s="11" t="s">
        <v>834</v>
      </c>
      <c r="I54" s="12" t="n">
        <f aca="false">COUNTIF($A$6:$A$149,A54)</f>
        <v>1</v>
      </c>
    </row>
    <row r="55" customFormat="false" ht="30" hidden="false" customHeight="true" outlineLevel="0" collapsed="false">
      <c r="A55" s="11" t="s">
        <v>840</v>
      </c>
      <c r="B55" s="11" t="s">
        <v>644</v>
      </c>
      <c r="C55" s="11" t="n">
        <v>1</v>
      </c>
      <c r="D55" s="11" t="n">
        <v>0</v>
      </c>
      <c r="E55" s="11" t="n">
        <v>20</v>
      </c>
      <c r="F55" s="11" t="n">
        <v>1</v>
      </c>
      <c r="G55" s="11"/>
      <c r="H55" s="11" t="s">
        <v>841</v>
      </c>
      <c r="I55" s="12" t="n">
        <f aca="false">COUNTIF($A$6:$A$149,A55)</f>
        <v>1</v>
      </c>
    </row>
    <row r="56" customFormat="false" ht="30" hidden="false" customHeight="true" outlineLevel="0" collapsed="false">
      <c r="A56" s="11" t="s">
        <v>842</v>
      </c>
      <c r="B56" s="11" t="s">
        <v>644</v>
      </c>
      <c r="C56" s="11" t="n">
        <v>2</v>
      </c>
      <c r="D56" s="11" t="n">
        <v>2</v>
      </c>
      <c r="E56" s="11" t="n">
        <v>40</v>
      </c>
      <c r="F56" s="11" t="n">
        <v>1</v>
      </c>
      <c r="G56" s="11" t="n">
        <v>1</v>
      </c>
      <c r="H56" s="11" t="s">
        <v>841</v>
      </c>
      <c r="I56" s="12" t="n">
        <f aca="false">COUNTIF($A$6:$A$149,A56)</f>
        <v>1</v>
      </c>
    </row>
    <row r="57" customFormat="false" ht="30" hidden="false" customHeight="true" outlineLevel="0" collapsed="false">
      <c r="A57" s="11" t="s">
        <v>843</v>
      </c>
      <c r="B57" s="11" t="s">
        <v>644</v>
      </c>
      <c r="C57" s="11" t="n">
        <v>3</v>
      </c>
      <c r="D57" s="11" t="n">
        <v>3</v>
      </c>
      <c r="E57" s="11" t="n">
        <v>60</v>
      </c>
      <c r="F57" s="11" t="n">
        <v>1</v>
      </c>
      <c r="G57" s="11" t="n">
        <v>2</v>
      </c>
      <c r="H57" s="11" t="s">
        <v>841</v>
      </c>
      <c r="I57" s="12" t="n">
        <f aca="false">COUNTIF($A$6:$A$149,A57)</f>
        <v>1</v>
      </c>
    </row>
    <row r="58" customFormat="false" ht="30" hidden="false" customHeight="true" outlineLevel="0" collapsed="false">
      <c r="A58" s="11" t="s">
        <v>844</v>
      </c>
      <c r="B58" s="11" t="s">
        <v>644</v>
      </c>
      <c r="C58" s="11" t="n">
        <v>4</v>
      </c>
      <c r="D58" s="11" t="n">
        <v>4</v>
      </c>
      <c r="E58" s="11" t="n">
        <v>80</v>
      </c>
      <c r="F58" s="11" t="n">
        <v>1</v>
      </c>
      <c r="G58" s="11" t="n">
        <v>3</v>
      </c>
      <c r="H58" s="11" t="s">
        <v>841</v>
      </c>
      <c r="I58" s="12" t="n">
        <f aca="false">COUNTIF($A$6:$A$149,A58)</f>
        <v>1</v>
      </c>
    </row>
    <row r="59" customFormat="false" ht="30" hidden="false" customHeight="true" outlineLevel="0" collapsed="false">
      <c r="A59" s="11" t="s">
        <v>845</v>
      </c>
      <c r="B59" s="11" t="s">
        <v>644</v>
      </c>
      <c r="C59" s="11" t="n">
        <v>5</v>
      </c>
      <c r="D59" s="11" t="n">
        <v>5</v>
      </c>
      <c r="E59" s="11" t="n">
        <v>100</v>
      </c>
      <c r="F59" s="11" t="n">
        <v>1</v>
      </c>
      <c r="G59" s="11" t="n">
        <v>4</v>
      </c>
      <c r="H59" s="11" t="s">
        <v>841</v>
      </c>
      <c r="I59" s="12" t="n">
        <f aca="false">COUNTIF($A$6:$A$149,A59)</f>
        <v>1</v>
      </c>
    </row>
    <row r="60" customFormat="false" ht="30" hidden="false" customHeight="true" outlineLevel="0" collapsed="false">
      <c r="A60" s="11" t="s">
        <v>846</v>
      </c>
      <c r="B60" s="11" t="s">
        <v>644</v>
      </c>
      <c r="C60" s="11" t="n">
        <v>6</v>
      </c>
      <c r="D60" s="11" t="n">
        <v>6</v>
      </c>
      <c r="E60" s="11" t="n">
        <v>120</v>
      </c>
      <c r="F60" s="11" t="n">
        <v>1</v>
      </c>
      <c r="G60" s="11" t="n">
        <v>5</v>
      </c>
      <c r="H60" s="11" t="s">
        <v>841</v>
      </c>
      <c r="I60" s="12" t="n">
        <f aca="false">COUNTIF($A$6:$A$149,A60)</f>
        <v>1</v>
      </c>
    </row>
    <row r="61" customFormat="false" ht="30" hidden="false" customHeight="true" outlineLevel="0" collapsed="false">
      <c r="A61" s="11" t="s">
        <v>847</v>
      </c>
      <c r="B61" s="11" t="s">
        <v>650</v>
      </c>
      <c r="C61" s="11" t="n">
        <v>1</v>
      </c>
      <c r="D61" s="11" t="n">
        <v>0</v>
      </c>
      <c r="E61" s="11" t="n">
        <v>50</v>
      </c>
      <c r="F61" s="11" t="n">
        <v>1</v>
      </c>
      <c r="G61" s="11"/>
      <c r="H61" s="11" t="s">
        <v>848</v>
      </c>
      <c r="I61" s="12" t="n">
        <f aca="false">COUNTIF($A$6:$A$149,A61)</f>
        <v>1</v>
      </c>
    </row>
    <row r="62" customFormat="false" ht="30" hidden="false" customHeight="true" outlineLevel="0" collapsed="false">
      <c r="A62" s="11" t="s">
        <v>849</v>
      </c>
      <c r="B62" s="11" t="s">
        <v>650</v>
      </c>
      <c r="C62" s="11" t="n">
        <v>2</v>
      </c>
      <c r="D62" s="11" t="n">
        <v>2</v>
      </c>
      <c r="E62" s="11" t="n">
        <v>100</v>
      </c>
      <c r="F62" s="11" t="n">
        <v>1</v>
      </c>
      <c r="G62" s="11" t="n">
        <v>1</v>
      </c>
      <c r="H62" s="11" t="s">
        <v>848</v>
      </c>
      <c r="I62" s="12" t="n">
        <f aca="false">COUNTIF($A$6:$A$149,A62)</f>
        <v>1</v>
      </c>
    </row>
    <row r="63" customFormat="false" ht="30" hidden="false" customHeight="true" outlineLevel="0" collapsed="false">
      <c r="A63" s="11" t="s">
        <v>850</v>
      </c>
      <c r="B63" s="11" t="s">
        <v>650</v>
      </c>
      <c r="C63" s="11" t="n">
        <v>3</v>
      </c>
      <c r="D63" s="11" t="n">
        <v>3</v>
      </c>
      <c r="E63" s="11" t="n">
        <v>150</v>
      </c>
      <c r="F63" s="11" t="n">
        <v>1</v>
      </c>
      <c r="G63" s="11" t="n">
        <v>2</v>
      </c>
      <c r="H63" s="11" t="s">
        <v>848</v>
      </c>
      <c r="I63" s="12" t="n">
        <f aca="false">COUNTIF($A$6:$A$149,A63)</f>
        <v>1</v>
      </c>
    </row>
    <row r="64" customFormat="false" ht="30" hidden="false" customHeight="true" outlineLevel="0" collapsed="false">
      <c r="A64" s="11" t="s">
        <v>851</v>
      </c>
      <c r="B64" s="11" t="s">
        <v>650</v>
      </c>
      <c r="C64" s="11" t="n">
        <v>4</v>
      </c>
      <c r="D64" s="11" t="n">
        <v>4</v>
      </c>
      <c r="E64" s="11" t="n">
        <v>200</v>
      </c>
      <c r="F64" s="11" t="n">
        <v>1</v>
      </c>
      <c r="G64" s="11" t="n">
        <v>3</v>
      </c>
      <c r="H64" s="11" t="s">
        <v>848</v>
      </c>
      <c r="I64" s="12" t="n">
        <f aca="false">COUNTIF($A$6:$A$149,A64)</f>
        <v>1</v>
      </c>
    </row>
    <row r="65" customFormat="false" ht="30" hidden="false" customHeight="true" outlineLevel="0" collapsed="false">
      <c r="A65" s="11" t="s">
        <v>852</v>
      </c>
      <c r="B65" s="11" t="s">
        <v>650</v>
      </c>
      <c r="C65" s="11" t="n">
        <v>5</v>
      </c>
      <c r="D65" s="11" t="n">
        <v>5</v>
      </c>
      <c r="E65" s="11" t="n">
        <v>250</v>
      </c>
      <c r="F65" s="11" t="n">
        <v>1</v>
      </c>
      <c r="G65" s="11" t="n">
        <v>4</v>
      </c>
      <c r="H65" s="11" t="s">
        <v>848</v>
      </c>
      <c r="I65" s="12" t="n">
        <f aca="false">COUNTIF($A$6:$A$149,A65)</f>
        <v>1</v>
      </c>
    </row>
    <row r="66" customFormat="false" ht="30" hidden="false" customHeight="true" outlineLevel="0" collapsed="false">
      <c r="A66" s="11" t="s">
        <v>853</v>
      </c>
      <c r="B66" s="11" t="s">
        <v>650</v>
      </c>
      <c r="C66" s="11" t="n">
        <v>6</v>
      </c>
      <c r="D66" s="11" t="n">
        <v>6</v>
      </c>
      <c r="E66" s="11" t="n">
        <v>300</v>
      </c>
      <c r="F66" s="11" t="n">
        <v>1</v>
      </c>
      <c r="G66" s="11" t="n">
        <v>5</v>
      </c>
      <c r="H66" s="11" t="s">
        <v>848</v>
      </c>
      <c r="I66" s="12" t="n">
        <f aca="false">COUNTIF($A$6:$A$149,A66)</f>
        <v>1</v>
      </c>
    </row>
    <row r="67" customFormat="false" ht="30" hidden="false" customHeight="true" outlineLevel="0" collapsed="false">
      <c r="A67" s="11" t="s">
        <v>854</v>
      </c>
      <c r="B67" s="11" t="s">
        <v>656</v>
      </c>
      <c r="C67" s="11" t="n">
        <v>1</v>
      </c>
      <c r="D67" s="11" t="n">
        <v>0</v>
      </c>
      <c r="E67" s="11" t="n">
        <v>50</v>
      </c>
      <c r="F67" s="11" t="n">
        <v>1</v>
      </c>
      <c r="G67" s="11"/>
      <c r="H67" s="11" t="s">
        <v>855</v>
      </c>
      <c r="I67" s="12" t="n">
        <f aca="false">COUNTIF($A$6:$A$149,A67)</f>
        <v>1</v>
      </c>
    </row>
    <row r="68" customFormat="false" ht="30" hidden="false" customHeight="true" outlineLevel="0" collapsed="false">
      <c r="A68" s="11" t="s">
        <v>856</v>
      </c>
      <c r="B68" s="11" t="s">
        <v>656</v>
      </c>
      <c r="C68" s="11" t="n">
        <v>2</v>
      </c>
      <c r="D68" s="11" t="n">
        <v>2</v>
      </c>
      <c r="E68" s="11" t="n">
        <v>100</v>
      </c>
      <c r="F68" s="11" t="n">
        <v>1</v>
      </c>
      <c r="G68" s="11" t="n">
        <v>1</v>
      </c>
      <c r="H68" s="11" t="s">
        <v>855</v>
      </c>
      <c r="I68" s="12" t="n">
        <f aca="false">COUNTIF($A$6:$A$149,A68)</f>
        <v>1</v>
      </c>
    </row>
    <row r="69" customFormat="false" ht="30" hidden="false" customHeight="true" outlineLevel="0" collapsed="false">
      <c r="A69" s="11" t="s">
        <v>857</v>
      </c>
      <c r="B69" s="11" t="s">
        <v>656</v>
      </c>
      <c r="C69" s="11" t="n">
        <v>3</v>
      </c>
      <c r="D69" s="11" t="n">
        <v>3</v>
      </c>
      <c r="E69" s="11" t="n">
        <v>150</v>
      </c>
      <c r="F69" s="11" t="n">
        <v>1</v>
      </c>
      <c r="G69" s="11" t="n">
        <v>2</v>
      </c>
      <c r="H69" s="11" t="s">
        <v>855</v>
      </c>
      <c r="I69" s="12" t="n">
        <f aca="false">COUNTIF($A$6:$A$149,A69)</f>
        <v>1</v>
      </c>
    </row>
    <row r="70" customFormat="false" ht="30" hidden="false" customHeight="true" outlineLevel="0" collapsed="false">
      <c r="A70" s="11" t="s">
        <v>858</v>
      </c>
      <c r="B70" s="11" t="s">
        <v>656</v>
      </c>
      <c r="C70" s="11" t="n">
        <v>4</v>
      </c>
      <c r="D70" s="11" t="n">
        <v>4</v>
      </c>
      <c r="E70" s="11" t="n">
        <v>200</v>
      </c>
      <c r="F70" s="11" t="n">
        <v>1</v>
      </c>
      <c r="G70" s="11" t="n">
        <v>3</v>
      </c>
      <c r="H70" s="11" t="s">
        <v>855</v>
      </c>
      <c r="I70" s="12" t="n">
        <f aca="false">COUNTIF($A$6:$A$149,A70)</f>
        <v>1</v>
      </c>
    </row>
    <row r="71" customFormat="false" ht="30" hidden="false" customHeight="true" outlineLevel="0" collapsed="false">
      <c r="A71" s="11" t="s">
        <v>859</v>
      </c>
      <c r="B71" s="11" t="s">
        <v>656</v>
      </c>
      <c r="C71" s="11" t="n">
        <v>5</v>
      </c>
      <c r="D71" s="11" t="n">
        <v>5</v>
      </c>
      <c r="E71" s="11" t="n">
        <v>250</v>
      </c>
      <c r="F71" s="11" t="n">
        <v>1</v>
      </c>
      <c r="G71" s="11" t="n">
        <v>4</v>
      </c>
      <c r="H71" s="11" t="s">
        <v>855</v>
      </c>
      <c r="I71" s="12" t="n">
        <f aca="false">COUNTIF($A$6:$A$149,A71)</f>
        <v>1</v>
      </c>
    </row>
    <row r="72" customFormat="false" ht="30" hidden="false" customHeight="true" outlineLevel="0" collapsed="false">
      <c r="A72" s="11" t="s">
        <v>860</v>
      </c>
      <c r="B72" s="11" t="s">
        <v>656</v>
      </c>
      <c r="C72" s="11" t="n">
        <v>6</v>
      </c>
      <c r="D72" s="11" t="n">
        <v>6</v>
      </c>
      <c r="E72" s="11" t="n">
        <v>300</v>
      </c>
      <c r="F72" s="11" t="n">
        <v>1</v>
      </c>
      <c r="G72" s="11" t="n">
        <v>5</v>
      </c>
      <c r="H72" s="11" t="s">
        <v>855</v>
      </c>
      <c r="I72" s="12" t="n">
        <f aca="false">COUNTIF($A$6:$A$149,A72)</f>
        <v>1</v>
      </c>
    </row>
    <row r="73" customFormat="false" ht="30" hidden="false" customHeight="true" outlineLevel="0" collapsed="false">
      <c r="A73" s="11" t="s">
        <v>861</v>
      </c>
      <c r="B73" s="11" t="s">
        <v>662</v>
      </c>
      <c r="C73" s="11" t="n">
        <v>1</v>
      </c>
      <c r="D73" s="11" t="n">
        <v>0</v>
      </c>
      <c r="E73" s="11" t="n">
        <v>50</v>
      </c>
      <c r="F73" s="11" t="n">
        <v>1</v>
      </c>
      <c r="G73" s="11"/>
      <c r="H73" s="11" t="s">
        <v>862</v>
      </c>
      <c r="I73" s="12" t="n">
        <f aca="false">COUNTIF($A$6:$A$149,A73)</f>
        <v>1</v>
      </c>
    </row>
    <row r="74" customFormat="false" ht="30" hidden="false" customHeight="true" outlineLevel="0" collapsed="false">
      <c r="A74" s="11" t="s">
        <v>863</v>
      </c>
      <c r="B74" s="11" t="s">
        <v>662</v>
      </c>
      <c r="C74" s="11" t="n">
        <v>2</v>
      </c>
      <c r="D74" s="11" t="n">
        <v>2</v>
      </c>
      <c r="E74" s="11" t="n">
        <v>100</v>
      </c>
      <c r="F74" s="11" t="n">
        <v>1</v>
      </c>
      <c r="G74" s="11" t="n">
        <v>1</v>
      </c>
      <c r="H74" s="11" t="s">
        <v>862</v>
      </c>
      <c r="I74" s="12" t="n">
        <f aca="false">COUNTIF($A$6:$A$149,A74)</f>
        <v>1</v>
      </c>
    </row>
    <row r="75" customFormat="false" ht="30" hidden="false" customHeight="true" outlineLevel="0" collapsed="false">
      <c r="A75" s="11" t="s">
        <v>864</v>
      </c>
      <c r="B75" s="11" t="s">
        <v>662</v>
      </c>
      <c r="C75" s="11" t="n">
        <v>3</v>
      </c>
      <c r="D75" s="11" t="n">
        <v>3</v>
      </c>
      <c r="E75" s="11" t="n">
        <v>150</v>
      </c>
      <c r="F75" s="11" t="n">
        <v>1</v>
      </c>
      <c r="G75" s="11" t="n">
        <v>2</v>
      </c>
      <c r="H75" s="11" t="s">
        <v>862</v>
      </c>
      <c r="I75" s="12" t="n">
        <f aca="false">COUNTIF($A$6:$A$149,A75)</f>
        <v>1</v>
      </c>
    </row>
    <row r="76" customFormat="false" ht="30" hidden="false" customHeight="true" outlineLevel="0" collapsed="false">
      <c r="A76" s="11" t="s">
        <v>865</v>
      </c>
      <c r="B76" s="11" t="s">
        <v>662</v>
      </c>
      <c r="C76" s="11" t="n">
        <v>4</v>
      </c>
      <c r="D76" s="11" t="n">
        <v>4</v>
      </c>
      <c r="E76" s="11" t="n">
        <v>200</v>
      </c>
      <c r="F76" s="11" t="n">
        <v>1</v>
      </c>
      <c r="G76" s="11" t="n">
        <v>3</v>
      </c>
      <c r="H76" s="11" t="s">
        <v>862</v>
      </c>
      <c r="I76" s="12" t="n">
        <f aca="false">COUNTIF($A$6:$A$149,A76)</f>
        <v>1</v>
      </c>
    </row>
    <row r="77" customFormat="false" ht="30" hidden="false" customHeight="true" outlineLevel="0" collapsed="false">
      <c r="A77" s="11" t="s">
        <v>866</v>
      </c>
      <c r="B77" s="11" t="s">
        <v>662</v>
      </c>
      <c r="C77" s="11" t="n">
        <v>5</v>
      </c>
      <c r="D77" s="11" t="n">
        <v>5</v>
      </c>
      <c r="E77" s="11" t="n">
        <v>250</v>
      </c>
      <c r="F77" s="11" t="n">
        <v>1</v>
      </c>
      <c r="G77" s="11" t="n">
        <v>4</v>
      </c>
      <c r="H77" s="11" t="s">
        <v>862</v>
      </c>
      <c r="I77" s="12" t="n">
        <f aca="false">COUNTIF($A$6:$A$149,A77)</f>
        <v>1</v>
      </c>
    </row>
    <row r="78" customFormat="false" ht="30" hidden="false" customHeight="true" outlineLevel="0" collapsed="false">
      <c r="A78" s="11" t="s">
        <v>867</v>
      </c>
      <c r="B78" s="11" t="s">
        <v>662</v>
      </c>
      <c r="C78" s="11" t="n">
        <v>6</v>
      </c>
      <c r="D78" s="11" t="n">
        <v>6</v>
      </c>
      <c r="E78" s="11" t="n">
        <v>300</v>
      </c>
      <c r="F78" s="11" t="n">
        <v>1</v>
      </c>
      <c r="G78" s="11" t="n">
        <v>5</v>
      </c>
      <c r="H78" s="11" t="s">
        <v>862</v>
      </c>
      <c r="I78" s="12" t="n">
        <f aca="false">COUNTIF($A$6:$A$149,A78)</f>
        <v>1</v>
      </c>
    </row>
    <row r="79" customFormat="false" ht="30" hidden="false" customHeight="true" outlineLevel="0" collapsed="false">
      <c r="A79" s="11" t="s">
        <v>868</v>
      </c>
      <c r="B79" s="11" t="s">
        <v>667</v>
      </c>
      <c r="C79" s="11" t="n">
        <v>1</v>
      </c>
      <c r="D79" s="11" t="n">
        <v>0</v>
      </c>
      <c r="E79" s="11" t="n">
        <v>60</v>
      </c>
      <c r="F79" s="11" t="n">
        <v>1</v>
      </c>
      <c r="G79" s="11"/>
      <c r="H79" s="11" t="s">
        <v>869</v>
      </c>
      <c r="I79" s="12" t="n">
        <f aca="false">COUNTIF($A$6:$A$149,A79)</f>
        <v>1</v>
      </c>
    </row>
    <row r="80" customFormat="false" ht="30" hidden="false" customHeight="true" outlineLevel="0" collapsed="false">
      <c r="A80" s="11" t="s">
        <v>870</v>
      </c>
      <c r="B80" s="11" t="s">
        <v>667</v>
      </c>
      <c r="C80" s="11" t="n">
        <v>2</v>
      </c>
      <c r="D80" s="11" t="n">
        <v>2</v>
      </c>
      <c r="E80" s="11" t="n">
        <v>120</v>
      </c>
      <c r="F80" s="11" t="n">
        <v>1</v>
      </c>
      <c r="G80" s="11" t="n">
        <v>1</v>
      </c>
      <c r="H80" s="11" t="s">
        <v>869</v>
      </c>
      <c r="I80" s="12" t="n">
        <f aca="false">COUNTIF($A$6:$A$149,A80)</f>
        <v>1</v>
      </c>
    </row>
    <row r="81" customFormat="false" ht="30" hidden="false" customHeight="true" outlineLevel="0" collapsed="false">
      <c r="A81" s="11" t="s">
        <v>871</v>
      </c>
      <c r="B81" s="11" t="s">
        <v>667</v>
      </c>
      <c r="C81" s="11" t="n">
        <v>3</v>
      </c>
      <c r="D81" s="11" t="n">
        <v>3</v>
      </c>
      <c r="E81" s="11" t="n">
        <v>180</v>
      </c>
      <c r="F81" s="11" t="n">
        <v>1</v>
      </c>
      <c r="G81" s="11" t="n">
        <v>2</v>
      </c>
      <c r="H81" s="11" t="s">
        <v>869</v>
      </c>
      <c r="I81" s="12" t="n">
        <f aca="false">COUNTIF($A$6:$A$149,A81)</f>
        <v>1</v>
      </c>
    </row>
    <row r="82" customFormat="false" ht="30" hidden="false" customHeight="true" outlineLevel="0" collapsed="false">
      <c r="A82" s="11" t="s">
        <v>872</v>
      </c>
      <c r="B82" s="11" t="s">
        <v>667</v>
      </c>
      <c r="C82" s="11" t="n">
        <v>4</v>
      </c>
      <c r="D82" s="11" t="n">
        <v>4</v>
      </c>
      <c r="E82" s="11" t="n">
        <v>240</v>
      </c>
      <c r="F82" s="11" t="n">
        <v>1</v>
      </c>
      <c r="G82" s="11" t="n">
        <v>3</v>
      </c>
      <c r="H82" s="11" t="s">
        <v>869</v>
      </c>
      <c r="I82" s="12" t="n">
        <f aca="false">COUNTIF($A$6:$A$149,A82)</f>
        <v>1</v>
      </c>
    </row>
    <row r="83" customFormat="false" ht="30" hidden="false" customHeight="true" outlineLevel="0" collapsed="false">
      <c r="A83" s="11" t="s">
        <v>873</v>
      </c>
      <c r="B83" s="11" t="s">
        <v>667</v>
      </c>
      <c r="C83" s="11" t="n">
        <v>5</v>
      </c>
      <c r="D83" s="11" t="n">
        <v>5</v>
      </c>
      <c r="E83" s="11" t="n">
        <v>300</v>
      </c>
      <c r="F83" s="11" t="n">
        <v>1</v>
      </c>
      <c r="G83" s="11" t="n">
        <v>4</v>
      </c>
      <c r="H83" s="11" t="s">
        <v>869</v>
      </c>
      <c r="I83" s="12" t="n">
        <f aca="false">COUNTIF($A$6:$A$149,A83)</f>
        <v>1</v>
      </c>
    </row>
    <row r="84" customFormat="false" ht="30" hidden="false" customHeight="true" outlineLevel="0" collapsed="false">
      <c r="A84" s="11" t="s">
        <v>874</v>
      </c>
      <c r="B84" s="11" t="s">
        <v>667</v>
      </c>
      <c r="C84" s="11" t="n">
        <v>6</v>
      </c>
      <c r="D84" s="11" t="n">
        <v>6</v>
      </c>
      <c r="E84" s="11" t="n">
        <v>360</v>
      </c>
      <c r="F84" s="11" t="n">
        <v>1</v>
      </c>
      <c r="G84" s="11" t="n">
        <v>5</v>
      </c>
      <c r="H84" s="11" t="s">
        <v>869</v>
      </c>
      <c r="I84" s="12" t="n">
        <f aca="false">COUNTIF($A$6:$A$149,A84)</f>
        <v>1</v>
      </c>
    </row>
    <row r="85" customFormat="false" ht="30" hidden="false" customHeight="true" outlineLevel="0" collapsed="false">
      <c r="A85" s="11" t="s">
        <v>875</v>
      </c>
      <c r="B85" s="11" t="s">
        <v>674</v>
      </c>
      <c r="C85" s="11" t="n">
        <v>1</v>
      </c>
      <c r="D85" s="11" t="n">
        <v>0</v>
      </c>
      <c r="E85" s="11" t="n">
        <v>20</v>
      </c>
      <c r="F85" s="11" t="n">
        <v>1</v>
      </c>
      <c r="G85" s="11"/>
      <c r="H85" s="11" t="s">
        <v>876</v>
      </c>
      <c r="I85" s="12" t="n">
        <f aca="false">COUNTIF($A$6:$A$149,A85)</f>
        <v>1</v>
      </c>
    </row>
    <row r="86" customFormat="false" ht="30" hidden="false" customHeight="true" outlineLevel="0" collapsed="false">
      <c r="A86" s="11" t="s">
        <v>877</v>
      </c>
      <c r="B86" s="11" t="s">
        <v>674</v>
      </c>
      <c r="C86" s="11" t="n">
        <v>2</v>
      </c>
      <c r="D86" s="11" t="n">
        <v>2</v>
      </c>
      <c r="E86" s="11" t="n">
        <v>40</v>
      </c>
      <c r="F86" s="11" t="n">
        <v>1</v>
      </c>
      <c r="G86" s="11" t="n">
        <v>1</v>
      </c>
      <c r="H86" s="11" t="s">
        <v>876</v>
      </c>
      <c r="I86" s="12" t="n">
        <f aca="false">COUNTIF($A$6:$A$149,A86)</f>
        <v>1</v>
      </c>
    </row>
    <row r="87" customFormat="false" ht="30" hidden="false" customHeight="true" outlineLevel="0" collapsed="false">
      <c r="A87" s="11" t="s">
        <v>878</v>
      </c>
      <c r="B87" s="11" t="s">
        <v>674</v>
      </c>
      <c r="C87" s="11" t="n">
        <v>3</v>
      </c>
      <c r="D87" s="11" t="n">
        <v>3</v>
      </c>
      <c r="E87" s="11" t="n">
        <v>60</v>
      </c>
      <c r="F87" s="11" t="n">
        <v>1</v>
      </c>
      <c r="G87" s="11" t="n">
        <v>2</v>
      </c>
      <c r="H87" s="11" t="s">
        <v>876</v>
      </c>
      <c r="I87" s="12" t="n">
        <f aca="false">COUNTIF($A$6:$A$149,A87)</f>
        <v>1</v>
      </c>
    </row>
    <row r="88" customFormat="false" ht="30" hidden="false" customHeight="true" outlineLevel="0" collapsed="false">
      <c r="A88" s="11" t="s">
        <v>879</v>
      </c>
      <c r="B88" s="11" t="s">
        <v>674</v>
      </c>
      <c r="C88" s="11" t="n">
        <v>4</v>
      </c>
      <c r="D88" s="11" t="n">
        <v>4</v>
      </c>
      <c r="E88" s="11" t="n">
        <v>80</v>
      </c>
      <c r="F88" s="11" t="n">
        <v>1</v>
      </c>
      <c r="G88" s="11" t="n">
        <v>3</v>
      </c>
      <c r="H88" s="11" t="s">
        <v>876</v>
      </c>
      <c r="I88" s="12" t="n">
        <f aca="false">COUNTIF($A$6:$A$149,A88)</f>
        <v>1</v>
      </c>
    </row>
    <row r="89" customFormat="false" ht="30" hidden="false" customHeight="true" outlineLevel="0" collapsed="false">
      <c r="A89" s="11" t="s">
        <v>880</v>
      </c>
      <c r="B89" s="11" t="s">
        <v>674</v>
      </c>
      <c r="C89" s="11" t="n">
        <v>5</v>
      </c>
      <c r="D89" s="11" t="n">
        <v>5</v>
      </c>
      <c r="E89" s="11" t="n">
        <v>100</v>
      </c>
      <c r="F89" s="11" t="n">
        <v>1</v>
      </c>
      <c r="G89" s="11" t="n">
        <v>4</v>
      </c>
      <c r="H89" s="11" t="s">
        <v>876</v>
      </c>
      <c r="I89" s="12" t="n">
        <f aca="false">COUNTIF($A$6:$A$149,A89)</f>
        <v>1</v>
      </c>
    </row>
    <row r="90" customFormat="false" ht="30" hidden="false" customHeight="true" outlineLevel="0" collapsed="false">
      <c r="A90" s="11" t="s">
        <v>881</v>
      </c>
      <c r="B90" s="11" t="s">
        <v>674</v>
      </c>
      <c r="C90" s="11" t="n">
        <v>6</v>
      </c>
      <c r="D90" s="11" t="n">
        <v>6</v>
      </c>
      <c r="E90" s="11" t="n">
        <v>120</v>
      </c>
      <c r="F90" s="11" t="n">
        <v>1</v>
      </c>
      <c r="G90" s="11" t="n">
        <v>5</v>
      </c>
      <c r="H90" s="11" t="s">
        <v>876</v>
      </c>
      <c r="I90" s="12" t="n">
        <f aca="false">COUNTIF($A$6:$A$149,A90)</f>
        <v>1</v>
      </c>
    </row>
    <row r="91" customFormat="false" ht="30" hidden="false" customHeight="true" outlineLevel="0" collapsed="false">
      <c r="A91" s="11" t="s">
        <v>882</v>
      </c>
      <c r="B91" s="11" t="s">
        <v>674</v>
      </c>
      <c r="C91" s="11" t="n">
        <v>7</v>
      </c>
      <c r="D91" s="11" t="n">
        <v>7</v>
      </c>
      <c r="E91" s="11" t="n">
        <v>140</v>
      </c>
      <c r="F91" s="11" t="n">
        <v>1</v>
      </c>
      <c r="G91" s="11" t="n">
        <v>6</v>
      </c>
      <c r="H91" s="11" t="s">
        <v>876</v>
      </c>
      <c r="I91" s="12" t="n">
        <f aca="false">COUNTIF($A$6:$A$149,A91)</f>
        <v>1</v>
      </c>
    </row>
    <row r="92" customFormat="false" ht="30" hidden="false" customHeight="true" outlineLevel="0" collapsed="false">
      <c r="A92" s="11" t="s">
        <v>883</v>
      </c>
      <c r="B92" s="11" t="s">
        <v>680</v>
      </c>
      <c r="C92" s="11" t="n">
        <v>1</v>
      </c>
      <c r="D92" s="11" t="n">
        <v>0</v>
      </c>
      <c r="E92" s="11" t="n">
        <v>60</v>
      </c>
      <c r="F92" s="11" t="n">
        <v>1</v>
      </c>
      <c r="G92" s="11"/>
      <c r="H92" s="11" t="s">
        <v>884</v>
      </c>
      <c r="I92" s="12" t="n">
        <f aca="false">COUNTIF($A$6:$A$149,A92)</f>
        <v>1</v>
      </c>
    </row>
    <row r="93" customFormat="false" ht="30" hidden="false" customHeight="true" outlineLevel="0" collapsed="false">
      <c r="A93" s="11" t="s">
        <v>885</v>
      </c>
      <c r="B93" s="11" t="s">
        <v>680</v>
      </c>
      <c r="C93" s="11" t="n">
        <v>2</v>
      </c>
      <c r="D93" s="11" t="n">
        <v>2</v>
      </c>
      <c r="E93" s="11" t="n">
        <v>120</v>
      </c>
      <c r="F93" s="11" t="n">
        <v>1</v>
      </c>
      <c r="G93" s="11" t="n">
        <v>1</v>
      </c>
      <c r="H93" s="11" t="s">
        <v>884</v>
      </c>
      <c r="I93" s="12" t="n">
        <f aca="false">COUNTIF($A$6:$A$149,A93)</f>
        <v>1</v>
      </c>
    </row>
    <row r="94" customFormat="false" ht="30" hidden="false" customHeight="true" outlineLevel="0" collapsed="false">
      <c r="A94" s="11" t="s">
        <v>886</v>
      </c>
      <c r="B94" s="11" t="s">
        <v>680</v>
      </c>
      <c r="C94" s="11" t="n">
        <v>3</v>
      </c>
      <c r="D94" s="11" t="n">
        <v>3</v>
      </c>
      <c r="E94" s="11" t="n">
        <v>180</v>
      </c>
      <c r="F94" s="11" t="n">
        <v>1</v>
      </c>
      <c r="G94" s="11" t="n">
        <v>2</v>
      </c>
      <c r="H94" s="11" t="s">
        <v>884</v>
      </c>
      <c r="I94" s="12" t="n">
        <f aca="false">COUNTIF($A$6:$A$149,A94)</f>
        <v>1</v>
      </c>
    </row>
    <row r="95" customFormat="false" ht="30" hidden="false" customHeight="true" outlineLevel="0" collapsed="false">
      <c r="A95" s="11" t="s">
        <v>887</v>
      </c>
      <c r="B95" s="11" t="s">
        <v>680</v>
      </c>
      <c r="C95" s="11" t="n">
        <v>4</v>
      </c>
      <c r="D95" s="11" t="n">
        <v>4</v>
      </c>
      <c r="E95" s="11" t="n">
        <v>240</v>
      </c>
      <c r="F95" s="11" t="n">
        <v>1</v>
      </c>
      <c r="G95" s="11" t="n">
        <v>3</v>
      </c>
      <c r="H95" s="11" t="s">
        <v>884</v>
      </c>
      <c r="I95" s="12" t="n">
        <f aca="false">COUNTIF($A$6:$A$149,A95)</f>
        <v>1</v>
      </c>
    </row>
    <row r="96" customFormat="false" ht="30" hidden="false" customHeight="true" outlineLevel="0" collapsed="false">
      <c r="A96" s="11" t="s">
        <v>888</v>
      </c>
      <c r="B96" s="11" t="s">
        <v>680</v>
      </c>
      <c r="C96" s="11" t="n">
        <v>5</v>
      </c>
      <c r="D96" s="11" t="n">
        <v>5</v>
      </c>
      <c r="E96" s="11" t="n">
        <v>300</v>
      </c>
      <c r="F96" s="11" t="n">
        <v>1</v>
      </c>
      <c r="G96" s="11" t="n">
        <v>4</v>
      </c>
      <c r="H96" s="11" t="s">
        <v>884</v>
      </c>
      <c r="I96" s="12" t="n">
        <f aca="false">COUNTIF($A$6:$A$149,A96)</f>
        <v>1</v>
      </c>
    </row>
    <row r="97" customFormat="false" ht="30" hidden="false" customHeight="true" outlineLevel="0" collapsed="false">
      <c r="A97" s="11" t="s">
        <v>889</v>
      </c>
      <c r="B97" s="11" t="s">
        <v>680</v>
      </c>
      <c r="C97" s="11" t="n">
        <v>6</v>
      </c>
      <c r="D97" s="11" t="n">
        <v>6</v>
      </c>
      <c r="E97" s="11" t="n">
        <v>360</v>
      </c>
      <c r="F97" s="11" t="n">
        <v>1</v>
      </c>
      <c r="G97" s="11" t="n">
        <v>5</v>
      </c>
      <c r="H97" s="11" t="s">
        <v>884</v>
      </c>
      <c r="I97" s="12" t="n">
        <f aca="false">COUNTIF($A$6:$A$149,A97)</f>
        <v>1</v>
      </c>
    </row>
    <row r="98" customFormat="false" ht="30" hidden="false" customHeight="true" outlineLevel="0" collapsed="false">
      <c r="A98" s="11" t="s">
        <v>890</v>
      </c>
      <c r="B98" s="11" t="s">
        <v>557</v>
      </c>
      <c r="C98" s="11" t="n">
        <v>1</v>
      </c>
      <c r="D98" s="11" t="n">
        <v>0</v>
      </c>
      <c r="E98" s="11" t="n">
        <v>40</v>
      </c>
      <c r="F98" s="11" t="n">
        <v>1</v>
      </c>
      <c r="G98" s="11"/>
      <c r="H98" s="11" t="s">
        <v>891</v>
      </c>
      <c r="I98" s="12" t="n">
        <f aca="false">COUNTIF($A$6:$A$149,A98)</f>
        <v>1</v>
      </c>
    </row>
    <row r="99" customFormat="false" ht="30" hidden="false" customHeight="true" outlineLevel="0" collapsed="false">
      <c r="A99" s="11" t="s">
        <v>892</v>
      </c>
      <c r="B99" s="11" t="s">
        <v>557</v>
      </c>
      <c r="C99" s="11" t="n">
        <v>2</v>
      </c>
      <c r="D99" s="11" t="n">
        <v>2</v>
      </c>
      <c r="E99" s="11" t="n">
        <v>80</v>
      </c>
      <c r="F99" s="11" t="n">
        <v>1</v>
      </c>
      <c r="G99" s="11" t="n">
        <v>1</v>
      </c>
      <c r="H99" s="11" t="s">
        <v>891</v>
      </c>
      <c r="I99" s="12" t="n">
        <f aca="false">COUNTIF($A$6:$A$149,A99)</f>
        <v>1</v>
      </c>
    </row>
    <row r="100" customFormat="false" ht="30" hidden="false" customHeight="true" outlineLevel="0" collapsed="false">
      <c r="A100" s="11" t="s">
        <v>893</v>
      </c>
      <c r="B100" s="11" t="s">
        <v>557</v>
      </c>
      <c r="C100" s="11" t="n">
        <v>3</v>
      </c>
      <c r="D100" s="11" t="n">
        <v>3</v>
      </c>
      <c r="E100" s="11" t="n">
        <v>120</v>
      </c>
      <c r="F100" s="11" t="n">
        <v>1</v>
      </c>
      <c r="G100" s="11" t="n">
        <v>2</v>
      </c>
      <c r="H100" s="11" t="s">
        <v>891</v>
      </c>
      <c r="I100" s="12" t="n">
        <f aca="false">COUNTIF($A$6:$A$149,A100)</f>
        <v>1</v>
      </c>
    </row>
    <row r="101" customFormat="false" ht="30" hidden="false" customHeight="true" outlineLevel="0" collapsed="false">
      <c r="A101" s="11" t="s">
        <v>894</v>
      </c>
      <c r="B101" s="11" t="s">
        <v>557</v>
      </c>
      <c r="C101" s="11" t="n">
        <v>4</v>
      </c>
      <c r="D101" s="11" t="n">
        <v>4</v>
      </c>
      <c r="E101" s="11" t="n">
        <v>160</v>
      </c>
      <c r="F101" s="11" t="n">
        <v>1</v>
      </c>
      <c r="G101" s="11" t="n">
        <v>3</v>
      </c>
      <c r="H101" s="11" t="s">
        <v>891</v>
      </c>
      <c r="I101" s="12" t="n">
        <f aca="false">COUNTIF($A$6:$A$149,A101)</f>
        <v>1</v>
      </c>
    </row>
    <row r="102" customFormat="false" ht="30" hidden="false" customHeight="true" outlineLevel="0" collapsed="false">
      <c r="A102" s="11" t="s">
        <v>895</v>
      </c>
      <c r="B102" s="11" t="s">
        <v>557</v>
      </c>
      <c r="C102" s="11" t="n">
        <v>5</v>
      </c>
      <c r="D102" s="11" t="n">
        <v>5</v>
      </c>
      <c r="E102" s="11" t="n">
        <v>200</v>
      </c>
      <c r="F102" s="11" t="n">
        <v>1</v>
      </c>
      <c r="G102" s="11" t="n">
        <v>4</v>
      </c>
      <c r="H102" s="11" t="s">
        <v>891</v>
      </c>
      <c r="I102" s="12" t="n">
        <f aca="false">COUNTIF($A$6:$A$149,A102)</f>
        <v>1</v>
      </c>
    </row>
    <row r="103" customFormat="false" ht="30" hidden="false" customHeight="true" outlineLevel="0" collapsed="false">
      <c r="A103" s="11" t="s">
        <v>896</v>
      </c>
      <c r="B103" s="11" t="s">
        <v>557</v>
      </c>
      <c r="C103" s="11" t="n">
        <v>6</v>
      </c>
      <c r="D103" s="11" t="n">
        <v>6</v>
      </c>
      <c r="E103" s="11" t="n">
        <v>240</v>
      </c>
      <c r="F103" s="11" t="n">
        <v>1</v>
      </c>
      <c r="G103" s="11" t="n">
        <v>5</v>
      </c>
      <c r="H103" s="11" t="s">
        <v>891</v>
      </c>
      <c r="I103" s="12" t="n">
        <f aca="false">COUNTIF($A$6:$A$149,A103)</f>
        <v>1</v>
      </c>
    </row>
    <row r="104" customFormat="false" ht="30" hidden="false" customHeight="true" outlineLevel="0" collapsed="false">
      <c r="A104" s="11" t="s">
        <v>897</v>
      </c>
      <c r="B104" s="11" t="s">
        <v>557</v>
      </c>
      <c r="C104" s="11" t="n">
        <v>7</v>
      </c>
      <c r="D104" s="11" t="n">
        <v>7</v>
      </c>
      <c r="E104" s="11" t="n">
        <v>280</v>
      </c>
      <c r="F104" s="11" t="n">
        <v>1</v>
      </c>
      <c r="G104" s="11" t="n">
        <v>6</v>
      </c>
      <c r="H104" s="11" t="s">
        <v>891</v>
      </c>
      <c r="I104" s="12" t="n">
        <f aca="false">COUNTIF($A$6:$A$149,A104)</f>
        <v>1</v>
      </c>
    </row>
    <row r="105" customFormat="false" ht="30" hidden="false" customHeight="true" outlineLevel="0" collapsed="false">
      <c r="A105" s="11" t="s">
        <v>898</v>
      </c>
      <c r="B105" s="11" t="s">
        <v>689</v>
      </c>
      <c r="C105" s="11" t="n">
        <v>1</v>
      </c>
      <c r="D105" s="11" t="n">
        <v>0</v>
      </c>
      <c r="E105" s="11" t="n">
        <v>50</v>
      </c>
      <c r="F105" s="11" t="n">
        <v>1</v>
      </c>
      <c r="G105" s="11"/>
      <c r="H105" s="11" t="s">
        <v>899</v>
      </c>
      <c r="I105" s="12" t="n">
        <f aca="false">COUNTIF($A$6:$A$149,A105)</f>
        <v>1</v>
      </c>
    </row>
    <row r="106" customFormat="false" ht="30" hidden="false" customHeight="true" outlineLevel="0" collapsed="false">
      <c r="A106" s="11" t="s">
        <v>900</v>
      </c>
      <c r="B106" s="11" t="s">
        <v>689</v>
      </c>
      <c r="C106" s="11" t="n">
        <v>2</v>
      </c>
      <c r="D106" s="11" t="n">
        <v>2</v>
      </c>
      <c r="E106" s="11" t="n">
        <v>100</v>
      </c>
      <c r="F106" s="11" t="n">
        <v>1</v>
      </c>
      <c r="G106" s="11" t="n">
        <v>1</v>
      </c>
      <c r="H106" s="11" t="s">
        <v>899</v>
      </c>
      <c r="I106" s="12" t="n">
        <f aca="false">COUNTIF($A$6:$A$149,A106)</f>
        <v>1</v>
      </c>
    </row>
    <row r="107" customFormat="false" ht="30" hidden="false" customHeight="true" outlineLevel="0" collapsed="false">
      <c r="A107" s="11" t="s">
        <v>901</v>
      </c>
      <c r="B107" s="11" t="s">
        <v>689</v>
      </c>
      <c r="C107" s="11" t="n">
        <v>3</v>
      </c>
      <c r="D107" s="11" t="n">
        <v>3</v>
      </c>
      <c r="E107" s="11" t="n">
        <v>150</v>
      </c>
      <c r="F107" s="11" t="n">
        <v>1</v>
      </c>
      <c r="G107" s="11" t="n">
        <v>2</v>
      </c>
      <c r="H107" s="11" t="s">
        <v>899</v>
      </c>
      <c r="I107" s="12" t="n">
        <f aca="false">COUNTIF($A$6:$A$149,A107)</f>
        <v>1</v>
      </c>
    </row>
    <row r="108" customFormat="false" ht="30" hidden="false" customHeight="true" outlineLevel="0" collapsed="false">
      <c r="A108" s="11" t="s">
        <v>902</v>
      </c>
      <c r="B108" s="11" t="s">
        <v>689</v>
      </c>
      <c r="C108" s="11" t="n">
        <v>4</v>
      </c>
      <c r="D108" s="11" t="n">
        <v>4</v>
      </c>
      <c r="E108" s="11" t="n">
        <v>200</v>
      </c>
      <c r="F108" s="11" t="n">
        <v>2</v>
      </c>
      <c r="G108" s="11" t="n">
        <v>3</v>
      </c>
      <c r="H108" s="11" t="s">
        <v>899</v>
      </c>
      <c r="I108" s="12" t="n">
        <f aca="false">COUNTIF($A$6:$A$149,A108)</f>
        <v>1</v>
      </c>
    </row>
    <row r="109" customFormat="false" ht="30" hidden="false" customHeight="true" outlineLevel="0" collapsed="false">
      <c r="A109" s="11" t="s">
        <v>903</v>
      </c>
      <c r="B109" s="11" t="s">
        <v>689</v>
      </c>
      <c r="C109" s="11" t="n">
        <v>5</v>
      </c>
      <c r="D109" s="11" t="n">
        <v>5</v>
      </c>
      <c r="E109" s="11" t="n">
        <v>250</v>
      </c>
      <c r="F109" s="11" t="n">
        <v>2</v>
      </c>
      <c r="G109" s="11" t="n">
        <v>4</v>
      </c>
      <c r="H109" s="11" t="s">
        <v>899</v>
      </c>
      <c r="I109" s="12" t="n">
        <f aca="false">COUNTIF($A$6:$A$149,A109)</f>
        <v>1</v>
      </c>
    </row>
    <row r="110" customFormat="false" ht="30" hidden="false" customHeight="true" outlineLevel="0" collapsed="false">
      <c r="A110" s="11" t="s">
        <v>904</v>
      </c>
      <c r="B110" s="11" t="s">
        <v>689</v>
      </c>
      <c r="C110" s="11" t="n">
        <v>6</v>
      </c>
      <c r="D110" s="11" t="n">
        <v>6</v>
      </c>
      <c r="E110" s="11" t="n">
        <v>300</v>
      </c>
      <c r="F110" s="11" t="n">
        <v>2</v>
      </c>
      <c r="G110" s="11" t="n">
        <v>5</v>
      </c>
      <c r="H110" s="11" t="s">
        <v>899</v>
      </c>
      <c r="I110" s="12" t="n">
        <f aca="false">COUNTIF($A$6:$A$149,A110)</f>
        <v>1</v>
      </c>
    </row>
    <row r="111" customFormat="false" ht="30" hidden="false" customHeight="true" outlineLevel="0" collapsed="false">
      <c r="A111" s="11" t="s">
        <v>905</v>
      </c>
      <c r="B111" s="11" t="s">
        <v>689</v>
      </c>
      <c r="C111" s="11" t="n">
        <v>7</v>
      </c>
      <c r="D111" s="11" t="n">
        <v>7</v>
      </c>
      <c r="E111" s="11" t="n">
        <v>350</v>
      </c>
      <c r="F111" s="11" t="n">
        <v>1</v>
      </c>
      <c r="G111" s="11" t="n">
        <v>6</v>
      </c>
      <c r="H111" s="11" t="s">
        <v>899</v>
      </c>
      <c r="I111" s="12" t="n">
        <f aca="false">COUNTIF($A$6:$A$149,A111)</f>
        <v>1</v>
      </c>
    </row>
    <row r="112" customFormat="false" ht="30" hidden="false" customHeight="true" outlineLevel="0" collapsed="false">
      <c r="A112" s="11" t="s">
        <v>906</v>
      </c>
      <c r="B112" s="11" t="s">
        <v>695</v>
      </c>
      <c r="C112" s="11" t="n">
        <v>1</v>
      </c>
      <c r="D112" s="11" t="n">
        <v>0</v>
      </c>
      <c r="E112" s="11" t="n">
        <v>30</v>
      </c>
      <c r="F112" s="11" t="n">
        <v>1</v>
      </c>
      <c r="G112" s="11"/>
      <c r="H112" s="11" t="s">
        <v>907</v>
      </c>
      <c r="I112" s="12" t="n">
        <f aca="false">COUNTIF($A$6:$A$149,A112)</f>
        <v>1</v>
      </c>
    </row>
    <row r="113" customFormat="false" ht="30" hidden="false" customHeight="true" outlineLevel="0" collapsed="false">
      <c r="A113" s="11" t="s">
        <v>908</v>
      </c>
      <c r="B113" s="11" t="s">
        <v>695</v>
      </c>
      <c r="C113" s="11" t="n">
        <v>2</v>
      </c>
      <c r="D113" s="11" t="n">
        <v>2</v>
      </c>
      <c r="E113" s="11" t="n">
        <v>60</v>
      </c>
      <c r="F113" s="11" t="n">
        <v>1</v>
      </c>
      <c r="G113" s="11" t="n">
        <v>1</v>
      </c>
      <c r="H113" s="11" t="s">
        <v>907</v>
      </c>
      <c r="I113" s="12" t="n">
        <f aca="false">COUNTIF($A$6:$A$149,A113)</f>
        <v>1</v>
      </c>
    </row>
    <row r="114" customFormat="false" ht="30" hidden="false" customHeight="true" outlineLevel="0" collapsed="false">
      <c r="A114" s="11" t="s">
        <v>909</v>
      </c>
      <c r="B114" s="11" t="s">
        <v>695</v>
      </c>
      <c r="C114" s="11" t="n">
        <v>3</v>
      </c>
      <c r="D114" s="11" t="n">
        <v>3</v>
      </c>
      <c r="E114" s="11" t="n">
        <v>90</v>
      </c>
      <c r="F114" s="11" t="n">
        <v>1</v>
      </c>
      <c r="G114" s="11" t="n">
        <v>2</v>
      </c>
      <c r="H114" s="11" t="s">
        <v>907</v>
      </c>
      <c r="I114" s="12" t="n">
        <f aca="false">COUNTIF($A$6:$A$149,A114)</f>
        <v>1</v>
      </c>
    </row>
    <row r="115" customFormat="false" ht="30" hidden="false" customHeight="true" outlineLevel="0" collapsed="false">
      <c r="A115" s="11" t="s">
        <v>910</v>
      </c>
      <c r="B115" s="11" t="s">
        <v>695</v>
      </c>
      <c r="C115" s="11" t="n">
        <v>4</v>
      </c>
      <c r="D115" s="11" t="n">
        <v>4</v>
      </c>
      <c r="E115" s="11" t="n">
        <v>120</v>
      </c>
      <c r="F115" s="11" t="n">
        <v>1</v>
      </c>
      <c r="G115" s="11" t="n">
        <v>3</v>
      </c>
      <c r="H115" s="11" t="s">
        <v>907</v>
      </c>
      <c r="I115" s="12" t="n">
        <f aca="false">COUNTIF($A$6:$A$149,A115)</f>
        <v>1</v>
      </c>
    </row>
    <row r="116" customFormat="false" ht="30" hidden="false" customHeight="true" outlineLevel="0" collapsed="false">
      <c r="A116" s="11" t="s">
        <v>911</v>
      </c>
      <c r="B116" s="11" t="s">
        <v>695</v>
      </c>
      <c r="C116" s="11" t="n">
        <v>5</v>
      </c>
      <c r="D116" s="11" t="n">
        <v>5</v>
      </c>
      <c r="E116" s="11" t="n">
        <v>150</v>
      </c>
      <c r="F116" s="11" t="n">
        <v>1</v>
      </c>
      <c r="G116" s="11" t="n">
        <v>4</v>
      </c>
      <c r="H116" s="11" t="s">
        <v>907</v>
      </c>
      <c r="I116" s="12" t="n">
        <f aca="false">COUNTIF($A$6:$A$149,A116)</f>
        <v>1</v>
      </c>
    </row>
    <row r="117" customFormat="false" ht="30" hidden="false" customHeight="true" outlineLevel="0" collapsed="false">
      <c r="A117" s="11" t="s">
        <v>912</v>
      </c>
      <c r="B117" s="11" t="s">
        <v>695</v>
      </c>
      <c r="C117" s="11" t="n">
        <v>6</v>
      </c>
      <c r="D117" s="11" t="n">
        <v>6</v>
      </c>
      <c r="E117" s="11" t="n">
        <v>180</v>
      </c>
      <c r="F117" s="11" t="n">
        <v>1</v>
      </c>
      <c r="G117" s="11" t="n">
        <v>5</v>
      </c>
      <c r="H117" s="11" t="s">
        <v>907</v>
      </c>
      <c r="I117" s="12" t="n">
        <f aca="false">COUNTIF($A$6:$A$149,A117)</f>
        <v>1</v>
      </c>
    </row>
    <row r="118" customFormat="false" ht="30" hidden="false" customHeight="true" outlineLevel="0" collapsed="false">
      <c r="A118" s="11" t="s">
        <v>913</v>
      </c>
      <c r="B118" s="11" t="s">
        <v>560</v>
      </c>
      <c r="C118" s="11" t="n">
        <v>1</v>
      </c>
      <c r="D118" s="11" t="n">
        <v>0</v>
      </c>
      <c r="E118" s="11" t="n">
        <v>40</v>
      </c>
      <c r="F118" s="11" t="n">
        <v>1</v>
      </c>
      <c r="G118" s="11"/>
      <c r="H118" s="11" t="s">
        <v>914</v>
      </c>
      <c r="I118" s="12" t="n">
        <f aca="false">COUNTIF($A$6:$A$149,A118)</f>
        <v>1</v>
      </c>
    </row>
    <row r="119" customFormat="false" ht="30" hidden="false" customHeight="true" outlineLevel="0" collapsed="false">
      <c r="A119" s="11" t="s">
        <v>915</v>
      </c>
      <c r="B119" s="11" t="s">
        <v>560</v>
      </c>
      <c r="C119" s="11" t="n">
        <v>2</v>
      </c>
      <c r="D119" s="11" t="n">
        <v>2</v>
      </c>
      <c r="E119" s="11" t="n">
        <v>80</v>
      </c>
      <c r="F119" s="11" t="n">
        <v>1</v>
      </c>
      <c r="G119" s="11" t="n">
        <v>1</v>
      </c>
      <c r="H119" s="11" t="s">
        <v>914</v>
      </c>
      <c r="I119" s="12" t="n">
        <f aca="false">COUNTIF($A$6:$A$149,A119)</f>
        <v>1</v>
      </c>
    </row>
    <row r="120" customFormat="false" ht="30" hidden="false" customHeight="true" outlineLevel="0" collapsed="false">
      <c r="A120" s="11" t="s">
        <v>916</v>
      </c>
      <c r="B120" s="11" t="s">
        <v>560</v>
      </c>
      <c r="C120" s="11" t="n">
        <v>3</v>
      </c>
      <c r="D120" s="11" t="n">
        <v>3</v>
      </c>
      <c r="E120" s="11" t="n">
        <v>120</v>
      </c>
      <c r="F120" s="11" t="n">
        <v>1</v>
      </c>
      <c r="G120" s="11" t="n">
        <v>2</v>
      </c>
      <c r="H120" s="11" t="s">
        <v>914</v>
      </c>
      <c r="I120" s="12" t="n">
        <f aca="false">COUNTIF($A$6:$A$149,A120)</f>
        <v>1</v>
      </c>
    </row>
    <row r="121" customFormat="false" ht="30" hidden="false" customHeight="true" outlineLevel="0" collapsed="false">
      <c r="A121" s="11" t="s">
        <v>917</v>
      </c>
      <c r="B121" s="11" t="s">
        <v>560</v>
      </c>
      <c r="C121" s="11" t="n">
        <v>4</v>
      </c>
      <c r="D121" s="11" t="n">
        <v>4</v>
      </c>
      <c r="E121" s="11" t="n">
        <v>160</v>
      </c>
      <c r="F121" s="11" t="n">
        <v>1</v>
      </c>
      <c r="G121" s="11" t="n">
        <v>3</v>
      </c>
      <c r="H121" s="11" t="s">
        <v>914</v>
      </c>
      <c r="I121" s="12" t="n">
        <f aca="false">COUNTIF($A$6:$A$149,A121)</f>
        <v>1</v>
      </c>
    </row>
    <row r="122" customFormat="false" ht="30" hidden="false" customHeight="true" outlineLevel="0" collapsed="false">
      <c r="A122" s="11" t="s">
        <v>918</v>
      </c>
      <c r="B122" s="11" t="s">
        <v>560</v>
      </c>
      <c r="C122" s="11" t="n">
        <v>5</v>
      </c>
      <c r="D122" s="11" t="n">
        <v>5</v>
      </c>
      <c r="E122" s="11" t="n">
        <v>200</v>
      </c>
      <c r="F122" s="11" t="n">
        <v>1</v>
      </c>
      <c r="G122" s="11" t="n">
        <v>4</v>
      </c>
      <c r="H122" s="11" t="s">
        <v>914</v>
      </c>
      <c r="I122" s="12" t="n">
        <f aca="false">COUNTIF($A$6:$A$149,A122)</f>
        <v>1</v>
      </c>
    </row>
    <row r="123" customFormat="false" ht="30" hidden="false" customHeight="true" outlineLevel="0" collapsed="false">
      <c r="A123" s="11" t="s">
        <v>919</v>
      </c>
      <c r="B123" s="11" t="s">
        <v>560</v>
      </c>
      <c r="C123" s="11" t="n">
        <v>6</v>
      </c>
      <c r="D123" s="11" t="n">
        <v>6</v>
      </c>
      <c r="E123" s="11" t="n">
        <v>240</v>
      </c>
      <c r="F123" s="11" t="n">
        <v>1</v>
      </c>
      <c r="G123" s="11" t="n">
        <v>5</v>
      </c>
      <c r="H123" s="11" t="s">
        <v>914</v>
      </c>
      <c r="I123" s="12" t="n">
        <f aca="false">COUNTIF($A$6:$A$149,A123)</f>
        <v>1</v>
      </c>
    </row>
    <row r="124" customFormat="false" ht="30" hidden="false" customHeight="true" outlineLevel="0" collapsed="false">
      <c r="A124" s="11" t="s">
        <v>920</v>
      </c>
      <c r="B124" s="11" t="s">
        <v>563</v>
      </c>
      <c r="C124" s="11" t="n">
        <v>1</v>
      </c>
      <c r="D124" s="11" t="n">
        <v>0</v>
      </c>
      <c r="E124" s="11" t="n">
        <v>50</v>
      </c>
      <c r="F124" s="11" t="n">
        <v>1</v>
      </c>
      <c r="G124" s="11"/>
      <c r="H124" s="11" t="s">
        <v>921</v>
      </c>
      <c r="I124" s="12" t="n">
        <f aca="false">COUNTIF($A$6:$A$149,A124)</f>
        <v>1</v>
      </c>
    </row>
    <row r="125" customFormat="false" ht="30" hidden="false" customHeight="true" outlineLevel="0" collapsed="false">
      <c r="A125" s="11" t="s">
        <v>922</v>
      </c>
      <c r="B125" s="11" t="s">
        <v>563</v>
      </c>
      <c r="C125" s="11" t="n">
        <v>2</v>
      </c>
      <c r="D125" s="11" t="n">
        <v>2</v>
      </c>
      <c r="E125" s="11" t="n">
        <v>100</v>
      </c>
      <c r="F125" s="11" t="n">
        <v>1</v>
      </c>
      <c r="G125" s="11" t="n">
        <v>1</v>
      </c>
      <c r="H125" s="11" t="s">
        <v>921</v>
      </c>
      <c r="I125" s="12" t="n">
        <f aca="false">COUNTIF($A$6:$A$149,A125)</f>
        <v>1</v>
      </c>
    </row>
    <row r="126" customFormat="false" ht="30" hidden="false" customHeight="true" outlineLevel="0" collapsed="false">
      <c r="A126" s="11" t="s">
        <v>923</v>
      </c>
      <c r="B126" s="11" t="s">
        <v>563</v>
      </c>
      <c r="C126" s="11" t="n">
        <v>3</v>
      </c>
      <c r="D126" s="11" t="n">
        <v>3</v>
      </c>
      <c r="E126" s="11" t="n">
        <v>150</v>
      </c>
      <c r="F126" s="11" t="n">
        <v>1</v>
      </c>
      <c r="G126" s="11" t="n">
        <v>2</v>
      </c>
      <c r="H126" s="11" t="s">
        <v>921</v>
      </c>
      <c r="I126" s="12" t="n">
        <f aca="false">COUNTIF($A$6:$A$149,A126)</f>
        <v>1</v>
      </c>
    </row>
    <row r="127" customFormat="false" ht="30" hidden="false" customHeight="true" outlineLevel="0" collapsed="false">
      <c r="A127" s="11" t="s">
        <v>924</v>
      </c>
      <c r="B127" s="11" t="s">
        <v>563</v>
      </c>
      <c r="C127" s="11" t="n">
        <v>4</v>
      </c>
      <c r="D127" s="11" t="n">
        <v>4</v>
      </c>
      <c r="E127" s="11" t="n">
        <v>200</v>
      </c>
      <c r="F127" s="11" t="n">
        <v>1</v>
      </c>
      <c r="G127" s="11" t="n">
        <v>3</v>
      </c>
      <c r="H127" s="11" t="s">
        <v>921</v>
      </c>
      <c r="I127" s="12" t="n">
        <f aca="false">COUNTIF($A$6:$A$149,A127)</f>
        <v>1</v>
      </c>
    </row>
    <row r="128" customFormat="false" ht="30" hidden="false" customHeight="true" outlineLevel="0" collapsed="false">
      <c r="A128" s="11" t="s">
        <v>925</v>
      </c>
      <c r="B128" s="11" t="s">
        <v>563</v>
      </c>
      <c r="C128" s="11" t="n">
        <v>5</v>
      </c>
      <c r="D128" s="11" t="n">
        <v>5</v>
      </c>
      <c r="E128" s="11" t="n">
        <v>250</v>
      </c>
      <c r="F128" s="11" t="n">
        <v>1</v>
      </c>
      <c r="G128" s="11" t="n">
        <v>4</v>
      </c>
      <c r="H128" s="11" t="s">
        <v>921</v>
      </c>
      <c r="I128" s="12" t="n">
        <f aca="false">COUNTIF($A$6:$A$149,A128)</f>
        <v>1</v>
      </c>
    </row>
    <row r="129" customFormat="false" ht="30" hidden="false" customHeight="true" outlineLevel="0" collapsed="false">
      <c r="A129" s="11" t="s">
        <v>926</v>
      </c>
      <c r="B129" s="11" t="s">
        <v>563</v>
      </c>
      <c r="C129" s="11" t="n">
        <v>6</v>
      </c>
      <c r="D129" s="11" t="n">
        <v>6</v>
      </c>
      <c r="E129" s="11" t="n">
        <v>300</v>
      </c>
      <c r="F129" s="11" t="n">
        <v>1</v>
      </c>
      <c r="G129" s="11" t="n">
        <v>5</v>
      </c>
      <c r="H129" s="11" t="s">
        <v>921</v>
      </c>
      <c r="I129" s="12" t="n">
        <f aca="false">COUNTIF($A$6:$A$149,A129)</f>
        <v>1</v>
      </c>
    </row>
    <row r="130" customFormat="false" ht="30" hidden="false" customHeight="true" outlineLevel="0" collapsed="false">
      <c r="A130" s="11" t="s">
        <v>927</v>
      </c>
      <c r="B130" s="11" t="s">
        <v>567</v>
      </c>
      <c r="C130" s="11" t="n">
        <v>1</v>
      </c>
      <c r="D130" s="11" t="n">
        <v>0</v>
      </c>
      <c r="E130" s="11" t="n">
        <v>400</v>
      </c>
      <c r="F130" s="11" t="n">
        <v>1</v>
      </c>
      <c r="G130" s="11"/>
      <c r="H130" s="11" t="s">
        <v>928</v>
      </c>
      <c r="I130" s="12" t="n">
        <f aca="false">COUNTIF($A$6:$A$149,A130)</f>
        <v>1</v>
      </c>
    </row>
    <row r="131" customFormat="false" ht="30" hidden="false" customHeight="true" outlineLevel="0" collapsed="false">
      <c r="A131" s="11" t="s">
        <v>929</v>
      </c>
      <c r="B131" s="11" t="s">
        <v>567</v>
      </c>
      <c r="C131" s="11" t="n">
        <v>2</v>
      </c>
      <c r="D131" s="11" t="n">
        <v>2</v>
      </c>
      <c r="E131" s="11" t="n">
        <v>800</v>
      </c>
      <c r="F131" s="11" t="n">
        <v>3</v>
      </c>
      <c r="G131" s="11" t="n">
        <v>1</v>
      </c>
      <c r="H131" s="11" t="s">
        <v>928</v>
      </c>
      <c r="I131" s="12" t="n">
        <f aca="false">COUNTIF($A$6:$A$149,A131)</f>
        <v>1</v>
      </c>
    </row>
    <row r="132" customFormat="false" ht="30" hidden="false" customHeight="true" outlineLevel="0" collapsed="false">
      <c r="A132" s="11" t="s">
        <v>930</v>
      </c>
      <c r="B132" s="11" t="s">
        <v>567</v>
      </c>
      <c r="C132" s="11" t="n">
        <v>3</v>
      </c>
      <c r="D132" s="11" t="n">
        <v>3</v>
      </c>
      <c r="E132" s="11" t="n">
        <v>1200</v>
      </c>
      <c r="F132" s="11" t="n">
        <v>3</v>
      </c>
      <c r="G132" s="11" t="n">
        <v>2</v>
      </c>
      <c r="H132" s="11" t="s">
        <v>928</v>
      </c>
      <c r="I132" s="12" t="n">
        <f aca="false">COUNTIF($A$6:$A$149,A132)</f>
        <v>1</v>
      </c>
    </row>
    <row r="133" customFormat="false" ht="30" hidden="false" customHeight="true" outlineLevel="0" collapsed="false">
      <c r="A133" s="11" t="s">
        <v>931</v>
      </c>
      <c r="B133" s="11" t="s">
        <v>567</v>
      </c>
      <c r="C133" s="11" t="n">
        <v>4</v>
      </c>
      <c r="D133" s="11" t="n">
        <v>4</v>
      </c>
      <c r="E133" s="11" t="n">
        <v>1600</v>
      </c>
      <c r="F133" s="11" t="n">
        <v>3</v>
      </c>
      <c r="G133" s="11" t="n">
        <v>3</v>
      </c>
      <c r="H133" s="11" t="s">
        <v>928</v>
      </c>
      <c r="I133" s="12" t="n">
        <f aca="false">COUNTIF($A$6:$A$149,A133)</f>
        <v>1</v>
      </c>
    </row>
    <row r="134" customFormat="false" ht="30" hidden="false" customHeight="true" outlineLevel="0" collapsed="false">
      <c r="A134" s="11" t="s">
        <v>932</v>
      </c>
      <c r="B134" s="11" t="s">
        <v>567</v>
      </c>
      <c r="C134" s="11" t="n">
        <v>5</v>
      </c>
      <c r="D134" s="11" t="n">
        <v>5</v>
      </c>
      <c r="E134" s="11" t="n">
        <v>2000</v>
      </c>
      <c r="F134" s="11" t="n">
        <v>3</v>
      </c>
      <c r="G134" s="11" t="n">
        <v>4</v>
      </c>
      <c r="H134" s="11" t="s">
        <v>928</v>
      </c>
      <c r="I134" s="12" t="n">
        <f aca="false">COUNTIF($A$6:$A$149,A134)</f>
        <v>1</v>
      </c>
    </row>
    <row r="135" customFormat="false" ht="30" hidden="false" customHeight="true" outlineLevel="0" collapsed="false">
      <c r="A135" s="11" t="s">
        <v>933</v>
      </c>
      <c r="B135" s="11" t="s">
        <v>567</v>
      </c>
      <c r="C135" s="11" t="n">
        <v>6</v>
      </c>
      <c r="D135" s="11" t="n">
        <v>6</v>
      </c>
      <c r="E135" s="11" t="n">
        <v>2400</v>
      </c>
      <c r="F135" s="11" t="n">
        <v>1</v>
      </c>
      <c r="G135" s="11" t="n">
        <v>5</v>
      </c>
      <c r="H135" s="11" t="s">
        <v>928</v>
      </c>
      <c r="I135" s="12" t="n">
        <f aca="false">COUNTIF($A$6:$A$149,A135)</f>
        <v>1</v>
      </c>
    </row>
    <row r="136" customFormat="false" ht="30" hidden="false" customHeight="true" outlineLevel="0" collapsed="false">
      <c r="A136" s="11" t="s">
        <v>934</v>
      </c>
      <c r="B136" s="11" t="s">
        <v>571</v>
      </c>
      <c r="C136" s="11" t="n">
        <v>1</v>
      </c>
      <c r="D136" s="11" t="n">
        <v>0</v>
      </c>
      <c r="E136" s="11" t="n">
        <v>400</v>
      </c>
      <c r="F136" s="11" t="n">
        <v>1</v>
      </c>
      <c r="G136" s="11"/>
      <c r="H136" s="11" t="s">
        <v>935</v>
      </c>
      <c r="I136" s="12" t="n">
        <f aca="false">COUNTIF($A$6:$A$149,A136)</f>
        <v>1</v>
      </c>
    </row>
    <row r="137" customFormat="false" ht="30" hidden="false" customHeight="true" outlineLevel="0" collapsed="false">
      <c r="A137" s="11" t="s">
        <v>936</v>
      </c>
      <c r="B137" s="11" t="s">
        <v>571</v>
      </c>
      <c r="C137" s="11" t="n">
        <v>2</v>
      </c>
      <c r="D137" s="11" t="n">
        <v>2</v>
      </c>
      <c r="E137" s="11" t="n">
        <v>800</v>
      </c>
      <c r="F137" s="11" t="n">
        <v>3</v>
      </c>
      <c r="G137" s="11" t="n">
        <v>1</v>
      </c>
      <c r="H137" s="11" t="s">
        <v>935</v>
      </c>
      <c r="I137" s="12" t="n">
        <f aca="false">COUNTIF($A$6:$A$149,A137)</f>
        <v>1</v>
      </c>
    </row>
    <row r="138" customFormat="false" ht="30" hidden="false" customHeight="true" outlineLevel="0" collapsed="false">
      <c r="A138" s="11" t="s">
        <v>937</v>
      </c>
      <c r="B138" s="11" t="s">
        <v>571</v>
      </c>
      <c r="C138" s="11" t="n">
        <v>3</v>
      </c>
      <c r="D138" s="11" t="n">
        <v>3</v>
      </c>
      <c r="E138" s="11" t="n">
        <v>1200</v>
      </c>
      <c r="F138" s="11" t="n">
        <v>3</v>
      </c>
      <c r="G138" s="11" t="n">
        <v>2</v>
      </c>
      <c r="H138" s="11" t="s">
        <v>935</v>
      </c>
      <c r="I138" s="12" t="n">
        <f aca="false">COUNTIF($A$6:$A$149,A138)</f>
        <v>1</v>
      </c>
    </row>
    <row r="139" customFormat="false" ht="30" hidden="false" customHeight="true" outlineLevel="0" collapsed="false">
      <c r="A139" s="11" t="s">
        <v>938</v>
      </c>
      <c r="B139" s="11" t="s">
        <v>571</v>
      </c>
      <c r="C139" s="11" t="n">
        <v>4</v>
      </c>
      <c r="D139" s="11" t="n">
        <v>4</v>
      </c>
      <c r="E139" s="11" t="n">
        <v>1600</v>
      </c>
      <c r="F139" s="11" t="n">
        <v>3</v>
      </c>
      <c r="G139" s="11" t="n">
        <v>3</v>
      </c>
      <c r="H139" s="11" t="s">
        <v>935</v>
      </c>
      <c r="I139" s="12" t="n">
        <f aca="false">COUNTIF($A$6:$A$149,A139)</f>
        <v>1</v>
      </c>
    </row>
    <row r="140" customFormat="false" ht="30" hidden="false" customHeight="true" outlineLevel="0" collapsed="false">
      <c r="A140" s="11" t="s">
        <v>939</v>
      </c>
      <c r="B140" s="11" t="s">
        <v>571</v>
      </c>
      <c r="C140" s="11" t="n">
        <v>5</v>
      </c>
      <c r="D140" s="11" t="n">
        <v>5</v>
      </c>
      <c r="E140" s="11" t="n">
        <v>2000</v>
      </c>
      <c r="F140" s="11" t="n">
        <v>3</v>
      </c>
      <c r="G140" s="11" t="n">
        <v>4</v>
      </c>
      <c r="H140" s="11" t="s">
        <v>935</v>
      </c>
      <c r="I140" s="12" t="n">
        <f aca="false">COUNTIF($A$6:$A$149,A140)</f>
        <v>1</v>
      </c>
    </row>
    <row r="141" customFormat="false" ht="30" hidden="false" customHeight="true" outlineLevel="0" collapsed="false">
      <c r="A141" s="11" t="s">
        <v>940</v>
      </c>
      <c r="B141" s="11" t="s">
        <v>571</v>
      </c>
      <c r="C141" s="11" t="n">
        <v>6</v>
      </c>
      <c r="D141" s="11" t="n">
        <v>6</v>
      </c>
      <c r="E141" s="11" t="n">
        <v>2400</v>
      </c>
      <c r="F141" s="11" t="n">
        <v>1</v>
      </c>
      <c r="G141" s="11" t="n">
        <v>5</v>
      </c>
      <c r="H141" s="11" t="s">
        <v>935</v>
      </c>
      <c r="I141" s="12" t="n">
        <f aca="false">COUNTIF($A$6:$A$149,A141)</f>
        <v>1</v>
      </c>
    </row>
    <row r="142" customFormat="false" ht="30" hidden="false" customHeight="true" outlineLevel="0" collapsed="false">
      <c r="A142" s="11" t="s">
        <v>941</v>
      </c>
      <c r="B142" s="11" t="s">
        <v>574</v>
      </c>
      <c r="C142" s="11" t="n">
        <v>1</v>
      </c>
      <c r="D142" s="11" t="n">
        <v>0</v>
      </c>
      <c r="E142" s="11" t="n">
        <v>400</v>
      </c>
      <c r="F142" s="11" t="n">
        <v>1</v>
      </c>
      <c r="G142" s="11"/>
      <c r="H142" s="11" t="s">
        <v>942</v>
      </c>
      <c r="I142" s="12" t="n">
        <f aca="false">COUNTIF($A$6:$A$149,A142)</f>
        <v>1</v>
      </c>
    </row>
    <row r="143" customFormat="false" ht="30" hidden="false" customHeight="true" outlineLevel="0" collapsed="false">
      <c r="A143" s="11" t="s">
        <v>943</v>
      </c>
      <c r="B143" s="11" t="s">
        <v>574</v>
      </c>
      <c r="C143" s="11" t="n">
        <v>2</v>
      </c>
      <c r="D143" s="11" t="n">
        <v>2</v>
      </c>
      <c r="E143" s="11" t="n">
        <v>800</v>
      </c>
      <c r="F143" s="11" t="n">
        <v>3</v>
      </c>
      <c r="G143" s="11" t="n">
        <v>1</v>
      </c>
      <c r="H143" s="11" t="s">
        <v>942</v>
      </c>
      <c r="I143" s="12" t="n">
        <f aca="false">COUNTIF($A$6:$A$149,A143)</f>
        <v>1</v>
      </c>
    </row>
    <row r="144" customFormat="false" ht="30" hidden="false" customHeight="true" outlineLevel="0" collapsed="false">
      <c r="A144" s="11" t="s">
        <v>944</v>
      </c>
      <c r="B144" s="11" t="s">
        <v>574</v>
      </c>
      <c r="C144" s="11" t="n">
        <v>3</v>
      </c>
      <c r="D144" s="11" t="n">
        <v>3</v>
      </c>
      <c r="E144" s="11" t="n">
        <v>1200</v>
      </c>
      <c r="F144" s="11" t="n">
        <v>3</v>
      </c>
      <c r="G144" s="11" t="n">
        <v>2</v>
      </c>
      <c r="H144" s="11" t="s">
        <v>942</v>
      </c>
      <c r="I144" s="12" t="n">
        <f aca="false">COUNTIF($A$6:$A$149,A144)</f>
        <v>1</v>
      </c>
    </row>
    <row r="145" customFormat="false" ht="30" hidden="false" customHeight="true" outlineLevel="0" collapsed="false">
      <c r="A145" s="11" t="s">
        <v>945</v>
      </c>
      <c r="B145" s="11" t="s">
        <v>574</v>
      </c>
      <c r="C145" s="11" t="n">
        <v>4</v>
      </c>
      <c r="D145" s="11" t="n">
        <v>4</v>
      </c>
      <c r="E145" s="11" t="n">
        <v>1600</v>
      </c>
      <c r="F145" s="11" t="n">
        <v>3</v>
      </c>
      <c r="G145" s="11" t="n">
        <v>3</v>
      </c>
      <c r="H145" s="11" t="s">
        <v>942</v>
      </c>
      <c r="I145" s="12" t="n">
        <f aca="false">COUNTIF($A$6:$A$149,A145)</f>
        <v>1</v>
      </c>
    </row>
    <row r="146" customFormat="false" ht="30" hidden="false" customHeight="true" outlineLevel="0" collapsed="false">
      <c r="A146" s="11" t="s">
        <v>946</v>
      </c>
      <c r="B146" s="11" t="s">
        <v>574</v>
      </c>
      <c r="C146" s="11" t="n">
        <v>5</v>
      </c>
      <c r="D146" s="11" t="n">
        <v>5</v>
      </c>
      <c r="E146" s="11" t="n">
        <v>2000</v>
      </c>
      <c r="F146" s="11" t="n">
        <v>1</v>
      </c>
      <c r="G146" s="11" t="n">
        <v>4</v>
      </c>
      <c r="H146" s="11" t="s">
        <v>942</v>
      </c>
      <c r="I146" s="12" t="n">
        <f aca="false">COUNTIF($A$6:$A$149,A146)</f>
        <v>1</v>
      </c>
    </row>
    <row r="147" customFormat="false" ht="30" hidden="false" customHeight="true" outlineLevel="0" collapsed="false">
      <c r="A147" s="11" t="s">
        <v>947</v>
      </c>
      <c r="B147" s="11" t="s">
        <v>574</v>
      </c>
      <c r="C147" s="11" t="n">
        <v>6</v>
      </c>
      <c r="D147" s="11" t="n">
        <v>6</v>
      </c>
      <c r="E147" s="11" t="n">
        <v>2400</v>
      </c>
      <c r="F147" s="11" t="n">
        <v>2</v>
      </c>
      <c r="G147" s="11" t="n">
        <v>5</v>
      </c>
      <c r="H147" s="11" t="s">
        <v>942</v>
      </c>
      <c r="I147" s="12" t="n">
        <f aca="false">COUNTIF($A$6:$A$149,A147)</f>
        <v>1</v>
      </c>
    </row>
    <row r="148" customFormat="false" ht="30" hidden="false" customHeight="true" outlineLevel="0" collapsed="false">
      <c r="A148" s="11" t="s">
        <v>948</v>
      </c>
      <c r="B148" s="11" t="s">
        <v>574</v>
      </c>
      <c r="C148" s="11" t="n">
        <v>7</v>
      </c>
      <c r="D148" s="11" t="n">
        <v>7</v>
      </c>
      <c r="E148" s="11" t="n">
        <v>2800</v>
      </c>
      <c r="F148" s="11" t="n">
        <v>2</v>
      </c>
      <c r="G148" s="11" t="n">
        <v>6</v>
      </c>
      <c r="H148" s="11" t="s">
        <v>942</v>
      </c>
      <c r="I148" s="12" t="n">
        <f aca="false">COUNTIF($A$6:$A$149,A148)</f>
        <v>1</v>
      </c>
    </row>
    <row r="149" customFormat="false" ht="30" hidden="false" customHeight="true" outlineLevel="0" collapsed="false">
      <c r="A149" s="11" t="s">
        <v>949</v>
      </c>
      <c r="B149" s="11" t="s">
        <v>574</v>
      </c>
      <c r="C149" s="11" t="n">
        <v>8</v>
      </c>
      <c r="D149" s="11" t="n">
        <v>8</v>
      </c>
      <c r="E149" s="11" t="n">
        <v>3200</v>
      </c>
      <c r="F149" s="11" t="n">
        <v>3</v>
      </c>
      <c r="G149" s="11" t="n">
        <v>7</v>
      </c>
      <c r="H149" s="11" t="s">
        <v>942</v>
      </c>
      <c r="I149" s="12" t="n">
        <f aca="false">COUNTIF($A$6:$A$149,A149)</f>
        <v>1</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42"/>
    <col collapsed="false" customWidth="true" hidden="false" outlineLevel="0" max="4" min="4" style="0" width="8"/>
    <col collapsed="false" customWidth="true" hidden="false" outlineLevel="0" max="5" min="5" style="0" width="30"/>
    <col collapsed="false" customWidth="true" hidden="false" outlineLevel="0" max="6" min="6" style="0" width="28"/>
    <col collapsed="false" customWidth="true" hidden="false" outlineLevel="0" max="7" min="7" style="0" width="52"/>
    <col collapsed="false" customWidth="true" hidden="false" outlineLevel="0" max="8" min="8" style="0" width="14"/>
    <col collapsed="false" customWidth="true" hidden="false" outlineLevel="0" max="9" min="9" style="0" width="32"/>
    <col collapsed="false" customWidth="true" hidden="false" outlineLevel="0" max="10" min="10" style="0" width="34"/>
    <col collapsed="false" customWidth="true" hidden="false" outlineLevel="0" max="11" min="11" style="0" width="28"/>
    <col collapsed="false" customWidth="true" hidden="false" outlineLevel="0" max="12" min="12" style="0" width="72"/>
    <col collapsed="false" customWidth="true" hidden="false" outlineLevel="0" max="13" min="13" style="0" width="32"/>
    <col collapsed="false" customWidth="true" hidden="false" outlineLevel="0" max="14" min="14" style="0" width="42"/>
    <col collapsed="false" customWidth="true" hidden="false" outlineLevel="0" max="15" min="15" style="0" width="10"/>
  </cols>
  <sheetData>
    <row r="1" customFormat="false" ht="30" hidden="false" customHeight="true" outlineLevel="0" collapsed="false">
      <c r="A1" s="1" t="s">
        <v>950</v>
      </c>
      <c r="B1" s="1"/>
      <c r="C1" s="1"/>
      <c r="D1" s="1"/>
      <c r="E1" s="1"/>
      <c r="F1" s="1"/>
      <c r="G1" s="1"/>
      <c r="H1" s="1"/>
      <c r="I1" s="1"/>
      <c r="J1" s="1"/>
      <c r="K1" s="1"/>
      <c r="L1" s="1"/>
      <c r="M1" s="1"/>
      <c r="N1" s="1"/>
      <c r="O1" s="1"/>
    </row>
    <row r="2" customFormat="false" ht="42" hidden="false" customHeight="true" outlineLevel="0" collapsed="false">
      <c r="A2" s="2" t="s">
        <v>951</v>
      </c>
      <c r="B2" s="2"/>
      <c r="C2" s="2"/>
      <c r="D2" s="2"/>
      <c r="E2" s="2"/>
      <c r="F2" s="2"/>
      <c r="G2" s="2"/>
      <c r="H2" s="2"/>
      <c r="I2" s="2"/>
      <c r="J2" s="2"/>
      <c r="K2" s="2"/>
      <c r="L2" s="2"/>
      <c r="M2" s="2"/>
      <c r="N2" s="2"/>
      <c r="O2" s="2"/>
    </row>
    <row r="3" customFormat="false" ht="15" hidden="false" customHeight="false" outlineLevel="0" collapsed="false">
      <c r="A3" s="3"/>
      <c r="B3" s="3"/>
      <c r="C3" s="3"/>
      <c r="D3" s="3"/>
      <c r="E3" s="3"/>
      <c r="F3" s="3"/>
      <c r="G3" s="3"/>
      <c r="H3" s="3"/>
      <c r="I3" s="3"/>
      <c r="J3" s="3"/>
      <c r="K3" s="3"/>
      <c r="L3" s="3"/>
      <c r="M3" s="3"/>
      <c r="N3" s="3"/>
      <c r="O3" s="3"/>
    </row>
    <row r="5" customFormat="false" ht="38" hidden="false" customHeight="true" outlineLevel="0" collapsed="false">
      <c r="A5" s="10" t="s">
        <v>952</v>
      </c>
      <c r="B5" s="10" t="s">
        <v>581</v>
      </c>
      <c r="C5" s="10" t="s">
        <v>59</v>
      </c>
      <c r="D5" s="10" t="s">
        <v>778</v>
      </c>
      <c r="E5" s="10" t="s">
        <v>953</v>
      </c>
      <c r="F5" s="10" t="s">
        <v>954</v>
      </c>
      <c r="G5" s="10" t="s">
        <v>955</v>
      </c>
      <c r="H5" s="10" t="s">
        <v>956</v>
      </c>
      <c r="I5" s="10" t="s">
        <v>957</v>
      </c>
      <c r="J5" s="10" t="s">
        <v>958</v>
      </c>
      <c r="K5" s="10" t="s">
        <v>959</v>
      </c>
      <c r="L5" s="10" t="s">
        <v>960</v>
      </c>
      <c r="M5" s="10" t="s">
        <v>67</v>
      </c>
      <c r="N5" s="10" t="s">
        <v>164</v>
      </c>
      <c r="O5" s="10" t="s">
        <v>69</v>
      </c>
    </row>
    <row r="6" customFormat="false" ht="72" hidden="false" customHeight="true" outlineLevel="0" collapsed="false">
      <c r="A6" s="11" t="s">
        <v>961</v>
      </c>
      <c r="B6" s="11" t="s">
        <v>593</v>
      </c>
      <c r="C6" s="11" t="s">
        <v>962</v>
      </c>
      <c r="D6" s="11" t="n">
        <v>1</v>
      </c>
      <c r="E6" s="11"/>
      <c r="F6" s="11" t="s">
        <v>963</v>
      </c>
      <c r="G6" s="11"/>
      <c r="H6" s="11" t="s">
        <v>964</v>
      </c>
      <c r="I6" s="11"/>
      <c r="J6" s="11" t="s">
        <v>961</v>
      </c>
      <c r="K6" s="11" t="s">
        <v>965</v>
      </c>
      <c r="L6" s="11" t="s">
        <v>966</v>
      </c>
      <c r="M6" s="11" t="s">
        <v>961</v>
      </c>
      <c r="N6" s="11"/>
      <c r="O6" s="12" t="n">
        <f aca="false">COUNTIF($A$6:$A$187,A6)</f>
        <v>1</v>
      </c>
    </row>
    <row r="7" customFormat="false" ht="72" hidden="false" customHeight="true" outlineLevel="0" collapsed="false">
      <c r="A7" s="11" t="s">
        <v>967</v>
      </c>
      <c r="B7" s="11" t="s">
        <v>593</v>
      </c>
      <c r="C7" s="11" t="s">
        <v>968</v>
      </c>
      <c r="D7" s="11" t="n">
        <v>2</v>
      </c>
      <c r="E7" s="11" t="s">
        <v>969</v>
      </c>
      <c r="F7" s="11" t="s">
        <v>963</v>
      </c>
      <c r="G7" s="11" t="s">
        <v>961</v>
      </c>
      <c r="H7" s="11" t="s">
        <v>964</v>
      </c>
      <c r="I7" s="11" t="s">
        <v>970</v>
      </c>
      <c r="J7" s="11" t="s">
        <v>967</v>
      </c>
      <c r="K7" s="11" t="s">
        <v>965</v>
      </c>
      <c r="L7" s="11" t="s">
        <v>971</v>
      </c>
      <c r="M7" s="11" t="s">
        <v>967</v>
      </c>
      <c r="N7" s="11" t="s">
        <v>972</v>
      </c>
      <c r="O7" s="12" t="n">
        <f aca="false">COUNTIF($A$6:$A$187,A7)</f>
        <v>1</v>
      </c>
    </row>
    <row r="8" customFormat="false" ht="72" hidden="false" customHeight="true" outlineLevel="0" collapsed="false">
      <c r="A8" s="11" t="s">
        <v>973</v>
      </c>
      <c r="B8" s="11" t="s">
        <v>593</v>
      </c>
      <c r="C8" s="11" t="s">
        <v>974</v>
      </c>
      <c r="D8" s="11" t="n">
        <v>2</v>
      </c>
      <c r="E8" s="11" t="s">
        <v>975</v>
      </c>
      <c r="F8" s="11" t="s">
        <v>963</v>
      </c>
      <c r="G8" s="11" t="s">
        <v>961</v>
      </c>
      <c r="H8" s="11" t="s">
        <v>964</v>
      </c>
      <c r="I8" s="11" t="s">
        <v>970</v>
      </c>
      <c r="J8" s="11" t="s">
        <v>973</v>
      </c>
      <c r="K8" s="11" t="s">
        <v>965</v>
      </c>
      <c r="L8" s="11" t="s">
        <v>976</v>
      </c>
      <c r="M8" s="11" t="s">
        <v>973</v>
      </c>
      <c r="N8" s="11"/>
      <c r="O8" s="12" t="n">
        <f aca="false">COUNTIF($A$6:$A$187,A8)</f>
        <v>1</v>
      </c>
    </row>
    <row r="9" customFormat="false" ht="72" hidden="false" customHeight="true" outlineLevel="0" collapsed="false">
      <c r="A9" s="11" t="s">
        <v>977</v>
      </c>
      <c r="B9" s="11" t="s">
        <v>593</v>
      </c>
      <c r="C9" s="11" t="s">
        <v>978</v>
      </c>
      <c r="D9" s="11" t="n">
        <v>3</v>
      </c>
      <c r="E9" s="11" t="s">
        <v>969</v>
      </c>
      <c r="F9" s="11" t="s">
        <v>963</v>
      </c>
      <c r="G9" s="11" t="s">
        <v>967</v>
      </c>
      <c r="H9" s="11" t="s">
        <v>964</v>
      </c>
      <c r="I9" s="11"/>
      <c r="J9" s="11" t="s">
        <v>977</v>
      </c>
      <c r="K9" s="11" t="s">
        <v>965</v>
      </c>
      <c r="L9" s="11" t="s">
        <v>979</v>
      </c>
      <c r="M9" s="11" t="s">
        <v>977</v>
      </c>
      <c r="N9" s="11" t="s">
        <v>980</v>
      </c>
      <c r="O9" s="12" t="n">
        <f aca="false">COUNTIF($A$6:$A$187,A9)</f>
        <v>1</v>
      </c>
    </row>
    <row r="10" customFormat="false" ht="72" hidden="false" customHeight="true" outlineLevel="0" collapsed="false">
      <c r="A10" s="11" t="s">
        <v>981</v>
      </c>
      <c r="B10" s="11" t="s">
        <v>593</v>
      </c>
      <c r="C10" s="11" t="s">
        <v>982</v>
      </c>
      <c r="D10" s="11" t="n">
        <v>4</v>
      </c>
      <c r="E10" s="11" t="s">
        <v>969</v>
      </c>
      <c r="F10" s="11" t="s">
        <v>963</v>
      </c>
      <c r="G10" s="11" t="s">
        <v>977</v>
      </c>
      <c r="H10" s="11" t="s">
        <v>964</v>
      </c>
      <c r="I10" s="11"/>
      <c r="J10" s="11" t="s">
        <v>981</v>
      </c>
      <c r="K10" s="11" t="s">
        <v>965</v>
      </c>
      <c r="L10" s="11" t="s">
        <v>983</v>
      </c>
      <c r="M10" s="11" t="s">
        <v>981</v>
      </c>
      <c r="N10" s="11" t="s">
        <v>984</v>
      </c>
      <c r="O10" s="12" t="n">
        <f aca="false">COUNTIF($A$6:$A$187,A10)</f>
        <v>1</v>
      </c>
    </row>
    <row r="11" customFormat="false" ht="72" hidden="false" customHeight="true" outlineLevel="0" collapsed="false">
      <c r="A11" s="11" t="s">
        <v>985</v>
      </c>
      <c r="B11" s="11" t="s">
        <v>593</v>
      </c>
      <c r="C11" s="11" t="s">
        <v>986</v>
      </c>
      <c r="D11" s="11" t="n">
        <v>5</v>
      </c>
      <c r="E11" s="11" t="s">
        <v>969</v>
      </c>
      <c r="F11" s="11" t="s">
        <v>963</v>
      </c>
      <c r="G11" s="11" t="s">
        <v>981</v>
      </c>
      <c r="H11" s="11" t="s">
        <v>964</v>
      </c>
      <c r="I11" s="11"/>
      <c r="J11" s="11" t="s">
        <v>985</v>
      </c>
      <c r="K11" s="11" t="s">
        <v>965</v>
      </c>
      <c r="L11" s="11" t="s">
        <v>987</v>
      </c>
      <c r="M11" s="11" t="s">
        <v>985</v>
      </c>
      <c r="N11" s="11" t="s">
        <v>988</v>
      </c>
      <c r="O11" s="12" t="n">
        <f aca="false">COUNTIF($A$6:$A$187,A11)</f>
        <v>1</v>
      </c>
    </row>
    <row r="12" customFormat="false" ht="72" hidden="false" customHeight="true" outlineLevel="0" collapsed="false">
      <c r="A12" s="11" t="s">
        <v>989</v>
      </c>
      <c r="B12" s="11" t="s">
        <v>593</v>
      </c>
      <c r="C12" s="11" t="s">
        <v>990</v>
      </c>
      <c r="D12" s="11" t="n">
        <v>3</v>
      </c>
      <c r="E12" s="11" t="s">
        <v>975</v>
      </c>
      <c r="F12" s="11" t="s">
        <v>963</v>
      </c>
      <c r="G12" s="11" t="s">
        <v>973</v>
      </c>
      <c r="H12" s="11" t="s">
        <v>964</v>
      </c>
      <c r="I12" s="11"/>
      <c r="J12" s="11" t="s">
        <v>989</v>
      </c>
      <c r="K12" s="11" t="s">
        <v>965</v>
      </c>
      <c r="L12" s="11" t="s">
        <v>991</v>
      </c>
      <c r="M12" s="11" t="s">
        <v>989</v>
      </c>
      <c r="N12" s="11" t="s">
        <v>992</v>
      </c>
      <c r="O12" s="12" t="n">
        <f aca="false">COUNTIF($A$6:$A$187,A12)</f>
        <v>1</v>
      </c>
    </row>
    <row r="13" customFormat="false" ht="72" hidden="false" customHeight="true" outlineLevel="0" collapsed="false">
      <c r="A13" s="11" t="s">
        <v>993</v>
      </c>
      <c r="B13" s="11" t="s">
        <v>593</v>
      </c>
      <c r="C13" s="11" t="s">
        <v>994</v>
      </c>
      <c r="D13" s="11" t="n">
        <v>4</v>
      </c>
      <c r="E13" s="11" t="s">
        <v>975</v>
      </c>
      <c r="F13" s="11" t="s">
        <v>963</v>
      </c>
      <c r="G13" s="11" t="s">
        <v>989</v>
      </c>
      <c r="H13" s="11" t="s">
        <v>964</v>
      </c>
      <c r="I13" s="11"/>
      <c r="J13" s="11" t="s">
        <v>993</v>
      </c>
      <c r="K13" s="11" t="s">
        <v>965</v>
      </c>
      <c r="L13" s="11" t="s">
        <v>995</v>
      </c>
      <c r="M13" s="11" t="s">
        <v>993</v>
      </c>
      <c r="N13" s="11" t="s">
        <v>996</v>
      </c>
      <c r="O13" s="12" t="n">
        <f aca="false">COUNTIF($A$6:$A$187,A13)</f>
        <v>1</v>
      </c>
    </row>
    <row r="14" customFormat="false" ht="72" hidden="false" customHeight="true" outlineLevel="0" collapsed="false">
      <c r="A14" s="11" t="s">
        <v>997</v>
      </c>
      <c r="B14" s="11" t="s">
        <v>593</v>
      </c>
      <c r="C14" s="11" t="s">
        <v>998</v>
      </c>
      <c r="D14" s="11" t="n">
        <v>5</v>
      </c>
      <c r="E14" s="11" t="s">
        <v>975</v>
      </c>
      <c r="F14" s="11" t="s">
        <v>963</v>
      </c>
      <c r="G14" s="11" t="s">
        <v>993</v>
      </c>
      <c r="H14" s="11" t="s">
        <v>964</v>
      </c>
      <c r="I14" s="11"/>
      <c r="J14" s="11" t="s">
        <v>997</v>
      </c>
      <c r="K14" s="11" t="s">
        <v>965</v>
      </c>
      <c r="L14" s="11" t="s">
        <v>999</v>
      </c>
      <c r="M14" s="11" t="s">
        <v>997</v>
      </c>
      <c r="N14" s="11" t="s">
        <v>1000</v>
      </c>
      <c r="O14" s="12" t="n">
        <f aca="false">COUNTIF($A$6:$A$187,A14)</f>
        <v>1</v>
      </c>
    </row>
    <row r="15" customFormat="false" ht="72" hidden="false" customHeight="true" outlineLevel="0" collapsed="false">
      <c r="A15" s="11" t="s">
        <v>1001</v>
      </c>
      <c r="B15" s="11" t="s">
        <v>593</v>
      </c>
      <c r="C15" s="11" t="s">
        <v>1002</v>
      </c>
      <c r="D15" s="11" t="n">
        <v>6</v>
      </c>
      <c r="E15" s="11"/>
      <c r="F15" s="11" t="s">
        <v>963</v>
      </c>
      <c r="G15" s="11" t="s">
        <v>1003</v>
      </c>
      <c r="H15" s="11" t="s">
        <v>1004</v>
      </c>
      <c r="I15" s="11"/>
      <c r="J15" s="11" t="s">
        <v>1001</v>
      </c>
      <c r="K15" s="11" t="s">
        <v>965</v>
      </c>
      <c r="L15" s="11" t="s">
        <v>1005</v>
      </c>
      <c r="M15" s="11" t="s">
        <v>1001</v>
      </c>
      <c r="N15" s="11"/>
      <c r="O15" s="12" t="n">
        <f aca="false">COUNTIF($A$6:$A$187,A15)</f>
        <v>1</v>
      </c>
    </row>
    <row r="16" customFormat="false" ht="72" hidden="false" customHeight="true" outlineLevel="0" collapsed="false">
      <c r="A16" s="11" t="s">
        <v>1006</v>
      </c>
      <c r="B16" s="11" t="s">
        <v>544</v>
      </c>
      <c r="C16" s="11" t="s">
        <v>1007</v>
      </c>
      <c r="D16" s="11" t="n">
        <v>1</v>
      </c>
      <c r="E16" s="11"/>
      <c r="F16" s="11" t="s">
        <v>963</v>
      </c>
      <c r="G16" s="11"/>
      <c r="H16" s="11" t="s">
        <v>964</v>
      </c>
      <c r="I16" s="11"/>
      <c r="J16" s="11" t="s">
        <v>1006</v>
      </c>
      <c r="K16" s="11" t="s">
        <v>965</v>
      </c>
      <c r="L16" s="11" t="s">
        <v>966</v>
      </c>
      <c r="M16" s="11" t="s">
        <v>1006</v>
      </c>
      <c r="N16" s="11" t="s">
        <v>1008</v>
      </c>
      <c r="O16" s="12" t="n">
        <f aca="false">COUNTIF($A$6:$A$187,A16)</f>
        <v>1</v>
      </c>
    </row>
    <row r="17" customFormat="false" ht="72" hidden="false" customHeight="true" outlineLevel="0" collapsed="false">
      <c r="A17" s="11" t="s">
        <v>1009</v>
      </c>
      <c r="B17" s="11" t="s">
        <v>544</v>
      </c>
      <c r="C17" s="11" t="s">
        <v>1010</v>
      </c>
      <c r="D17" s="11" t="n">
        <v>2</v>
      </c>
      <c r="E17" s="11"/>
      <c r="F17" s="11" t="s">
        <v>963</v>
      </c>
      <c r="G17" s="11" t="s">
        <v>1006</v>
      </c>
      <c r="H17" s="11" t="s">
        <v>964</v>
      </c>
      <c r="I17" s="11"/>
      <c r="J17" s="11" t="s">
        <v>1009</v>
      </c>
      <c r="K17" s="11" t="s">
        <v>965</v>
      </c>
      <c r="L17" s="11" t="s">
        <v>1011</v>
      </c>
      <c r="M17" s="11" t="s">
        <v>1009</v>
      </c>
      <c r="N17" s="11" t="s">
        <v>1012</v>
      </c>
      <c r="O17" s="12" t="n">
        <f aca="false">COUNTIF($A$6:$A$187,A17)</f>
        <v>1</v>
      </c>
    </row>
    <row r="18" customFormat="false" ht="72" hidden="false" customHeight="true" outlineLevel="0" collapsed="false">
      <c r="A18" s="11" t="s">
        <v>1013</v>
      </c>
      <c r="B18" s="11" t="s">
        <v>544</v>
      </c>
      <c r="C18" s="11" t="s">
        <v>1014</v>
      </c>
      <c r="D18" s="11" t="n">
        <v>3</v>
      </c>
      <c r="E18" s="11"/>
      <c r="F18" s="11" t="s">
        <v>963</v>
      </c>
      <c r="G18" s="11" t="s">
        <v>1009</v>
      </c>
      <c r="H18" s="11" t="s">
        <v>964</v>
      </c>
      <c r="I18" s="11"/>
      <c r="J18" s="11" t="s">
        <v>1013</v>
      </c>
      <c r="K18" s="11" t="s">
        <v>965</v>
      </c>
      <c r="L18" s="11" t="s">
        <v>1015</v>
      </c>
      <c r="M18" s="11" t="s">
        <v>1013</v>
      </c>
      <c r="N18" s="11" t="s">
        <v>1016</v>
      </c>
      <c r="O18" s="12" t="n">
        <f aca="false">COUNTIF($A$6:$A$187,A18)</f>
        <v>1</v>
      </c>
    </row>
    <row r="19" customFormat="false" ht="72" hidden="false" customHeight="true" outlineLevel="0" collapsed="false">
      <c r="A19" s="11" t="s">
        <v>1017</v>
      </c>
      <c r="B19" s="11" t="s">
        <v>544</v>
      </c>
      <c r="C19" s="11" t="s">
        <v>1018</v>
      </c>
      <c r="D19" s="11" t="n">
        <v>4</v>
      </c>
      <c r="E19" s="11"/>
      <c r="F19" s="11" t="s">
        <v>963</v>
      </c>
      <c r="G19" s="11" t="s">
        <v>1013</v>
      </c>
      <c r="H19" s="11" t="s">
        <v>964</v>
      </c>
      <c r="I19" s="11"/>
      <c r="J19" s="11" t="s">
        <v>1017</v>
      </c>
      <c r="K19" s="11" t="s">
        <v>965</v>
      </c>
      <c r="L19" s="11" t="s">
        <v>1019</v>
      </c>
      <c r="M19" s="11" t="s">
        <v>1017</v>
      </c>
      <c r="N19" s="11" t="s">
        <v>1020</v>
      </c>
      <c r="O19" s="12" t="n">
        <f aca="false">COUNTIF($A$6:$A$187,A19)</f>
        <v>1</v>
      </c>
    </row>
    <row r="20" customFormat="false" ht="72" hidden="false" customHeight="true" outlineLevel="0" collapsed="false">
      <c r="A20" s="11" t="s">
        <v>1021</v>
      </c>
      <c r="B20" s="11" t="s">
        <v>544</v>
      </c>
      <c r="C20" s="11" t="s">
        <v>1022</v>
      </c>
      <c r="D20" s="11" t="n">
        <v>5</v>
      </c>
      <c r="E20" s="11"/>
      <c r="F20" s="11" t="s">
        <v>963</v>
      </c>
      <c r="G20" s="11" t="s">
        <v>1017</v>
      </c>
      <c r="H20" s="11" t="s">
        <v>964</v>
      </c>
      <c r="I20" s="11"/>
      <c r="J20" s="11" t="s">
        <v>1021</v>
      </c>
      <c r="K20" s="11" t="s">
        <v>965</v>
      </c>
      <c r="L20" s="11" t="s">
        <v>1023</v>
      </c>
      <c r="M20" s="11" t="s">
        <v>1021</v>
      </c>
      <c r="N20" s="11" t="s">
        <v>992</v>
      </c>
      <c r="O20" s="12" t="n">
        <f aca="false">COUNTIF($A$6:$A$187,A20)</f>
        <v>1</v>
      </c>
    </row>
    <row r="21" customFormat="false" ht="72" hidden="false" customHeight="true" outlineLevel="0" collapsed="false">
      <c r="A21" s="11" t="s">
        <v>1024</v>
      </c>
      <c r="B21" s="11" t="s">
        <v>544</v>
      </c>
      <c r="C21" s="11" t="s">
        <v>1025</v>
      </c>
      <c r="D21" s="11" t="n">
        <v>6</v>
      </c>
      <c r="E21" s="11"/>
      <c r="F21" s="11" t="s">
        <v>963</v>
      </c>
      <c r="G21" s="11" t="s">
        <v>1021</v>
      </c>
      <c r="H21" s="11" t="s">
        <v>964</v>
      </c>
      <c r="I21" s="11"/>
      <c r="J21" s="11" t="s">
        <v>1024</v>
      </c>
      <c r="K21" s="11" t="s">
        <v>965</v>
      </c>
      <c r="L21" s="11" t="s">
        <v>1026</v>
      </c>
      <c r="M21" s="11" t="s">
        <v>1024</v>
      </c>
      <c r="N21" s="11" t="s">
        <v>992</v>
      </c>
      <c r="O21" s="12" t="n">
        <f aca="false">COUNTIF($A$6:$A$187,A21)</f>
        <v>1</v>
      </c>
    </row>
    <row r="22" customFormat="false" ht="72" hidden="false" customHeight="true" outlineLevel="0" collapsed="false">
      <c r="A22" s="11" t="s">
        <v>1027</v>
      </c>
      <c r="B22" s="11" t="s">
        <v>544</v>
      </c>
      <c r="C22" s="11" t="s">
        <v>1028</v>
      </c>
      <c r="D22" s="11" t="n">
        <v>7</v>
      </c>
      <c r="E22" s="11"/>
      <c r="F22" s="11" t="s">
        <v>963</v>
      </c>
      <c r="G22" s="11" t="s">
        <v>1024</v>
      </c>
      <c r="H22" s="11" t="s">
        <v>964</v>
      </c>
      <c r="I22" s="11"/>
      <c r="J22" s="11" t="s">
        <v>1027</v>
      </c>
      <c r="K22" s="11" t="s">
        <v>965</v>
      </c>
      <c r="L22" s="11" t="s">
        <v>1029</v>
      </c>
      <c r="M22" s="11" t="s">
        <v>1027</v>
      </c>
      <c r="N22" s="11" t="s">
        <v>1030</v>
      </c>
      <c r="O22" s="12" t="n">
        <f aca="false">COUNTIF($A$6:$A$187,A22)</f>
        <v>1</v>
      </c>
    </row>
    <row r="23" customFormat="false" ht="72" hidden="false" customHeight="true" outlineLevel="0" collapsed="false">
      <c r="A23" s="11" t="s">
        <v>1031</v>
      </c>
      <c r="B23" s="11" t="s">
        <v>550</v>
      </c>
      <c r="C23" s="11" t="s">
        <v>1032</v>
      </c>
      <c r="D23" s="11" t="n">
        <v>1</v>
      </c>
      <c r="E23" s="11"/>
      <c r="F23" s="11" t="s">
        <v>963</v>
      </c>
      <c r="G23" s="11"/>
      <c r="H23" s="11" t="s">
        <v>964</v>
      </c>
      <c r="I23" s="11"/>
      <c r="J23" s="11" t="s">
        <v>1031</v>
      </c>
      <c r="K23" s="11" t="s">
        <v>965</v>
      </c>
      <c r="L23" s="11" t="s">
        <v>966</v>
      </c>
      <c r="M23" s="11" t="s">
        <v>1031</v>
      </c>
      <c r="N23" s="11" t="s">
        <v>1033</v>
      </c>
      <c r="O23" s="12" t="n">
        <f aca="false">COUNTIF($A$6:$A$187,A23)</f>
        <v>1</v>
      </c>
    </row>
    <row r="24" customFormat="false" ht="72" hidden="false" customHeight="true" outlineLevel="0" collapsed="false">
      <c r="A24" s="11" t="s">
        <v>1034</v>
      </c>
      <c r="B24" s="11" t="s">
        <v>550</v>
      </c>
      <c r="C24" s="11" t="s">
        <v>1035</v>
      </c>
      <c r="D24" s="11" t="n">
        <v>2</v>
      </c>
      <c r="E24" s="11"/>
      <c r="F24" s="11" t="s">
        <v>963</v>
      </c>
      <c r="G24" s="11" t="s">
        <v>1031</v>
      </c>
      <c r="H24" s="11" t="s">
        <v>964</v>
      </c>
      <c r="I24" s="11"/>
      <c r="J24" s="11" t="s">
        <v>1034</v>
      </c>
      <c r="K24" s="11" t="s">
        <v>965</v>
      </c>
      <c r="L24" s="11" t="s">
        <v>1036</v>
      </c>
      <c r="M24" s="11" t="s">
        <v>1034</v>
      </c>
      <c r="N24" s="11"/>
      <c r="O24" s="12" t="n">
        <f aca="false">COUNTIF($A$6:$A$187,A24)</f>
        <v>1</v>
      </c>
    </row>
    <row r="25" customFormat="false" ht="72" hidden="false" customHeight="true" outlineLevel="0" collapsed="false">
      <c r="A25" s="11" t="s">
        <v>1037</v>
      </c>
      <c r="B25" s="11" t="s">
        <v>550</v>
      </c>
      <c r="C25" s="11" t="s">
        <v>1038</v>
      </c>
      <c r="D25" s="11" t="n">
        <v>3</v>
      </c>
      <c r="E25" s="11"/>
      <c r="F25" s="11" t="s">
        <v>963</v>
      </c>
      <c r="G25" s="11" t="s">
        <v>1034</v>
      </c>
      <c r="H25" s="11" t="s">
        <v>964</v>
      </c>
      <c r="I25" s="11"/>
      <c r="J25" s="11" t="s">
        <v>1037</v>
      </c>
      <c r="K25" s="11" t="s">
        <v>965</v>
      </c>
      <c r="L25" s="11" t="s">
        <v>1039</v>
      </c>
      <c r="M25" s="11" t="s">
        <v>1037</v>
      </c>
      <c r="N25" s="11"/>
      <c r="O25" s="12" t="n">
        <f aca="false">COUNTIF($A$6:$A$187,A25)</f>
        <v>1</v>
      </c>
    </row>
    <row r="26" customFormat="false" ht="72" hidden="false" customHeight="true" outlineLevel="0" collapsed="false">
      <c r="A26" s="11" t="s">
        <v>1040</v>
      </c>
      <c r="B26" s="11" t="s">
        <v>550</v>
      </c>
      <c r="C26" s="11" t="s">
        <v>1041</v>
      </c>
      <c r="D26" s="11" t="n">
        <v>4</v>
      </c>
      <c r="E26" s="11"/>
      <c r="F26" s="11" t="s">
        <v>963</v>
      </c>
      <c r="G26" s="11" t="s">
        <v>1037</v>
      </c>
      <c r="H26" s="11" t="s">
        <v>964</v>
      </c>
      <c r="I26" s="11"/>
      <c r="J26" s="11" t="s">
        <v>1040</v>
      </c>
      <c r="K26" s="11" t="s">
        <v>965</v>
      </c>
      <c r="L26" s="11" t="s">
        <v>1042</v>
      </c>
      <c r="M26" s="11" t="s">
        <v>1040</v>
      </c>
      <c r="N26" s="11"/>
      <c r="O26" s="12" t="n">
        <f aca="false">COUNTIF($A$6:$A$187,A26)</f>
        <v>1</v>
      </c>
    </row>
    <row r="27" customFormat="false" ht="72" hidden="false" customHeight="true" outlineLevel="0" collapsed="false">
      <c r="A27" s="11" t="s">
        <v>1043</v>
      </c>
      <c r="B27" s="11" t="s">
        <v>550</v>
      </c>
      <c r="C27" s="11" t="s">
        <v>1044</v>
      </c>
      <c r="D27" s="11" t="n">
        <v>5</v>
      </c>
      <c r="E27" s="11"/>
      <c r="F27" s="11" t="s">
        <v>963</v>
      </c>
      <c r="G27" s="11" t="s">
        <v>1040</v>
      </c>
      <c r="H27" s="11" t="s">
        <v>964</v>
      </c>
      <c r="I27" s="11"/>
      <c r="J27" s="11" t="s">
        <v>1043</v>
      </c>
      <c r="K27" s="11" t="s">
        <v>965</v>
      </c>
      <c r="L27" s="11" t="s">
        <v>1045</v>
      </c>
      <c r="M27" s="11" t="s">
        <v>1043</v>
      </c>
      <c r="N27" s="11" t="s">
        <v>1046</v>
      </c>
      <c r="O27" s="12" t="n">
        <f aca="false">COUNTIF($A$6:$A$187,A27)</f>
        <v>1</v>
      </c>
    </row>
    <row r="28" customFormat="false" ht="72" hidden="false" customHeight="true" outlineLevel="0" collapsed="false">
      <c r="A28" s="11" t="s">
        <v>1047</v>
      </c>
      <c r="B28" s="11" t="s">
        <v>550</v>
      </c>
      <c r="C28" s="11" t="s">
        <v>1048</v>
      </c>
      <c r="D28" s="11" t="n">
        <v>6</v>
      </c>
      <c r="E28" s="11"/>
      <c r="F28" s="11" t="s">
        <v>963</v>
      </c>
      <c r="G28" s="11" t="s">
        <v>1043</v>
      </c>
      <c r="H28" s="11" t="s">
        <v>964</v>
      </c>
      <c r="I28" s="11"/>
      <c r="J28" s="11" t="s">
        <v>1047</v>
      </c>
      <c r="K28" s="11" t="s">
        <v>965</v>
      </c>
      <c r="L28" s="11" t="s">
        <v>1049</v>
      </c>
      <c r="M28" s="11" t="s">
        <v>1047</v>
      </c>
      <c r="N28" s="11"/>
      <c r="O28" s="12" t="n">
        <f aca="false">COUNTIF($A$6:$A$187,A28)</f>
        <v>1</v>
      </c>
    </row>
    <row r="29" customFormat="false" ht="72" hidden="false" customHeight="true" outlineLevel="0" collapsed="false">
      <c r="A29" s="11" t="s">
        <v>1050</v>
      </c>
      <c r="B29" s="11" t="s">
        <v>613</v>
      </c>
      <c r="C29" s="11" t="s">
        <v>1051</v>
      </c>
      <c r="D29" s="11" t="n">
        <v>1</v>
      </c>
      <c r="E29" s="11"/>
      <c r="F29" s="11" t="s">
        <v>963</v>
      </c>
      <c r="G29" s="11"/>
      <c r="H29" s="11" t="s">
        <v>964</v>
      </c>
      <c r="I29" s="11"/>
      <c r="J29" s="11" t="s">
        <v>1050</v>
      </c>
      <c r="K29" s="11" t="s">
        <v>965</v>
      </c>
      <c r="L29" s="11" t="s">
        <v>966</v>
      </c>
      <c r="M29" s="11" t="s">
        <v>1050</v>
      </c>
      <c r="N29" s="11"/>
      <c r="O29" s="12" t="n">
        <f aca="false">COUNTIF($A$6:$A$187,A29)</f>
        <v>1</v>
      </c>
    </row>
    <row r="30" customFormat="false" ht="72" hidden="false" customHeight="true" outlineLevel="0" collapsed="false">
      <c r="A30" s="11" t="s">
        <v>1052</v>
      </c>
      <c r="B30" s="11" t="s">
        <v>613</v>
      </c>
      <c r="C30" s="11" t="s">
        <v>1053</v>
      </c>
      <c r="D30" s="11" t="n">
        <v>2</v>
      </c>
      <c r="E30" s="11"/>
      <c r="F30" s="11" t="s">
        <v>963</v>
      </c>
      <c r="G30" s="11" t="s">
        <v>1050</v>
      </c>
      <c r="H30" s="11" t="s">
        <v>964</v>
      </c>
      <c r="I30" s="11"/>
      <c r="J30" s="11" t="s">
        <v>1052</v>
      </c>
      <c r="K30" s="11" t="s">
        <v>965</v>
      </c>
      <c r="L30" s="11" t="s">
        <v>1054</v>
      </c>
      <c r="M30" s="11" t="s">
        <v>1052</v>
      </c>
      <c r="N30" s="11" t="s">
        <v>1055</v>
      </c>
      <c r="O30" s="12" t="n">
        <f aca="false">COUNTIF($A$6:$A$187,A30)</f>
        <v>1</v>
      </c>
    </row>
    <row r="31" customFormat="false" ht="72" hidden="false" customHeight="true" outlineLevel="0" collapsed="false">
      <c r="A31" s="11" t="s">
        <v>1056</v>
      </c>
      <c r="B31" s="11" t="s">
        <v>613</v>
      </c>
      <c r="C31" s="11" t="s">
        <v>1057</v>
      </c>
      <c r="D31" s="11" t="n">
        <v>3</v>
      </c>
      <c r="E31" s="11"/>
      <c r="F31" s="11" t="s">
        <v>963</v>
      </c>
      <c r="G31" s="11" t="s">
        <v>1052</v>
      </c>
      <c r="H31" s="11" t="s">
        <v>964</v>
      </c>
      <c r="I31" s="11"/>
      <c r="J31" s="11" t="s">
        <v>1056</v>
      </c>
      <c r="K31" s="11" t="s">
        <v>965</v>
      </c>
      <c r="L31" s="11" t="s">
        <v>1058</v>
      </c>
      <c r="M31" s="11" t="s">
        <v>1056</v>
      </c>
      <c r="N31" s="11"/>
      <c r="O31" s="12" t="n">
        <f aca="false">COUNTIF($A$6:$A$187,A31)</f>
        <v>1</v>
      </c>
    </row>
    <row r="32" customFormat="false" ht="72" hidden="false" customHeight="true" outlineLevel="0" collapsed="false">
      <c r="A32" s="11" t="s">
        <v>1059</v>
      </c>
      <c r="B32" s="11" t="s">
        <v>613</v>
      </c>
      <c r="C32" s="11" t="s">
        <v>1060</v>
      </c>
      <c r="D32" s="11" t="n">
        <v>4</v>
      </c>
      <c r="E32" s="11"/>
      <c r="F32" s="11" t="s">
        <v>963</v>
      </c>
      <c r="G32" s="11" t="s">
        <v>1056</v>
      </c>
      <c r="H32" s="11" t="s">
        <v>964</v>
      </c>
      <c r="I32" s="11"/>
      <c r="J32" s="11" t="s">
        <v>1059</v>
      </c>
      <c r="K32" s="11" t="s">
        <v>965</v>
      </c>
      <c r="L32" s="11" t="s">
        <v>1061</v>
      </c>
      <c r="M32" s="11" t="s">
        <v>1059</v>
      </c>
      <c r="N32" s="11" t="s">
        <v>1062</v>
      </c>
      <c r="O32" s="12" t="n">
        <f aca="false">COUNTIF($A$6:$A$187,A32)</f>
        <v>1</v>
      </c>
    </row>
    <row r="33" customFormat="false" ht="72" hidden="false" customHeight="true" outlineLevel="0" collapsed="false">
      <c r="A33" s="11" t="s">
        <v>1063</v>
      </c>
      <c r="B33" s="11" t="s">
        <v>613</v>
      </c>
      <c r="C33" s="11" t="s">
        <v>1064</v>
      </c>
      <c r="D33" s="11" t="n">
        <v>5</v>
      </c>
      <c r="E33" s="11"/>
      <c r="F33" s="11" t="s">
        <v>963</v>
      </c>
      <c r="G33" s="11" t="s">
        <v>1059</v>
      </c>
      <c r="H33" s="11" t="s">
        <v>964</v>
      </c>
      <c r="I33" s="11"/>
      <c r="J33" s="11" t="s">
        <v>1063</v>
      </c>
      <c r="K33" s="11" t="s">
        <v>965</v>
      </c>
      <c r="L33" s="11" t="s">
        <v>1065</v>
      </c>
      <c r="M33" s="11" t="s">
        <v>1063</v>
      </c>
      <c r="N33" s="11"/>
      <c r="O33" s="12" t="n">
        <f aca="false">COUNTIF($A$6:$A$187,A33)</f>
        <v>1</v>
      </c>
    </row>
    <row r="34" customFormat="false" ht="72" hidden="false" customHeight="true" outlineLevel="0" collapsed="false">
      <c r="A34" s="11" t="s">
        <v>1066</v>
      </c>
      <c r="B34" s="11" t="s">
        <v>613</v>
      </c>
      <c r="C34" s="11" t="s">
        <v>1067</v>
      </c>
      <c r="D34" s="11" t="n">
        <v>6</v>
      </c>
      <c r="E34" s="11"/>
      <c r="F34" s="11" t="s">
        <v>963</v>
      </c>
      <c r="G34" s="11" t="s">
        <v>1063</v>
      </c>
      <c r="H34" s="11" t="s">
        <v>964</v>
      </c>
      <c r="I34" s="11"/>
      <c r="J34" s="11" t="s">
        <v>1066</v>
      </c>
      <c r="K34" s="11" t="s">
        <v>965</v>
      </c>
      <c r="L34" s="11" t="s">
        <v>1068</v>
      </c>
      <c r="M34" s="11" t="s">
        <v>1066</v>
      </c>
      <c r="N34" s="11" t="s">
        <v>1069</v>
      </c>
      <c r="O34" s="12" t="n">
        <f aca="false">COUNTIF($A$6:$A$187,A34)</f>
        <v>1</v>
      </c>
    </row>
    <row r="35" customFormat="false" ht="72" hidden="false" customHeight="true" outlineLevel="0" collapsed="false">
      <c r="A35" s="11" t="s">
        <v>1070</v>
      </c>
      <c r="B35" s="11" t="s">
        <v>618</v>
      </c>
      <c r="C35" s="11" t="s">
        <v>1071</v>
      </c>
      <c r="D35" s="11" t="n">
        <v>1</v>
      </c>
      <c r="E35" s="11"/>
      <c r="F35" s="11" t="s">
        <v>963</v>
      </c>
      <c r="G35" s="11"/>
      <c r="H35" s="11" t="s">
        <v>964</v>
      </c>
      <c r="I35" s="11"/>
      <c r="J35" s="11" t="s">
        <v>1070</v>
      </c>
      <c r="K35" s="11" t="s">
        <v>965</v>
      </c>
      <c r="L35" s="11" t="s">
        <v>966</v>
      </c>
      <c r="M35" s="11" t="s">
        <v>1070</v>
      </c>
      <c r="N35" s="11"/>
      <c r="O35" s="12" t="n">
        <f aca="false">COUNTIF($A$6:$A$187,A35)</f>
        <v>1</v>
      </c>
    </row>
    <row r="36" customFormat="false" ht="72" hidden="false" customHeight="true" outlineLevel="0" collapsed="false">
      <c r="A36" s="11" t="s">
        <v>1072</v>
      </c>
      <c r="B36" s="11" t="s">
        <v>618</v>
      </c>
      <c r="C36" s="11" t="s">
        <v>1073</v>
      </c>
      <c r="D36" s="11" t="n">
        <v>2</v>
      </c>
      <c r="E36" s="11"/>
      <c r="F36" s="11" t="s">
        <v>963</v>
      </c>
      <c r="G36" s="11" t="s">
        <v>1070</v>
      </c>
      <c r="H36" s="11" t="s">
        <v>964</v>
      </c>
      <c r="I36" s="11"/>
      <c r="J36" s="11" t="s">
        <v>1072</v>
      </c>
      <c r="K36" s="11" t="s">
        <v>965</v>
      </c>
      <c r="L36" s="11" t="s">
        <v>1074</v>
      </c>
      <c r="M36" s="11" t="s">
        <v>1072</v>
      </c>
      <c r="N36" s="11"/>
      <c r="O36" s="12" t="n">
        <f aca="false">COUNTIF($A$6:$A$187,A36)</f>
        <v>1</v>
      </c>
    </row>
    <row r="37" customFormat="false" ht="72" hidden="false" customHeight="true" outlineLevel="0" collapsed="false">
      <c r="A37" s="11" t="s">
        <v>1075</v>
      </c>
      <c r="B37" s="11" t="s">
        <v>618</v>
      </c>
      <c r="C37" s="11" t="s">
        <v>1076</v>
      </c>
      <c r="D37" s="11" t="n">
        <v>3</v>
      </c>
      <c r="E37" s="11"/>
      <c r="F37" s="11" t="s">
        <v>963</v>
      </c>
      <c r="G37" s="11" t="s">
        <v>1072</v>
      </c>
      <c r="H37" s="11" t="s">
        <v>964</v>
      </c>
      <c r="I37" s="11"/>
      <c r="J37" s="11" t="s">
        <v>1075</v>
      </c>
      <c r="K37" s="11" t="s">
        <v>965</v>
      </c>
      <c r="L37" s="11" t="s">
        <v>1077</v>
      </c>
      <c r="M37" s="11" t="s">
        <v>1075</v>
      </c>
      <c r="N37" s="11"/>
      <c r="O37" s="12" t="n">
        <f aca="false">COUNTIF($A$6:$A$187,A37)</f>
        <v>1</v>
      </c>
    </row>
    <row r="38" customFormat="false" ht="72" hidden="false" customHeight="true" outlineLevel="0" collapsed="false">
      <c r="A38" s="11" t="s">
        <v>1078</v>
      </c>
      <c r="B38" s="11" t="s">
        <v>618</v>
      </c>
      <c r="C38" s="11" t="s">
        <v>1079</v>
      </c>
      <c r="D38" s="11" t="n">
        <v>4</v>
      </c>
      <c r="E38" s="11"/>
      <c r="F38" s="11" t="s">
        <v>963</v>
      </c>
      <c r="G38" s="11" t="s">
        <v>1075</v>
      </c>
      <c r="H38" s="11" t="s">
        <v>964</v>
      </c>
      <c r="I38" s="11"/>
      <c r="J38" s="11" t="s">
        <v>1078</v>
      </c>
      <c r="K38" s="11" t="s">
        <v>965</v>
      </c>
      <c r="L38" s="11" t="s">
        <v>1080</v>
      </c>
      <c r="M38" s="11" t="s">
        <v>1078</v>
      </c>
      <c r="N38" s="11"/>
      <c r="O38" s="12" t="n">
        <f aca="false">COUNTIF($A$6:$A$187,A38)</f>
        <v>1</v>
      </c>
    </row>
    <row r="39" customFormat="false" ht="72" hidden="false" customHeight="true" outlineLevel="0" collapsed="false">
      <c r="A39" s="11" t="s">
        <v>1081</v>
      </c>
      <c r="B39" s="11" t="s">
        <v>618</v>
      </c>
      <c r="C39" s="11" t="s">
        <v>1082</v>
      </c>
      <c r="D39" s="11" t="n">
        <v>5</v>
      </c>
      <c r="E39" s="11"/>
      <c r="F39" s="11" t="s">
        <v>963</v>
      </c>
      <c r="G39" s="11" t="s">
        <v>1078</v>
      </c>
      <c r="H39" s="11" t="s">
        <v>964</v>
      </c>
      <c r="I39" s="11"/>
      <c r="J39" s="11" t="s">
        <v>1081</v>
      </c>
      <c r="K39" s="11" t="s">
        <v>965</v>
      </c>
      <c r="L39" s="11" t="s">
        <v>1083</v>
      </c>
      <c r="M39" s="11" t="s">
        <v>1081</v>
      </c>
      <c r="N39" s="11"/>
      <c r="O39" s="12" t="n">
        <f aca="false">COUNTIF($A$6:$A$187,A39)</f>
        <v>1</v>
      </c>
    </row>
    <row r="40" customFormat="false" ht="72" hidden="false" customHeight="true" outlineLevel="0" collapsed="false">
      <c r="A40" s="11" t="s">
        <v>1084</v>
      </c>
      <c r="B40" s="11" t="s">
        <v>618</v>
      </c>
      <c r="C40" s="11" t="s">
        <v>1085</v>
      </c>
      <c r="D40" s="11" t="n">
        <v>6</v>
      </c>
      <c r="E40" s="11"/>
      <c r="F40" s="11" t="s">
        <v>963</v>
      </c>
      <c r="G40" s="11" t="s">
        <v>1081</v>
      </c>
      <c r="H40" s="11" t="s">
        <v>964</v>
      </c>
      <c r="I40" s="11"/>
      <c r="J40" s="11" t="s">
        <v>1084</v>
      </c>
      <c r="K40" s="11" t="s">
        <v>965</v>
      </c>
      <c r="L40" s="11" t="s">
        <v>1086</v>
      </c>
      <c r="M40" s="11" t="s">
        <v>1084</v>
      </c>
      <c r="N40" s="11" t="s">
        <v>1087</v>
      </c>
      <c r="O40" s="12" t="n">
        <f aca="false">COUNTIF($A$6:$A$187,A40)</f>
        <v>1</v>
      </c>
    </row>
    <row r="41" customFormat="false" ht="72" hidden="false" customHeight="true" outlineLevel="0" collapsed="false">
      <c r="A41" s="11" t="s">
        <v>1088</v>
      </c>
      <c r="B41" s="11" t="s">
        <v>553</v>
      </c>
      <c r="C41" s="11" t="s">
        <v>1089</v>
      </c>
      <c r="D41" s="11" t="n">
        <v>1</v>
      </c>
      <c r="E41" s="11"/>
      <c r="F41" s="11" t="s">
        <v>963</v>
      </c>
      <c r="G41" s="11"/>
      <c r="H41" s="11" t="s">
        <v>964</v>
      </c>
      <c r="I41" s="11"/>
      <c r="J41" s="11" t="s">
        <v>1088</v>
      </c>
      <c r="K41" s="11" t="s">
        <v>965</v>
      </c>
      <c r="L41" s="11" t="s">
        <v>966</v>
      </c>
      <c r="M41" s="11" t="s">
        <v>1088</v>
      </c>
      <c r="N41" s="11" t="s">
        <v>1090</v>
      </c>
      <c r="O41" s="12" t="n">
        <f aca="false">COUNTIF($A$6:$A$187,A41)</f>
        <v>1</v>
      </c>
    </row>
    <row r="42" customFormat="false" ht="72" hidden="false" customHeight="true" outlineLevel="0" collapsed="false">
      <c r="A42" s="11" t="s">
        <v>1091</v>
      </c>
      <c r="B42" s="11" t="s">
        <v>553</v>
      </c>
      <c r="C42" s="11" t="s">
        <v>1092</v>
      </c>
      <c r="D42" s="11" t="n">
        <v>2</v>
      </c>
      <c r="E42" s="11"/>
      <c r="F42" s="11" t="s">
        <v>963</v>
      </c>
      <c r="G42" s="11" t="s">
        <v>1088</v>
      </c>
      <c r="H42" s="11" t="s">
        <v>964</v>
      </c>
      <c r="I42" s="11"/>
      <c r="J42" s="11" t="s">
        <v>1091</v>
      </c>
      <c r="K42" s="11" t="s">
        <v>965</v>
      </c>
      <c r="L42" s="11" t="s">
        <v>1093</v>
      </c>
      <c r="M42" s="11" t="s">
        <v>1091</v>
      </c>
      <c r="N42" s="11" t="s">
        <v>1094</v>
      </c>
      <c r="O42" s="12" t="n">
        <f aca="false">COUNTIF($A$6:$A$187,A42)</f>
        <v>1</v>
      </c>
    </row>
    <row r="43" customFormat="false" ht="72" hidden="false" customHeight="true" outlineLevel="0" collapsed="false">
      <c r="A43" s="11" t="s">
        <v>1095</v>
      </c>
      <c r="B43" s="11" t="s">
        <v>553</v>
      </c>
      <c r="C43" s="11" t="s">
        <v>1096</v>
      </c>
      <c r="D43" s="11" t="n">
        <v>3</v>
      </c>
      <c r="E43" s="11"/>
      <c r="F43" s="11" t="s">
        <v>963</v>
      </c>
      <c r="G43" s="11" t="s">
        <v>1091</v>
      </c>
      <c r="H43" s="11" t="s">
        <v>964</v>
      </c>
      <c r="I43" s="11"/>
      <c r="J43" s="11" t="s">
        <v>1095</v>
      </c>
      <c r="K43" s="11" t="s">
        <v>965</v>
      </c>
      <c r="L43" s="11" t="s">
        <v>1097</v>
      </c>
      <c r="M43" s="11" t="s">
        <v>1095</v>
      </c>
      <c r="N43" s="11"/>
      <c r="O43" s="12" t="n">
        <f aca="false">COUNTIF($A$6:$A$187,A43)</f>
        <v>1</v>
      </c>
    </row>
    <row r="44" customFormat="false" ht="72" hidden="false" customHeight="true" outlineLevel="0" collapsed="false">
      <c r="A44" s="11" t="s">
        <v>1098</v>
      </c>
      <c r="B44" s="11" t="s">
        <v>553</v>
      </c>
      <c r="C44" s="11" t="s">
        <v>1099</v>
      </c>
      <c r="D44" s="11" t="n">
        <v>4</v>
      </c>
      <c r="E44" s="11"/>
      <c r="F44" s="11" t="s">
        <v>963</v>
      </c>
      <c r="G44" s="11" t="s">
        <v>1095</v>
      </c>
      <c r="H44" s="11" t="s">
        <v>964</v>
      </c>
      <c r="I44" s="11"/>
      <c r="J44" s="11" t="s">
        <v>1098</v>
      </c>
      <c r="K44" s="11" t="s">
        <v>965</v>
      </c>
      <c r="L44" s="11" t="s">
        <v>1100</v>
      </c>
      <c r="M44" s="11" t="s">
        <v>1098</v>
      </c>
      <c r="N44" s="11" t="s">
        <v>1101</v>
      </c>
      <c r="O44" s="12" t="n">
        <f aca="false">COUNTIF($A$6:$A$187,A44)</f>
        <v>1</v>
      </c>
    </row>
    <row r="45" customFormat="false" ht="72" hidden="false" customHeight="true" outlineLevel="0" collapsed="false">
      <c r="A45" s="11" t="s">
        <v>1102</v>
      </c>
      <c r="B45" s="11" t="s">
        <v>553</v>
      </c>
      <c r="C45" s="11" t="s">
        <v>1103</v>
      </c>
      <c r="D45" s="11" t="n">
        <v>5</v>
      </c>
      <c r="E45" s="11"/>
      <c r="F45" s="11" t="s">
        <v>963</v>
      </c>
      <c r="G45" s="11" t="s">
        <v>1098</v>
      </c>
      <c r="H45" s="11" t="s">
        <v>964</v>
      </c>
      <c r="I45" s="11"/>
      <c r="J45" s="11" t="s">
        <v>1102</v>
      </c>
      <c r="K45" s="11" t="s">
        <v>965</v>
      </c>
      <c r="L45" s="11" t="s">
        <v>1104</v>
      </c>
      <c r="M45" s="11" t="s">
        <v>1102</v>
      </c>
      <c r="N45" s="11" t="s">
        <v>1105</v>
      </c>
      <c r="O45" s="12" t="n">
        <f aca="false">COUNTIF($A$6:$A$187,A45)</f>
        <v>1</v>
      </c>
    </row>
    <row r="46" customFormat="false" ht="72" hidden="false" customHeight="true" outlineLevel="0" collapsed="false">
      <c r="A46" s="11" t="s">
        <v>1106</v>
      </c>
      <c r="B46" s="11" t="s">
        <v>553</v>
      </c>
      <c r="C46" s="11" t="s">
        <v>1107</v>
      </c>
      <c r="D46" s="11" t="n">
        <v>6</v>
      </c>
      <c r="E46" s="11"/>
      <c r="F46" s="11" t="s">
        <v>963</v>
      </c>
      <c r="G46" s="11" t="s">
        <v>1102</v>
      </c>
      <c r="H46" s="11" t="s">
        <v>964</v>
      </c>
      <c r="I46" s="11"/>
      <c r="J46" s="11" t="s">
        <v>1106</v>
      </c>
      <c r="K46" s="11" t="s">
        <v>965</v>
      </c>
      <c r="L46" s="11" t="s">
        <v>1108</v>
      </c>
      <c r="M46" s="11" t="s">
        <v>1106</v>
      </c>
      <c r="N46" s="11" t="s">
        <v>1109</v>
      </c>
      <c r="O46" s="12" t="n">
        <f aca="false">COUNTIF($A$6:$A$187,A46)</f>
        <v>1</v>
      </c>
    </row>
    <row r="47" customFormat="false" ht="72" hidden="false" customHeight="true" outlineLevel="0" collapsed="false">
      <c r="A47" s="11" t="s">
        <v>1110</v>
      </c>
      <c r="B47" s="11" t="s">
        <v>628</v>
      </c>
      <c r="C47" s="11" t="s">
        <v>1111</v>
      </c>
      <c r="D47" s="11" t="n">
        <v>1</v>
      </c>
      <c r="E47" s="11"/>
      <c r="F47" s="11" t="s">
        <v>963</v>
      </c>
      <c r="G47" s="11"/>
      <c r="H47" s="11" t="s">
        <v>964</v>
      </c>
      <c r="I47" s="11"/>
      <c r="J47" s="11" t="s">
        <v>1110</v>
      </c>
      <c r="K47" s="11" t="s">
        <v>965</v>
      </c>
      <c r="L47" s="11" t="s">
        <v>966</v>
      </c>
      <c r="M47" s="11" t="s">
        <v>1110</v>
      </c>
      <c r="N47" s="11" t="s">
        <v>1112</v>
      </c>
      <c r="O47" s="12" t="n">
        <f aca="false">COUNTIF($A$6:$A$187,A47)</f>
        <v>1</v>
      </c>
    </row>
    <row r="48" customFormat="false" ht="72" hidden="false" customHeight="true" outlineLevel="0" collapsed="false">
      <c r="A48" s="11" t="s">
        <v>1113</v>
      </c>
      <c r="B48" s="11" t="s">
        <v>628</v>
      </c>
      <c r="C48" s="11" t="s">
        <v>1114</v>
      </c>
      <c r="D48" s="11" t="n">
        <v>2</v>
      </c>
      <c r="E48" s="11"/>
      <c r="F48" s="11" t="s">
        <v>963</v>
      </c>
      <c r="G48" s="11" t="s">
        <v>1110</v>
      </c>
      <c r="H48" s="11" t="s">
        <v>964</v>
      </c>
      <c r="I48" s="11"/>
      <c r="J48" s="11" t="s">
        <v>1113</v>
      </c>
      <c r="K48" s="11" t="s">
        <v>965</v>
      </c>
      <c r="L48" s="11" t="s">
        <v>1115</v>
      </c>
      <c r="M48" s="11" t="s">
        <v>1113</v>
      </c>
      <c r="N48" s="11" t="s">
        <v>1116</v>
      </c>
      <c r="O48" s="12" t="n">
        <f aca="false">COUNTIF($A$6:$A$187,A48)</f>
        <v>1</v>
      </c>
    </row>
    <row r="49" customFormat="false" ht="72" hidden="false" customHeight="true" outlineLevel="0" collapsed="false">
      <c r="A49" s="11" t="s">
        <v>1117</v>
      </c>
      <c r="B49" s="11" t="s">
        <v>628</v>
      </c>
      <c r="C49" s="11" t="s">
        <v>1118</v>
      </c>
      <c r="D49" s="11" t="n">
        <v>3</v>
      </c>
      <c r="E49" s="11"/>
      <c r="F49" s="11" t="s">
        <v>963</v>
      </c>
      <c r="G49" s="11" t="s">
        <v>1113</v>
      </c>
      <c r="H49" s="11" t="s">
        <v>964</v>
      </c>
      <c r="I49" s="11"/>
      <c r="J49" s="11" t="s">
        <v>1117</v>
      </c>
      <c r="K49" s="11" t="s">
        <v>965</v>
      </c>
      <c r="L49" s="11" t="s">
        <v>1119</v>
      </c>
      <c r="M49" s="11" t="s">
        <v>1117</v>
      </c>
      <c r="N49" s="11" t="s">
        <v>1120</v>
      </c>
      <c r="O49" s="12" t="n">
        <f aca="false">COUNTIF($A$6:$A$187,A49)</f>
        <v>1</v>
      </c>
    </row>
    <row r="50" customFormat="false" ht="72" hidden="false" customHeight="true" outlineLevel="0" collapsed="false">
      <c r="A50" s="11" t="s">
        <v>1121</v>
      </c>
      <c r="B50" s="11" t="s">
        <v>628</v>
      </c>
      <c r="C50" s="11" t="s">
        <v>1122</v>
      </c>
      <c r="D50" s="11" t="n">
        <v>4</v>
      </c>
      <c r="E50" s="11"/>
      <c r="F50" s="11" t="s">
        <v>963</v>
      </c>
      <c r="G50" s="11" t="s">
        <v>1117</v>
      </c>
      <c r="H50" s="11" t="s">
        <v>964</v>
      </c>
      <c r="I50" s="11"/>
      <c r="J50" s="11" t="s">
        <v>1121</v>
      </c>
      <c r="K50" s="11" t="s">
        <v>965</v>
      </c>
      <c r="L50" s="11" t="s">
        <v>1123</v>
      </c>
      <c r="M50" s="11" t="s">
        <v>1121</v>
      </c>
      <c r="N50" s="11"/>
      <c r="O50" s="12" t="n">
        <f aca="false">COUNTIF($A$6:$A$187,A50)</f>
        <v>1</v>
      </c>
    </row>
    <row r="51" customFormat="false" ht="72" hidden="false" customHeight="true" outlineLevel="0" collapsed="false">
      <c r="A51" s="11" t="s">
        <v>1124</v>
      </c>
      <c r="B51" s="11" t="s">
        <v>628</v>
      </c>
      <c r="C51" s="11" t="s">
        <v>1125</v>
      </c>
      <c r="D51" s="11" t="n">
        <v>5</v>
      </c>
      <c r="E51" s="11"/>
      <c r="F51" s="11" t="s">
        <v>963</v>
      </c>
      <c r="G51" s="11" t="s">
        <v>1121</v>
      </c>
      <c r="H51" s="11" t="s">
        <v>964</v>
      </c>
      <c r="I51" s="11"/>
      <c r="J51" s="11" t="s">
        <v>1124</v>
      </c>
      <c r="K51" s="11" t="s">
        <v>965</v>
      </c>
      <c r="L51" s="11" t="s">
        <v>1126</v>
      </c>
      <c r="M51" s="11" t="s">
        <v>1124</v>
      </c>
      <c r="N51" s="11" t="s">
        <v>1127</v>
      </c>
      <c r="O51" s="12" t="n">
        <f aca="false">COUNTIF($A$6:$A$187,A51)</f>
        <v>1</v>
      </c>
    </row>
    <row r="52" customFormat="false" ht="72" hidden="false" customHeight="true" outlineLevel="0" collapsed="false">
      <c r="A52" s="11" t="s">
        <v>1128</v>
      </c>
      <c r="B52" s="11" t="s">
        <v>628</v>
      </c>
      <c r="C52" s="11" t="s">
        <v>1129</v>
      </c>
      <c r="D52" s="11" t="n">
        <v>6</v>
      </c>
      <c r="E52" s="11" t="s">
        <v>1130</v>
      </c>
      <c r="F52" s="11" t="s">
        <v>963</v>
      </c>
      <c r="G52" s="11" t="s">
        <v>1124</v>
      </c>
      <c r="H52" s="11" t="s">
        <v>964</v>
      </c>
      <c r="I52" s="11" t="s">
        <v>1131</v>
      </c>
      <c r="J52" s="11" t="s">
        <v>1128</v>
      </c>
      <c r="K52" s="11" t="s">
        <v>965</v>
      </c>
      <c r="L52" s="11" t="s">
        <v>1132</v>
      </c>
      <c r="M52" s="11" t="s">
        <v>1128</v>
      </c>
      <c r="N52" s="11"/>
      <c r="O52" s="12" t="n">
        <f aca="false">COUNTIF($A$6:$A$187,A52)</f>
        <v>1</v>
      </c>
    </row>
    <row r="53" customFormat="false" ht="72" hidden="false" customHeight="true" outlineLevel="0" collapsed="false">
      <c r="A53" s="11" t="s">
        <v>1133</v>
      </c>
      <c r="B53" s="11" t="s">
        <v>628</v>
      </c>
      <c r="C53" s="11" t="s">
        <v>1134</v>
      </c>
      <c r="D53" s="11" t="n">
        <v>6</v>
      </c>
      <c r="E53" s="11" t="s">
        <v>1135</v>
      </c>
      <c r="F53" s="11" t="s">
        <v>963</v>
      </c>
      <c r="G53" s="11" t="s">
        <v>1124</v>
      </c>
      <c r="H53" s="11" t="s">
        <v>964</v>
      </c>
      <c r="I53" s="11" t="s">
        <v>1131</v>
      </c>
      <c r="J53" s="11" t="s">
        <v>1133</v>
      </c>
      <c r="K53" s="11" t="s">
        <v>965</v>
      </c>
      <c r="L53" s="11" t="s">
        <v>1136</v>
      </c>
      <c r="M53" s="11" t="s">
        <v>1133</v>
      </c>
      <c r="N53" s="11" t="s">
        <v>1137</v>
      </c>
      <c r="O53" s="12" t="n">
        <f aca="false">COUNTIF($A$6:$A$187,A53)</f>
        <v>1</v>
      </c>
    </row>
    <row r="54" customFormat="false" ht="72" hidden="false" customHeight="true" outlineLevel="0" collapsed="false">
      <c r="A54" s="11" t="s">
        <v>1138</v>
      </c>
      <c r="B54" s="11" t="s">
        <v>636</v>
      </c>
      <c r="C54" s="11" t="s">
        <v>1139</v>
      </c>
      <c r="D54" s="11" t="n">
        <v>1</v>
      </c>
      <c r="E54" s="11"/>
      <c r="F54" s="11" t="s">
        <v>963</v>
      </c>
      <c r="G54" s="11"/>
      <c r="H54" s="11" t="s">
        <v>964</v>
      </c>
      <c r="I54" s="11"/>
      <c r="J54" s="11" t="s">
        <v>1138</v>
      </c>
      <c r="K54" s="11" t="s">
        <v>965</v>
      </c>
      <c r="L54" s="11" t="s">
        <v>966</v>
      </c>
      <c r="M54" s="11" t="s">
        <v>1140</v>
      </c>
      <c r="N54" s="11" t="s">
        <v>1141</v>
      </c>
      <c r="O54" s="12" t="n">
        <f aca="false">COUNTIF($A$6:$A$187,A54)</f>
        <v>1</v>
      </c>
    </row>
    <row r="55" customFormat="false" ht="72" hidden="false" customHeight="true" outlineLevel="0" collapsed="false">
      <c r="A55" s="11" t="s">
        <v>1142</v>
      </c>
      <c r="B55" s="11" t="s">
        <v>636</v>
      </c>
      <c r="C55" s="11" t="s">
        <v>1143</v>
      </c>
      <c r="D55" s="11" t="n">
        <v>2</v>
      </c>
      <c r="E55" s="11" t="s">
        <v>1144</v>
      </c>
      <c r="F55" s="11" t="s">
        <v>963</v>
      </c>
      <c r="G55" s="11" t="s">
        <v>1138</v>
      </c>
      <c r="H55" s="11" t="s">
        <v>964</v>
      </c>
      <c r="I55" s="11"/>
      <c r="J55" s="11" t="s">
        <v>1142</v>
      </c>
      <c r="K55" s="11" t="s">
        <v>965</v>
      </c>
      <c r="L55" s="11" t="s">
        <v>1145</v>
      </c>
      <c r="M55" s="11" t="s">
        <v>1142</v>
      </c>
      <c r="N55" s="11"/>
      <c r="O55" s="12" t="n">
        <f aca="false">COUNTIF($A$6:$A$187,A55)</f>
        <v>1</v>
      </c>
    </row>
    <row r="56" customFormat="false" ht="72" hidden="false" customHeight="true" outlineLevel="0" collapsed="false">
      <c r="A56" s="11" t="s">
        <v>1146</v>
      </c>
      <c r="B56" s="11" t="s">
        <v>636</v>
      </c>
      <c r="C56" s="11" t="s">
        <v>1147</v>
      </c>
      <c r="D56" s="11" t="n">
        <v>2</v>
      </c>
      <c r="E56" s="11" t="s">
        <v>1148</v>
      </c>
      <c r="F56" s="11" t="s">
        <v>963</v>
      </c>
      <c r="G56" s="11" t="s">
        <v>1138</v>
      </c>
      <c r="H56" s="11" t="s">
        <v>964</v>
      </c>
      <c r="I56" s="11"/>
      <c r="J56" s="11" t="s">
        <v>1146</v>
      </c>
      <c r="K56" s="11" t="s">
        <v>965</v>
      </c>
      <c r="L56" s="11" t="s">
        <v>1149</v>
      </c>
      <c r="M56" s="11" t="s">
        <v>1146</v>
      </c>
      <c r="N56" s="11" t="s">
        <v>1150</v>
      </c>
      <c r="O56" s="12" t="n">
        <f aca="false">COUNTIF($A$6:$A$187,A56)</f>
        <v>1</v>
      </c>
    </row>
    <row r="57" customFormat="false" ht="72" hidden="false" customHeight="true" outlineLevel="0" collapsed="false">
      <c r="A57" s="11" t="s">
        <v>1151</v>
      </c>
      <c r="B57" s="11" t="s">
        <v>636</v>
      </c>
      <c r="C57" s="11" t="s">
        <v>1152</v>
      </c>
      <c r="D57" s="11" t="n">
        <v>3</v>
      </c>
      <c r="E57" s="11" t="s">
        <v>1144</v>
      </c>
      <c r="F57" s="11" t="s">
        <v>963</v>
      </c>
      <c r="G57" s="11" t="s">
        <v>1142</v>
      </c>
      <c r="H57" s="11" t="s">
        <v>964</v>
      </c>
      <c r="I57" s="11"/>
      <c r="J57" s="11" t="s">
        <v>1151</v>
      </c>
      <c r="K57" s="11" t="s">
        <v>965</v>
      </c>
      <c r="L57" s="11" t="s">
        <v>1153</v>
      </c>
      <c r="M57" s="11" t="s">
        <v>1151</v>
      </c>
      <c r="N57" s="11"/>
      <c r="O57" s="12" t="n">
        <f aca="false">COUNTIF($A$6:$A$187,A57)</f>
        <v>1</v>
      </c>
    </row>
    <row r="58" customFormat="false" ht="72" hidden="false" customHeight="true" outlineLevel="0" collapsed="false">
      <c r="A58" s="11" t="s">
        <v>1154</v>
      </c>
      <c r="B58" s="11" t="s">
        <v>636</v>
      </c>
      <c r="C58" s="11" t="s">
        <v>1155</v>
      </c>
      <c r="D58" s="11" t="n">
        <v>3</v>
      </c>
      <c r="E58" s="11" t="s">
        <v>1148</v>
      </c>
      <c r="F58" s="11" t="s">
        <v>963</v>
      </c>
      <c r="G58" s="11" t="s">
        <v>1146</v>
      </c>
      <c r="H58" s="11" t="s">
        <v>964</v>
      </c>
      <c r="I58" s="11"/>
      <c r="J58" s="11" t="s">
        <v>1154</v>
      </c>
      <c r="K58" s="11" t="s">
        <v>965</v>
      </c>
      <c r="L58" s="11" t="s">
        <v>1156</v>
      </c>
      <c r="M58" s="11" t="s">
        <v>1154</v>
      </c>
      <c r="N58" s="11" t="s">
        <v>1150</v>
      </c>
      <c r="O58" s="12" t="n">
        <f aca="false">COUNTIF($A$6:$A$187,A58)</f>
        <v>1</v>
      </c>
    </row>
    <row r="59" customFormat="false" ht="72" hidden="false" customHeight="true" outlineLevel="0" collapsed="false">
      <c r="A59" s="11" t="s">
        <v>1157</v>
      </c>
      <c r="B59" s="11" t="s">
        <v>636</v>
      </c>
      <c r="C59" s="11" t="s">
        <v>1158</v>
      </c>
      <c r="D59" s="11" t="n">
        <v>4</v>
      </c>
      <c r="E59" s="11" t="s">
        <v>1144</v>
      </c>
      <c r="F59" s="11" t="s">
        <v>963</v>
      </c>
      <c r="G59" s="11" t="s">
        <v>1151</v>
      </c>
      <c r="H59" s="11" t="s">
        <v>964</v>
      </c>
      <c r="I59" s="11"/>
      <c r="J59" s="11" t="s">
        <v>1157</v>
      </c>
      <c r="K59" s="11" t="s">
        <v>965</v>
      </c>
      <c r="L59" s="11" t="s">
        <v>1159</v>
      </c>
      <c r="M59" s="11" t="s">
        <v>1157</v>
      </c>
      <c r="N59" s="11"/>
      <c r="O59" s="12" t="n">
        <f aca="false">COUNTIF($A$6:$A$187,A59)</f>
        <v>1</v>
      </c>
    </row>
    <row r="60" customFormat="false" ht="72" hidden="false" customHeight="true" outlineLevel="0" collapsed="false">
      <c r="A60" s="11" t="s">
        <v>1160</v>
      </c>
      <c r="B60" s="11" t="s">
        <v>636</v>
      </c>
      <c r="C60" s="11" t="s">
        <v>1161</v>
      </c>
      <c r="D60" s="11" t="n">
        <v>4</v>
      </c>
      <c r="E60" s="11" t="s">
        <v>1148</v>
      </c>
      <c r="F60" s="11" t="s">
        <v>963</v>
      </c>
      <c r="G60" s="11" t="s">
        <v>1154</v>
      </c>
      <c r="H60" s="11" t="s">
        <v>964</v>
      </c>
      <c r="I60" s="11"/>
      <c r="J60" s="11" t="s">
        <v>1160</v>
      </c>
      <c r="K60" s="11" t="s">
        <v>965</v>
      </c>
      <c r="L60" s="11" t="s">
        <v>1162</v>
      </c>
      <c r="M60" s="11" t="s">
        <v>1160</v>
      </c>
      <c r="N60" s="11" t="s">
        <v>1163</v>
      </c>
      <c r="O60" s="12" t="n">
        <f aca="false">COUNTIF($A$6:$A$187,A60)</f>
        <v>1</v>
      </c>
    </row>
    <row r="61" customFormat="false" ht="72" hidden="false" customHeight="true" outlineLevel="0" collapsed="false">
      <c r="A61" s="11" t="s">
        <v>1164</v>
      </c>
      <c r="B61" s="11" t="s">
        <v>636</v>
      </c>
      <c r="C61" s="11" t="s">
        <v>1165</v>
      </c>
      <c r="D61" s="11" t="n">
        <v>5</v>
      </c>
      <c r="E61" s="11" t="s">
        <v>1144</v>
      </c>
      <c r="F61" s="11" t="s">
        <v>1166</v>
      </c>
      <c r="G61" s="11" t="s">
        <v>1157</v>
      </c>
      <c r="H61" s="11" t="s">
        <v>964</v>
      </c>
      <c r="I61" s="11"/>
      <c r="J61" s="11"/>
      <c r="K61" s="11" t="s">
        <v>1167</v>
      </c>
      <c r="L61" s="11" t="s">
        <v>1168</v>
      </c>
      <c r="M61" s="11" t="s">
        <v>1164</v>
      </c>
      <c r="N61" s="11" t="s">
        <v>1169</v>
      </c>
      <c r="O61" s="12" t="n">
        <f aca="false">COUNTIF($A$6:$A$187,A61)</f>
        <v>1</v>
      </c>
    </row>
    <row r="62" customFormat="false" ht="72" hidden="false" customHeight="true" outlineLevel="0" collapsed="false">
      <c r="A62" s="11" t="s">
        <v>1170</v>
      </c>
      <c r="B62" s="11" t="s">
        <v>636</v>
      </c>
      <c r="C62" s="11" t="s">
        <v>1171</v>
      </c>
      <c r="D62" s="11" t="n">
        <v>5</v>
      </c>
      <c r="E62" s="11" t="s">
        <v>1148</v>
      </c>
      <c r="F62" s="11" t="s">
        <v>963</v>
      </c>
      <c r="G62" s="11" t="s">
        <v>1160</v>
      </c>
      <c r="H62" s="11" t="s">
        <v>964</v>
      </c>
      <c r="I62" s="11"/>
      <c r="J62" s="11" t="s">
        <v>1170</v>
      </c>
      <c r="K62" s="11" t="s">
        <v>965</v>
      </c>
      <c r="L62" s="11" t="s">
        <v>1172</v>
      </c>
      <c r="M62" s="11" t="s">
        <v>1170</v>
      </c>
      <c r="N62" s="11" t="s">
        <v>1173</v>
      </c>
      <c r="O62" s="12" t="n">
        <f aca="false">COUNTIF($A$6:$A$187,A62)</f>
        <v>1</v>
      </c>
    </row>
    <row r="63" customFormat="false" ht="72" hidden="false" customHeight="true" outlineLevel="0" collapsed="false">
      <c r="A63" s="11" t="s">
        <v>1174</v>
      </c>
      <c r="B63" s="11" t="s">
        <v>636</v>
      </c>
      <c r="C63" s="11" t="s">
        <v>1175</v>
      </c>
      <c r="D63" s="11" t="n">
        <v>6</v>
      </c>
      <c r="E63" s="11"/>
      <c r="F63" s="11" t="s">
        <v>963</v>
      </c>
      <c r="G63" s="11" t="s">
        <v>1176</v>
      </c>
      <c r="H63" s="11" t="s">
        <v>1004</v>
      </c>
      <c r="I63" s="11"/>
      <c r="J63" s="11" t="s">
        <v>1174</v>
      </c>
      <c r="K63" s="11" t="s">
        <v>965</v>
      </c>
      <c r="L63" s="11" t="s">
        <v>1177</v>
      </c>
      <c r="M63" s="11" t="s">
        <v>1174</v>
      </c>
      <c r="N63" s="11" t="s">
        <v>1150</v>
      </c>
      <c r="O63" s="12" t="n">
        <f aca="false">COUNTIF($A$6:$A$187,A63)</f>
        <v>1</v>
      </c>
    </row>
    <row r="64" customFormat="false" ht="72" hidden="false" customHeight="true" outlineLevel="0" collapsed="false">
      <c r="A64" s="11" t="s">
        <v>1178</v>
      </c>
      <c r="B64" s="11" t="s">
        <v>644</v>
      </c>
      <c r="C64" s="11" t="s">
        <v>1179</v>
      </c>
      <c r="D64" s="11" t="n">
        <v>1</v>
      </c>
      <c r="E64" s="11"/>
      <c r="F64" s="11" t="s">
        <v>963</v>
      </c>
      <c r="G64" s="11"/>
      <c r="H64" s="11" t="s">
        <v>964</v>
      </c>
      <c r="I64" s="11"/>
      <c r="J64" s="11" t="s">
        <v>1178</v>
      </c>
      <c r="K64" s="11" t="s">
        <v>965</v>
      </c>
      <c r="L64" s="11" t="s">
        <v>966</v>
      </c>
      <c r="M64" s="11" t="s">
        <v>1178</v>
      </c>
      <c r="N64" s="11" t="s">
        <v>1180</v>
      </c>
      <c r="O64" s="12" t="n">
        <f aca="false">COUNTIF($A$6:$A$187,A64)</f>
        <v>1</v>
      </c>
    </row>
    <row r="65" customFormat="false" ht="72" hidden="false" customHeight="true" outlineLevel="0" collapsed="false">
      <c r="A65" s="11" t="s">
        <v>1181</v>
      </c>
      <c r="B65" s="11" t="s">
        <v>644</v>
      </c>
      <c r="C65" s="11" t="s">
        <v>1182</v>
      </c>
      <c r="D65" s="11" t="n">
        <v>2</v>
      </c>
      <c r="E65" s="11"/>
      <c r="F65" s="11" t="s">
        <v>963</v>
      </c>
      <c r="G65" s="11" t="s">
        <v>1178</v>
      </c>
      <c r="H65" s="11" t="s">
        <v>964</v>
      </c>
      <c r="I65" s="11"/>
      <c r="J65" s="11" t="s">
        <v>1181</v>
      </c>
      <c r="K65" s="11" t="s">
        <v>965</v>
      </c>
      <c r="L65" s="11" t="s">
        <v>1183</v>
      </c>
      <c r="M65" s="11" t="s">
        <v>1181</v>
      </c>
      <c r="N65" s="11"/>
      <c r="O65" s="12" t="n">
        <f aca="false">COUNTIF($A$6:$A$187,A65)</f>
        <v>1</v>
      </c>
    </row>
    <row r="66" customFormat="false" ht="72" hidden="false" customHeight="true" outlineLevel="0" collapsed="false">
      <c r="A66" s="11" t="s">
        <v>1184</v>
      </c>
      <c r="B66" s="11" t="s">
        <v>644</v>
      </c>
      <c r="C66" s="11" t="s">
        <v>1185</v>
      </c>
      <c r="D66" s="11" t="n">
        <v>3</v>
      </c>
      <c r="E66" s="11"/>
      <c r="F66" s="11" t="s">
        <v>963</v>
      </c>
      <c r="G66" s="11" t="s">
        <v>1181</v>
      </c>
      <c r="H66" s="11" t="s">
        <v>964</v>
      </c>
      <c r="I66" s="11"/>
      <c r="J66" s="11" t="s">
        <v>1184</v>
      </c>
      <c r="K66" s="11" t="s">
        <v>965</v>
      </c>
      <c r="L66" s="11" t="s">
        <v>1186</v>
      </c>
      <c r="M66" s="11" t="s">
        <v>1184</v>
      </c>
      <c r="N66" s="11"/>
      <c r="O66" s="12" t="n">
        <f aca="false">COUNTIF($A$6:$A$187,A66)</f>
        <v>1</v>
      </c>
    </row>
    <row r="67" customFormat="false" ht="72" hidden="false" customHeight="true" outlineLevel="0" collapsed="false">
      <c r="A67" s="11" t="s">
        <v>1187</v>
      </c>
      <c r="B67" s="11" t="s">
        <v>644</v>
      </c>
      <c r="C67" s="11" t="s">
        <v>1188</v>
      </c>
      <c r="D67" s="11" t="n">
        <v>4</v>
      </c>
      <c r="E67" s="11"/>
      <c r="F67" s="11" t="s">
        <v>963</v>
      </c>
      <c r="G67" s="11" t="s">
        <v>1184</v>
      </c>
      <c r="H67" s="11" t="s">
        <v>964</v>
      </c>
      <c r="I67" s="11"/>
      <c r="J67" s="11" t="s">
        <v>1187</v>
      </c>
      <c r="K67" s="11" t="s">
        <v>965</v>
      </c>
      <c r="L67" s="11" t="s">
        <v>1189</v>
      </c>
      <c r="M67" s="11" t="s">
        <v>1187</v>
      </c>
      <c r="N67" s="11" t="s">
        <v>1190</v>
      </c>
      <c r="O67" s="12" t="n">
        <f aca="false">COUNTIF($A$6:$A$187,A67)</f>
        <v>1</v>
      </c>
    </row>
    <row r="68" customFormat="false" ht="72" hidden="false" customHeight="true" outlineLevel="0" collapsed="false">
      <c r="A68" s="11" t="s">
        <v>1191</v>
      </c>
      <c r="B68" s="11" t="s">
        <v>644</v>
      </c>
      <c r="C68" s="11" t="s">
        <v>1192</v>
      </c>
      <c r="D68" s="11" t="n">
        <v>5</v>
      </c>
      <c r="E68" s="11"/>
      <c r="F68" s="11" t="s">
        <v>963</v>
      </c>
      <c r="G68" s="11" t="s">
        <v>1187</v>
      </c>
      <c r="H68" s="11" t="s">
        <v>964</v>
      </c>
      <c r="I68" s="11"/>
      <c r="J68" s="11" t="s">
        <v>1191</v>
      </c>
      <c r="K68" s="11" t="s">
        <v>965</v>
      </c>
      <c r="L68" s="11" t="s">
        <v>1193</v>
      </c>
      <c r="M68" s="11" t="s">
        <v>1191</v>
      </c>
      <c r="N68" s="11"/>
      <c r="O68" s="12" t="n">
        <f aca="false">COUNTIF($A$6:$A$187,A68)</f>
        <v>1</v>
      </c>
    </row>
    <row r="69" customFormat="false" ht="72" hidden="false" customHeight="true" outlineLevel="0" collapsed="false">
      <c r="A69" s="11" t="s">
        <v>1194</v>
      </c>
      <c r="B69" s="11" t="s">
        <v>644</v>
      </c>
      <c r="C69" s="11" t="s">
        <v>1195</v>
      </c>
      <c r="D69" s="11" t="n">
        <v>6</v>
      </c>
      <c r="E69" s="11"/>
      <c r="F69" s="11" t="s">
        <v>963</v>
      </c>
      <c r="G69" s="11" t="s">
        <v>1191</v>
      </c>
      <c r="H69" s="11" t="s">
        <v>964</v>
      </c>
      <c r="I69" s="11"/>
      <c r="J69" s="11" t="s">
        <v>1194</v>
      </c>
      <c r="K69" s="11" t="s">
        <v>965</v>
      </c>
      <c r="L69" s="11" t="s">
        <v>1196</v>
      </c>
      <c r="M69" s="11" t="s">
        <v>1194</v>
      </c>
      <c r="N69" s="11" t="s">
        <v>1197</v>
      </c>
      <c r="O69" s="12" t="n">
        <f aca="false">COUNTIF($A$6:$A$187,A69)</f>
        <v>1</v>
      </c>
    </row>
    <row r="70" customFormat="false" ht="72" hidden="false" customHeight="true" outlineLevel="0" collapsed="false">
      <c r="A70" s="11" t="s">
        <v>1198</v>
      </c>
      <c r="B70" s="11" t="s">
        <v>650</v>
      </c>
      <c r="C70" s="11" t="s">
        <v>1199</v>
      </c>
      <c r="D70" s="11" t="n">
        <v>1</v>
      </c>
      <c r="E70" s="11"/>
      <c r="F70" s="11" t="s">
        <v>963</v>
      </c>
      <c r="G70" s="11"/>
      <c r="H70" s="11" t="s">
        <v>964</v>
      </c>
      <c r="I70" s="11"/>
      <c r="J70" s="11" t="s">
        <v>1198</v>
      </c>
      <c r="K70" s="11" t="s">
        <v>965</v>
      </c>
      <c r="L70" s="11" t="s">
        <v>966</v>
      </c>
      <c r="M70" s="11" t="s">
        <v>1198</v>
      </c>
      <c r="N70" s="11" t="s">
        <v>1200</v>
      </c>
      <c r="O70" s="12" t="n">
        <f aca="false">COUNTIF($A$6:$A$187,A70)</f>
        <v>1</v>
      </c>
    </row>
    <row r="71" customFormat="false" ht="72" hidden="false" customHeight="true" outlineLevel="0" collapsed="false">
      <c r="A71" s="11" t="s">
        <v>1201</v>
      </c>
      <c r="B71" s="11" t="s">
        <v>650</v>
      </c>
      <c r="C71" s="11" t="s">
        <v>1202</v>
      </c>
      <c r="D71" s="11" t="n">
        <v>2</v>
      </c>
      <c r="E71" s="11"/>
      <c r="F71" s="11" t="s">
        <v>963</v>
      </c>
      <c r="G71" s="11" t="s">
        <v>1198</v>
      </c>
      <c r="H71" s="11" t="s">
        <v>964</v>
      </c>
      <c r="I71" s="11"/>
      <c r="J71" s="11" t="s">
        <v>1201</v>
      </c>
      <c r="K71" s="11" t="s">
        <v>965</v>
      </c>
      <c r="L71" s="11" t="s">
        <v>1203</v>
      </c>
      <c r="M71" s="11" t="s">
        <v>1201</v>
      </c>
      <c r="N71" s="11" t="s">
        <v>1046</v>
      </c>
      <c r="O71" s="12" t="n">
        <f aca="false">COUNTIF($A$6:$A$187,A71)</f>
        <v>1</v>
      </c>
    </row>
    <row r="72" customFormat="false" ht="72" hidden="false" customHeight="true" outlineLevel="0" collapsed="false">
      <c r="A72" s="11" t="s">
        <v>1204</v>
      </c>
      <c r="B72" s="11" t="s">
        <v>650</v>
      </c>
      <c r="C72" s="11" t="s">
        <v>1205</v>
      </c>
      <c r="D72" s="11" t="n">
        <v>3</v>
      </c>
      <c r="E72" s="11"/>
      <c r="F72" s="11" t="s">
        <v>963</v>
      </c>
      <c r="G72" s="11" t="s">
        <v>1201</v>
      </c>
      <c r="H72" s="11" t="s">
        <v>964</v>
      </c>
      <c r="I72" s="11"/>
      <c r="J72" s="11" t="s">
        <v>1204</v>
      </c>
      <c r="K72" s="11" t="s">
        <v>965</v>
      </c>
      <c r="L72" s="11" t="s">
        <v>1206</v>
      </c>
      <c r="M72" s="11" t="s">
        <v>1204</v>
      </c>
      <c r="N72" s="11"/>
      <c r="O72" s="12" t="n">
        <f aca="false">COUNTIF($A$6:$A$187,A72)</f>
        <v>1</v>
      </c>
    </row>
    <row r="73" customFormat="false" ht="72" hidden="false" customHeight="true" outlineLevel="0" collapsed="false">
      <c r="A73" s="11" t="s">
        <v>1207</v>
      </c>
      <c r="B73" s="11" t="s">
        <v>650</v>
      </c>
      <c r="C73" s="11" t="s">
        <v>1208</v>
      </c>
      <c r="D73" s="11" t="n">
        <v>4</v>
      </c>
      <c r="E73" s="11"/>
      <c r="F73" s="11" t="s">
        <v>963</v>
      </c>
      <c r="G73" s="11" t="s">
        <v>1204</v>
      </c>
      <c r="H73" s="11" t="s">
        <v>964</v>
      </c>
      <c r="I73" s="11"/>
      <c r="J73" s="11" t="s">
        <v>1207</v>
      </c>
      <c r="K73" s="11" t="s">
        <v>965</v>
      </c>
      <c r="L73" s="11" t="s">
        <v>1209</v>
      </c>
      <c r="M73" s="11" t="s">
        <v>1207</v>
      </c>
      <c r="N73" s="11" t="s">
        <v>1210</v>
      </c>
      <c r="O73" s="12" t="n">
        <f aca="false">COUNTIF($A$6:$A$187,A73)</f>
        <v>1</v>
      </c>
    </row>
    <row r="74" customFormat="false" ht="72" hidden="false" customHeight="true" outlineLevel="0" collapsed="false">
      <c r="A74" s="11" t="s">
        <v>1211</v>
      </c>
      <c r="B74" s="11" t="s">
        <v>650</v>
      </c>
      <c r="C74" s="11" t="s">
        <v>1212</v>
      </c>
      <c r="D74" s="11" t="n">
        <v>5</v>
      </c>
      <c r="E74" s="11"/>
      <c r="F74" s="11" t="s">
        <v>963</v>
      </c>
      <c r="G74" s="11" t="s">
        <v>1207</v>
      </c>
      <c r="H74" s="11" t="s">
        <v>964</v>
      </c>
      <c r="I74" s="11"/>
      <c r="J74" s="11" t="s">
        <v>1211</v>
      </c>
      <c r="K74" s="11" t="s">
        <v>965</v>
      </c>
      <c r="L74" s="11" t="s">
        <v>1213</v>
      </c>
      <c r="M74" s="11" t="s">
        <v>1211</v>
      </c>
      <c r="N74" s="11" t="s">
        <v>1214</v>
      </c>
      <c r="O74" s="12" t="n">
        <f aca="false">COUNTIF($A$6:$A$187,A74)</f>
        <v>1</v>
      </c>
    </row>
    <row r="75" customFormat="false" ht="72" hidden="false" customHeight="true" outlineLevel="0" collapsed="false">
      <c r="A75" s="11" t="s">
        <v>1215</v>
      </c>
      <c r="B75" s="11" t="s">
        <v>650</v>
      </c>
      <c r="C75" s="11" t="s">
        <v>1216</v>
      </c>
      <c r="D75" s="11" t="n">
        <v>6</v>
      </c>
      <c r="E75" s="11"/>
      <c r="F75" s="11" t="s">
        <v>963</v>
      </c>
      <c r="G75" s="11" t="s">
        <v>1211</v>
      </c>
      <c r="H75" s="11" t="s">
        <v>964</v>
      </c>
      <c r="I75" s="11"/>
      <c r="J75" s="11" t="s">
        <v>1215</v>
      </c>
      <c r="K75" s="11" t="s">
        <v>965</v>
      </c>
      <c r="L75" s="11" t="s">
        <v>1217</v>
      </c>
      <c r="M75" s="11" t="s">
        <v>1215</v>
      </c>
      <c r="N75" s="11"/>
      <c r="O75" s="12" t="n">
        <f aca="false">COUNTIF($A$6:$A$187,A75)</f>
        <v>1</v>
      </c>
    </row>
    <row r="76" customFormat="false" ht="72" hidden="false" customHeight="true" outlineLevel="0" collapsed="false">
      <c r="A76" s="11" t="s">
        <v>1218</v>
      </c>
      <c r="B76" s="11" t="s">
        <v>656</v>
      </c>
      <c r="C76" s="11" t="s">
        <v>1219</v>
      </c>
      <c r="D76" s="11" t="n">
        <v>1</v>
      </c>
      <c r="E76" s="11"/>
      <c r="F76" s="11" t="s">
        <v>963</v>
      </c>
      <c r="G76" s="11"/>
      <c r="H76" s="11" t="s">
        <v>964</v>
      </c>
      <c r="I76" s="11"/>
      <c r="J76" s="11" t="s">
        <v>1218</v>
      </c>
      <c r="K76" s="11" t="s">
        <v>965</v>
      </c>
      <c r="L76" s="11" t="s">
        <v>966</v>
      </c>
      <c r="M76" s="11" t="s">
        <v>1218</v>
      </c>
      <c r="N76" s="11"/>
      <c r="O76" s="12" t="n">
        <f aca="false">COUNTIF($A$6:$A$187,A76)</f>
        <v>1</v>
      </c>
    </row>
    <row r="77" customFormat="false" ht="72" hidden="false" customHeight="true" outlineLevel="0" collapsed="false">
      <c r="A77" s="11" t="s">
        <v>1220</v>
      </c>
      <c r="B77" s="11" t="s">
        <v>656</v>
      </c>
      <c r="C77" s="11" t="s">
        <v>1221</v>
      </c>
      <c r="D77" s="11" t="n">
        <v>2</v>
      </c>
      <c r="E77" s="11"/>
      <c r="F77" s="11" t="s">
        <v>963</v>
      </c>
      <c r="G77" s="11" t="s">
        <v>1218</v>
      </c>
      <c r="H77" s="11" t="s">
        <v>964</v>
      </c>
      <c r="I77" s="11"/>
      <c r="J77" s="11" t="s">
        <v>1220</v>
      </c>
      <c r="K77" s="11" t="s">
        <v>965</v>
      </c>
      <c r="L77" s="11" t="s">
        <v>1222</v>
      </c>
      <c r="M77" s="11" t="s">
        <v>1220</v>
      </c>
      <c r="N77" s="11"/>
      <c r="O77" s="12" t="n">
        <f aca="false">COUNTIF($A$6:$A$187,A77)</f>
        <v>1</v>
      </c>
    </row>
    <row r="78" customFormat="false" ht="72" hidden="false" customHeight="true" outlineLevel="0" collapsed="false">
      <c r="A78" s="11" t="s">
        <v>1223</v>
      </c>
      <c r="B78" s="11" t="s">
        <v>656</v>
      </c>
      <c r="C78" s="11" t="s">
        <v>1224</v>
      </c>
      <c r="D78" s="11" t="n">
        <v>3</v>
      </c>
      <c r="E78" s="11"/>
      <c r="F78" s="11" t="s">
        <v>963</v>
      </c>
      <c r="G78" s="11" t="s">
        <v>1220</v>
      </c>
      <c r="H78" s="11" t="s">
        <v>964</v>
      </c>
      <c r="I78" s="11"/>
      <c r="J78" s="11" t="s">
        <v>1223</v>
      </c>
      <c r="K78" s="11" t="s">
        <v>965</v>
      </c>
      <c r="L78" s="11" t="s">
        <v>1225</v>
      </c>
      <c r="M78" s="11" t="s">
        <v>1223</v>
      </c>
      <c r="N78" s="11" t="s">
        <v>1226</v>
      </c>
      <c r="O78" s="12" t="n">
        <f aca="false">COUNTIF($A$6:$A$187,A78)</f>
        <v>1</v>
      </c>
    </row>
    <row r="79" customFormat="false" ht="72" hidden="false" customHeight="true" outlineLevel="0" collapsed="false">
      <c r="A79" s="11" t="s">
        <v>1227</v>
      </c>
      <c r="B79" s="11" t="s">
        <v>656</v>
      </c>
      <c r="C79" s="11" t="s">
        <v>1228</v>
      </c>
      <c r="D79" s="11" t="n">
        <v>4</v>
      </c>
      <c r="E79" s="11"/>
      <c r="F79" s="11" t="s">
        <v>963</v>
      </c>
      <c r="G79" s="11" t="s">
        <v>1223</v>
      </c>
      <c r="H79" s="11" t="s">
        <v>964</v>
      </c>
      <c r="I79" s="11"/>
      <c r="J79" s="11" t="s">
        <v>1227</v>
      </c>
      <c r="K79" s="11" t="s">
        <v>965</v>
      </c>
      <c r="L79" s="11" t="s">
        <v>1229</v>
      </c>
      <c r="M79" s="11" t="s">
        <v>1227</v>
      </c>
      <c r="N79" s="11"/>
      <c r="O79" s="12" t="n">
        <f aca="false">COUNTIF($A$6:$A$187,A79)</f>
        <v>1</v>
      </c>
    </row>
    <row r="80" customFormat="false" ht="72" hidden="false" customHeight="true" outlineLevel="0" collapsed="false">
      <c r="A80" s="11" t="s">
        <v>1230</v>
      </c>
      <c r="B80" s="11" t="s">
        <v>656</v>
      </c>
      <c r="C80" s="11" t="s">
        <v>1161</v>
      </c>
      <c r="D80" s="11" t="n">
        <v>5</v>
      </c>
      <c r="E80" s="11"/>
      <c r="F80" s="11" t="s">
        <v>963</v>
      </c>
      <c r="G80" s="11" t="s">
        <v>1227</v>
      </c>
      <c r="H80" s="11" t="s">
        <v>964</v>
      </c>
      <c r="I80" s="11"/>
      <c r="J80" s="11" t="s">
        <v>1230</v>
      </c>
      <c r="K80" s="11" t="s">
        <v>965</v>
      </c>
      <c r="L80" s="11" t="s">
        <v>1231</v>
      </c>
      <c r="M80" s="11" t="s">
        <v>1230</v>
      </c>
      <c r="N80" s="11" t="s">
        <v>1232</v>
      </c>
      <c r="O80" s="12" t="n">
        <f aca="false">COUNTIF($A$6:$A$187,A80)</f>
        <v>1</v>
      </c>
    </row>
    <row r="81" customFormat="false" ht="72" hidden="false" customHeight="true" outlineLevel="0" collapsed="false">
      <c r="A81" s="11" t="s">
        <v>1233</v>
      </c>
      <c r="B81" s="11" t="s">
        <v>656</v>
      </c>
      <c r="C81" s="11" t="s">
        <v>1234</v>
      </c>
      <c r="D81" s="11" t="n">
        <v>6</v>
      </c>
      <c r="E81" s="11"/>
      <c r="F81" s="11" t="s">
        <v>963</v>
      </c>
      <c r="G81" s="11" t="s">
        <v>1230</v>
      </c>
      <c r="H81" s="11" t="s">
        <v>964</v>
      </c>
      <c r="I81" s="11"/>
      <c r="J81" s="11" t="s">
        <v>1233</v>
      </c>
      <c r="K81" s="11" t="s">
        <v>965</v>
      </c>
      <c r="L81" s="11" t="s">
        <v>1235</v>
      </c>
      <c r="M81" s="11" t="s">
        <v>1233</v>
      </c>
      <c r="N81" s="11"/>
      <c r="O81" s="12" t="n">
        <f aca="false">COUNTIF($A$6:$A$187,A81)</f>
        <v>1</v>
      </c>
    </row>
    <row r="82" customFormat="false" ht="72" hidden="false" customHeight="true" outlineLevel="0" collapsed="false">
      <c r="A82" s="11" t="s">
        <v>1236</v>
      </c>
      <c r="B82" s="11" t="s">
        <v>662</v>
      </c>
      <c r="C82" s="11" t="s">
        <v>1237</v>
      </c>
      <c r="D82" s="11" t="n">
        <v>1</v>
      </c>
      <c r="E82" s="11"/>
      <c r="F82" s="11" t="s">
        <v>963</v>
      </c>
      <c r="G82" s="11"/>
      <c r="H82" s="11" t="s">
        <v>964</v>
      </c>
      <c r="I82" s="11"/>
      <c r="J82" s="11" t="s">
        <v>1236</v>
      </c>
      <c r="K82" s="11" t="s">
        <v>965</v>
      </c>
      <c r="L82" s="11" t="s">
        <v>966</v>
      </c>
      <c r="M82" s="11" t="s">
        <v>1236</v>
      </c>
      <c r="N82" s="11" t="s">
        <v>1238</v>
      </c>
      <c r="O82" s="12" t="n">
        <f aca="false">COUNTIF($A$6:$A$187,A82)</f>
        <v>1</v>
      </c>
    </row>
    <row r="83" customFormat="false" ht="72" hidden="false" customHeight="true" outlineLevel="0" collapsed="false">
      <c r="A83" s="11" t="s">
        <v>1239</v>
      </c>
      <c r="B83" s="11" t="s">
        <v>662</v>
      </c>
      <c r="C83" s="11" t="s">
        <v>1240</v>
      </c>
      <c r="D83" s="11" t="n">
        <v>2</v>
      </c>
      <c r="E83" s="11"/>
      <c r="F83" s="11" t="s">
        <v>963</v>
      </c>
      <c r="G83" s="11" t="s">
        <v>1236</v>
      </c>
      <c r="H83" s="11" t="s">
        <v>964</v>
      </c>
      <c r="I83" s="11"/>
      <c r="J83" s="11" t="s">
        <v>1239</v>
      </c>
      <c r="K83" s="11" t="s">
        <v>965</v>
      </c>
      <c r="L83" s="11" t="s">
        <v>1241</v>
      </c>
      <c r="M83" s="11" t="s">
        <v>1239</v>
      </c>
      <c r="N83" s="11"/>
      <c r="O83" s="12" t="n">
        <f aca="false">COUNTIF($A$6:$A$187,A83)</f>
        <v>1</v>
      </c>
    </row>
    <row r="84" customFormat="false" ht="72" hidden="false" customHeight="true" outlineLevel="0" collapsed="false">
      <c r="A84" s="11" t="s">
        <v>1242</v>
      </c>
      <c r="B84" s="11" t="s">
        <v>662</v>
      </c>
      <c r="C84" s="11" t="s">
        <v>1243</v>
      </c>
      <c r="D84" s="11" t="n">
        <v>3</v>
      </c>
      <c r="E84" s="11"/>
      <c r="F84" s="11" t="s">
        <v>1166</v>
      </c>
      <c r="G84" s="11" t="s">
        <v>1239</v>
      </c>
      <c r="H84" s="11" t="s">
        <v>964</v>
      </c>
      <c r="I84" s="11"/>
      <c r="J84" s="11"/>
      <c r="K84" s="11" t="s">
        <v>1167</v>
      </c>
      <c r="L84" s="11" t="s">
        <v>1244</v>
      </c>
      <c r="M84" s="11" t="s">
        <v>1242</v>
      </c>
      <c r="N84" s="11" t="s">
        <v>1245</v>
      </c>
      <c r="O84" s="12" t="n">
        <f aca="false">COUNTIF($A$6:$A$187,A84)</f>
        <v>1</v>
      </c>
    </row>
    <row r="85" customFormat="false" ht="72" hidden="false" customHeight="true" outlineLevel="0" collapsed="false">
      <c r="A85" s="11" t="s">
        <v>1246</v>
      </c>
      <c r="B85" s="11" t="s">
        <v>662</v>
      </c>
      <c r="C85" s="11" t="s">
        <v>1247</v>
      </c>
      <c r="D85" s="11" t="n">
        <v>4</v>
      </c>
      <c r="E85" s="11"/>
      <c r="F85" s="11" t="s">
        <v>963</v>
      </c>
      <c r="G85" s="11" t="s">
        <v>1242</v>
      </c>
      <c r="H85" s="11" t="s">
        <v>964</v>
      </c>
      <c r="I85" s="11"/>
      <c r="J85" s="11" t="s">
        <v>1246</v>
      </c>
      <c r="K85" s="11" t="s">
        <v>965</v>
      </c>
      <c r="L85" s="11" t="s">
        <v>1248</v>
      </c>
      <c r="M85" s="11" t="s">
        <v>1246</v>
      </c>
      <c r="N85" s="11" t="s">
        <v>1249</v>
      </c>
      <c r="O85" s="12" t="n">
        <f aca="false">COUNTIF($A$6:$A$187,A85)</f>
        <v>1</v>
      </c>
    </row>
    <row r="86" customFormat="false" ht="72" hidden="false" customHeight="true" outlineLevel="0" collapsed="false">
      <c r="A86" s="11" t="s">
        <v>1250</v>
      </c>
      <c r="B86" s="11" t="s">
        <v>662</v>
      </c>
      <c r="C86" s="11" t="s">
        <v>1251</v>
      </c>
      <c r="D86" s="11" t="n">
        <v>5</v>
      </c>
      <c r="E86" s="11"/>
      <c r="F86" s="11" t="s">
        <v>963</v>
      </c>
      <c r="G86" s="11" t="s">
        <v>1246</v>
      </c>
      <c r="H86" s="11" t="s">
        <v>964</v>
      </c>
      <c r="I86" s="11"/>
      <c r="J86" s="11" t="s">
        <v>1250</v>
      </c>
      <c r="K86" s="11" t="s">
        <v>965</v>
      </c>
      <c r="L86" s="11" t="s">
        <v>1252</v>
      </c>
      <c r="M86" s="11" t="s">
        <v>1250</v>
      </c>
      <c r="N86" s="11" t="s">
        <v>1249</v>
      </c>
      <c r="O86" s="12" t="n">
        <f aca="false">COUNTIF($A$6:$A$187,A86)</f>
        <v>1</v>
      </c>
    </row>
    <row r="87" customFormat="false" ht="72" hidden="false" customHeight="true" outlineLevel="0" collapsed="false">
      <c r="A87" s="11" t="s">
        <v>1253</v>
      </c>
      <c r="B87" s="11" t="s">
        <v>662</v>
      </c>
      <c r="C87" s="11" t="s">
        <v>1254</v>
      </c>
      <c r="D87" s="11" t="n">
        <v>6</v>
      </c>
      <c r="E87" s="11"/>
      <c r="F87" s="11" t="s">
        <v>963</v>
      </c>
      <c r="G87" s="11" t="s">
        <v>1250</v>
      </c>
      <c r="H87" s="11" t="s">
        <v>964</v>
      </c>
      <c r="I87" s="11"/>
      <c r="J87" s="11" t="s">
        <v>1253</v>
      </c>
      <c r="K87" s="11" t="s">
        <v>965</v>
      </c>
      <c r="L87" s="11" t="s">
        <v>1255</v>
      </c>
      <c r="M87" s="11" t="s">
        <v>1253</v>
      </c>
      <c r="N87" s="11"/>
      <c r="O87" s="12" t="n">
        <f aca="false">COUNTIF($A$6:$A$187,A87)</f>
        <v>1</v>
      </c>
    </row>
    <row r="88" customFormat="false" ht="72" hidden="false" customHeight="true" outlineLevel="0" collapsed="false">
      <c r="A88" s="11" t="s">
        <v>1256</v>
      </c>
      <c r="B88" s="11" t="s">
        <v>667</v>
      </c>
      <c r="C88" s="11" t="s">
        <v>1257</v>
      </c>
      <c r="D88" s="11" t="n">
        <v>1</v>
      </c>
      <c r="E88" s="11"/>
      <c r="F88" s="11" t="s">
        <v>963</v>
      </c>
      <c r="G88" s="11"/>
      <c r="H88" s="11" t="s">
        <v>964</v>
      </c>
      <c r="I88" s="11"/>
      <c r="J88" s="11" t="s">
        <v>1256</v>
      </c>
      <c r="K88" s="11" t="s">
        <v>965</v>
      </c>
      <c r="L88" s="11" t="s">
        <v>966</v>
      </c>
      <c r="M88" s="11" t="s">
        <v>1256</v>
      </c>
      <c r="N88" s="11" t="s">
        <v>1258</v>
      </c>
      <c r="O88" s="12" t="n">
        <f aca="false">COUNTIF($A$6:$A$187,A88)</f>
        <v>1</v>
      </c>
    </row>
    <row r="89" customFormat="false" ht="72" hidden="false" customHeight="true" outlineLevel="0" collapsed="false">
      <c r="A89" s="11" t="s">
        <v>1259</v>
      </c>
      <c r="B89" s="11" t="s">
        <v>667</v>
      </c>
      <c r="C89" s="11" t="s">
        <v>1260</v>
      </c>
      <c r="D89" s="11" t="n">
        <v>2</v>
      </c>
      <c r="E89" s="11"/>
      <c r="F89" s="11" t="s">
        <v>963</v>
      </c>
      <c r="G89" s="11" t="s">
        <v>1256</v>
      </c>
      <c r="H89" s="11" t="s">
        <v>964</v>
      </c>
      <c r="I89" s="11"/>
      <c r="J89" s="11" t="s">
        <v>1259</v>
      </c>
      <c r="K89" s="11" t="s">
        <v>965</v>
      </c>
      <c r="L89" s="11" t="s">
        <v>1261</v>
      </c>
      <c r="M89" s="11" t="s">
        <v>1259</v>
      </c>
      <c r="N89" s="11" t="s">
        <v>1258</v>
      </c>
      <c r="O89" s="12" t="n">
        <f aca="false">COUNTIF($A$6:$A$187,A89)</f>
        <v>1</v>
      </c>
    </row>
    <row r="90" customFormat="false" ht="72" hidden="false" customHeight="true" outlineLevel="0" collapsed="false">
      <c r="A90" s="11" t="s">
        <v>1262</v>
      </c>
      <c r="B90" s="11" t="s">
        <v>667</v>
      </c>
      <c r="C90" s="11" t="s">
        <v>1263</v>
      </c>
      <c r="D90" s="11" t="n">
        <v>3</v>
      </c>
      <c r="E90" s="11"/>
      <c r="F90" s="11" t="s">
        <v>963</v>
      </c>
      <c r="G90" s="11" t="s">
        <v>1259</v>
      </c>
      <c r="H90" s="11" t="s">
        <v>964</v>
      </c>
      <c r="I90" s="11"/>
      <c r="J90" s="11" t="s">
        <v>1262</v>
      </c>
      <c r="K90" s="11" t="s">
        <v>965</v>
      </c>
      <c r="L90" s="11" t="s">
        <v>1264</v>
      </c>
      <c r="M90" s="11" t="s">
        <v>1262</v>
      </c>
      <c r="N90" s="11" t="s">
        <v>1033</v>
      </c>
      <c r="O90" s="12" t="n">
        <f aca="false">COUNTIF($A$6:$A$187,A90)</f>
        <v>1</v>
      </c>
    </row>
    <row r="91" customFormat="false" ht="72" hidden="false" customHeight="true" outlineLevel="0" collapsed="false">
      <c r="A91" s="11" t="s">
        <v>1265</v>
      </c>
      <c r="B91" s="11" t="s">
        <v>667</v>
      </c>
      <c r="C91" s="11" t="s">
        <v>1266</v>
      </c>
      <c r="D91" s="11" t="n">
        <v>4</v>
      </c>
      <c r="E91" s="11"/>
      <c r="F91" s="11" t="s">
        <v>963</v>
      </c>
      <c r="G91" s="11" t="s">
        <v>1262</v>
      </c>
      <c r="H91" s="11" t="s">
        <v>964</v>
      </c>
      <c r="I91" s="11"/>
      <c r="J91" s="11" t="s">
        <v>1265</v>
      </c>
      <c r="K91" s="11" t="s">
        <v>965</v>
      </c>
      <c r="L91" s="11" t="s">
        <v>1267</v>
      </c>
      <c r="M91" s="11" t="s">
        <v>1265</v>
      </c>
      <c r="N91" s="11"/>
      <c r="O91" s="12" t="n">
        <f aca="false">COUNTIF($A$6:$A$187,A91)</f>
        <v>1</v>
      </c>
    </row>
    <row r="92" customFormat="false" ht="72" hidden="false" customHeight="true" outlineLevel="0" collapsed="false">
      <c r="A92" s="11" t="s">
        <v>1268</v>
      </c>
      <c r="B92" s="11" t="s">
        <v>667</v>
      </c>
      <c r="C92" s="11" t="s">
        <v>1269</v>
      </c>
      <c r="D92" s="11" t="n">
        <v>5</v>
      </c>
      <c r="E92" s="11"/>
      <c r="F92" s="11" t="s">
        <v>963</v>
      </c>
      <c r="G92" s="11" t="s">
        <v>1265</v>
      </c>
      <c r="H92" s="11" t="s">
        <v>964</v>
      </c>
      <c r="I92" s="11"/>
      <c r="J92" s="11" t="s">
        <v>1268</v>
      </c>
      <c r="K92" s="11" t="s">
        <v>965</v>
      </c>
      <c r="L92" s="11" t="s">
        <v>1270</v>
      </c>
      <c r="M92" s="11" t="s">
        <v>1268</v>
      </c>
      <c r="N92" s="11"/>
      <c r="O92" s="12" t="n">
        <f aca="false">COUNTIF($A$6:$A$187,A92)</f>
        <v>1</v>
      </c>
    </row>
    <row r="93" customFormat="false" ht="72" hidden="false" customHeight="true" outlineLevel="0" collapsed="false">
      <c r="A93" s="11" t="s">
        <v>1271</v>
      </c>
      <c r="B93" s="11" t="s">
        <v>667</v>
      </c>
      <c r="C93" s="11" t="s">
        <v>1272</v>
      </c>
      <c r="D93" s="11" t="n">
        <v>6</v>
      </c>
      <c r="E93" s="11"/>
      <c r="F93" s="11" t="s">
        <v>963</v>
      </c>
      <c r="G93" s="11" t="s">
        <v>1268</v>
      </c>
      <c r="H93" s="11" t="s">
        <v>964</v>
      </c>
      <c r="I93" s="11"/>
      <c r="J93" s="11" t="s">
        <v>1271</v>
      </c>
      <c r="K93" s="11" t="s">
        <v>965</v>
      </c>
      <c r="L93" s="11" t="s">
        <v>1273</v>
      </c>
      <c r="M93" s="11" t="s">
        <v>1271</v>
      </c>
      <c r="N93" s="11" t="s">
        <v>1274</v>
      </c>
      <c r="O93" s="12" t="n">
        <f aca="false">COUNTIF($A$6:$A$187,A93)</f>
        <v>1</v>
      </c>
    </row>
    <row r="94" customFormat="false" ht="72" hidden="false" customHeight="true" outlineLevel="0" collapsed="false">
      <c r="A94" s="11" t="s">
        <v>1275</v>
      </c>
      <c r="B94" s="11" t="s">
        <v>674</v>
      </c>
      <c r="C94" s="11" t="s">
        <v>1276</v>
      </c>
      <c r="D94" s="11" t="n">
        <v>1</v>
      </c>
      <c r="E94" s="11"/>
      <c r="F94" s="11" t="s">
        <v>963</v>
      </c>
      <c r="G94" s="11"/>
      <c r="H94" s="11" t="s">
        <v>964</v>
      </c>
      <c r="I94" s="11"/>
      <c r="J94" s="11" t="s">
        <v>1275</v>
      </c>
      <c r="K94" s="11" t="s">
        <v>965</v>
      </c>
      <c r="L94" s="11" t="s">
        <v>966</v>
      </c>
      <c r="M94" s="11" t="s">
        <v>1277</v>
      </c>
      <c r="N94" s="11" t="s">
        <v>1278</v>
      </c>
      <c r="O94" s="12" t="n">
        <f aca="false">COUNTIF($A$6:$A$187,A94)</f>
        <v>1</v>
      </c>
    </row>
    <row r="95" customFormat="false" ht="72" hidden="false" customHeight="true" outlineLevel="0" collapsed="false">
      <c r="A95" s="11" t="s">
        <v>1279</v>
      </c>
      <c r="B95" s="11" t="s">
        <v>674</v>
      </c>
      <c r="C95" s="11" t="s">
        <v>1280</v>
      </c>
      <c r="D95" s="11" t="n">
        <v>2</v>
      </c>
      <c r="E95" s="11"/>
      <c r="F95" s="11" t="s">
        <v>963</v>
      </c>
      <c r="G95" s="11" t="s">
        <v>1275</v>
      </c>
      <c r="H95" s="11" t="s">
        <v>964</v>
      </c>
      <c r="I95" s="11"/>
      <c r="J95" s="11" t="s">
        <v>1279</v>
      </c>
      <c r="K95" s="11" t="s">
        <v>965</v>
      </c>
      <c r="L95" s="11" t="s">
        <v>1281</v>
      </c>
      <c r="M95" s="11" t="s">
        <v>1277</v>
      </c>
      <c r="N95" s="11" t="s">
        <v>1278</v>
      </c>
      <c r="O95" s="12" t="n">
        <f aca="false">COUNTIF($A$6:$A$187,A95)</f>
        <v>1</v>
      </c>
    </row>
    <row r="96" customFormat="false" ht="72" hidden="false" customHeight="true" outlineLevel="0" collapsed="false">
      <c r="A96" s="11" t="s">
        <v>1282</v>
      </c>
      <c r="B96" s="11" t="s">
        <v>674</v>
      </c>
      <c r="C96" s="11" t="s">
        <v>1283</v>
      </c>
      <c r="D96" s="11" t="n">
        <v>3</v>
      </c>
      <c r="E96" s="11"/>
      <c r="F96" s="11" t="s">
        <v>963</v>
      </c>
      <c r="G96" s="11" t="s">
        <v>1279</v>
      </c>
      <c r="H96" s="11" t="s">
        <v>964</v>
      </c>
      <c r="I96" s="11"/>
      <c r="J96" s="11" t="s">
        <v>1282</v>
      </c>
      <c r="K96" s="11" t="s">
        <v>965</v>
      </c>
      <c r="L96" s="11" t="s">
        <v>1284</v>
      </c>
      <c r="M96" s="11" t="s">
        <v>1277</v>
      </c>
      <c r="N96" s="11" t="s">
        <v>1278</v>
      </c>
      <c r="O96" s="12" t="n">
        <f aca="false">COUNTIF($A$6:$A$187,A96)</f>
        <v>1</v>
      </c>
    </row>
    <row r="97" customFormat="false" ht="72" hidden="false" customHeight="true" outlineLevel="0" collapsed="false">
      <c r="A97" s="11" t="s">
        <v>1285</v>
      </c>
      <c r="B97" s="11" t="s">
        <v>674</v>
      </c>
      <c r="C97" s="11" t="s">
        <v>1286</v>
      </c>
      <c r="D97" s="11" t="n">
        <v>4</v>
      </c>
      <c r="E97" s="11"/>
      <c r="F97" s="11" t="s">
        <v>963</v>
      </c>
      <c r="G97" s="11" t="s">
        <v>1282</v>
      </c>
      <c r="H97" s="11" t="s">
        <v>964</v>
      </c>
      <c r="I97" s="11"/>
      <c r="J97" s="11" t="s">
        <v>1285</v>
      </c>
      <c r="K97" s="11" t="s">
        <v>965</v>
      </c>
      <c r="L97" s="11" t="s">
        <v>1287</v>
      </c>
      <c r="M97" s="11" t="s">
        <v>1285</v>
      </c>
      <c r="N97" s="11" t="s">
        <v>1288</v>
      </c>
      <c r="O97" s="12" t="n">
        <f aca="false">COUNTIF($A$6:$A$187,A97)</f>
        <v>1</v>
      </c>
    </row>
    <row r="98" customFormat="false" ht="72" hidden="false" customHeight="true" outlineLevel="0" collapsed="false">
      <c r="A98" s="11" t="s">
        <v>1289</v>
      </c>
      <c r="B98" s="11" t="s">
        <v>674</v>
      </c>
      <c r="C98" s="11" t="s">
        <v>1290</v>
      </c>
      <c r="D98" s="11" t="n">
        <v>5</v>
      </c>
      <c r="E98" s="11"/>
      <c r="F98" s="11" t="s">
        <v>963</v>
      </c>
      <c r="G98" s="11" t="s">
        <v>1285</v>
      </c>
      <c r="H98" s="11" t="s">
        <v>964</v>
      </c>
      <c r="I98" s="11"/>
      <c r="J98" s="11" t="s">
        <v>1289</v>
      </c>
      <c r="K98" s="11" t="s">
        <v>965</v>
      </c>
      <c r="L98" s="11" t="s">
        <v>1291</v>
      </c>
      <c r="M98" s="11" t="s">
        <v>1289</v>
      </c>
      <c r="N98" s="11" t="s">
        <v>1278</v>
      </c>
      <c r="O98" s="12" t="n">
        <f aca="false">COUNTIF($A$6:$A$187,A98)</f>
        <v>1</v>
      </c>
    </row>
    <row r="99" customFormat="false" ht="72" hidden="false" customHeight="true" outlineLevel="0" collapsed="false">
      <c r="A99" s="11" t="s">
        <v>1292</v>
      </c>
      <c r="B99" s="11" t="s">
        <v>674</v>
      </c>
      <c r="C99" s="11" t="s">
        <v>1293</v>
      </c>
      <c r="D99" s="11" t="n">
        <v>6</v>
      </c>
      <c r="E99" s="11"/>
      <c r="F99" s="11" t="s">
        <v>963</v>
      </c>
      <c r="G99" s="11" t="s">
        <v>1289</v>
      </c>
      <c r="H99" s="11" t="s">
        <v>964</v>
      </c>
      <c r="I99" s="11"/>
      <c r="J99" s="11" t="s">
        <v>1292</v>
      </c>
      <c r="K99" s="11" t="s">
        <v>965</v>
      </c>
      <c r="L99" s="11" t="s">
        <v>1294</v>
      </c>
      <c r="M99" s="11" t="s">
        <v>1292</v>
      </c>
      <c r="N99" s="11" t="s">
        <v>1295</v>
      </c>
      <c r="O99" s="12" t="n">
        <f aca="false">COUNTIF($A$6:$A$187,A99)</f>
        <v>1</v>
      </c>
    </row>
    <row r="100" customFormat="false" ht="72" hidden="false" customHeight="true" outlineLevel="0" collapsed="false">
      <c r="A100" s="11" t="s">
        <v>1296</v>
      </c>
      <c r="B100" s="11" t="s">
        <v>674</v>
      </c>
      <c r="C100" s="11" t="s">
        <v>1297</v>
      </c>
      <c r="D100" s="11" t="n">
        <v>7</v>
      </c>
      <c r="E100" s="11"/>
      <c r="F100" s="11" t="s">
        <v>963</v>
      </c>
      <c r="G100" s="11" t="s">
        <v>1292</v>
      </c>
      <c r="H100" s="11" t="s">
        <v>964</v>
      </c>
      <c r="I100" s="11"/>
      <c r="J100" s="11" t="s">
        <v>1296</v>
      </c>
      <c r="K100" s="11" t="s">
        <v>965</v>
      </c>
      <c r="L100" s="11" t="s">
        <v>1298</v>
      </c>
      <c r="M100" s="11" t="s">
        <v>1296</v>
      </c>
      <c r="N100" s="11" t="s">
        <v>1299</v>
      </c>
      <c r="O100" s="12" t="n">
        <f aca="false">COUNTIF($A$6:$A$187,A100)</f>
        <v>1</v>
      </c>
    </row>
    <row r="101" customFormat="false" ht="72" hidden="false" customHeight="true" outlineLevel="0" collapsed="false">
      <c r="A101" s="11" t="s">
        <v>1300</v>
      </c>
      <c r="B101" s="11" t="s">
        <v>680</v>
      </c>
      <c r="C101" s="11" t="s">
        <v>1301</v>
      </c>
      <c r="D101" s="11" t="n">
        <v>1</v>
      </c>
      <c r="E101" s="11"/>
      <c r="F101" s="11" t="s">
        <v>963</v>
      </c>
      <c r="G101" s="11"/>
      <c r="H101" s="11" t="s">
        <v>964</v>
      </c>
      <c r="I101" s="11"/>
      <c r="J101" s="11" t="s">
        <v>1300</v>
      </c>
      <c r="K101" s="11" t="s">
        <v>965</v>
      </c>
      <c r="L101" s="11" t="s">
        <v>966</v>
      </c>
      <c r="M101" s="11" t="s">
        <v>1300</v>
      </c>
      <c r="N101" s="11" t="s">
        <v>1302</v>
      </c>
      <c r="O101" s="12" t="n">
        <f aca="false">COUNTIF($A$6:$A$187,A101)</f>
        <v>1</v>
      </c>
    </row>
    <row r="102" customFormat="false" ht="72" hidden="false" customHeight="true" outlineLevel="0" collapsed="false">
      <c r="A102" s="11" t="s">
        <v>1303</v>
      </c>
      <c r="B102" s="11" t="s">
        <v>680</v>
      </c>
      <c r="C102" s="11" t="s">
        <v>1304</v>
      </c>
      <c r="D102" s="11" t="n">
        <v>2</v>
      </c>
      <c r="E102" s="11"/>
      <c r="F102" s="11" t="s">
        <v>963</v>
      </c>
      <c r="G102" s="11" t="s">
        <v>1300</v>
      </c>
      <c r="H102" s="11" t="s">
        <v>964</v>
      </c>
      <c r="I102" s="11"/>
      <c r="J102" s="11" t="s">
        <v>1303</v>
      </c>
      <c r="K102" s="11" t="s">
        <v>965</v>
      </c>
      <c r="L102" s="11" t="s">
        <v>1305</v>
      </c>
      <c r="M102" s="11" t="s">
        <v>1303</v>
      </c>
      <c r="N102" s="11"/>
      <c r="O102" s="12" t="n">
        <f aca="false">COUNTIF($A$6:$A$187,A102)</f>
        <v>1</v>
      </c>
    </row>
    <row r="103" customFormat="false" ht="72" hidden="false" customHeight="true" outlineLevel="0" collapsed="false">
      <c r="A103" s="11" t="s">
        <v>1306</v>
      </c>
      <c r="B103" s="11" t="s">
        <v>680</v>
      </c>
      <c r="C103" s="11" t="s">
        <v>1307</v>
      </c>
      <c r="D103" s="11" t="n">
        <v>3</v>
      </c>
      <c r="E103" s="11"/>
      <c r="F103" s="11" t="s">
        <v>963</v>
      </c>
      <c r="G103" s="11" t="s">
        <v>1303</v>
      </c>
      <c r="H103" s="11" t="s">
        <v>964</v>
      </c>
      <c r="I103" s="11"/>
      <c r="J103" s="11" t="s">
        <v>1306</v>
      </c>
      <c r="K103" s="11" t="s">
        <v>965</v>
      </c>
      <c r="L103" s="11" t="s">
        <v>1308</v>
      </c>
      <c r="M103" s="11" t="s">
        <v>1306</v>
      </c>
      <c r="N103" s="11" t="s">
        <v>1309</v>
      </c>
      <c r="O103" s="12" t="n">
        <f aca="false">COUNTIF($A$6:$A$187,A103)</f>
        <v>1</v>
      </c>
    </row>
    <row r="104" customFormat="false" ht="72" hidden="false" customHeight="true" outlineLevel="0" collapsed="false">
      <c r="A104" s="11" t="s">
        <v>1310</v>
      </c>
      <c r="B104" s="11" t="s">
        <v>680</v>
      </c>
      <c r="C104" s="11" t="s">
        <v>1311</v>
      </c>
      <c r="D104" s="11" t="n">
        <v>4</v>
      </c>
      <c r="E104" s="11"/>
      <c r="F104" s="11" t="s">
        <v>963</v>
      </c>
      <c r="G104" s="11" t="s">
        <v>1306</v>
      </c>
      <c r="H104" s="11" t="s">
        <v>964</v>
      </c>
      <c r="I104" s="11"/>
      <c r="J104" s="11" t="s">
        <v>1310</v>
      </c>
      <c r="K104" s="11" t="s">
        <v>965</v>
      </c>
      <c r="L104" s="11" t="s">
        <v>1312</v>
      </c>
      <c r="M104" s="11" t="s">
        <v>1310</v>
      </c>
      <c r="N104" s="11"/>
      <c r="O104" s="12" t="n">
        <f aca="false">COUNTIF($A$6:$A$187,A104)</f>
        <v>1</v>
      </c>
    </row>
    <row r="105" customFormat="false" ht="72" hidden="false" customHeight="true" outlineLevel="0" collapsed="false">
      <c r="A105" s="11" t="s">
        <v>1313</v>
      </c>
      <c r="B105" s="11" t="s">
        <v>680</v>
      </c>
      <c r="C105" s="11" t="s">
        <v>1314</v>
      </c>
      <c r="D105" s="11" t="n">
        <v>5</v>
      </c>
      <c r="E105" s="11"/>
      <c r="F105" s="11" t="s">
        <v>963</v>
      </c>
      <c r="G105" s="11" t="s">
        <v>1310</v>
      </c>
      <c r="H105" s="11" t="s">
        <v>964</v>
      </c>
      <c r="I105" s="11"/>
      <c r="J105" s="11" t="s">
        <v>1313</v>
      </c>
      <c r="K105" s="11" t="s">
        <v>965</v>
      </c>
      <c r="L105" s="11" t="s">
        <v>1315</v>
      </c>
      <c r="M105" s="11" t="s">
        <v>1313</v>
      </c>
      <c r="N105" s="11"/>
      <c r="O105" s="12" t="n">
        <f aca="false">COUNTIF($A$6:$A$187,A105)</f>
        <v>1</v>
      </c>
    </row>
    <row r="106" customFormat="false" ht="72" hidden="false" customHeight="true" outlineLevel="0" collapsed="false">
      <c r="A106" s="11" t="s">
        <v>1316</v>
      </c>
      <c r="B106" s="11" t="s">
        <v>680</v>
      </c>
      <c r="C106" s="11" t="s">
        <v>1317</v>
      </c>
      <c r="D106" s="11" t="n">
        <v>6</v>
      </c>
      <c r="E106" s="11"/>
      <c r="F106" s="11" t="s">
        <v>963</v>
      </c>
      <c r="G106" s="11" t="s">
        <v>1313</v>
      </c>
      <c r="H106" s="11" t="s">
        <v>964</v>
      </c>
      <c r="I106" s="11"/>
      <c r="J106" s="11" t="s">
        <v>1316</v>
      </c>
      <c r="K106" s="11" t="s">
        <v>965</v>
      </c>
      <c r="L106" s="11" t="s">
        <v>1318</v>
      </c>
      <c r="M106" s="11" t="s">
        <v>1316</v>
      </c>
      <c r="N106" s="11" t="s">
        <v>1319</v>
      </c>
      <c r="O106" s="12" t="n">
        <f aca="false">COUNTIF($A$6:$A$187,A106)</f>
        <v>1</v>
      </c>
    </row>
    <row r="107" customFormat="false" ht="72" hidden="false" customHeight="true" outlineLevel="0" collapsed="false">
      <c r="A107" s="11" t="s">
        <v>1320</v>
      </c>
      <c r="B107" s="11" t="s">
        <v>557</v>
      </c>
      <c r="C107" s="11" t="s">
        <v>1321</v>
      </c>
      <c r="D107" s="11" t="n">
        <v>1</v>
      </c>
      <c r="E107" s="11"/>
      <c r="F107" s="11" t="s">
        <v>963</v>
      </c>
      <c r="G107" s="11"/>
      <c r="H107" s="11" t="s">
        <v>964</v>
      </c>
      <c r="I107" s="11"/>
      <c r="J107" s="11" t="s">
        <v>1320</v>
      </c>
      <c r="K107" s="11" t="s">
        <v>965</v>
      </c>
      <c r="L107" s="11" t="s">
        <v>966</v>
      </c>
      <c r="M107" s="11" t="s">
        <v>1320</v>
      </c>
      <c r="N107" s="11"/>
      <c r="O107" s="12" t="n">
        <f aca="false">COUNTIF($A$6:$A$187,A107)</f>
        <v>1</v>
      </c>
    </row>
    <row r="108" customFormat="false" ht="72" hidden="false" customHeight="true" outlineLevel="0" collapsed="false">
      <c r="A108" s="11" t="s">
        <v>1322</v>
      </c>
      <c r="B108" s="11" t="s">
        <v>557</v>
      </c>
      <c r="C108" s="11" t="s">
        <v>1323</v>
      </c>
      <c r="D108" s="11" t="n">
        <v>2</v>
      </c>
      <c r="E108" s="11"/>
      <c r="F108" s="11" t="s">
        <v>963</v>
      </c>
      <c r="G108" s="11" t="s">
        <v>1320</v>
      </c>
      <c r="H108" s="11" t="s">
        <v>964</v>
      </c>
      <c r="I108" s="11"/>
      <c r="J108" s="11" t="s">
        <v>1322</v>
      </c>
      <c r="K108" s="11" t="s">
        <v>965</v>
      </c>
      <c r="L108" s="11" t="s">
        <v>1324</v>
      </c>
      <c r="M108" s="11" t="s">
        <v>1322</v>
      </c>
      <c r="N108" s="11"/>
      <c r="O108" s="12" t="n">
        <f aca="false">COUNTIF($A$6:$A$187,A108)</f>
        <v>1</v>
      </c>
    </row>
    <row r="109" customFormat="false" ht="72" hidden="false" customHeight="true" outlineLevel="0" collapsed="false">
      <c r="A109" s="11" t="s">
        <v>1325</v>
      </c>
      <c r="B109" s="11" t="s">
        <v>557</v>
      </c>
      <c r="C109" s="11" t="s">
        <v>1326</v>
      </c>
      <c r="D109" s="11" t="n">
        <v>3</v>
      </c>
      <c r="E109" s="11"/>
      <c r="F109" s="11" t="s">
        <v>1166</v>
      </c>
      <c r="G109" s="11" t="s">
        <v>1322</v>
      </c>
      <c r="H109" s="11" t="s">
        <v>964</v>
      </c>
      <c r="I109" s="11"/>
      <c r="J109" s="11"/>
      <c r="K109" s="11" t="s">
        <v>1167</v>
      </c>
      <c r="L109" s="11" t="s">
        <v>1327</v>
      </c>
      <c r="M109" s="11" t="s">
        <v>1325</v>
      </c>
      <c r="N109" s="11" t="s">
        <v>1328</v>
      </c>
      <c r="O109" s="12" t="n">
        <f aca="false">COUNTIF($A$6:$A$187,A109)</f>
        <v>1</v>
      </c>
    </row>
    <row r="110" customFormat="false" ht="72" hidden="false" customHeight="true" outlineLevel="0" collapsed="false">
      <c r="A110" s="11" t="s">
        <v>1329</v>
      </c>
      <c r="B110" s="11" t="s">
        <v>557</v>
      </c>
      <c r="C110" s="11" t="s">
        <v>1330</v>
      </c>
      <c r="D110" s="11" t="n">
        <v>4</v>
      </c>
      <c r="E110" s="11"/>
      <c r="F110" s="11" t="s">
        <v>963</v>
      </c>
      <c r="G110" s="11" t="s">
        <v>1325</v>
      </c>
      <c r="H110" s="11" t="s">
        <v>964</v>
      </c>
      <c r="I110" s="11"/>
      <c r="J110" s="11" t="s">
        <v>1329</v>
      </c>
      <c r="K110" s="11" t="s">
        <v>965</v>
      </c>
      <c r="L110" s="11" t="s">
        <v>1331</v>
      </c>
      <c r="M110" s="11" t="s">
        <v>1329</v>
      </c>
      <c r="N110" s="11" t="s">
        <v>1328</v>
      </c>
      <c r="O110" s="12" t="n">
        <f aca="false">COUNTIF($A$6:$A$187,A110)</f>
        <v>1</v>
      </c>
    </row>
    <row r="111" customFormat="false" ht="72" hidden="false" customHeight="true" outlineLevel="0" collapsed="false">
      <c r="A111" s="11" t="s">
        <v>1332</v>
      </c>
      <c r="B111" s="11" t="s">
        <v>557</v>
      </c>
      <c r="C111" s="11" t="s">
        <v>1333</v>
      </c>
      <c r="D111" s="11" t="n">
        <v>5</v>
      </c>
      <c r="E111" s="11"/>
      <c r="F111" s="11" t="s">
        <v>963</v>
      </c>
      <c r="G111" s="11" t="s">
        <v>1329</v>
      </c>
      <c r="H111" s="11" t="s">
        <v>964</v>
      </c>
      <c r="I111" s="11"/>
      <c r="J111" s="11" t="s">
        <v>1332</v>
      </c>
      <c r="K111" s="11" t="s">
        <v>965</v>
      </c>
      <c r="L111" s="11" t="s">
        <v>1334</v>
      </c>
      <c r="M111" s="11" t="s">
        <v>1332</v>
      </c>
      <c r="N111" s="11"/>
      <c r="O111" s="12" t="n">
        <f aca="false">COUNTIF($A$6:$A$187,A111)</f>
        <v>1</v>
      </c>
    </row>
    <row r="112" customFormat="false" ht="72" hidden="false" customHeight="true" outlineLevel="0" collapsed="false">
      <c r="A112" s="11" t="s">
        <v>1335</v>
      </c>
      <c r="B112" s="11" t="s">
        <v>557</v>
      </c>
      <c r="C112" s="11" t="s">
        <v>1336</v>
      </c>
      <c r="D112" s="11" t="n">
        <v>6</v>
      </c>
      <c r="E112" s="11"/>
      <c r="F112" s="11" t="s">
        <v>963</v>
      </c>
      <c r="G112" s="11" t="s">
        <v>1332</v>
      </c>
      <c r="H112" s="11" t="s">
        <v>964</v>
      </c>
      <c r="I112" s="11"/>
      <c r="J112" s="11" t="s">
        <v>1335</v>
      </c>
      <c r="K112" s="11" t="s">
        <v>965</v>
      </c>
      <c r="L112" s="11" t="s">
        <v>1337</v>
      </c>
      <c r="M112" s="11" t="s">
        <v>1335</v>
      </c>
      <c r="N112" s="11"/>
      <c r="O112" s="12" t="n">
        <f aca="false">COUNTIF($A$6:$A$187,A112)</f>
        <v>1</v>
      </c>
    </row>
    <row r="113" customFormat="false" ht="72" hidden="false" customHeight="true" outlineLevel="0" collapsed="false">
      <c r="A113" s="11" t="s">
        <v>1338</v>
      </c>
      <c r="B113" s="11" t="s">
        <v>557</v>
      </c>
      <c r="C113" s="11" t="s">
        <v>1339</v>
      </c>
      <c r="D113" s="11" t="n">
        <v>7</v>
      </c>
      <c r="E113" s="11"/>
      <c r="F113" s="11" t="s">
        <v>963</v>
      </c>
      <c r="G113" s="11" t="s">
        <v>1335</v>
      </c>
      <c r="H113" s="11" t="s">
        <v>964</v>
      </c>
      <c r="I113" s="11"/>
      <c r="J113" s="11" t="s">
        <v>1338</v>
      </c>
      <c r="K113" s="11" t="s">
        <v>965</v>
      </c>
      <c r="L113" s="11" t="s">
        <v>1340</v>
      </c>
      <c r="M113" s="11" t="s">
        <v>1338</v>
      </c>
      <c r="N113" s="11"/>
      <c r="O113" s="12" t="n">
        <f aca="false">COUNTIF($A$6:$A$187,A113)</f>
        <v>1</v>
      </c>
    </row>
    <row r="114" customFormat="false" ht="72" hidden="false" customHeight="true" outlineLevel="0" collapsed="false">
      <c r="A114" s="11" t="s">
        <v>1341</v>
      </c>
      <c r="B114" s="11" t="s">
        <v>689</v>
      </c>
      <c r="C114" s="11" t="s">
        <v>1342</v>
      </c>
      <c r="D114" s="11" t="n">
        <v>1</v>
      </c>
      <c r="E114" s="11"/>
      <c r="F114" s="11" t="s">
        <v>963</v>
      </c>
      <c r="G114" s="11"/>
      <c r="H114" s="11" t="s">
        <v>964</v>
      </c>
      <c r="I114" s="11"/>
      <c r="J114" s="11" t="s">
        <v>1341</v>
      </c>
      <c r="K114" s="11" t="s">
        <v>965</v>
      </c>
      <c r="L114" s="11" t="s">
        <v>966</v>
      </c>
      <c r="M114" s="11" t="s">
        <v>1343</v>
      </c>
      <c r="N114" s="11" t="s">
        <v>1344</v>
      </c>
      <c r="O114" s="12" t="n">
        <f aca="false">COUNTIF($A$6:$A$187,A114)</f>
        <v>1</v>
      </c>
    </row>
    <row r="115" customFormat="false" ht="72" hidden="false" customHeight="true" outlineLevel="0" collapsed="false">
      <c r="A115" s="11" t="s">
        <v>1345</v>
      </c>
      <c r="B115" s="11" t="s">
        <v>689</v>
      </c>
      <c r="C115" s="11" t="s">
        <v>1346</v>
      </c>
      <c r="D115" s="11" t="n">
        <v>2</v>
      </c>
      <c r="E115" s="11"/>
      <c r="F115" s="11" t="s">
        <v>963</v>
      </c>
      <c r="G115" s="11" t="s">
        <v>1341</v>
      </c>
      <c r="H115" s="11" t="s">
        <v>964</v>
      </c>
      <c r="I115" s="11"/>
      <c r="J115" s="11" t="s">
        <v>1345</v>
      </c>
      <c r="K115" s="11" t="s">
        <v>965</v>
      </c>
      <c r="L115" s="11" t="s">
        <v>1347</v>
      </c>
      <c r="M115" s="11" t="s">
        <v>1345</v>
      </c>
      <c r="N115" s="11" t="s">
        <v>1348</v>
      </c>
      <c r="O115" s="12" t="n">
        <f aca="false">COUNTIF($A$6:$A$187,A115)</f>
        <v>1</v>
      </c>
    </row>
    <row r="116" customFormat="false" ht="72" hidden="false" customHeight="true" outlineLevel="0" collapsed="false">
      <c r="A116" s="11" t="s">
        <v>1349</v>
      </c>
      <c r="B116" s="11" t="s">
        <v>689</v>
      </c>
      <c r="C116" s="11" t="s">
        <v>1350</v>
      </c>
      <c r="D116" s="11" t="n">
        <v>3</v>
      </c>
      <c r="E116" s="11"/>
      <c r="F116" s="11" t="s">
        <v>963</v>
      </c>
      <c r="G116" s="11" t="s">
        <v>1345</v>
      </c>
      <c r="H116" s="11" t="s">
        <v>964</v>
      </c>
      <c r="I116" s="11"/>
      <c r="J116" s="11" t="s">
        <v>1349</v>
      </c>
      <c r="K116" s="11" t="s">
        <v>965</v>
      </c>
      <c r="L116" s="11" t="s">
        <v>1351</v>
      </c>
      <c r="M116" s="11" t="s">
        <v>1349</v>
      </c>
      <c r="N116" s="11" t="s">
        <v>1352</v>
      </c>
      <c r="O116" s="12" t="n">
        <f aca="false">COUNTIF($A$6:$A$187,A116)</f>
        <v>1</v>
      </c>
    </row>
    <row r="117" customFormat="false" ht="72" hidden="false" customHeight="true" outlineLevel="0" collapsed="false">
      <c r="A117" s="11" t="s">
        <v>1353</v>
      </c>
      <c r="B117" s="11" t="s">
        <v>689</v>
      </c>
      <c r="C117" s="11" t="s">
        <v>1354</v>
      </c>
      <c r="D117" s="11" t="n">
        <v>4</v>
      </c>
      <c r="E117" s="11" t="s">
        <v>1355</v>
      </c>
      <c r="F117" s="11" t="s">
        <v>963</v>
      </c>
      <c r="G117" s="11" t="s">
        <v>1349</v>
      </c>
      <c r="H117" s="11" t="s">
        <v>964</v>
      </c>
      <c r="I117" s="11"/>
      <c r="J117" s="11" t="s">
        <v>1353</v>
      </c>
      <c r="K117" s="11" t="s">
        <v>965</v>
      </c>
      <c r="L117" s="11" t="s">
        <v>1356</v>
      </c>
      <c r="M117" s="11" t="s">
        <v>1353</v>
      </c>
      <c r="N117" s="11"/>
      <c r="O117" s="12" t="n">
        <f aca="false">COUNTIF($A$6:$A$187,A117)</f>
        <v>1</v>
      </c>
    </row>
    <row r="118" customFormat="false" ht="72" hidden="false" customHeight="true" outlineLevel="0" collapsed="false">
      <c r="A118" s="11" t="s">
        <v>1357</v>
      </c>
      <c r="B118" s="11" t="s">
        <v>689</v>
      </c>
      <c r="C118" s="11" t="s">
        <v>1358</v>
      </c>
      <c r="D118" s="11" t="n">
        <v>4</v>
      </c>
      <c r="E118" s="11" t="s">
        <v>1359</v>
      </c>
      <c r="F118" s="11" t="s">
        <v>963</v>
      </c>
      <c r="G118" s="11" t="s">
        <v>1349</v>
      </c>
      <c r="H118" s="11" t="s">
        <v>964</v>
      </c>
      <c r="I118" s="11"/>
      <c r="J118" s="11" t="s">
        <v>1357</v>
      </c>
      <c r="K118" s="11" t="s">
        <v>965</v>
      </c>
      <c r="L118" s="11" t="s">
        <v>1360</v>
      </c>
      <c r="M118" s="11" t="s">
        <v>1357</v>
      </c>
      <c r="N118" s="11" t="s">
        <v>1361</v>
      </c>
      <c r="O118" s="12" t="n">
        <f aca="false">COUNTIF($A$6:$A$187,A118)</f>
        <v>1</v>
      </c>
    </row>
    <row r="119" customFormat="false" ht="72" hidden="false" customHeight="true" outlineLevel="0" collapsed="false">
      <c r="A119" s="11" t="s">
        <v>1362</v>
      </c>
      <c r="B119" s="11" t="s">
        <v>689</v>
      </c>
      <c r="C119" s="11" t="s">
        <v>1363</v>
      </c>
      <c r="D119" s="11" t="n">
        <v>5</v>
      </c>
      <c r="E119" s="11" t="s">
        <v>1355</v>
      </c>
      <c r="F119" s="11" t="s">
        <v>963</v>
      </c>
      <c r="G119" s="11" t="s">
        <v>1353</v>
      </c>
      <c r="H119" s="11" t="s">
        <v>964</v>
      </c>
      <c r="I119" s="11"/>
      <c r="J119" s="11" t="s">
        <v>1362</v>
      </c>
      <c r="K119" s="11" t="s">
        <v>965</v>
      </c>
      <c r="L119" s="11" t="s">
        <v>1364</v>
      </c>
      <c r="M119" s="11" t="s">
        <v>1362</v>
      </c>
      <c r="N119" s="11"/>
      <c r="O119" s="12" t="n">
        <f aca="false">COUNTIF($A$6:$A$187,A119)</f>
        <v>1</v>
      </c>
    </row>
    <row r="120" customFormat="false" ht="72" hidden="false" customHeight="true" outlineLevel="0" collapsed="false">
      <c r="A120" s="11" t="s">
        <v>1365</v>
      </c>
      <c r="B120" s="11" t="s">
        <v>689</v>
      </c>
      <c r="C120" s="11" t="s">
        <v>1366</v>
      </c>
      <c r="D120" s="11" t="n">
        <v>5</v>
      </c>
      <c r="E120" s="11" t="s">
        <v>1359</v>
      </c>
      <c r="F120" s="11" t="s">
        <v>963</v>
      </c>
      <c r="G120" s="11" t="s">
        <v>1357</v>
      </c>
      <c r="H120" s="11" t="s">
        <v>964</v>
      </c>
      <c r="I120" s="11"/>
      <c r="J120" s="11" t="s">
        <v>1365</v>
      </c>
      <c r="K120" s="11" t="s">
        <v>965</v>
      </c>
      <c r="L120" s="11" t="s">
        <v>1367</v>
      </c>
      <c r="M120" s="11" t="s">
        <v>1365</v>
      </c>
      <c r="N120" s="11" t="s">
        <v>1361</v>
      </c>
      <c r="O120" s="12" t="n">
        <f aca="false">COUNTIF($A$6:$A$187,A120)</f>
        <v>1</v>
      </c>
    </row>
    <row r="121" customFormat="false" ht="72" hidden="false" customHeight="true" outlineLevel="0" collapsed="false">
      <c r="A121" s="11" t="s">
        <v>1368</v>
      </c>
      <c r="B121" s="11" t="s">
        <v>689</v>
      </c>
      <c r="C121" s="11" t="s">
        <v>1369</v>
      </c>
      <c r="D121" s="11" t="n">
        <v>6</v>
      </c>
      <c r="E121" s="11" t="s">
        <v>1355</v>
      </c>
      <c r="F121" s="11" t="s">
        <v>1166</v>
      </c>
      <c r="G121" s="11" t="s">
        <v>1362</v>
      </c>
      <c r="H121" s="11" t="s">
        <v>964</v>
      </c>
      <c r="I121" s="11"/>
      <c r="J121" s="11"/>
      <c r="K121" s="11" t="s">
        <v>1167</v>
      </c>
      <c r="L121" s="11" t="s">
        <v>1370</v>
      </c>
      <c r="M121" s="11" t="s">
        <v>691</v>
      </c>
      <c r="N121" s="11"/>
      <c r="O121" s="12" t="n">
        <f aca="false">COUNTIF($A$6:$A$187,A121)</f>
        <v>1</v>
      </c>
    </row>
    <row r="122" customFormat="false" ht="72" hidden="false" customHeight="true" outlineLevel="0" collapsed="false">
      <c r="A122" s="11" t="s">
        <v>1371</v>
      </c>
      <c r="B122" s="11" t="s">
        <v>689</v>
      </c>
      <c r="C122" s="11" t="s">
        <v>1372</v>
      </c>
      <c r="D122" s="11" t="n">
        <v>6</v>
      </c>
      <c r="E122" s="11" t="s">
        <v>1359</v>
      </c>
      <c r="F122" s="11" t="s">
        <v>963</v>
      </c>
      <c r="G122" s="11" t="s">
        <v>1365</v>
      </c>
      <c r="H122" s="11" t="s">
        <v>964</v>
      </c>
      <c r="I122" s="11"/>
      <c r="J122" s="11" t="s">
        <v>1371</v>
      </c>
      <c r="K122" s="11" t="s">
        <v>965</v>
      </c>
      <c r="L122" s="11" t="s">
        <v>1373</v>
      </c>
      <c r="M122" s="11" t="s">
        <v>1371</v>
      </c>
      <c r="N122" s="11" t="s">
        <v>1352</v>
      </c>
      <c r="O122" s="12" t="n">
        <f aca="false">COUNTIF($A$6:$A$187,A122)</f>
        <v>1</v>
      </c>
    </row>
    <row r="123" customFormat="false" ht="72" hidden="false" customHeight="true" outlineLevel="0" collapsed="false">
      <c r="A123" s="11" t="s">
        <v>1374</v>
      </c>
      <c r="B123" s="11" t="s">
        <v>689</v>
      </c>
      <c r="C123" s="11" t="s">
        <v>1375</v>
      </c>
      <c r="D123" s="11" t="n">
        <v>7</v>
      </c>
      <c r="E123" s="11"/>
      <c r="F123" s="11" t="s">
        <v>1166</v>
      </c>
      <c r="G123" s="11" t="s">
        <v>1376</v>
      </c>
      <c r="H123" s="11" t="s">
        <v>1004</v>
      </c>
      <c r="I123" s="11"/>
      <c r="J123" s="11"/>
      <c r="K123" s="11" t="s">
        <v>1167</v>
      </c>
      <c r="L123" s="11" t="s">
        <v>1377</v>
      </c>
      <c r="M123" s="11" t="s">
        <v>691</v>
      </c>
      <c r="N123" s="11"/>
      <c r="O123" s="12" t="n">
        <f aca="false">COUNTIF($A$6:$A$187,A123)</f>
        <v>1</v>
      </c>
    </row>
    <row r="124" customFormat="false" ht="72" hidden="false" customHeight="true" outlineLevel="0" collapsed="false">
      <c r="A124" s="11" t="s">
        <v>1378</v>
      </c>
      <c r="B124" s="11" t="s">
        <v>695</v>
      </c>
      <c r="C124" s="11" t="s">
        <v>1379</v>
      </c>
      <c r="D124" s="11" t="n">
        <v>1</v>
      </c>
      <c r="E124" s="11"/>
      <c r="F124" s="11" t="s">
        <v>963</v>
      </c>
      <c r="G124" s="11"/>
      <c r="H124" s="11" t="s">
        <v>964</v>
      </c>
      <c r="I124" s="11"/>
      <c r="J124" s="11" t="s">
        <v>1378</v>
      </c>
      <c r="K124" s="11" t="s">
        <v>965</v>
      </c>
      <c r="L124" s="11" t="s">
        <v>966</v>
      </c>
      <c r="M124" s="11" t="s">
        <v>1378</v>
      </c>
      <c r="N124" s="11"/>
      <c r="O124" s="12" t="n">
        <f aca="false">COUNTIF($A$6:$A$187,A124)</f>
        <v>1</v>
      </c>
    </row>
    <row r="125" customFormat="false" ht="72" hidden="false" customHeight="true" outlineLevel="0" collapsed="false">
      <c r="A125" s="11" t="s">
        <v>1380</v>
      </c>
      <c r="B125" s="11" t="s">
        <v>695</v>
      </c>
      <c r="C125" s="11" t="s">
        <v>1381</v>
      </c>
      <c r="D125" s="11" t="n">
        <v>2</v>
      </c>
      <c r="E125" s="11"/>
      <c r="F125" s="11" t="s">
        <v>963</v>
      </c>
      <c r="G125" s="11" t="s">
        <v>1378</v>
      </c>
      <c r="H125" s="11" t="s">
        <v>964</v>
      </c>
      <c r="I125" s="11"/>
      <c r="J125" s="11" t="s">
        <v>1380</v>
      </c>
      <c r="K125" s="11" t="s">
        <v>965</v>
      </c>
      <c r="L125" s="11" t="s">
        <v>1382</v>
      </c>
      <c r="M125" s="11" t="s">
        <v>1380</v>
      </c>
      <c r="N125" s="11" t="s">
        <v>1383</v>
      </c>
      <c r="O125" s="12" t="n">
        <f aca="false">COUNTIF($A$6:$A$187,A125)</f>
        <v>1</v>
      </c>
    </row>
    <row r="126" customFormat="false" ht="72" hidden="false" customHeight="true" outlineLevel="0" collapsed="false">
      <c r="A126" s="11" t="s">
        <v>1384</v>
      </c>
      <c r="B126" s="11" t="s">
        <v>695</v>
      </c>
      <c r="C126" s="11" t="s">
        <v>1385</v>
      </c>
      <c r="D126" s="11" t="n">
        <v>3</v>
      </c>
      <c r="E126" s="11"/>
      <c r="F126" s="11" t="s">
        <v>963</v>
      </c>
      <c r="G126" s="11" t="s">
        <v>1380</v>
      </c>
      <c r="H126" s="11" t="s">
        <v>964</v>
      </c>
      <c r="I126" s="11"/>
      <c r="J126" s="11" t="s">
        <v>1384</v>
      </c>
      <c r="K126" s="11" t="s">
        <v>965</v>
      </c>
      <c r="L126" s="11" t="s">
        <v>1386</v>
      </c>
      <c r="M126" s="11" t="s">
        <v>1384</v>
      </c>
      <c r="N126" s="11"/>
      <c r="O126" s="12" t="n">
        <f aca="false">COUNTIF($A$6:$A$187,A126)</f>
        <v>1</v>
      </c>
    </row>
    <row r="127" customFormat="false" ht="72" hidden="false" customHeight="true" outlineLevel="0" collapsed="false">
      <c r="A127" s="11" t="s">
        <v>1387</v>
      </c>
      <c r="B127" s="11" t="s">
        <v>695</v>
      </c>
      <c r="C127" s="11" t="s">
        <v>1388</v>
      </c>
      <c r="D127" s="11" t="n">
        <v>4</v>
      </c>
      <c r="E127" s="11"/>
      <c r="F127" s="11" t="s">
        <v>963</v>
      </c>
      <c r="G127" s="11" t="s">
        <v>1384</v>
      </c>
      <c r="H127" s="11" t="s">
        <v>964</v>
      </c>
      <c r="I127" s="11"/>
      <c r="J127" s="11" t="s">
        <v>1387</v>
      </c>
      <c r="K127" s="11" t="s">
        <v>965</v>
      </c>
      <c r="L127" s="11" t="s">
        <v>1389</v>
      </c>
      <c r="M127" s="11" t="s">
        <v>1387</v>
      </c>
      <c r="N127" s="11"/>
      <c r="O127" s="12" t="n">
        <f aca="false">COUNTIF($A$6:$A$187,A127)</f>
        <v>1</v>
      </c>
    </row>
    <row r="128" customFormat="false" ht="72" hidden="false" customHeight="true" outlineLevel="0" collapsed="false">
      <c r="A128" s="11" t="s">
        <v>1390</v>
      </c>
      <c r="B128" s="11" t="s">
        <v>695</v>
      </c>
      <c r="C128" s="11" t="s">
        <v>1391</v>
      </c>
      <c r="D128" s="11" t="n">
        <v>5</v>
      </c>
      <c r="E128" s="11"/>
      <c r="F128" s="11" t="s">
        <v>1166</v>
      </c>
      <c r="G128" s="11" t="s">
        <v>1387</v>
      </c>
      <c r="H128" s="11" t="s">
        <v>964</v>
      </c>
      <c r="I128" s="11"/>
      <c r="J128" s="11"/>
      <c r="K128" s="11" t="s">
        <v>1167</v>
      </c>
      <c r="L128" s="11" t="s">
        <v>1392</v>
      </c>
      <c r="M128" s="11" t="s">
        <v>697</v>
      </c>
      <c r="N128" s="11"/>
      <c r="O128" s="12" t="n">
        <f aca="false">COUNTIF($A$6:$A$187,A128)</f>
        <v>1</v>
      </c>
    </row>
    <row r="129" customFormat="false" ht="72" hidden="false" customHeight="true" outlineLevel="0" collapsed="false">
      <c r="A129" s="11" t="s">
        <v>1393</v>
      </c>
      <c r="B129" s="11" t="s">
        <v>695</v>
      </c>
      <c r="C129" s="11" t="s">
        <v>1394</v>
      </c>
      <c r="D129" s="11" t="n">
        <v>6</v>
      </c>
      <c r="E129" s="11"/>
      <c r="F129" s="11" t="s">
        <v>963</v>
      </c>
      <c r="G129" s="11" t="s">
        <v>1390</v>
      </c>
      <c r="H129" s="11" t="s">
        <v>964</v>
      </c>
      <c r="I129" s="11"/>
      <c r="J129" s="11" t="s">
        <v>1393</v>
      </c>
      <c r="K129" s="11" t="s">
        <v>965</v>
      </c>
      <c r="L129" s="11" t="s">
        <v>1395</v>
      </c>
      <c r="M129" s="11" t="s">
        <v>1393</v>
      </c>
      <c r="N129" s="11"/>
      <c r="O129" s="12" t="n">
        <f aca="false">COUNTIF($A$6:$A$187,A129)</f>
        <v>1</v>
      </c>
    </row>
    <row r="130" customFormat="false" ht="72" hidden="false" customHeight="true" outlineLevel="0" collapsed="false">
      <c r="A130" s="11" t="s">
        <v>1396</v>
      </c>
      <c r="B130" s="11" t="s">
        <v>560</v>
      </c>
      <c r="C130" s="11" t="s">
        <v>1397</v>
      </c>
      <c r="D130" s="11" t="n">
        <v>1</v>
      </c>
      <c r="E130" s="11"/>
      <c r="F130" s="11" t="s">
        <v>963</v>
      </c>
      <c r="G130" s="11"/>
      <c r="H130" s="11" t="s">
        <v>964</v>
      </c>
      <c r="I130" s="11"/>
      <c r="J130" s="11" t="s">
        <v>1396</v>
      </c>
      <c r="K130" s="11" t="s">
        <v>965</v>
      </c>
      <c r="L130" s="11" t="s">
        <v>966</v>
      </c>
      <c r="M130" s="11" t="s">
        <v>1396</v>
      </c>
      <c r="N130" s="11" t="s">
        <v>1398</v>
      </c>
      <c r="O130" s="12" t="n">
        <f aca="false">COUNTIF($A$6:$A$187,A130)</f>
        <v>1</v>
      </c>
    </row>
    <row r="131" customFormat="false" ht="72" hidden="false" customHeight="true" outlineLevel="0" collapsed="false">
      <c r="A131" s="11" t="s">
        <v>1399</v>
      </c>
      <c r="B131" s="11" t="s">
        <v>560</v>
      </c>
      <c r="C131" s="11" t="s">
        <v>1400</v>
      </c>
      <c r="D131" s="11" t="n">
        <v>2</v>
      </c>
      <c r="E131" s="11"/>
      <c r="F131" s="11" t="s">
        <v>963</v>
      </c>
      <c r="G131" s="11" t="s">
        <v>1396</v>
      </c>
      <c r="H131" s="11" t="s">
        <v>964</v>
      </c>
      <c r="I131" s="11"/>
      <c r="J131" s="11" t="s">
        <v>1399</v>
      </c>
      <c r="K131" s="11" t="s">
        <v>965</v>
      </c>
      <c r="L131" s="11" t="s">
        <v>1401</v>
      </c>
      <c r="M131" s="11" t="s">
        <v>1399</v>
      </c>
      <c r="N131" s="11" t="s">
        <v>1402</v>
      </c>
      <c r="O131" s="12" t="n">
        <f aca="false">COUNTIF($A$6:$A$187,A131)</f>
        <v>1</v>
      </c>
    </row>
    <row r="132" customFormat="false" ht="72" hidden="false" customHeight="true" outlineLevel="0" collapsed="false">
      <c r="A132" s="11" t="s">
        <v>1403</v>
      </c>
      <c r="B132" s="11" t="s">
        <v>560</v>
      </c>
      <c r="C132" s="11" t="s">
        <v>297</v>
      </c>
      <c r="D132" s="11" t="n">
        <v>3</v>
      </c>
      <c r="E132" s="11"/>
      <c r="F132" s="11" t="s">
        <v>963</v>
      </c>
      <c r="G132" s="11" t="s">
        <v>1399</v>
      </c>
      <c r="H132" s="11" t="s">
        <v>964</v>
      </c>
      <c r="I132" s="11"/>
      <c r="J132" s="11" t="s">
        <v>1403</v>
      </c>
      <c r="K132" s="11" t="s">
        <v>965</v>
      </c>
      <c r="L132" s="11" t="s">
        <v>1404</v>
      </c>
      <c r="M132" s="11" t="s">
        <v>1403</v>
      </c>
      <c r="N132" s="11"/>
      <c r="O132" s="12" t="n">
        <f aca="false">COUNTIF($A$6:$A$187,A132)</f>
        <v>1</v>
      </c>
    </row>
    <row r="133" customFormat="false" ht="72" hidden="false" customHeight="true" outlineLevel="0" collapsed="false">
      <c r="A133" s="11" t="s">
        <v>1405</v>
      </c>
      <c r="B133" s="11" t="s">
        <v>560</v>
      </c>
      <c r="C133" s="11" t="s">
        <v>1406</v>
      </c>
      <c r="D133" s="11" t="n">
        <v>4</v>
      </c>
      <c r="E133" s="11"/>
      <c r="F133" s="11" t="s">
        <v>963</v>
      </c>
      <c r="G133" s="11" t="s">
        <v>1403</v>
      </c>
      <c r="H133" s="11" t="s">
        <v>964</v>
      </c>
      <c r="I133" s="11"/>
      <c r="J133" s="11" t="s">
        <v>1405</v>
      </c>
      <c r="K133" s="11" t="s">
        <v>965</v>
      </c>
      <c r="L133" s="11" t="s">
        <v>1407</v>
      </c>
      <c r="M133" s="11" t="s">
        <v>1405</v>
      </c>
      <c r="N133" s="11" t="s">
        <v>1408</v>
      </c>
      <c r="O133" s="12" t="n">
        <f aca="false">COUNTIF($A$6:$A$187,A133)</f>
        <v>1</v>
      </c>
    </row>
    <row r="134" customFormat="false" ht="72" hidden="false" customHeight="true" outlineLevel="0" collapsed="false">
      <c r="A134" s="11" t="s">
        <v>1409</v>
      </c>
      <c r="B134" s="11" t="s">
        <v>560</v>
      </c>
      <c r="C134" s="11" t="s">
        <v>1410</v>
      </c>
      <c r="D134" s="11" t="n">
        <v>5</v>
      </c>
      <c r="E134" s="11"/>
      <c r="F134" s="11" t="s">
        <v>963</v>
      </c>
      <c r="G134" s="11" t="s">
        <v>1405</v>
      </c>
      <c r="H134" s="11" t="s">
        <v>964</v>
      </c>
      <c r="I134" s="11"/>
      <c r="J134" s="11" t="s">
        <v>1409</v>
      </c>
      <c r="K134" s="11" t="s">
        <v>965</v>
      </c>
      <c r="L134" s="11" t="s">
        <v>1411</v>
      </c>
      <c r="M134" s="11" t="s">
        <v>1409</v>
      </c>
      <c r="N134" s="11" t="s">
        <v>1398</v>
      </c>
      <c r="O134" s="12" t="n">
        <f aca="false">COUNTIF($A$6:$A$187,A134)</f>
        <v>1</v>
      </c>
    </row>
    <row r="135" customFormat="false" ht="72" hidden="false" customHeight="true" outlineLevel="0" collapsed="false">
      <c r="A135" s="11" t="s">
        <v>1412</v>
      </c>
      <c r="B135" s="11" t="s">
        <v>560</v>
      </c>
      <c r="C135" s="11" t="s">
        <v>1413</v>
      </c>
      <c r="D135" s="11" t="n">
        <v>6</v>
      </c>
      <c r="E135" s="11"/>
      <c r="F135" s="11" t="s">
        <v>963</v>
      </c>
      <c r="G135" s="11" t="s">
        <v>1409</v>
      </c>
      <c r="H135" s="11" t="s">
        <v>964</v>
      </c>
      <c r="I135" s="11"/>
      <c r="J135" s="11" t="s">
        <v>1412</v>
      </c>
      <c r="K135" s="11" t="s">
        <v>965</v>
      </c>
      <c r="L135" s="11" t="s">
        <v>1414</v>
      </c>
      <c r="M135" s="11" t="s">
        <v>1412</v>
      </c>
      <c r="N135" s="11" t="s">
        <v>1398</v>
      </c>
      <c r="O135" s="12" t="n">
        <f aca="false">COUNTIF($A$6:$A$187,A135)</f>
        <v>1</v>
      </c>
    </row>
    <row r="136" customFormat="false" ht="72" hidden="false" customHeight="true" outlineLevel="0" collapsed="false">
      <c r="A136" s="11" t="s">
        <v>1415</v>
      </c>
      <c r="B136" s="11" t="s">
        <v>563</v>
      </c>
      <c r="C136" s="11" t="s">
        <v>1416</v>
      </c>
      <c r="D136" s="11" t="n">
        <v>1</v>
      </c>
      <c r="E136" s="11"/>
      <c r="F136" s="11" t="s">
        <v>963</v>
      </c>
      <c r="G136" s="11"/>
      <c r="H136" s="11" t="s">
        <v>964</v>
      </c>
      <c r="I136" s="11"/>
      <c r="J136" s="11" t="s">
        <v>1415</v>
      </c>
      <c r="K136" s="11" t="s">
        <v>965</v>
      </c>
      <c r="L136" s="11" t="s">
        <v>966</v>
      </c>
      <c r="M136" s="11" t="s">
        <v>1415</v>
      </c>
      <c r="N136" s="11" t="s">
        <v>1417</v>
      </c>
      <c r="O136" s="12" t="n">
        <f aca="false">COUNTIF($A$6:$A$187,A136)</f>
        <v>1</v>
      </c>
    </row>
    <row r="137" customFormat="false" ht="72" hidden="false" customHeight="true" outlineLevel="0" collapsed="false">
      <c r="A137" s="11" t="s">
        <v>1418</v>
      </c>
      <c r="B137" s="11" t="s">
        <v>563</v>
      </c>
      <c r="C137" s="11" t="s">
        <v>1419</v>
      </c>
      <c r="D137" s="11" t="n">
        <v>2</v>
      </c>
      <c r="E137" s="11"/>
      <c r="F137" s="11" t="s">
        <v>963</v>
      </c>
      <c r="G137" s="11" t="s">
        <v>1415</v>
      </c>
      <c r="H137" s="11" t="s">
        <v>964</v>
      </c>
      <c r="I137" s="11"/>
      <c r="J137" s="11" t="s">
        <v>1418</v>
      </c>
      <c r="K137" s="11" t="s">
        <v>965</v>
      </c>
      <c r="L137" s="11" t="s">
        <v>1420</v>
      </c>
      <c r="M137" s="11" t="s">
        <v>1418</v>
      </c>
      <c r="N137" s="11" t="s">
        <v>1421</v>
      </c>
      <c r="O137" s="12" t="n">
        <f aca="false">COUNTIF($A$6:$A$187,A137)</f>
        <v>1</v>
      </c>
    </row>
    <row r="138" customFormat="false" ht="72" hidden="false" customHeight="true" outlineLevel="0" collapsed="false">
      <c r="A138" s="11" t="s">
        <v>1422</v>
      </c>
      <c r="B138" s="11" t="s">
        <v>563</v>
      </c>
      <c r="C138" s="11" t="s">
        <v>1423</v>
      </c>
      <c r="D138" s="11" t="n">
        <v>3</v>
      </c>
      <c r="E138" s="11"/>
      <c r="F138" s="11" t="s">
        <v>963</v>
      </c>
      <c r="G138" s="11" t="s">
        <v>1418</v>
      </c>
      <c r="H138" s="11" t="s">
        <v>964</v>
      </c>
      <c r="I138" s="11"/>
      <c r="J138" s="11" t="s">
        <v>1422</v>
      </c>
      <c r="K138" s="11" t="s">
        <v>965</v>
      </c>
      <c r="L138" s="11" t="s">
        <v>1424</v>
      </c>
      <c r="M138" s="11" t="s">
        <v>1422</v>
      </c>
      <c r="N138" s="11" t="s">
        <v>1425</v>
      </c>
      <c r="O138" s="12" t="n">
        <f aca="false">COUNTIF($A$6:$A$187,A138)</f>
        <v>1</v>
      </c>
    </row>
    <row r="139" customFormat="false" ht="72" hidden="false" customHeight="true" outlineLevel="0" collapsed="false">
      <c r="A139" s="11" t="s">
        <v>1426</v>
      </c>
      <c r="B139" s="11" t="s">
        <v>563</v>
      </c>
      <c r="C139" s="11" t="s">
        <v>1427</v>
      </c>
      <c r="D139" s="11" t="n">
        <v>4</v>
      </c>
      <c r="E139" s="11"/>
      <c r="F139" s="11" t="s">
        <v>963</v>
      </c>
      <c r="G139" s="11" t="s">
        <v>1422</v>
      </c>
      <c r="H139" s="11" t="s">
        <v>964</v>
      </c>
      <c r="I139" s="11"/>
      <c r="J139" s="11" t="s">
        <v>1426</v>
      </c>
      <c r="K139" s="11" t="s">
        <v>965</v>
      </c>
      <c r="L139" s="11" t="s">
        <v>1428</v>
      </c>
      <c r="M139" s="11" t="s">
        <v>1426</v>
      </c>
      <c r="N139" s="11" t="s">
        <v>1429</v>
      </c>
      <c r="O139" s="12" t="n">
        <f aca="false">COUNTIF($A$6:$A$187,A139)</f>
        <v>1</v>
      </c>
    </row>
    <row r="140" customFormat="false" ht="72" hidden="false" customHeight="true" outlineLevel="0" collapsed="false">
      <c r="A140" s="11" t="s">
        <v>1430</v>
      </c>
      <c r="B140" s="11" t="s">
        <v>563</v>
      </c>
      <c r="C140" s="11" t="s">
        <v>1431</v>
      </c>
      <c r="D140" s="11" t="n">
        <v>5</v>
      </c>
      <c r="E140" s="11"/>
      <c r="F140" s="11" t="s">
        <v>963</v>
      </c>
      <c r="G140" s="11" t="s">
        <v>1426</v>
      </c>
      <c r="H140" s="11" t="s">
        <v>964</v>
      </c>
      <c r="I140" s="11"/>
      <c r="J140" s="11" t="s">
        <v>1430</v>
      </c>
      <c r="K140" s="11" t="s">
        <v>965</v>
      </c>
      <c r="L140" s="11" t="s">
        <v>1432</v>
      </c>
      <c r="M140" s="11" t="s">
        <v>1430</v>
      </c>
      <c r="N140" s="11" t="s">
        <v>1433</v>
      </c>
      <c r="O140" s="12" t="n">
        <f aca="false">COUNTIF($A$6:$A$187,A140)</f>
        <v>1</v>
      </c>
    </row>
    <row r="141" customFormat="false" ht="72" hidden="false" customHeight="true" outlineLevel="0" collapsed="false">
      <c r="A141" s="11" t="s">
        <v>1434</v>
      </c>
      <c r="B141" s="11" t="s">
        <v>563</v>
      </c>
      <c r="C141" s="11" t="s">
        <v>1435</v>
      </c>
      <c r="D141" s="11" t="n">
        <v>6</v>
      </c>
      <c r="E141" s="11"/>
      <c r="F141" s="11" t="s">
        <v>963</v>
      </c>
      <c r="G141" s="11" t="s">
        <v>1430</v>
      </c>
      <c r="H141" s="11" t="s">
        <v>964</v>
      </c>
      <c r="I141" s="11"/>
      <c r="J141" s="11" t="s">
        <v>1434</v>
      </c>
      <c r="K141" s="11" t="s">
        <v>965</v>
      </c>
      <c r="L141" s="11" t="s">
        <v>1436</v>
      </c>
      <c r="M141" s="11" t="s">
        <v>1434</v>
      </c>
      <c r="N141" s="11" t="s">
        <v>1437</v>
      </c>
      <c r="O141" s="12" t="n">
        <f aca="false">COUNTIF($A$6:$A$187,A141)</f>
        <v>1</v>
      </c>
    </row>
    <row r="142" customFormat="false" ht="72" hidden="false" customHeight="true" outlineLevel="0" collapsed="false">
      <c r="A142" s="11" t="s">
        <v>1438</v>
      </c>
      <c r="B142" s="11" t="s">
        <v>567</v>
      </c>
      <c r="C142" s="11" t="s">
        <v>1439</v>
      </c>
      <c r="D142" s="11" t="n">
        <v>1</v>
      </c>
      <c r="E142" s="11"/>
      <c r="F142" s="11" t="s">
        <v>963</v>
      </c>
      <c r="G142" s="11"/>
      <c r="H142" s="11" t="s">
        <v>964</v>
      </c>
      <c r="I142" s="11"/>
      <c r="J142" s="11" t="s">
        <v>1438</v>
      </c>
      <c r="K142" s="11" t="s">
        <v>965</v>
      </c>
      <c r="L142" s="11" t="s">
        <v>966</v>
      </c>
      <c r="M142" s="11" t="s">
        <v>1440</v>
      </c>
      <c r="N142" s="11" t="s">
        <v>1441</v>
      </c>
      <c r="O142" s="12" t="n">
        <f aca="false">COUNTIF($A$6:$A$187,A142)</f>
        <v>1</v>
      </c>
    </row>
    <row r="143" customFormat="false" ht="72" hidden="false" customHeight="true" outlineLevel="0" collapsed="false">
      <c r="A143" s="11" t="s">
        <v>1442</v>
      </c>
      <c r="B143" s="11" t="s">
        <v>567</v>
      </c>
      <c r="C143" s="11" t="s">
        <v>978</v>
      </c>
      <c r="D143" s="11" t="n">
        <v>2</v>
      </c>
      <c r="E143" s="11" t="s">
        <v>1443</v>
      </c>
      <c r="F143" s="11" t="s">
        <v>963</v>
      </c>
      <c r="G143" s="11" t="s">
        <v>1438</v>
      </c>
      <c r="H143" s="11" t="s">
        <v>964</v>
      </c>
      <c r="I143" s="11"/>
      <c r="J143" s="11" t="s">
        <v>1442</v>
      </c>
      <c r="K143" s="11" t="s">
        <v>965</v>
      </c>
      <c r="L143" s="11" t="s">
        <v>1444</v>
      </c>
      <c r="M143" s="11" t="s">
        <v>1445</v>
      </c>
      <c r="N143" s="11"/>
      <c r="O143" s="12" t="n">
        <f aca="false">COUNTIF($A$6:$A$187,A143)</f>
        <v>1</v>
      </c>
    </row>
    <row r="144" customFormat="false" ht="72" hidden="false" customHeight="true" outlineLevel="0" collapsed="false">
      <c r="A144" s="11" t="s">
        <v>1446</v>
      </c>
      <c r="B144" s="11" t="s">
        <v>567</v>
      </c>
      <c r="C144" s="11" t="s">
        <v>1447</v>
      </c>
      <c r="D144" s="11" t="n">
        <v>2</v>
      </c>
      <c r="E144" s="11" t="s">
        <v>1448</v>
      </c>
      <c r="F144" s="11" t="s">
        <v>963</v>
      </c>
      <c r="G144" s="11" t="s">
        <v>1438</v>
      </c>
      <c r="H144" s="11" t="s">
        <v>964</v>
      </c>
      <c r="I144" s="11"/>
      <c r="J144" s="11" t="s">
        <v>1446</v>
      </c>
      <c r="K144" s="11" t="s">
        <v>965</v>
      </c>
      <c r="L144" s="11" t="s">
        <v>1449</v>
      </c>
      <c r="M144" s="11" t="s">
        <v>1446</v>
      </c>
      <c r="N144" s="11" t="s">
        <v>1450</v>
      </c>
      <c r="O144" s="12" t="n">
        <f aca="false">COUNTIF($A$6:$A$187,A144)</f>
        <v>1</v>
      </c>
    </row>
    <row r="145" customFormat="false" ht="72" hidden="false" customHeight="true" outlineLevel="0" collapsed="false">
      <c r="A145" s="11" t="s">
        <v>1451</v>
      </c>
      <c r="B145" s="11" t="s">
        <v>567</v>
      </c>
      <c r="C145" s="11" t="s">
        <v>1452</v>
      </c>
      <c r="D145" s="11" t="n">
        <v>2</v>
      </c>
      <c r="E145" s="11" t="s">
        <v>1453</v>
      </c>
      <c r="F145" s="11" t="s">
        <v>963</v>
      </c>
      <c r="G145" s="11" t="s">
        <v>1438</v>
      </c>
      <c r="H145" s="11" t="s">
        <v>964</v>
      </c>
      <c r="I145" s="11"/>
      <c r="J145" s="11" t="s">
        <v>1451</v>
      </c>
      <c r="K145" s="11" t="s">
        <v>965</v>
      </c>
      <c r="L145" s="11" t="s">
        <v>1454</v>
      </c>
      <c r="M145" s="11" t="s">
        <v>1451</v>
      </c>
      <c r="N145" s="11"/>
      <c r="O145" s="12" t="n">
        <f aca="false">COUNTIF($A$6:$A$187,A145)</f>
        <v>1</v>
      </c>
    </row>
    <row r="146" customFormat="false" ht="72" hidden="false" customHeight="true" outlineLevel="0" collapsed="false">
      <c r="A146" s="11" t="s">
        <v>1455</v>
      </c>
      <c r="B146" s="11" t="s">
        <v>567</v>
      </c>
      <c r="C146" s="11" t="s">
        <v>1456</v>
      </c>
      <c r="D146" s="11" t="n">
        <v>3</v>
      </c>
      <c r="E146" s="11" t="s">
        <v>1443</v>
      </c>
      <c r="F146" s="11" t="s">
        <v>963</v>
      </c>
      <c r="G146" s="11" t="s">
        <v>1442</v>
      </c>
      <c r="H146" s="11" t="s">
        <v>964</v>
      </c>
      <c r="I146" s="11"/>
      <c r="J146" s="11" t="s">
        <v>1455</v>
      </c>
      <c r="K146" s="11" t="s">
        <v>965</v>
      </c>
      <c r="L146" s="11" t="s">
        <v>1457</v>
      </c>
      <c r="M146" s="11" t="s">
        <v>1455</v>
      </c>
      <c r="N146" s="11"/>
      <c r="O146" s="12" t="n">
        <f aca="false">COUNTIF($A$6:$A$187,A146)</f>
        <v>1</v>
      </c>
    </row>
    <row r="147" customFormat="false" ht="72" hidden="false" customHeight="true" outlineLevel="0" collapsed="false">
      <c r="A147" s="11" t="s">
        <v>1458</v>
      </c>
      <c r="B147" s="11" t="s">
        <v>567</v>
      </c>
      <c r="C147" s="11" t="s">
        <v>1459</v>
      </c>
      <c r="D147" s="11" t="n">
        <v>3</v>
      </c>
      <c r="E147" s="11" t="s">
        <v>1448</v>
      </c>
      <c r="F147" s="11" t="s">
        <v>963</v>
      </c>
      <c r="G147" s="11" t="s">
        <v>1446</v>
      </c>
      <c r="H147" s="11" t="s">
        <v>964</v>
      </c>
      <c r="I147" s="11"/>
      <c r="J147" s="11" t="s">
        <v>1458</v>
      </c>
      <c r="K147" s="11" t="s">
        <v>965</v>
      </c>
      <c r="L147" s="11" t="s">
        <v>1460</v>
      </c>
      <c r="M147" s="11" t="s">
        <v>1458</v>
      </c>
      <c r="N147" s="11"/>
      <c r="O147" s="12" t="n">
        <f aca="false">COUNTIF($A$6:$A$187,A147)</f>
        <v>1</v>
      </c>
    </row>
    <row r="148" customFormat="false" ht="72" hidden="false" customHeight="true" outlineLevel="0" collapsed="false">
      <c r="A148" s="11" t="s">
        <v>1461</v>
      </c>
      <c r="B148" s="11" t="s">
        <v>567</v>
      </c>
      <c r="C148" s="11" t="s">
        <v>1462</v>
      </c>
      <c r="D148" s="11" t="n">
        <v>3</v>
      </c>
      <c r="E148" s="11" t="s">
        <v>1453</v>
      </c>
      <c r="F148" s="11" t="s">
        <v>963</v>
      </c>
      <c r="G148" s="11" t="s">
        <v>1451</v>
      </c>
      <c r="H148" s="11" t="s">
        <v>964</v>
      </c>
      <c r="I148" s="11"/>
      <c r="J148" s="11" t="s">
        <v>1461</v>
      </c>
      <c r="K148" s="11" t="s">
        <v>965</v>
      </c>
      <c r="L148" s="11" t="s">
        <v>1463</v>
      </c>
      <c r="M148" s="11" t="s">
        <v>1464</v>
      </c>
      <c r="N148" s="11" t="s">
        <v>1465</v>
      </c>
      <c r="O148" s="12" t="n">
        <f aca="false">COUNTIF($A$6:$A$187,A148)</f>
        <v>1</v>
      </c>
    </row>
    <row r="149" customFormat="false" ht="72" hidden="false" customHeight="true" outlineLevel="0" collapsed="false">
      <c r="A149" s="11" t="s">
        <v>1466</v>
      </c>
      <c r="B149" s="11" t="s">
        <v>567</v>
      </c>
      <c r="C149" s="11" t="s">
        <v>1467</v>
      </c>
      <c r="D149" s="11" t="n">
        <v>4</v>
      </c>
      <c r="E149" s="11" t="s">
        <v>1443</v>
      </c>
      <c r="F149" s="11" t="s">
        <v>963</v>
      </c>
      <c r="G149" s="11" t="s">
        <v>1455</v>
      </c>
      <c r="H149" s="11" t="s">
        <v>964</v>
      </c>
      <c r="I149" s="11"/>
      <c r="J149" s="11" t="s">
        <v>1466</v>
      </c>
      <c r="K149" s="11" t="s">
        <v>965</v>
      </c>
      <c r="L149" s="11" t="s">
        <v>1468</v>
      </c>
      <c r="M149" s="11" t="s">
        <v>1466</v>
      </c>
      <c r="N149" s="11"/>
      <c r="O149" s="12" t="n">
        <f aca="false">COUNTIF($A$6:$A$187,A149)</f>
        <v>1</v>
      </c>
    </row>
    <row r="150" customFormat="false" ht="72" hidden="false" customHeight="true" outlineLevel="0" collapsed="false">
      <c r="A150" s="11" t="s">
        <v>1469</v>
      </c>
      <c r="B150" s="11" t="s">
        <v>567</v>
      </c>
      <c r="C150" s="11" t="s">
        <v>1470</v>
      </c>
      <c r="D150" s="11" t="n">
        <v>4</v>
      </c>
      <c r="E150" s="11" t="s">
        <v>1448</v>
      </c>
      <c r="F150" s="11" t="s">
        <v>963</v>
      </c>
      <c r="G150" s="11" t="s">
        <v>1458</v>
      </c>
      <c r="H150" s="11" t="s">
        <v>964</v>
      </c>
      <c r="I150" s="11"/>
      <c r="J150" s="11" t="s">
        <v>1469</v>
      </c>
      <c r="K150" s="11" t="s">
        <v>965</v>
      </c>
      <c r="L150" s="11" t="s">
        <v>1471</v>
      </c>
      <c r="M150" s="11" t="s">
        <v>1469</v>
      </c>
      <c r="N150" s="11"/>
      <c r="O150" s="12" t="n">
        <f aca="false">COUNTIF($A$6:$A$187,A150)</f>
        <v>1</v>
      </c>
    </row>
    <row r="151" customFormat="false" ht="72" hidden="false" customHeight="true" outlineLevel="0" collapsed="false">
      <c r="A151" s="11" t="s">
        <v>1472</v>
      </c>
      <c r="B151" s="11" t="s">
        <v>567</v>
      </c>
      <c r="C151" s="11" t="s">
        <v>1473</v>
      </c>
      <c r="D151" s="11" t="n">
        <v>4</v>
      </c>
      <c r="E151" s="11" t="s">
        <v>1453</v>
      </c>
      <c r="F151" s="11" t="s">
        <v>963</v>
      </c>
      <c r="G151" s="11" t="s">
        <v>1461</v>
      </c>
      <c r="H151" s="11" t="s">
        <v>964</v>
      </c>
      <c r="I151" s="11"/>
      <c r="J151" s="11" t="s">
        <v>1472</v>
      </c>
      <c r="K151" s="11" t="s">
        <v>965</v>
      </c>
      <c r="L151" s="11" t="s">
        <v>1474</v>
      </c>
      <c r="M151" s="11" t="s">
        <v>1475</v>
      </c>
      <c r="N151" s="11" t="s">
        <v>1465</v>
      </c>
      <c r="O151" s="12" t="n">
        <f aca="false">COUNTIF($A$6:$A$187,A151)</f>
        <v>1</v>
      </c>
    </row>
    <row r="152" customFormat="false" ht="72" hidden="false" customHeight="true" outlineLevel="0" collapsed="false">
      <c r="A152" s="11" t="s">
        <v>1476</v>
      </c>
      <c r="B152" s="11" t="s">
        <v>567</v>
      </c>
      <c r="C152" s="11" t="s">
        <v>1477</v>
      </c>
      <c r="D152" s="11" t="n">
        <v>5</v>
      </c>
      <c r="E152" s="11" t="s">
        <v>1443</v>
      </c>
      <c r="F152" s="11" t="s">
        <v>963</v>
      </c>
      <c r="G152" s="11" t="s">
        <v>1466</v>
      </c>
      <c r="H152" s="11" t="s">
        <v>964</v>
      </c>
      <c r="I152" s="11"/>
      <c r="J152" s="11" t="s">
        <v>1476</v>
      </c>
      <c r="K152" s="11" t="s">
        <v>965</v>
      </c>
      <c r="L152" s="11" t="s">
        <v>1478</v>
      </c>
      <c r="M152" s="11" t="s">
        <v>1476</v>
      </c>
      <c r="N152" s="11" t="s">
        <v>1479</v>
      </c>
      <c r="O152" s="12" t="n">
        <f aca="false">COUNTIF($A$6:$A$187,A152)</f>
        <v>1</v>
      </c>
    </row>
    <row r="153" customFormat="false" ht="72" hidden="false" customHeight="true" outlineLevel="0" collapsed="false">
      <c r="A153" s="11" t="s">
        <v>1480</v>
      </c>
      <c r="B153" s="11" t="s">
        <v>567</v>
      </c>
      <c r="C153" s="11" t="s">
        <v>1481</v>
      </c>
      <c r="D153" s="11" t="n">
        <v>5</v>
      </c>
      <c r="E153" s="11" t="s">
        <v>1448</v>
      </c>
      <c r="F153" s="11" t="s">
        <v>963</v>
      </c>
      <c r="G153" s="11" t="s">
        <v>1469</v>
      </c>
      <c r="H153" s="11" t="s">
        <v>964</v>
      </c>
      <c r="I153" s="11"/>
      <c r="J153" s="11" t="s">
        <v>1480</v>
      </c>
      <c r="K153" s="11" t="s">
        <v>965</v>
      </c>
      <c r="L153" s="11" t="s">
        <v>1482</v>
      </c>
      <c r="M153" s="11" t="s">
        <v>1480</v>
      </c>
      <c r="N153" s="11"/>
      <c r="O153" s="12" t="n">
        <f aca="false">COUNTIF($A$6:$A$187,A153)</f>
        <v>1</v>
      </c>
    </row>
    <row r="154" customFormat="false" ht="72" hidden="false" customHeight="true" outlineLevel="0" collapsed="false">
      <c r="A154" s="11" t="s">
        <v>1483</v>
      </c>
      <c r="B154" s="11" t="s">
        <v>567</v>
      </c>
      <c r="C154" s="11" t="s">
        <v>1484</v>
      </c>
      <c r="D154" s="11" t="n">
        <v>5</v>
      </c>
      <c r="E154" s="11" t="s">
        <v>1453</v>
      </c>
      <c r="F154" s="11" t="s">
        <v>963</v>
      </c>
      <c r="G154" s="11" t="s">
        <v>1472</v>
      </c>
      <c r="H154" s="11" t="s">
        <v>964</v>
      </c>
      <c r="I154" s="11"/>
      <c r="J154" s="11" t="s">
        <v>1483</v>
      </c>
      <c r="K154" s="11" t="s">
        <v>965</v>
      </c>
      <c r="L154" s="11" t="s">
        <v>1485</v>
      </c>
      <c r="M154" s="11" t="s">
        <v>1483</v>
      </c>
      <c r="N154" s="11" t="s">
        <v>1486</v>
      </c>
      <c r="O154" s="12" t="n">
        <f aca="false">COUNTIF($A$6:$A$187,A154)</f>
        <v>1</v>
      </c>
    </row>
    <row r="155" customFormat="false" ht="72" hidden="false" customHeight="true" outlineLevel="0" collapsed="false">
      <c r="A155" s="11" t="s">
        <v>1487</v>
      </c>
      <c r="B155" s="11" t="s">
        <v>567</v>
      </c>
      <c r="C155" s="11" t="s">
        <v>1488</v>
      </c>
      <c r="D155" s="11" t="n">
        <v>6</v>
      </c>
      <c r="E155" s="11"/>
      <c r="F155" s="11" t="s">
        <v>963</v>
      </c>
      <c r="G155" s="11" t="s">
        <v>1489</v>
      </c>
      <c r="H155" s="11" t="s">
        <v>964</v>
      </c>
      <c r="I155" s="11"/>
      <c r="J155" s="11" t="s">
        <v>1487</v>
      </c>
      <c r="K155" s="11" t="s">
        <v>965</v>
      </c>
      <c r="L155" s="11" t="s">
        <v>1490</v>
      </c>
      <c r="M155" s="11" t="s">
        <v>1491</v>
      </c>
      <c r="N155" s="11" t="s">
        <v>1492</v>
      </c>
      <c r="O155" s="12" t="n">
        <f aca="false">COUNTIF($A$6:$A$187,A155)</f>
        <v>1</v>
      </c>
    </row>
    <row r="156" customFormat="false" ht="72" hidden="false" customHeight="true" outlineLevel="0" collapsed="false">
      <c r="A156" s="11" t="s">
        <v>1493</v>
      </c>
      <c r="B156" s="11" t="s">
        <v>571</v>
      </c>
      <c r="C156" s="11" t="s">
        <v>1494</v>
      </c>
      <c r="D156" s="11" t="n">
        <v>1</v>
      </c>
      <c r="E156" s="11"/>
      <c r="F156" s="11" t="s">
        <v>963</v>
      </c>
      <c r="G156" s="11"/>
      <c r="H156" s="11" t="s">
        <v>964</v>
      </c>
      <c r="I156" s="11"/>
      <c r="J156" s="11" t="s">
        <v>1493</v>
      </c>
      <c r="K156" s="11" t="s">
        <v>965</v>
      </c>
      <c r="L156" s="11" t="s">
        <v>966</v>
      </c>
      <c r="M156" s="11" t="s">
        <v>1493</v>
      </c>
      <c r="N156" s="11" t="s">
        <v>1495</v>
      </c>
      <c r="O156" s="12" t="n">
        <f aca="false">COUNTIF($A$6:$A$187,A156)</f>
        <v>1</v>
      </c>
    </row>
    <row r="157" customFormat="false" ht="72" hidden="false" customHeight="true" outlineLevel="0" collapsed="false">
      <c r="A157" s="11" t="s">
        <v>1496</v>
      </c>
      <c r="B157" s="11" t="s">
        <v>571</v>
      </c>
      <c r="C157" s="11" t="s">
        <v>1497</v>
      </c>
      <c r="D157" s="11" t="n">
        <v>2</v>
      </c>
      <c r="E157" s="11" t="s">
        <v>1498</v>
      </c>
      <c r="F157" s="11" t="s">
        <v>963</v>
      </c>
      <c r="G157" s="11" t="s">
        <v>1493</v>
      </c>
      <c r="H157" s="11" t="s">
        <v>964</v>
      </c>
      <c r="I157" s="11"/>
      <c r="J157" s="11" t="s">
        <v>1496</v>
      </c>
      <c r="K157" s="11" t="s">
        <v>965</v>
      </c>
      <c r="L157" s="11" t="s">
        <v>1499</v>
      </c>
      <c r="M157" s="11" t="s">
        <v>1496</v>
      </c>
      <c r="N157" s="11"/>
      <c r="O157" s="12" t="n">
        <f aca="false">COUNTIF($A$6:$A$187,A157)</f>
        <v>1</v>
      </c>
    </row>
    <row r="158" customFormat="false" ht="72" hidden="false" customHeight="true" outlineLevel="0" collapsed="false">
      <c r="A158" s="11" t="s">
        <v>1500</v>
      </c>
      <c r="B158" s="11" t="s">
        <v>571</v>
      </c>
      <c r="C158" s="11" t="s">
        <v>1501</v>
      </c>
      <c r="D158" s="11" t="n">
        <v>2</v>
      </c>
      <c r="E158" s="11" t="s">
        <v>1502</v>
      </c>
      <c r="F158" s="11" t="s">
        <v>1166</v>
      </c>
      <c r="G158" s="11" t="s">
        <v>1493</v>
      </c>
      <c r="H158" s="11" t="s">
        <v>964</v>
      </c>
      <c r="I158" s="11"/>
      <c r="J158" s="11"/>
      <c r="K158" s="11" t="s">
        <v>1167</v>
      </c>
      <c r="L158" s="11" t="s">
        <v>1503</v>
      </c>
      <c r="M158" s="11" t="s">
        <v>1504</v>
      </c>
      <c r="N158" s="11"/>
      <c r="O158" s="12" t="n">
        <f aca="false">COUNTIF($A$6:$A$187,A158)</f>
        <v>1</v>
      </c>
    </row>
    <row r="159" customFormat="false" ht="72" hidden="false" customHeight="true" outlineLevel="0" collapsed="false">
      <c r="A159" s="11" t="s">
        <v>1505</v>
      </c>
      <c r="B159" s="11" t="s">
        <v>571</v>
      </c>
      <c r="C159" s="11" t="s">
        <v>1506</v>
      </c>
      <c r="D159" s="11" t="n">
        <v>2</v>
      </c>
      <c r="E159" s="11" t="s">
        <v>1507</v>
      </c>
      <c r="F159" s="11" t="s">
        <v>963</v>
      </c>
      <c r="G159" s="11" t="s">
        <v>1493</v>
      </c>
      <c r="H159" s="11" t="s">
        <v>964</v>
      </c>
      <c r="I159" s="11"/>
      <c r="J159" s="11" t="s">
        <v>1505</v>
      </c>
      <c r="K159" s="11" t="s">
        <v>965</v>
      </c>
      <c r="L159" s="11" t="s">
        <v>1508</v>
      </c>
      <c r="M159" s="11" t="s">
        <v>1509</v>
      </c>
      <c r="N159" s="11" t="s">
        <v>1510</v>
      </c>
      <c r="O159" s="12" t="n">
        <f aca="false">COUNTIF($A$6:$A$187,A159)</f>
        <v>1</v>
      </c>
    </row>
    <row r="160" customFormat="false" ht="72" hidden="false" customHeight="true" outlineLevel="0" collapsed="false">
      <c r="A160" s="11" t="s">
        <v>1511</v>
      </c>
      <c r="B160" s="11" t="s">
        <v>571</v>
      </c>
      <c r="C160" s="11" t="s">
        <v>1512</v>
      </c>
      <c r="D160" s="11" t="n">
        <v>3</v>
      </c>
      <c r="E160" s="11" t="s">
        <v>1498</v>
      </c>
      <c r="F160" s="11" t="s">
        <v>963</v>
      </c>
      <c r="G160" s="11" t="s">
        <v>1496</v>
      </c>
      <c r="H160" s="11" t="s">
        <v>964</v>
      </c>
      <c r="I160" s="11"/>
      <c r="J160" s="11" t="s">
        <v>1511</v>
      </c>
      <c r="K160" s="11" t="s">
        <v>965</v>
      </c>
      <c r="L160" s="11" t="s">
        <v>1513</v>
      </c>
      <c r="M160" s="11" t="s">
        <v>1511</v>
      </c>
      <c r="N160" s="11" t="s">
        <v>1514</v>
      </c>
      <c r="O160" s="12" t="n">
        <f aca="false">COUNTIF($A$6:$A$187,A160)</f>
        <v>1</v>
      </c>
    </row>
    <row r="161" customFormat="false" ht="72" hidden="false" customHeight="true" outlineLevel="0" collapsed="false">
      <c r="A161" s="11" t="s">
        <v>1515</v>
      </c>
      <c r="B161" s="11" t="s">
        <v>571</v>
      </c>
      <c r="C161" s="11" t="s">
        <v>1516</v>
      </c>
      <c r="D161" s="11" t="n">
        <v>3</v>
      </c>
      <c r="E161" s="11" t="s">
        <v>1502</v>
      </c>
      <c r="F161" s="11" t="s">
        <v>963</v>
      </c>
      <c r="G161" s="11" t="s">
        <v>1500</v>
      </c>
      <c r="H161" s="11" t="s">
        <v>964</v>
      </c>
      <c r="I161" s="11"/>
      <c r="J161" s="11" t="s">
        <v>1515</v>
      </c>
      <c r="K161" s="11" t="s">
        <v>965</v>
      </c>
      <c r="L161" s="11" t="s">
        <v>1517</v>
      </c>
      <c r="M161" s="11" t="s">
        <v>1515</v>
      </c>
      <c r="N161" s="11" t="s">
        <v>1514</v>
      </c>
      <c r="O161" s="12" t="n">
        <f aca="false">COUNTIF($A$6:$A$187,A161)</f>
        <v>1</v>
      </c>
    </row>
    <row r="162" customFormat="false" ht="72" hidden="false" customHeight="true" outlineLevel="0" collapsed="false">
      <c r="A162" s="11" t="s">
        <v>1518</v>
      </c>
      <c r="B162" s="11" t="s">
        <v>571</v>
      </c>
      <c r="C162" s="11" t="s">
        <v>1519</v>
      </c>
      <c r="D162" s="11" t="n">
        <v>3</v>
      </c>
      <c r="E162" s="11" t="s">
        <v>1507</v>
      </c>
      <c r="F162" s="11" t="s">
        <v>963</v>
      </c>
      <c r="G162" s="11" t="s">
        <v>1505</v>
      </c>
      <c r="H162" s="11" t="s">
        <v>964</v>
      </c>
      <c r="I162" s="11"/>
      <c r="J162" s="11" t="s">
        <v>1518</v>
      </c>
      <c r="K162" s="11" t="s">
        <v>965</v>
      </c>
      <c r="L162" s="11" t="s">
        <v>1520</v>
      </c>
      <c r="M162" s="11" t="s">
        <v>1521</v>
      </c>
      <c r="N162" s="11" t="s">
        <v>1522</v>
      </c>
      <c r="O162" s="12" t="n">
        <f aca="false">COUNTIF($A$6:$A$187,A162)</f>
        <v>1</v>
      </c>
    </row>
    <row r="163" customFormat="false" ht="72" hidden="false" customHeight="true" outlineLevel="0" collapsed="false">
      <c r="A163" s="11" t="s">
        <v>1523</v>
      </c>
      <c r="B163" s="11" t="s">
        <v>571</v>
      </c>
      <c r="C163" s="11" t="s">
        <v>1524</v>
      </c>
      <c r="D163" s="11" t="n">
        <v>4</v>
      </c>
      <c r="E163" s="11" t="s">
        <v>1498</v>
      </c>
      <c r="F163" s="11" t="s">
        <v>1166</v>
      </c>
      <c r="G163" s="11" t="s">
        <v>1511</v>
      </c>
      <c r="H163" s="11" t="s">
        <v>964</v>
      </c>
      <c r="I163" s="11"/>
      <c r="J163" s="11"/>
      <c r="K163" s="11" t="s">
        <v>1167</v>
      </c>
      <c r="L163" s="11" t="s">
        <v>1525</v>
      </c>
      <c r="M163" s="11" t="s">
        <v>1504</v>
      </c>
      <c r="N163" s="11"/>
      <c r="O163" s="12" t="n">
        <f aca="false">COUNTIF($A$6:$A$187,A163)</f>
        <v>1</v>
      </c>
    </row>
    <row r="164" customFormat="false" ht="72" hidden="false" customHeight="true" outlineLevel="0" collapsed="false">
      <c r="A164" s="11" t="s">
        <v>1526</v>
      </c>
      <c r="B164" s="11" t="s">
        <v>571</v>
      </c>
      <c r="C164" s="11" t="s">
        <v>1527</v>
      </c>
      <c r="D164" s="11" t="n">
        <v>4</v>
      </c>
      <c r="E164" s="11" t="s">
        <v>1502</v>
      </c>
      <c r="F164" s="11" t="s">
        <v>1166</v>
      </c>
      <c r="G164" s="11" t="s">
        <v>1515</v>
      </c>
      <c r="H164" s="11" t="s">
        <v>964</v>
      </c>
      <c r="I164" s="11"/>
      <c r="J164" s="11"/>
      <c r="K164" s="11" t="s">
        <v>1167</v>
      </c>
      <c r="L164" s="11" t="s">
        <v>1528</v>
      </c>
      <c r="M164" s="11" t="s">
        <v>1526</v>
      </c>
      <c r="N164" s="11" t="s">
        <v>1529</v>
      </c>
      <c r="O164" s="12" t="n">
        <f aca="false">COUNTIF($A$6:$A$187,A164)</f>
        <v>1</v>
      </c>
    </row>
    <row r="165" customFormat="false" ht="72" hidden="false" customHeight="true" outlineLevel="0" collapsed="false">
      <c r="A165" s="11" t="s">
        <v>1530</v>
      </c>
      <c r="B165" s="11" t="s">
        <v>571</v>
      </c>
      <c r="C165" s="11" t="s">
        <v>1531</v>
      </c>
      <c r="D165" s="11" t="n">
        <v>4</v>
      </c>
      <c r="E165" s="11" t="s">
        <v>1507</v>
      </c>
      <c r="F165" s="11" t="s">
        <v>963</v>
      </c>
      <c r="G165" s="11" t="s">
        <v>1518</v>
      </c>
      <c r="H165" s="11" t="s">
        <v>964</v>
      </c>
      <c r="I165" s="11"/>
      <c r="J165" s="11" t="s">
        <v>1530</v>
      </c>
      <c r="K165" s="11" t="s">
        <v>965</v>
      </c>
      <c r="L165" s="11" t="s">
        <v>1532</v>
      </c>
      <c r="M165" s="11" t="s">
        <v>1530</v>
      </c>
      <c r="N165" s="11" t="s">
        <v>1533</v>
      </c>
      <c r="O165" s="12" t="n">
        <f aca="false">COUNTIF($A$6:$A$187,A165)</f>
        <v>1</v>
      </c>
    </row>
    <row r="166" customFormat="false" ht="72" hidden="false" customHeight="true" outlineLevel="0" collapsed="false">
      <c r="A166" s="11" t="s">
        <v>1534</v>
      </c>
      <c r="B166" s="11" t="s">
        <v>571</v>
      </c>
      <c r="C166" s="11" t="s">
        <v>1535</v>
      </c>
      <c r="D166" s="11" t="n">
        <v>5</v>
      </c>
      <c r="E166" s="11" t="s">
        <v>1498</v>
      </c>
      <c r="F166" s="11" t="s">
        <v>1166</v>
      </c>
      <c r="G166" s="11" t="s">
        <v>1523</v>
      </c>
      <c r="H166" s="11" t="s">
        <v>964</v>
      </c>
      <c r="I166" s="11"/>
      <c r="J166" s="11"/>
      <c r="K166" s="11" t="s">
        <v>1167</v>
      </c>
      <c r="L166" s="11" t="s">
        <v>1536</v>
      </c>
      <c r="M166" s="11" t="s">
        <v>1504</v>
      </c>
      <c r="N166" s="11"/>
      <c r="O166" s="12" t="n">
        <f aca="false">COUNTIF($A$6:$A$187,A166)</f>
        <v>1</v>
      </c>
    </row>
    <row r="167" customFormat="false" ht="72" hidden="false" customHeight="true" outlineLevel="0" collapsed="false">
      <c r="A167" s="11" t="s">
        <v>1537</v>
      </c>
      <c r="B167" s="11" t="s">
        <v>571</v>
      </c>
      <c r="C167" s="11" t="s">
        <v>1538</v>
      </c>
      <c r="D167" s="11" t="n">
        <v>5</v>
      </c>
      <c r="E167" s="11" t="s">
        <v>1502</v>
      </c>
      <c r="F167" s="11" t="s">
        <v>1166</v>
      </c>
      <c r="G167" s="11" t="s">
        <v>1526</v>
      </c>
      <c r="H167" s="11" t="s">
        <v>964</v>
      </c>
      <c r="I167" s="11"/>
      <c r="J167" s="11"/>
      <c r="K167" s="11" t="s">
        <v>1167</v>
      </c>
      <c r="L167" s="11" t="s">
        <v>1539</v>
      </c>
      <c r="M167" s="11" t="s">
        <v>1537</v>
      </c>
      <c r="N167" s="11" t="s">
        <v>1540</v>
      </c>
      <c r="O167" s="12" t="n">
        <f aca="false">COUNTIF($A$6:$A$187,A167)</f>
        <v>1</v>
      </c>
    </row>
    <row r="168" customFormat="false" ht="72" hidden="false" customHeight="true" outlineLevel="0" collapsed="false">
      <c r="A168" s="11" t="s">
        <v>1541</v>
      </c>
      <c r="B168" s="11" t="s">
        <v>571</v>
      </c>
      <c r="C168" s="11" t="s">
        <v>1542</v>
      </c>
      <c r="D168" s="11" t="n">
        <v>5</v>
      </c>
      <c r="E168" s="11" t="s">
        <v>1507</v>
      </c>
      <c r="F168" s="11" t="s">
        <v>963</v>
      </c>
      <c r="G168" s="11" t="s">
        <v>1530</v>
      </c>
      <c r="H168" s="11" t="s">
        <v>964</v>
      </c>
      <c r="I168" s="11"/>
      <c r="J168" s="11" t="s">
        <v>1541</v>
      </c>
      <c r="K168" s="11" t="s">
        <v>965</v>
      </c>
      <c r="L168" s="11" t="s">
        <v>1543</v>
      </c>
      <c r="M168" s="11" t="s">
        <v>1541</v>
      </c>
      <c r="N168" s="11" t="s">
        <v>1544</v>
      </c>
      <c r="O168" s="12" t="n">
        <f aca="false">COUNTIF($A$6:$A$187,A168)</f>
        <v>1</v>
      </c>
    </row>
    <row r="169" customFormat="false" ht="72" hidden="false" customHeight="true" outlineLevel="0" collapsed="false">
      <c r="A169" s="11" t="s">
        <v>1545</v>
      </c>
      <c r="B169" s="11" t="s">
        <v>571</v>
      </c>
      <c r="C169" s="11" t="s">
        <v>1546</v>
      </c>
      <c r="D169" s="11" t="n">
        <v>6</v>
      </c>
      <c r="E169" s="11"/>
      <c r="F169" s="11" t="s">
        <v>963</v>
      </c>
      <c r="G169" s="11" t="s">
        <v>1547</v>
      </c>
      <c r="H169" s="11" t="s">
        <v>964</v>
      </c>
      <c r="I169" s="11"/>
      <c r="J169" s="11" t="s">
        <v>1545</v>
      </c>
      <c r="K169" s="11" t="s">
        <v>965</v>
      </c>
      <c r="L169" s="11" t="s">
        <v>1548</v>
      </c>
      <c r="M169" s="11" t="s">
        <v>1545</v>
      </c>
      <c r="N169" s="11" t="s">
        <v>1549</v>
      </c>
      <c r="O169" s="12" t="n">
        <f aca="false">COUNTIF($A$6:$A$187,A169)</f>
        <v>1</v>
      </c>
    </row>
    <row r="170" customFormat="false" ht="72" hidden="false" customHeight="true" outlineLevel="0" collapsed="false">
      <c r="A170" s="11" t="s">
        <v>1550</v>
      </c>
      <c r="B170" s="11" t="s">
        <v>574</v>
      </c>
      <c r="C170" s="11" t="s">
        <v>1551</v>
      </c>
      <c r="D170" s="11" t="n">
        <v>1</v>
      </c>
      <c r="E170" s="11"/>
      <c r="F170" s="11" t="s">
        <v>963</v>
      </c>
      <c r="G170" s="11"/>
      <c r="H170" s="11" t="s">
        <v>964</v>
      </c>
      <c r="I170" s="11"/>
      <c r="J170" s="11" t="s">
        <v>1550</v>
      </c>
      <c r="K170" s="11" t="s">
        <v>965</v>
      </c>
      <c r="L170" s="11" t="s">
        <v>966</v>
      </c>
      <c r="M170" s="11" t="s">
        <v>1552</v>
      </c>
      <c r="N170" s="11" t="s">
        <v>1553</v>
      </c>
      <c r="O170" s="12" t="n">
        <f aca="false">COUNTIF($A$6:$A$187,A170)</f>
        <v>1</v>
      </c>
    </row>
    <row r="171" customFormat="false" ht="72" hidden="false" customHeight="true" outlineLevel="0" collapsed="false">
      <c r="A171" s="11" t="s">
        <v>1554</v>
      </c>
      <c r="B171" s="11" t="s">
        <v>574</v>
      </c>
      <c r="C171" s="11" t="s">
        <v>1555</v>
      </c>
      <c r="D171" s="11" t="n">
        <v>2</v>
      </c>
      <c r="E171" s="11" t="s">
        <v>1556</v>
      </c>
      <c r="F171" s="11" t="s">
        <v>963</v>
      </c>
      <c r="G171" s="11" t="s">
        <v>1550</v>
      </c>
      <c r="H171" s="11" t="s">
        <v>964</v>
      </c>
      <c r="I171" s="11"/>
      <c r="J171" s="11" t="s">
        <v>1554</v>
      </c>
      <c r="K171" s="11" t="s">
        <v>965</v>
      </c>
      <c r="L171" s="11" t="s">
        <v>1557</v>
      </c>
      <c r="M171" s="11" t="s">
        <v>1554</v>
      </c>
      <c r="N171" s="11" t="s">
        <v>1558</v>
      </c>
      <c r="O171" s="12" t="n">
        <f aca="false">COUNTIF($A$6:$A$187,A171)</f>
        <v>1</v>
      </c>
    </row>
    <row r="172" customFormat="false" ht="72" hidden="false" customHeight="true" outlineLevel="0" collapsed="false">
      <c r="A172" s="11" t="s">
        <v>1559</v>
      </c>
      <c r="B172" s="11" t="s">
        <v>574</v>
      </c>
      <c r="C172" s="11" t="s">
        <v>1560</v>
      </c>
      <c r="D172" s="11" t="n">
        <v>2</v>
      </c>
      <c r="E172" s="11" t="s">
        <v>1561</v>
      </c>
      <c r="F172" s="11" t="s">
        <v>963</v>
      </c>
      <c r="G172" s="11" t="s">
        <v>1550</v>
      </c>
      <c r="H172" s="11" t="s">
        <v>964</v>
      </c>
      <c r="I172" s="11"/>
      <c r="J172" s="11" t="s">
        <v>1559</v>
      </c>
      <c r="K172" s="11" t="s">
        <v>965</v>
      </c>
      <c r="L172" s="11" t="s">
        <v>1562</v>
      </c>
      <c r="M172" s="11" t="s">
        <v>1559</v>
      </c>
      <c r="N172" s="11"/>
      <c r="O172" s="12" t="n">
        <f aca="false">COUNTIF($A$6:$A$187,A172)</f>
        <v>1</v>
      </c>
    </row>
    <row r="173" customFormat="false" ht="72" hidden="false" customHeight="true" outlineLevel="0" collapsed="false">
      <c r="A173" s="11" t="s">
        <v>1563</v>
      </c>
      <c r="B173" s="11" t="s">
        <v>574</v>
      </c>
      <c r="C173" s="11" t="s">
        <v>1564</v>
      </c>
      <c r="D173" s="11" t="n">
        <v>2</v>
      </c>
      <c r="E173" s="11" t="s">
        <v>1565</v>
      </c>
      <c r="F173" s="11" t="s">
        <v>963</v>
      </c>
      <c r="G173" s="11" t="s">
        <v>1550</v>
      </c>
      <c r="H173" s="11" t="s">
        <v>964</v>
      </c>
      <c r="I173" s="11"/>
      <c r="J173" s="11" t="s">
        <v>1563</v>
      </c>
      <c r="K173" s="11" t="s">
        <v>965</v>
      </c>
      <c r="L173" s="11" t="s">
        <v>1566</v>
      </c>
      <c r="M173" s="11" t="s">
        <v>1563</v>
      </c>
      <c r="N173" s="11" t="s">
        <v>1567</v>
      </c>
      <c r="O173" s="12" t="n">
        <f aca="false">COUNTIF($A$6:$A$187,A173)</f>
        <v>1</v>
      </c>
    </row>
    <row r="174" customFormat="false" ht="72" hidden="false" customHeight="true" outlineLevel="0" collapsed="false">
      <c r="A174" s="11" t="s">
        <v>1568</v>
      </c>
      <c r="B174" s="11" t="s">
        <v>574</v>
      </c>
      <c r="C174" s="11" t="s">
        <v>1569</v>
      </c>
      <c r="D174" s="11" t="n">
        <v>3</v>
      </c>
      <c r="E174" s="11" t="s">
        <v>1556</v>
      </c>
      <c r="F174" s="11" t="s">
        <v>963</v>
      </c>
      <c r="G174" s="11" t="s">
        <v>1554</v>
      </c>
      <c r="H174" s="11" t="s">
        <v>964</v>
      </c>
      <c r="I174" s="11"/>
      <c r="J174" s="11" t="s">
        <v>1568</v>
      </c>
      <c r="K174" s="11" t="s">
        <v>965</v>
      </c>
      <c r="L174" s="11" t="s">
        <v>1570</v>
      </c>
      <c r="M174" s="11" t="s">
        <v>1568</v>
      </c>
      <c r="N174" s="11" t="s">
        <v>1571</v>
      </c>
      <c r="O174" s="12" t="n">
        <f aca="false">COUNTIF($A$6:$A$187,A174)</f>
        <v>1</v>
      </c>
    </row>
    <row r="175" customFormat="false" ht="72" hidden="false" customHeight="true" outlineLevel="0" collapsed="false">
      <c r="A175" s="11" t="s">
        <v>1572</v>
      </c>
      <c r="B175" s="11" t="s">
        <v>574</v>
      </c>
      <c r="C175" s="11" t="s">
        <v>1573</v>
      </c>
      <c r="D175" s="11" t="n">
        <v>3</v>
      </c>
      <c r="E175" s="11" t="s">
        <v>1561</v>
      </c>
      <c r="F175" s="11" t="s">
        <v>963</v>
      </c>
      <c r="G175" s="11" t="s">
        <v>1559</v>
      </c>
      <c r="H175" s="11" t="s">
        <v>964</v>
      </c>
      <c r="I175" s="11"/>
      <c r="J175" s="11" t="s">
        <v>1572</v>
      </c>
      <c r="K175" s="11" t="s">
        <v>965</v>
      </c>
      <c r="L175" s="11" t="s">
        <v>1574</v>
      </c>
      <c r="M175" s="11" t="s">
        <v>1572</v>
      </c>
      <c r="N175" s="11"/>
      <c r="O175" s="12" t="n">
        <f aca="false">COUNTIF($A$6:$A$187,A175)</f>
        <v>1</v>
      </c>
    </row>
    <row r="176" customFormat="false" ht="72" hidden="false" customHeight="true" outlineLevel="0" collapsed="false">
      <c r="A176" s="11" t="s">
        <v>1575</v>
      </c>
      <c r="B176" s="11" t="s">
        <v>574</v>
      </c>
      <c r="C176" s="11" t="s">
        <v>1576</v>
      </c>
      <c r="D176" s="11" t="n">
        <v>3</v>
      </c>
      <c r="E176" s="11" t="s">
        <v>1565</v>
      </c>
      <c r="F176" s="11" t="s">
        <v>963</v>
      </c>
      <c r="G176" s="11" t="s">
        <v>1563</v>
      </c>
      <c r="H176" s="11" t="s">
        <v>964</v>
      </c>
      <c r="I176" s="11"/>
      <c r="J176" s="11" t="s">
        <v>1575</v>
      </c>
      <c r="K176" s="11" t="s">
        <v>965</v>
      </c>
      <c r="L176" s="11" t="s">
        <v>1577</v>
      </c>
      <c r="M176" s="11" t="s">
        <v>1575</v>
      </c>
      <c r="N176" s="11"/>
      <c r="O176" s="12" t="n">
        <f aca="false">COUNTIF($A$6:$A$187,A176)</f>
        <v>1</v>
      </c>
    </row>
    <row r="177" customFormat="false" ht="72" hidden="false" customHeight="true" outlineLevel="0" collapsed="false">
      <c r="A177" s="11" t="s">
        <v>1578</v>
      </c>
      <c r="B177" s="11" t="s">
        <v>574</v>
      </c>
      <c r="C177" s="11" t="s">
        <v>1579</v>
      </c>
      <c r="D177" s="11" t="n">
        <v>4</v>
      </c>
      <c r="E177" s="11" t="s">
        <v>1556</v>
      </c>
      <c r="F177" s="11" t="s">
        <v>963</v>
      </c>
      <c r="G177" s="11" t="s">
        <v>1568</v>
      </c>
      <c r="H177" s="11" t="s">
        <v>964</v>
      </c>
      <c r="I177" s="11"/>
      <c r="J177" s="11" t="s">
        <v>1578</v>
      </c>
      <c r="K177" s="11" t="s">
        <v>965</v>
      </c>
      <c r="L177" s="11" t="s">
        <v>1580</v>
      </c>
      <c r="M177" s="11" t="s">
        <v>1578</v>
      </c>
      <c r="N177" s="11"/>
      <c r="O177" s="12" t="n">
        <f aca="false">COUNTIF($A$6:$A$187,A177)</f>
        <v>1</v>
      </c>
    </row>
    <row r="178" customFormat="false" ht="72" hidden="false" customHeight="true" outlineLevel="0" collapsed="false">
      <c r="A178" s="11" t="s">
        <v>1581</v>
      </c>
      <c r="B178" s="11" t="s">
        <v>574</v>
      </c>
      <c r="C178" s="11" t="s">
        <v>1582</v>
      </c>
      <c r="D178" s="11" t="n">
        <v>4</v>
      </c>
      <c r="E178" s="11" t="s">
        <v>1561</v>
      </c>
      <c r="F178" s="11" t="s">
        <v>963</v>
      </c>
      <c r="G178" s="11" t="s">
        <v>1572</v>
      </c>
      <c r="H178" s="11" t="s">
        <v>964</v>
      </c>
      <c r="I178" s="11"/>
      <c r="J178" s="11" t="s">
        <v>1581</v>
      </c>
      <c r="K178" s="11" t="s">
        <v>965</v>
      </c>
      <c r="L178" s="11" t="s">
        <v>1583</v>
      </c>
      <c r="M178" s="11" t="s">
        <v>1581</v>
      </c>
      <c r="N178" s="11" t="s">
        <v>1584</v>
      </c>
      <c r="O178" s="12" t="n">
        <f aca="false">COUNTIF($A$6:$A$187,A178)</f>
        <v>1</v>
      </c>
    </row>
    <row r="179" customFormat="false" ht="72" hidden="false" customHeight="true" outlineLevel="0" collapsed="false">
      <c r="A179" s="11" t="s">
        <v>1585</v>
      </c>
      <c r="B179" s="11" t="s">
        <v>574</v>
      </c>
      <c r="C179" s="11" t="s">
        <v>1586</v>
      </c>
      <c r="D179" s="11" t="n">
        <v>4</v>
      </c>
      <c r="E179" s="11" t="s">
        <v>1565</v>
      </c>
      <c r="F179" s="11" t="s">
        <v>1166</v>
      </c>
      <c r="G179" s="11" t="s">
        <v>1575</v>
      </c>
      <c r="H179" s="11" t="s">
        <v>964</v>
      </c>
      <c r="I179" s="11"/>
      <c r="J179" s="11"/>
      <c r="K179" s="11" t="s">
        <v>1167</v>
      </c>
      <c r="L179" s="11" t="s">
        <v>1587</v>
      </c>
      <c r="M179" s="11" t="s">
        <v>1588</v>
      </c>
      <c r="N179" s="11"/>
      <c r="O179" s="12" t="n">
        <f aca="false">COUNTIF($A$6:$A$187,A179)</f>
        <v>1</v>
      </c>
    </row>
    <row r="180" customFormat="false" ht="72" hidden="false" customHeight="true" outlineLevel="0" collapsed="false">
      <c r="A180" s="11" t="s">
        <v>1589</v>
      </c>
      <c r="B180" s="11" t="s">
        <v>574</v>
      </c>
      <c r="C180" s="11" t="s">
        <v>1590</v>
      </c>
      <c r="D180" s="11" t="n">
        <v>5</v>
      </c>
      <c r="E180" s="11"/>
      <c r="F180" s="11" t="s">
        <v>963</v>
      </c>
      <c r="G180" s="11" t="s">
        <v>1591</v>
      </c>
      <c r="H180" s="11" t="s">
        <v>964</v>
      </c>
      <c r="I180" s="11"/>
      <c r="J180" s="11" t="s">
        <v>1589</v>
      </c>
      <c r="K180" s="11" t="s">
        <v>965</v>
      </c>
      <c r="L180" s="11" t="s">
        <v>1592</v>
      </c>
      <c r="M180" s="11" t="s">
        <v>1593</v>
      </c>
      <c r="N180" s="11"/>
      <c r="O180" s="12" t="n">
        <f aca="false">COUNTIF($A$6:$A$187,A180)</f>
        <v>1</v>
      </c>
    </row>
    <row r="181" customFormat="false" ht="72" hidden="false" customHeight="true" outlineLevel="0" collapsed="false">
      <c r="A181" s="11" t="s">
        <v>1594</v>
      </c>
      <c r="B181" s="11" t="s">
        <v>574</v>
      </c>
      <c r="C181" s="11" t="s">
        <v>1595</v>
      </c>
      <c r="D181" s="11" t="n">
        <v>6</v>
      </c>
      <c r="E181" s="11" t="s">
        <v>1596</v>
      </c>
      <c r="F181" s="11" t="s">
        <v>1166</v>
      </c>
      <c r="G181" s="11" t="s">
        <v>1589</v>
      </c>
      <c r="H181" s="11" t="s">
        <v>964</v>
      </c>
      <c r="I181" s="11" t="s">
        <v>1597</v>
      </c>
      <c r="J181" s="11"/>
      <c r="K181" s="11" t="s">
        <v>1167</v>
      </c>
      <c r="L181" s="11" t="s">
        <v>1598</v>
      </c>
      <c r="M181" s="11" t="s">
        <v>1599</v>
      </c>
      <c r="N181" s="11" t="s">
        <v>1600</v>
      </c>
      <c r="O181" s="12" t="n">
        <f aca="false">COUNTIF($A$6:$A$187,A181)</f>
        <v>1</v>
      </c>
    </row>
    <row r="182" customFormat="false" ht="72" hidden="false" customHeight="true" outlineLevel="0" collapsed="false">
      <c r="A182" s="11" t="s">
        <v>1601</v>
      </c>
      <c r="B182" s="11" t="s">
        <v>574</v>
      </c>
      <c r="C182" s="11" t="s">
        <v>1602</v>
      </c>
      <c r="D182" s="11" t="n">
        <v>6</v>
      </c>
      <c r="E182" s="11" t="s">
        <v>1603</v>
      </c>
      <c r="F182" s="11" t="s">
        <v>963</v>
      </c>
      <c r="G182" s="11" t="s">
        <v>1589</v>
      </c>
      <c r="H182" s="11" t="s">
        <v>964</v>
      </c>
      <c r="I182" s="11" t="s">
        <v>1597</v>
      </c>
      <c r="J182" s="11" t="s">
        <v>1601</v>
      </c>
      <c r="K182" s="11" t="s">
        <v>965</v>
      </c>
      <c r="L182" s="11" t="s">
        <v>1604</v>
      </c>
      <c r="M182" s="11" t="s">
        <v>1605</v>
      </c>
      <c r="N182" s="11"/>
      <c r="O182" s="12" t="n">
        <f aca="false">COUNTIF($A$6:$A$187,A182)</f>
        <v>1</v>
      </c>
    </row>
    <row r="183" customFormat="false" ht="72" hidden="false" customHeight="true" outlineLevel="0" collapsed="false">
      <c r="A183" s="11" t="s">
        <v>1606</v>
      </c>
      <c r="B183" s="11" t="s">
        <v>574</v>
      </c>
      <c r="C183" s="11" t="s">
        <v>1607</v>
      </c>
      <c r="D183" s="11" t="n">
        <v>7</v>
      </c>
      <c r="E183" s="11" t="s">
        <v>1596</v>
      </c>
      <c r="F183" s="11" t="s">
        <v>1166</v>
      </c>
      <c r="G183" s="11" t="s">
        <v>1594</v>
      </c>
      <c r="H183" s="11" t="s">
        <v>964</v>
      </c>
      <c r="I183" s="11"/>
      <c r="J183" s="11"/>
      <c r="K183" s="11" t="s">
        <v>1167</v>
      </c>
      <c r="L183" s="11" t="s">
        <v>1608</v>
      </c>
      <c r="M183" s="11" t="s">
        <v>1609</v>
      </c>
      <c r="N183" s="11" t="s">
        <v>1610</v>
      </c>
      <c r="O183" s="12" t="n">
        <f aca="false">COUNTIF($A$6:$A$187,A183)</f>
        <v>1</v>
      </c>
    </row>
    <row r="184" customFormat="false" ht="72" hidden="false" customHeight="true" outlineLevel="0" collapsed="false">
      <c r="A184" s="11" t="s">
        <v>1611</v>
      </c>
      <c r="B184" s="11" t="s">
        <v>574</v>
      </c>
      <c r="C184" s="11" t="s">
        <v>1612</v>
      </c>
      <c r="D184" s="11" t="n">
        <v>7</v>
      </c>
      <c r="E184" s="11" t="s">
        <v>1603</v>
      </c>
      <c r="F184" s="11" t="s">
        <v>963</v>
      </c>
      <c r="G184" s="11" t="s">
        <v>1601</v>
      </c>
      <c r="H184" s="11" t="s">
        <v>964</v>
      </c>
      <c r="I184" s="11"/>
      <c r="J184" s="11" t="s">
        <v>1611</v>
      </c>
      <c r="K184" s="11" t="s">
        <v>965</v>
      </c>
      <c r="L184" s="11" t="s">
        <v>1613</v>
      </c>
      <c r="M184" s="11" t="s">
        <v>1614</v>
      </c>
      <c r="N184" s="11" t="s">
        <v>1615</v>
      </c>
      <c r="O184" s="12" t="n">
        <f aca="false">COUNTIF($A$6:$A$187,A184)</f>
        <v>1</v>
      </c>
    </row>
    <row r="185" customFormat="false" ht="72" hidden="false" customHeight="true" outlineLevel="0" collapsed="false">
      <c r="A185" s="11" t="s">
        <v>1616</v>
      </c>
      <c r="B185" s="11" t="s">
        <v>574</v>
      </c>
      <c r="C185" s="11" t="s">
        <v>1617</v>
      </c>
      <c r="D185" s="11" t="n">
        <v>8</v>
      </c>
      <c r="E185" s="11" t="s">
        <v>1596</v>
      </c>
      <c r="F185" s="11" t="s">
        <v>1166</v>
      </c>
      <c r="G185" s="11" t="s">
        <v>1606</v>
      </c>
      <c r="H185" s="11" t="s">
        <v>964</v>
      </c>
      <c r="I185" s="11"/>
      <c r="J185" s="11"/>
      <c r="K185" s="11" t="s">
        <v>1167</v>
      </c>
      <c r="L185" s="11" t="s">
        <v>1618</v>
      </c>
      <c r="M185" s="11" t="s">
        <v>1619</v>
      </c>
      <c r="N185" s="11" t="s">
        <v>1620</v>
      </c>
      <c r="O185" s="12" t="n">
        <f aca="false">COUNTIF($A$6:$A$187,A185)</f>
        <v>1</v>
      </c>
    </row>
    <row r="186" customFormat="false" ht="72" hidden="false" customHeight="true" outlineLevel="0" collapsed="false">
      <c r="A186" s="11" t="s">
        <v>1621</v>
      </c>
      <c r="B186" s="11" t="s">
        <v>574</v>
      </c>
      <c r="C186" s="11" t="s">
        <v>1622</v>
      </c>
      <c r="D186" s="11" t="n">
        <v>8</v>
      </c>
      <c r="E186" s="11" t="s">
        <v>1623</v>
      </c>
      <c r="F186" s="11" t="s">
        <v>963</v>
      </c>
      <c r="G186" s="11" t="s">
        <v>1611</v>
      </c>
      <c r="H186" s="11" t="s">
        <v>964</v>
      </c>
      <c r="I186" s="11"/>
      <c r="J186" s="11" t="s">
        <v>1621</v>
      </c>
      <c r="K186" s="11" t="s">
        <v>965</v>
      </c>
      <c r="L186" s="11" t="s">
        <v>1624</v>
      </c>
      <c r="M186" s="11" t="s">
        <v>1621</v>
      </c>
      <c r="N186" s="11"/>
      <c r="O186" s="12" t="n">
        <f aca="false">COUNTIF($A$6:$A$187,A186)</f>
        <v>1</v>
      </c>
    </row>
    <row r="187" customFormat="false" ht="72" hidden="false" customHeight="true" outlineLevel="0" collapsed="false">
      <c r="A187" s="11" t="s">
        <v>1625</v>
      </c>
      <c r="B187" s="11" t="s">
        <v>574</v>
      </c>
      <c r="C187" s="11" t="s">
        <v>1626</v>
      </c>
      <c r="D187" s="11" t="n">
        <v>8</v>
      </c>
      <c r="E187" s="11" t="s">
        <v>1623</v>
      </c>
      <c r="F187" s="11" t="s">
        <v>963</v>
      </c>
      <c r="G187" s="11" t="s">
        <v>1611</v>
      </c>
      <c r="H187" s="11" t="s">
        <v>964</v>
      </c>
      <c r="I187" s="11"/>
      <c r="J187" s="11" t="s">
        <v>1625</v>
      </c>
      <c r="K187" s="11" t="s">
        <v>965</v>
      </c>
      <c r="L187" s="11" t="s">
        <v>1624</v>
      </c>
      <c r="M187" s="11" t="s">
        <v>1627</v>
      </c>
      <c r="N187" s="11" t="s">
        <v>1628</v>
      </c>
      <c r="O187" s="12" t="n">
        <f aca="false">COUNTIF($A$6:$A$187,A187)</f>
        <v>1</v>
      </c>
    </row>
  </sheetData>
  <mergeCells count="2">
    <mergeCell ref="A1:O1"/>
    <mergeCell ref="A2:O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34"/>
    <col collapsed="false" customWidth="true" hidden="false" outlineLevel="0" max="4" min="4" style="0" width="42"/>
    <col collapsed="false" customWidth="true" hidden="false" outlineLevel="0" max="5" min="5" style="0" width="34"/>
    <col collapsed="false" customWidth="true" hidden="false" outlineLevel="0" max="6" min="6" style="0" width="28"/>
    <col collapsed="false" customWidth="true" hidden="false" outlineLevel="0" max="7" min="7" style="0" width="16"/>
    <col collapsed="false" customWidth="true" hidden="false" outlineLevel="0" max="8" min="8" style="0" width="24"/>
    <col collapsed="false" customWidth="true" hidden="false" outlineLevel="0" max="9" min="9" style="0" width="16"/>
    <col collapsed="false" customWidth="true" hidden="false" outlineLevel="0" max="10" min="10" style="0" width="24"/>
    <col collapsed="false" customWidth="true" hidden="false" outlineLevel="0" max="12" min="11" style="0" width="120"/>
    <col collapsed="false" customWidth="true" hidden="false" outlineLevel="0" max="13" min="13" style="0" width="44"/>
    <col collapsed="false" customWidth="true" hidden="false" outlineLevel="0" max="14" min="14" style="0" width="50"/>
    <col collapsed="false" customWidth="true" hidden="false" outlineLevel="0" max="15" min="15" style="0" width="10"/>
    <col collapsed="false" customWidth="true" hidden="false" outlineLevel="0" max="16" min="16" style="0" width="12"/>
    <col collapsed="false" customWidth="true" hidden="false" outlineLevel="0" max="17" min="17" style="0" width="10"/>
  </cols>
  <sheetData>
    <row r="1" customFormat="false" ht="30" hidden="false" customHeight="true" outlineLevel="0" collapsed="false">
      <c r="A1" s="1" t="s">
        <v>1629</v>
      </c>
      <c r="B1" s="1"/>
      <c r="C1" s="1"/>
      <c r="D1" s="1"/>
      <c r="E1" s="1"/>
      <c r="F1" s="1"/>
      <c r="G1" s="1"/>
      <c r="H1" s="1"/>
      <c r="I1" s="1"/>
      <c r="J1" s="1"/>
      <c r="K1" s="1"/>
      <c r="L1" s="1"/>
      <c r="M1" s="1"/>
      <c r="N1" s="1"/>
      <c r="O1" s="1"/>
      <c r="P1" s="1"/>
      <c r="Q1" s="1"/>
    </row>
    <row r="2" customFormat="false" ht="42" hidden="false" customHeight="true" outlineLevel="0" collapsed="false">
      <c r="A2" s="2" t="s">
        <v>1630</v>
      </c>
      <c r="B2" s="2"/>
      <c r="C2" s="2"/>
      <c r="D2" s="2"/>
      <c r="E2" s="2"/>
      <c r="F2" s="2"/>
      <c r="G2" s="2"/>
      <c r="H2" s="2"/>
      <c r="I2" s="2"/>
      <c r="J2" s="2"/>
      <c r="K2" s="2"/>
      <c r="L2" s="2"/>
      <c r="M2" s="2"/>
      <c r="N2" s="2"/>
      <c r="O2" s="2"/>
      <c r="P2" s="2"/>
      <c r="Q2" s="2"/>
    </row>
    <row r="3" customFormat="false" ht="15" hidden="false" customHeight="false" outlineLevel="0" collapsed="false">
      <c r="A3" s="3"/>
      <c r="B3" s="3"/>
      <c r="C3" s="3"/>
      <c r="D3" s="3"/>
      <c r="E3" s="3"/>
      <c r="F3" s="3"/>
      <c r="G3" s="3"/>
      <c r="H3" s="3"/>
      <c r="I3" s="3"/>
      <c r="J3" s="3"/>
      <c r="K3" s="3"/>
      <c r="L3" s="3"/>
      <c r="M3" s="3"/>
      <c r="N3" s="3"/>
      <c r="O3" s="3"/>
      <c r="P3" s="3"/>
      <c r="Q3" s="3"/>
    </row>
    <row r="5" customFormat="false" ht="38" hidden="false" customHeight="true" outlineLevel="0" collapsed="false">
      <c r="A5" s="10" t="s">
        <v>958</v>
      </c>
      <c r="B5" s="10" t="s">
        <v>581</v>
      </c>
      <c r="C5" s="10" t="s">
        <v>952</v>
      </c>
      <c r="D5" s="10" t="s">
        <v>59</v>
      </c>
      <c r="E5" s="10" t="s">
        <v>1631</v>
      </c>
      <c r="F5" s="10" t="s">
        <v>959</v>
      </c>
      <c r="G5" s="10" t="s">
        <v>1632</v>
      </c>
      <c r="H5" s="10" t="s">
        <v>1633</v>
      </c>
      <c r="I5" s="10" t="s">
        <v>1634</v>
      </c>
      <c r="J5" s="10" t="s">
        <v>1635</v>
      </c>
      <c r="K5" s="10" t="s">
        <v>1636</v>
      </c>
      <c r="L5" s="10" t="s">
        <v>1637</v>
      </c>
      <c r="M5" s="10" t="s">
        <v>1638</v>
      </c>
      <c r="N5" s="10" t="s">
        <v>164</v>
      </c>
      <c r="O5" s="10" t="s">
        <v>1639</v>
      </c>
      <c r="P5" s="10" t="s">
        <v>104</v>
      </c>
      <c r="Q5" s="10" t="s">
        <v>69</v>
      </c>
    </row>
    <row r="6" customFormat="false" ht="220" hidden="false" customHeight="true" outlineLevel="0" collapsed="false">
      <c r="A6" s="11" t="s">
        <v>961</v>
      </c>
      <c r="B6" s="11" t="s">
        <v>593</v>
      </c>
      <c r="C6" s="11" t="s">
        <v>961</v>
      </c>
      <c r="D6" s="11" t="s">
        <v>962</v>
      </c>
      <c r="E6" s="11" t="s">
        <v>1640</v>
      </c>
      <c r="F6" s="11" t="s">
        <v>965</v>
      </c>
      <c r="G6" s="11" t="b">
        <f aca="false">TRUE()</f>
        <v>1</v>
      </c>
      <c r="H6" s="11" t="b">
        <f aca="false">TRUE()</f>
        <v>1</v>
      </c>
      <c r="I6" s="11" t="b">
        <f aca="false">TRUE()</f>
        <v>1</v>
      </c>
      <c r="J6" s="11" t="b">
        <f aca="false">TRUE()</f>
        <v>1</v>
      </c>
      <c r="K6" s="11" t="s">
        <v>1641</v>
      </c>
      <c r="L6" s="11" t="s">
        <v>1642</v>
      </c>
      <c r="M6" s="11" t="s">
        <v>961</v>
      </c>
      <c r="N6" s="11"/>
      <c r="O6" s="11" t="n">
        <v>10</v>
      </c>
      <c r="P6" s="12" t="s">
        <v>115</v>
      </c>
      <c r="Q6" s="12" t="n">
        <f aca="false">COUNTIF($A$6:$A$172,A6)</f>
        <v>1</v>
      </c>
    </row>
    <row r="7" customFormat="false" ht="220" hidden="false" customHeight="true" outlineLevel="0" collapsed="false">
      <c r="A7" s="11" t="s">
        <v>967</v>
      </c>
      <c r="B7" s="11" t="s">
        <v>593</v>
      </c>
      <c r="C7" s="11" t="s">
        <v>967</v>
      </c>
      <c r="D7" s="11" t="s">
        <v>968</v>
      </c>
      <c r="E7" s="11" t="s">
        <v>1643</v>
      </c>
      <c r="F7" s="11" t="s">
        <v>965</v>
      </c>
      <c r="G7" s="11" t="b">
        <f aca="false">TRUE()</f>
        <v>1</v>
      </c>
      <c r="H7" s="11" t="b">
        <f aca="false">TRUE()</f>
        <v>1</v>
      </c>
      <c r="I7" s="11" t="b">
        <f aca="false">TRUE()</f>
        <v>1</v>
      </c>
      <c r="J7" s="11" t="b">
        <f aca="false">TRUE()</f>
        <v>1</v>
      </c>
      <c r="K7" s="11" t="s">
        <v>1644</v>
      </c>
      <c r="L7" s="11" t="s">
        <v>1645</v>
      </c>
      <c r="M7" s="11" t="s">
        <v>967</v>
      </c>
      <c r="N7" s="11" t="s">
        <v>972</v>
      </c>
      <c r="O7" s="11" t="n">
        <v>10</v>
      </c>
      <c r="P7" s="12" t="s">
        <v>115</v>
      </c>
      <c r="Q7" s="12" t="n">
        <f aca="false">COUNTIF($A$6:$A$172,A7)</f>
        <v>1</v>
      </c>
    </row>
    <row r="8" customFormat="false" ht="220" hidden="false" customHeight="true" outlineLevel="0" collapsed="false">
      <c r="A8" s="11" t="s">
        <v>973</v>
      </c>
      <c r="B8" s="11" t="s">
        <v>593</v>
      </c>
      <c r="C8" s="11" t="s">
        <v>973</v>
      </c>
      <c r="D8" s="11" t="s">
        <v>974</v>
      </c>
      <c r="E8" s="11" t="s">
        <v>1640</v>
      </c>
      <c r="F8" s="11" t="s">
        <v>965</v>
      </c>
      <c r="G8" s="11" t="b">
        <f aca="false">TRUE()</f>
        <v>1</v>
      </c>
      <c r="H8" s="11" t="b">
        <f aca="false">TRUE()</f>
        <v>1</v>
      </c>
      <c r="I8" s="11" t="b">
        <f aca="false">TRUE()</f>
        <v>1</v>
      </c>
      <c r="J8" s="11" t="b">
        <f aca="false">TRUE()</f>
        <v>1</v>
      </c>
      <c r="K8" s="11" t="s">
        <v>1646</v>
      </c>
      <c r="L8" s="11" t="s">
        <v>1647</v>
      </c>
      <c r="M8" s="11" t="s">
        <v>973</v>
      </c>
      <c r="N8" s="11"/>
      <c r="O8" s="11" t="n">
        <v>10</v>
      </c>
      <c r="P8" s="12" t="s">
        <v>115</v>
      </c>
      <c r="Q8" s="12" t="n">
        <f aca="false">COUNTIF($A$6:$A$172,A8)</f>
        <v>1</v>
      </c>
    </row>
    <row r="9" customFormat="false" ht="220" hidden="false" customHeight="true" outlineLevel="0" collapsed="false">
      <c r="A9" s="11" t="s">
        <v>977</v>
      </c>
      <c r="B9" s="11" t="s">
        <v>593</v>
      </c>
      <c r="C9" s="11" t="s">
        <v>977</v>
      </c>
      <c r="D9" s="11" t="s">
        <v>978</v>
      </c>
      <c r="E9" s="11" t="s">
        <v>1640</v>
      </c>
      <c r="F9" s="11" t="s">
        <v>965</v>
      </c>
      <c r="G9" s="11" t="b">
        <f aca="false">TRUE()</f>
        <v>1</v>
      </c>
      <c r="H9" s="11" t="b">
        <f aca="false">TRUE()</f>
        <v>1</v>
      </c>
      <c r="I9" s="11" t="b">
        <f aca="false">FALSE()</f>
        <v>0</v>
      </c>
      <c r="J9" s="11" t="b">
        <f aca="false">FALSE()</f>
        <v>0</v>
      </c>
      <c r="K9" s="11" t="s">
        <v>1648</v>
      </c>
      <c r="L9" s="11" t="s">
        <v>1649</v>
      </c>
      <c r="M9" s="11" t="s">
        <v>977</v>
      </c>
      <c r="N9" s="11" t="s">
        <v>980</v>
      </c>
      <c r="O9" s="11" t="n">
        <v>10</v>
      </c>
      <c r="P9" s="12" t="s">
        <v>115</v>
      </c>
      <c r="Q9" s="12" t="n">
        <f aca="false">COUNTIF($A$6:$A$172,A9)</f>
        <v>1</v>
      </c>
    </row>
    <row r="10" customFormat="false" ht="220" hidden="false" customHeight="true" outlineLevel="0" collapsed="false">
      <c r="A10" s="11" t="s">
        <v>981</v>
      </c>
      <c r="B10" s="11" t="s">
        <v>593</v>
      </c>
      <c r="C10" s="11" t="s">
        <v>981</v>
      </c>
      <c r="D10" s="11" t="s">
        <v>982</v>
      </c>
      <c r="E10" s="11" t="s">
        <v>1640</v>
      </c>
      <c r="F10" s="11" t="s">
        <v>965</v>
      </c>
      <c r="G10" s="11" t="b">
        <f aca="false">TRUE()</f>
        <v>1</v>
      </c>
      <c r="H10" s="11" t="b">
        <f aca="false">TRUE()</f>
        <v>1</v>
      </c>
      <c r="I10" s="11" t="b">
        <f aca="false">TRUE()</f>
        <v>1</v>
      </c>
      <c r="J10" s="11" t="b">
        <f aca="false">TRUE()</f>
        <v>1</v>
      </c>
      <c r="K10" s="11" t="s">
        <v>1650</v>
      </c>
      <c r="L10" s="11" t="s">
        <v>1651</v>
      </c>
      <c r="M10" s="11" t="s">
        <v>981</v>
      </c>
      <c r="N10" s="11" t="s">
        <v>984</v>
      </c>
      <c r="O10" s="11" t="n">
        <v>60</v>
      </c>
      <c r="P10" s="12" t="s">
        <v>115</v>
      </c>
      <c r="Q10" s="12" t="n">
        <f aca="false">COUNTIF($A$6:$A$172,A10)</f>
        <v>1</v>
      </c>
    </row>
    <row r="11" customFormat="false" ht="220" hidden="false" customHeight="true" outlineLevel="0" collapsed="false">
      <c r="A11" s="11" t="s">
        <v>985</v>
      </c>
      <c r="B11" s="11" t="s">
        <v>593</v>
      </c>
      <c r="C11" s="11" t="s">
        <v>985</v>
      </c>
      <c r="D11" s="11" t="s">
        <v>986</v>
      </c>
      <c r="E11" s="11" t="s">
        <v>1640</v>
      </c>
      <c r="F11" s="11" t="s">
        <v>965</v>
      </c>
      <c r="G11" s="11" t="b">
        <f aca="false">TRUE()</f>
        <v>1</v>
      </c>
      <c r="H11" s="11" t="b">
        <f aca="false">TRUE()</f>
        <v>1</v>
      </c>
      <c r="I11" s="11" t="b">
        <f aca="false">FALSE()</f>
        <v>0</v>
      </c>
      <c r="J11" s="11" t="b">
        <f aca="false">FALSE()</f>
        <v>0</v>
      </c>
      <c r="K11" s="11" t="s">
        <v>1652</v>
      </c>
      <c r="L11" s="11" t="s">
        <v>1649</v>
      </c>
      <c r="M11" s="11" t="s">
        <v>985</v>
      </c>
      <c r="N11" s="11" t="s">
        <v>988</v>
      </c>
      <c r="O11" s="11" t="n">
        <v>10</v>
      </c>
      <c r="P11" s="12" t="s">
        <v>115</v>
      </c>
      <c r="Q11" s="12" t="n">
        <f aca="false">COUNTIF($A$6:$A$172,A11)</f>
        <v>1</v>
      </c>
    </row>
    <row r="12" customFormat="false" ht="220" hidden="false" customHeight="true" outlineLevel="0" collapsed="false">
      <c r="A12" s="11" t="s">
        <v>989</v>
      </c>
      <c r="B12" s="11" t="s">
        <v>593</v>
      </c>
      <c r="C12" s="11" t="s">
        <v>989</v>
      </c>
      <c r="D12" s="11" t="s">
        <v>990</v>
      </c>
      <c r="E12" s="11" t="s">
        <v>1640</v>
      </c>
      <c r="F12" s="11" t="s">
        <v>965</v>
      </c>
      <c r="G12" s="11" t="b">
        <f aca="false">TRUE()</f>
        <v>1</v>
      </c>
      <c r="H12" s="11" t="b">
        <f aca="false">TRUE()</f>
        <v>1</v>
      </c>
      <c r="I12" s="11" t="b">
        <f aca="false">FALSE()</f>
        <v>0</v>
      </c>
      <c r="J12" s="11" t="b">
        <f aca="false">FALSE()</f>
        <v>0</v>
      </c>
      <c r="K12" s="11" t="s">
        <v>1653</v>
      </c>
      <c r="L12" s="11" t="s">
        <v>1649</v>
      </c>
      <c r="M12" s="11" t="s">
        <v>989</v>
      </c>
      <c r="N12" s="11" t="s">
        <v>992</v>
      </c>
      <c r="O12" s="11" t="n">
        <v>10</v>
      </c>
      <c r="P12" s="12" t="s">
        <v>115</v>
      </c>
      <c r="Q12" s="12" t="n">
        <f aca="false">COUNTIF($A$6:$A$172,A12)</f>
        <v>1</v>
      </c>
    </row>
    <row r="13" customFormat="false" ht="220" hidden="false" customHeight="true" outlineLevel="0" collapsed="false">
      <c r="A13" s="11" t="s">
        <v>993</v>
      </c>
      <c r="B13" s="11" t="s">
        <v>593</v>
      </c>
      <c r="C13" s="11" t="s">
        <v>993</v>
      </c>
      <c r="D13" s="11" t="s">
        <v>994</v>
      </c>
      <c r="E13" s="11" t="s">
        <v>1640</v>
      </c>
      <c r="F13" s="11" t="s">
        <v>965</v>
      </c>
      <c r="G13" s="11" t="b">
        <f aca="false">TRUE()</f>
        <v>1</v>
      </c>
      <c r="H13" s="11" t="b">
        <f aca="false">TRUE()</f>
        <v>1</v>
      </c>
      <c r="I13" s="11" t="b">
        <f aca="false">TRUE()</f>
        <v>1</v>
      </c>
      <c r="J13" s="11" t="b">
        <f aca="false">TRUE()</f>
        <v>1</v>
      </c>
      <c r="K13" s="11" t="s">
        <v>1654</v>
      </c>
      <c r="L13" s="11" t="s">
        <v>1655</v>
      </c>
      <c r="M13" s="11" t="s">
        <v>993</v>
      </c>
      <c r="N13" s="11" t="s">
        <v>996</v>
      </c>
      <c r="O13" s="11" t="n">
        <v>10</v>
      </c>
      <c r="P13" s="12" t="s">
        <v>115</v>
      </c>
      <c r="Q13" s="12" t="n">
        <f aca="false">COUNTIF($A$6:$A$172,A13)</f>
        <v>1</v>
      </c>
    </row>
    <row r="14" customFormat="false" ht="220" hidden="false" customHeight="true" outlineLevel="0" collapsed="false">
      <c r="A14" s="11" t="s">
        <v>997</v>
      </c>
      <c r="B14" s="11" t="s">
        <v>593</v>
      </c>
      <c r="C14" s="11" t="s">
        <v>997</v>
      </c>
      <c r="D14" s="11" t="s">
        <v>998</v>
      </c>
      <c r="E14" s="11" t="s">
        <v>1640</v>
      </c>
      <c r="F14" s="11" t="s">
        <v>965</v>
      </c>
      <c r="G14" s="11" t="b">
        <f aca="false">TRUE()</f>
        <v>1</v>
      </c>
      <c r="H14" s="11" t="b">
        <f aca="false">TRUE()</f>
        <v>1</v>
      </c>
      <c r="I14" s="11" t="b">
        <f aca="false">TRUE()</f>
        <v>1</v>
      </c>
      <c r="J14" s="11" t="b">
        <f aca="false">TRUE()</f>
        <v>1</v>
      </c>
      <c r="K14" s="11" t="s">
        <v>1656</v>
      </c>
      <c r="L14" s="11" t="s">
        <v>1657</v>
      </c>
      <c r="M14" s="11" t="s">
        <v>997</v>
      </c>
      <c r="N14" s="11" t="s">
        <v>1000</v>
      </c>
      <c r="O14" s="11" t="n">
        <v>10</v>
      </c>
      <c r="P14" s="12" t="s">
        <v>115</v>
      </c>
      <c r="Q14" s="12" t="n">
        <f aca="false">COUNTIF($A$6:$A$172,A14)</f>
        <v>1</v>
      </c>
    </row>
    <row r="15" customFormat="false" ht="220" hidden="false" customHeight="true" outlineLevel="0" collapsed="false">
      <c r="A15" s="11" t="s">
        <v>1001</v>
      </c>
      <c r="B15" s="11" t="s">
        <v>593</v>
      </c>
      <c r="C15" s="11" t="s">
        <v>1001</v>
      </c>
      <c r="D15" s="11" t="s">
        <v>1002</v>
      </c>
      <c r="E15" s="11" t="s">
        <v>1640</v>
      </c>
      <c r="F15" s="11" t="s">
        <v>965</v>
      </c>
      <c r="G15" s="11" t="b">
        <f aca="false">TRUE()</f>
        <v>1</v>
      </c>
      <c r="H15" s="11" t="b">
        <f aca="false">TRUE()</f>
        <v>1</v>
      </c>
      <c r="I15" s="11" t="b">
        <f aca="false">FALSE()</f>
        <v>0</v>
      </c>
      <c r="J15" s="11" t="b">
        <f aca="false">FALSE()</f>
        <v>0</v>
      </c>
      <c r="K15" s="11" t="s">
        <v>1658</v>
      </c>
      <c r="L15" s="11" t="s">
        <v>1649</v>
      </c>
      <c r="M15" s="11" t="s">
        <v>1001</v>
      </c>
      <c r="N15" s="11"/>
      <c r="O15" s="11" t="n">
        <v>10</v>
      </c>
      <c r="P15" s="12" t="s">
        <v>115</v>
      </c>
      <c r="Q15" s="12" t="n">
        <f aca="false">COUNTIF($A$6:$A$172,A15)</f>
        <v>1</v>
      </c>
    </row>
    <row r="16" customFormat="false" ht="220" hidden="false" customHeight="true" outlineLevel="0" collapsed="false">
      <c r="A16" s="11" t="s">
        <v>1006</v>
      </c>
      <c r="B16" s="11" t="s">
        <v>544</v>
      </c>
      <c r="C16" s="11" t="s">
        <v>1006</v>
      </c>
      <c r="D16" s="11" t="s">
        <v>1007</v>
      </c>
      <c r="E16" s="11" t="s">
        <v>1640</v>
      </c>
      <c r="F16" s="11" t="s">
        <v>965</v>
      </c>
      <c r="G16" s="11" t="b">
        <f aca="false">TRUE()</f>
        <v>1</v>
      </c>
      <c r="H16" s="11" t="b">
        <f aca="false">TRUE()</f>
        <v>1</v>
      </c>
      <c r="I16" s="11" t="b">
        <f aca="false">TRUE()</f>
        <v>1</v>
      </c>
      <c r="J16" s="11" t="b">
        <f aca="false">TRUE()</f>
        <v>1</v>
      </c>
      <c r="K16" s="11" t="s">
        <v>1659</v>
      </c>
      <c r="L16" s="11" t="s">
        <v>1660</v>
      </c>
      <c r="M16" s="11" t="s">
        <v>1006</v>
      </c>
      <c r="N16" s="11" t="s">
        <v>1008</v>
      </c>
      <c r="O16" s="11" t="n">
        <v>10</v>
      </c>
      <c r="P16" s="12" t="s">
        <v>115</v>
      </c>
      <c r="Q16" s="12" t="n">
        <f aca="false">COUNTIF($A$6:$A$172,A16)</f>
        <v>1</v>
      </c>
    </row>
    <row r="17" customFormat="false" ht="220" hidden="false" customHeight="true" outlineLevel="0" collapsed="false">
      <c r="A17" s="11" t="s">
        <v>1009</v>
      </c>
      <c r="B17" s="11" t="s">
        <v>544</v>
      </c>
      <c r="C17" s="11" t="s">
        <v>1009</v>
      </c>
      <c r="D17" s="11" t="s">
        <v>1010</v>
      </c>
      <c r="E17" s="11" t="s">
        <v>1640</v>
      </c>
      <c r="F17" s="11" t="s">
        <v>965</v>
      </c>
      <c r="G17" s="11" t="b">
        <f aca="false">TRUE()</f>
        <v>1</v>
      </c>
      <c r="H17" s="11" t="b">
        <f aca="false">TRUE()</f>
        <v>1</v>
      </c>
      <c r="I17" s="11" t="b">
        <f aca="false">TRUE()</f>
        <v>1</v>
      </c>
      <c r="J17" s="11" t="b">
        <f aca="false">TRUE()</f>
        <v>1</v>
      </c>
      <c r="K17" s="11" t="s">
        <v>1661</v>
      </c>
      <c r="L17" s="11" t="s">
        <v>1662</v>
      </c>
      <c r="M17" s="11" t="s">
        <v>1009</v>
      </c>
      <c r="N17" s="11" t="s">
        <v>1012</v>
      </c>
      <c r="O17" s="11" t="n">
        <v>10</v>
      </c>
      <c r="P17" s="12" t="s">
        <v>115</v>
      </c>
      <c r="Q17" s="12" t="n">
        <f aca="false">COUNTIF($A$6:$A$172,A17)</f>
        <v>1</v>
      </c>
    </row>
    <row r="18" customFormat="false" ht="220" hidden="false" customHeight="true" outlineLevel="0" collapsed="false">
      <c r="A18" s="11" t="s">
        <v>1013</v>
      </c>
      <c r="B18" s="11" t="s">
        <v>544</v>
      </c>
      <c r="C18" s="11" t="s">
        <v>1013</v>
      </c>
      <c r="D18" s="11" t="s">
        <v>1014</v>
      </c>
      <c r="E18" s="11" t="s">
        <v>1640</v>
      </c>
      <c r="F18" s="11" t="s">
        <v>965</v>
      </c>
      <c r="G18" s="11" t="b">
        <f aca="false">TRUE()</f>
        <v>1</v>
      </c>
      <c r="H18" s="11" t="b">
        <f aca="false">TRUE()</f>
        <v>1</v>
      </c>
      <c r="I18" s="11" t="b">
        <f aca="false">FALSE()</f>
        <v>0</v>
      </c>
      <c r="J18" s="11" t="b">
        <f aca="false">FALSE()</f>
        <v>0</v>
      </c>
      <c r="K18" s="11" t="s">
        <v>1663</v>
      </c>
      <c r="L18" s="11" t="s">
        <v>1649</v>
      </c>
      <c r="M18" s="11" t="s">
        <v>1013</v>
      </c>
      <c r="N18" s="11" t="s">
        <v>1016</v>
      </c>
      <c r="O18" s="11" t="n">
        <v>10</v>
      </c>
      <c r="P18" s="12" t="s">
        <v>115</v>
      </c>
      <c r="Q18" s="12" t="n">
        <f aca="false">COUNTIF($A$6:$A$172,A18)</f>
        <v>1</v>
      </c>
    </row>
    <row r="19" customFormat="false" ht="220" hidden="false" customHeight="true" outlineLevel="0" collapsed="false">
      <c r="A19" s="11" t="s">
        <v>1017</v>
      </c>
      <c r="B19" s="11" t="s">
        <v>544</v>
      </c>
      <c r="C19" s="11" t="s">
        <v>1017</v>
      </c>
      <c r="D19" s="11" t="s">
        <v>1018</v>
      </c>
      <c r="E19" s="11" t="s">
        <v>1640</v>
      </c>
      <c r="F19" s="11" t="s">
        <v>965</v>
      </c>
      <c r="G19" s="11" t="b">
        <f aca="false">TRUE()</f>
        <v>1</v>
      </c>
      <c r="H19" s="11" t="b">
        <f aca="false">TRUE()</f>
        <v>1</v>
      </c>
      <c r="I19" s="11" t="b">
        <f aca="false">TRUE()</f>
        <v>1</v>
      </c>
      <c r="J19" s="11" t="b">
        <f aca="false">TRUE()</f>
        <v>1</v>
      </c>
      <c r="K19" s="11" t="s">
        <v>1664</v>
      </c>
      <c r="L19" s="11" t="s">
        <v>1665</v>
      </c>
      <c r="M19" s="11" t="s">
        <v>1017</v>
      </c>
      <c r="N19" s="11" t="s">
        <v>1020</v>
      </c>
      <c r="O19" s="11" t="n">
        <v>10</v>
      </c>
      <c r="P19" s="12" t="s">
        <v>115</v>
      </c>
      <c r="Q19" s="12" t="n">
        <f aca="false">COUNTIF($A$6:$A$172,A19)</f>
        <v>1</v>
      </c>
    </row>
    <row r="20" customFormat="false" ht="220" hidden="false" customHeight="true" outlineLevel="0" collapsed="false">
      <c r="A20" s="11" t="s">
        <v>1021</v>
      </c>
      <c r="B20" s="11" t="s">
        <v>544</v>
      </c>
      <c r="C20" s="11" t="s">
        <v>1021</v>
      </c>
      <c r="D20" s="11" t="s">
        <v>1022</v>
      </c>
      <c r="E20" s="11" t="s">
        <v>1640</v>
      </c>
      <c r="F20" s="11" t="s">
        <v>965</v>
      </c>
      <c r="G20" s="11" t="b">
        <f aca="false">TRUE()</f>
        <v>1</v>
      </c>
      <c r="H20" s="11" t="b">
        <f aca="false">TRUE()</f>
        <v>1</v>
      </c>
      <c r="I20" s="11" t="b">
        <f aca="false">FALSE()</f>
        <v>0</v>
      </c>
      <c r="J20" s="11" t="b">
        <f aca="false">FALSE()</f>
        <v>0</v>
      </c>
      <c r="K20" s="11" t="s">
        <v>1666</v>
      </c>
      <c r="L20" s="11" t="s">
        <v>1649</v>
      </c>
      <c r="M20" s="11" t="s">
        <v>1021</v>
      </c>
      <c r="N20" s="11" t="s">
        <v>992</v>
      </c>
      <c r="O20" s="11" t="n">
        <v>10</v>
      </c>
      <c r="P20" s="12" t="s">
        <v>115</v>
      </c>
      <c r="Q20" s="12" t="n">
        <f aca="false">COUNTIF($A$6:$A$172,A20)</f>
        <v>1</v>
      </c>
    </row>
    <row r="21" customFormat="false" ht="220" hidden="false" customHeight="true" outlineLevel="0" collapsed="false">
      <c r="A21" s="11" t="s">
        <v>1024</v>
      </c>
      <c r="B21" s="11" t="s">
        <v>544</v>
      </c>
      <c r="C21" s="11" t="s">
        <v>1024</v>
      </c>
      <c r="D21" s="11" t="s">
        <v>1025</v>
      </c>
      <c r="E21" s="11" t="s">
        <v>1640</v>
      </c>
      <c r="F21" s="11" t="s">
        <v>965</v>
      </c>
      <c r="G21" s="11" t="b">
        <f aca="false">TRUE()</f>
        <v>1</v>
      </c>
      <c r="H21" s="11" t="b">
        <f aca="false">TRUE()</f>
        <v>1</v>
      </c>
      <c r="I21" s="11" t="b">
        <f aca="false">FALSE()</f>
        <v>0</v>
      </c>
      <c r="J21" s="11" t="b">
        <f aca="false">FALSE()</f>
        <v>0</v>
      </c>
      <c r="K21" s="11" t="s">
        <v>1667</v>
      </c>
      <c r="L21" s="11" t="s">
        <v>1649</v>
      </c>
      <c r="M21" s="11" t="s">
        <v>1024</v>
      </c>
      <c r="N21" s="11" t="s">
        <v>992</v>
      </c>
      <c r="O21" s="11" t="n">
        <v>10</v>
      </c>
      <c r="P21" s="12" t="s">
        <v>115</v>
      </c>
      <c r="Q21" s="12" t="n">
        <f aca="false">COUNTIF($A$6:$A$172,A21)</f>
        <v>1</v>
      </c>
    </row>
    <row r="22" customFormat="false" ht="220" hidden="false" customHeight="true" outlineLevel="0" collapsed="false">
      <c r="A22" s="11" t="s">
        <v>1027</v>
      </c>
      <c r="B22" s="11" t="s">
        <v>544</v>
      </c>
      <c r="C22" s="11" t="s">
        <v>1027</v>
      </c>
      <c r="D22" s="11" t="s">
        <v>1028</v>
      </c>
      <c r="E22" s="11" t="s">
        <v>1640</v>
      </c>
      <c r="F22" s="11" t="s">
        <v>965</v>
      </c>
      <c r="G22" s="11" t="b">
        <f aca="false">TRUE()</f>
        <v>1</v>
      </c>
      <c r="H22" s="11" t="b">
        <f aca="false">TRUE()</f>
        <v>1</v>
      </c>
      <c r="I22" s="11" t="b">
        <f aca="false">TRUE()</f>
        <v>1</v>
      </c>
      <c r="J22" s="11" t="b">
        <f aca="false">TRUE()</f>
        <v>1</v>
      </c>
      <c r="K22" s="11" t="s">
        <v>1668</v>
      </c>
      <c r="L22" s="11" t="s">
        <v>1669</v>
      </c>
      <c r="M22" s="11" t="s">
        <v>1027</v>
      </c>
      <c r="N22" s="11" t="s">
        <v>1030</v>
      </c>
      <c r="O22" s="11" t="n">
        <v>10</v>
      </c>
      <c r="P22" s="12" t="s">
        <v>115</v>
      </c>
      <c r="Q22" s="12" t="n">
        <f aca="false">COUNTIF($A$6:$A$172,A22)</f>
        <v>1</v>
      </c>
    </row>
    <row r="23" customFormat="false" ht="220" hidden="false" customHeight="true" outlineLevel="0" collapsed="false">
      <c r="A23" s="11" t="s">
        <v>1031</v>
      </c>
      <c r="B23" s="11" t="s">
        <v>550</v>
      </c>
      <c r="C23" s="11" t="s">
        <v>1031</v>
      </c>
      <c r="D23" s="11" t="s">
        <v>1032</v>
      </c>
      <c r="E23" s="11" t="s">
        <v>1670</v>
      </c>
      <c r="F23" s="11" t="s">
        <v>965</v>
      </c>
      <c r="G23" s="11" t="b">
        <f aca="false">TRUE()</f>
        <v>1</v>
      </c>
      <c r="H23" s="11" t="b">
        <f aca="false">FALSE()</f>
        <v>0</v>
      </c>
      <c r="I23" s="11" t="b">
        <f aca="false">TRUE()</f>
        <v>1</v>
      </c>
      <c r="J23" s="11" t="b">
        <f aca="false">FALSE()</f>
        <v>0</v>
      </c>
      <c r="K23" s="11" t="s">
        <v>1671</v>
      </c>
      <c r="L23" s="11" t="s">
        <v>1672</v>
      </c>
      <c r="M23" s="11" t="s">
        <v>1031</v>
      </c>
      <c r="N23" s="11" t="s">
        <v>1033</v>
      </c>
      <c r="O23" s="11" t="n">
        <v>10</v>
      </c>
      <c r="P23" s="12" t="s">
        <v>115</v>
      </c>
      <c r="Q23" s="12" t="n">
        <f aca="false">COUNTIF($A$6:$A$172,A23)</f>
        <v>1</v>
      </c>
    </row>
    <row r="24" customFormat="false" ht="220" hidden="false" customHeight="true" outlineLevel="0" collapsed="false">
      <c r="A24" s="11" t="s">
        <v>1034</v>
      </c>
      <c r="B24" s="11" t="s">
        <v>550</v>
      </c>
      <c r="C24" s="11" t="s">
        <v>1034</v>
      </c>
      <c r="D24" s="11" t="s">
        <v>1035</v>
      </c>
      <c r="E24" s="11" t="s">
        <v>1670</v>
      </c>
      <c r="F24" s="11" t="s">
        <v>965</v>
      </c>
      <c r="G24" s="11" t="b">
        <f aca="false">TRUE()</f>
        <v>1</v>
      </c>
      <c r="H24" s="11" t="b">
        <f aca="false">FALSE()</f>
        <v>0</v>
      </c>
      <c r="I24" s="11" t="b">
        <f aca="false">TRUE()</f>
        <v>1</v>
      </c>
      <c r="J24" s="11" t="b">
        <f aca="false">FALSE()</f>
        <v>0</v>
      </c>
      <c r="K24" s="11" t="s">
        <v>1673</v>
      </c>
      <c r="L24" s="11" t="s">
        <v>1674</v>
      </c>
      <c r="M24" s="11" t="s">
        <v>1034</v>
      </c>
      <c r="N24" s="11"/>
      <c r="O24" s="11" t="n">
        <v>10</v>
      </c>
      <c r="P24" s="12" t="s">
        <v>115</v>
      </c>
      <c r="Q24" s="12" t="n">
        <f aca="false">COUNTIF($A$6:$A$172,A24)</f>
        <v>1</v>
      </c>
    </row>
    <row r="25" customFormat="false" ht="220" hidden="false" customHeight="true" outlineLevel="0" collapsed="false">
      <c r="A25" s="11" t="s">
        <v>1037</v>
      </c>
      <c r="B25" s="11" t="s">
        <v>550</v>
      </c>
      <c r="C25" s="11" t="s">
        <v>1037</v>
      </c>
      <c r="D25" s="11" t="s">
        <v>1038</v>
      </c>
      <c r="E25" s="11" t="s">
        <v>1670</v>
      </c>
      <c r="F25" s="11" t="s">
        <v>965</v>
      </c>
      <c r="G25" s="11" t="b">
        <f aca="false">TRUE()</f>
        <v>1</v>
      </c>
      <c r="H25" s="11" t="b">
        <f aca="false">FALSE()</f>
        <v>0</v>
      </c>
      <c r="I25" s="11" t="b">
        <f aca="false">FALSE()</f>
        <v>0</v>
      </c>
      <c r="J25" s="11" t="b">
        <f aca="false">FALSE()</f>
        <v>0</v>
      </c>
      <c r="K25" s="11" t="s">
        <v>1675</v>
      </c>
      <c r="L25" s="11" t="s">
        <v>1649</v>
      </c>
      <c r="M25" s="11" t="s">
        <v>1037</v>
      </c>
      <c r="N25" s="11"/>
      <c r="O25" s="11" t="n">
        <v>10</v>
      </c>
      <c r="P25" s="12" t="s">
        <v>115</v>
      </c>
      <c r="Q25" s="12" t="n">
        <f aca="false">COUNTIF($A$6:$A$172,A25)</f>
        <v>1</v>
      </c>
    </row>
    <row r="26" customFormat="false" ht="220" hidden="false" customHeight="true" outlineLevel="0" collapsed="false">
      <c r="A26" s="11" t="s">
        <v>1040</v>
      </c>
      <c r="B26" s="11" t="s">
        <v>550</v>
      </c>
      <c r="C26" s="11" t="s">
        <v>1040</v>
      </c>
      <c r="D26" s="11" t="s">
        <v>1041</v>
      </c>
      <c r="E26" s="11" t="s">
        <v>1670</v>
      </c>
      <c r="F26" s="11" t="s">
        <v>965</v>
      </c>
      <c r="G26" s="11" t="b">
        <f aca="false">TRUE()</f>
        <v>1</v>
      </c>
      <c r="H26" s="11" t="b">
        <f aca="false">FALSE()</f>
        <v>0</v>
      </c>
      <c r="I26" s="11" t="b">
        <f aca="false">FALSE()</f>
        <v>0</v>
      </c>
      <c r="J26" s="11" t="b">
        <f aca="false">FALSE()</f>
        <v>0</v>
      </c>
      <c r="K26" s="11" t="s">
        <v>1676</v>
      </c>
      <c r="L26" s="11" t="s">
        <v>1649</v>
      </c>
      <c r="M26" s="11" t="s">
        <v>1040</v>
      </c>
      <c r="N26" s="11"/>
      <c r="O26" s="11" t="n">
        <v>10</v>
      </c>
      <c r="P26" s="12" t="s">
        <v>115</v>
      </c>
      <c r="Q26" s="12" t="n">
        <f aca="false">COUNTIF($A$6:$A$172,A26)</f>
        <v>1</v>
      </c>
    </row>
    <row r="27" customFormat="false" ht="220" hidden="false" customHeight="true" outlineLevel="0" collapsed="false">
      <c r="A27" s="11" t="s">
        <v>1043</v>
      </c>
      <c r="B27" s="11" t="s">
        <v>550</v>
      </c>
      <c r="C27" s="11" t="s">
        <v>1043</v>
      </c>
      <c r="D27" s="11" t="s">
        <v>1044</v>
      </c>
      <c r="E27" s="11" t="s">
        <v>1640</v>
      </c>
      <c r="F27" s="11" t="s">
        <v>965</v>
      </c>
      <c r="G27" s="11" t="b">
        <f aca="false">TRUE()</f>
        <v>1</v>
      </c>
      <c r="H27" s="11" t="b">
        <f aca="false">TRUE()</f>
        <v>1</v>
      </c>
      <c r="I27" s="11" t="b">
        <f aca="false">TRUE()</f>
        <v>1</v>
      </c>
      <c r="J27" s="11" t="b">
        <f aca="false">TRUE()</f>
        <v>1</v>
      </c>
      <c r="K27" s="11" t="s">
        <v>1677</v>
      </c>
      <c r="L27" s="11" t="s">
        <v>1678</v>
      </c>
      <c r="M27" s="11" t="s">
        <v>1043</v>
      </c>
      <c r="N27" s="11" t="s">
        <v>1046</v>
      </c>
      <c r="O27" s="11" t="n">
        <v>10</v>
      </c>
      <c r="P27" s="12" t="s">
        <v>115</v>
      </c>
      <c r="Q27" s="12" t="n">
        <f aca="false">COUNTIF($A$6:$A$172,A27)</f>
        <v>1</v>
      </c>
    </row>
    <row r="28" customFormat="false" ht="220" hidden="false" customHeight="true" outlineLevel="0" collapsed="false">
      <c r="A28" s="11" t="s">
        <v>1047</v>
      </c>
      <c r="B28" s="11" t="s">
        <v>550</v>
      </c>
      <c r="C28" s="11" t="s">
        <v>1047</v>
      </c>
      <c r="D28" s="11" t="s">
        <v>1048</v>
      </c>
      <c r="E28" s="11" t="s">
        <v>1670</v>
      </c>
      <c r="F28" s="11" t="s">
        <v>965</v>
      </c>
      <c r="G28" s="11" t="b">
        <f aca="false">TRUE()</f>
        <v>1</v>
      </c>
      <c r="H28" s="11" t="b">
        <f aca="false">FALSE()</f>
        <v>0</v>
      </c>
      <c r="I28" s="11" t="b">
        <f aca="false">TRUE()</f>
        <v>1</v>
      </c>
      <c r="J28" s="11" t="b">
        <f aca="false">FALSE()</f>
        <v>0</v>
      </c>
      <c r="K28" s="11" t="s">
        <v>1679</v>
      </c>
      <c r="L28" s="11" t="s">
        <v>1680</v>
      </c>
      <c r="M28" s="11" t="s">
        <v>1047</v>
      </c>
      <c r="N28" s="11"/>
      <c r="O28" s="11" t="n">
        <v>10</v>
      </c>
      <c r="P28" s="12" t="s">
        <v>115</v>
      </c>
      <c r="Q28" s="12" t="n">
        <f aca="false">COUNTIF($A$6:$A$172,A28)</f>
        <v>1</v>
      </c>
    </row>
    <row r="29" customFormat="false" ht="220" hidden="false" customHeight="true" outlineLevel="0" collapsed="false">
      <c r="A29" s="11" t="s">
        <v>1050</v>
      </c>
      <c r="B29" s="11" t="s">
        <v>613</v>
      </c>
      <c r="C29" s="11" t="s">
        <v>1050</v>
      </c>
      <c r="D29" s="11" t="s">
        <v>1051</v>
      </c>
      <c r="E29" s="11" t="s">
        <v>1670</v>
      </c>
      <c r="F29" s="11" t="s">
        <v>965</v>
      </c>
      <c r="G29" s="11" t="b">
        <f aca="false">TRUE()</f>
        <v>1</v>
      </c>
      <c r="H29" s="11" t="b">
        <f aca="false">FALSE()</f>
        <v>0</v>
      </c>
      <c r="I29" s="11" t="b">
        <f aca="false">TRUE()</f>
        <v>1</v>
      </c>
      <c r="J29" s="11" t="b">
        <f aca="false">FALSE()</f>
        <v>0</v>
      </c>
      <c r="K29" s="11" t="s">
        <v>1681</v>
      </c>
      <c r="L29" s="11" t="s">
        <v>1682</v>
      </c>
      <c r="M29" s="11" t="s">
        <v>1050</v>
      </c>
      <c r="N29" s="11"/>
      <c r="O29" s="11" t="n">
        <v>10</v>
      </c>
      <c r="P29" s="12" t="s">
        <v>115</v>
      </c>
      <c r="Q29" s="12" t="n">
        <f aca="false">COUNTIF($A$6:$A$172,A29)</f>
        <v>1</v>
      </c>
    </row>
    <row r="30" customFormat="false" ht="220" hidden="false" customHeight="true" outlineLevel="0" collapsed="false">
      <c r="A30" s="11" t="s">
        <v>1052</v>
      </c>
      <c r="B30" s="11" t="s">
        <v>613</v>
      </c>
      <c r="C30" s="11" t="s">
        <v>1052</v>
      </c>
      <c r="D30" s="11" t="s">
        <v>1053</v>
      </c>
      <c r="E30" s="11" t="s">
        <v>1670</v>
      </c>
      <c r="F30" s="11" t="s">
        <v>965</v>
      </c>
      <c r="G30" s="11" t="b">
        <f aca="false">FALSE()</f>
        <v>0</v>
      </c>
      <c r="H30" s="11" t="b">
        <f aca="false">FALSE()</f>
        <v>0</v>
      </c>
      <c r="I30" s="11" t="b">
        <f aca="false">TRUE()</f>
        <v>1</v>
      </c>
      <c r="J30" s="11" t="b">
        <f aca="false">FALSE()</f>
        <v>0</v>
      </c>
      <c r="K30" s="11" t="s">
        <v>1683</v>
      </c>
      <c r="L30" s="11" t="s">
        <v>1684</v>
      </c>
      <c r="M30" s="11" t="s">
        <v>1052</v>
      </c>
      <c r="N30" s="11" t="s">
        <v>1055</v>
      </c>
      <c r="O30" s="11" t="n">
        <v>10</v>
      </c>
      <c r="P30" s="12" t="s">
        <v>115</v>
      </c>
      <c r="Q30" s="12" t="n">
        <f aca="false">COUNTIF($A$6:$A$172,A30)</f>
        <v>1</v>
      </c>
    </row>
    <row r="31" customFormat="false" ht="220" hidden="false" customHeight="true" outlineLevel="0" collapsed="false">
      <c r="A31" s="11" t="s">
        <v>1056</v>
      </c>
      <c r="B31" s="11" t="s">
        <v>613</v>
      </c>
      <c r="C31" s="11" t="s">
        <v>1056</v>
      </c>
      <c r="D31" s="11" t="s">
        <v>1057</v>
      </c>
      <c r="E31" s="11" t="s">
        <v>1640</v>
      </c>
      <c r="F31" s="11" t="s">
        <v>965</v>
      </c>
      <c r="G31" s="11" t="b">
        <f aca="false">TRUE()</f>
        <v>1</v>
      </c>
      <c r="H31" s="11" t="b">
        <f aca="false">TRUE()</f>
        <v>1</v>
      </c>
      <c r="I31" s="11" t="b">
        <f aca="false">TRUE()</f>
        <v>1</v>
      </c>
      <c r="J31" s="11" t="b">
        <f aca="false">TRUE()</f>
        <v>1</v>
      </c>
      <c r="K31" s="11" t="s">
        <v>1685</v>
      </c>
      <c r="L31" s="11" t="s">
        <v>1686</v>
      </c>
      <c r="M31" s="11" t="s">
        <v>1056</v>
      </c>
      <c r="N31" s="11"/>
      <c r="O31" s="11" t="n">
        <v>10</v>
      </c>
      <c r="P31" s="12" t="s">
        <v>115</v>
      </c>
      <c r="Q31" s="12" t="n">
        <f aca="false">COUNTIF($A$6:$A$172,A31)</f>
        <v>1</v>
      </c>
    </row>
    <row r="32" customFormat="false" ht="220" hidden="false" customHeight="true" outlineLevel="0" collapsed="false">
      <c r="A32" s="11" t="s">
        <v>1059</v>
      </c>
      <c r="B32" s="11" t="s">
        <v>613</v>
      </c>
      <c r="C32" s="11" t="s">
        <v>1059</v>
      </c>
      <c r="D32" s="11" t="s">
        <v>1060</v>
      </c>
      <c r="E32" s="11" t="s">
        <v>1670</v>
      </c>
      <c r="F32" s="11" t="s">
        <v>965</v>
      </c>
      <c r="G32" s="11" t="b">
        <f aca="false">TRUE()</f>
        <v>1</v>
      </c>
      <c r="H32" s="11" t="b">
        <f aca="false">FALSE()</f>
        <v>0</v>
      </c>
      <c r="I32" s="11" t="b">
        <f aca="false">FALSE()</f>
        <v>0</v>
      </c>
      <c r="J32" s="11" t="b">
        <f aca="false">FALSE()</f>
        <v>0</v>
      </c>
      <c r="K32" s="11" t="s">
        <v>1687</v>
      </c>
      <c r="L32" s="11" t="s">
        <v>1649</v>
      </c>
      <c r="M32" s="11" t="s">
        <v>1059</v>
      </c>
      <c r="N32" s="11" t="s">
        <v>1062</v>
      </c>
      <c r="O32" s="11" t="n">
        <v>10</v>
      </c>
      <c r="P32" s="12" t="s">
        <v>115</v>
      </c>
      <c r="Q32" s="12" t="n">
        <f aca="false">COUNTIF($A$6:$A$172,A32)</f>
        <v>1</v>
      </c>
    </row>
    <row r="33" customFormat="false" ht="220" hidden="false" customHeight="true" outlineLevel="0" collapsed="false">
      <c r="A33" s="11" t="s">
        <v>1063</v>
      </c>
      <c r="B33" s="11" t="s">
        <v>613</v>
      </c>
      <c r="C33" s="11" t="s">
        <v>1063</v>
      </c>
      <c r="D33" s="11" t="s">
        <v>1064</v>
      </c>
      <c r="E33" s="11" t="s">
        <v>1640</v>
      </c>
      <c r="F33" s="11" t="s">
        <v>965</v>
      </c>
      <c r="G33" s="11" t="b">
        <f aca="false">TRUE()</f>
        <v>1</v>
      </c>
      <c r="H33" s="11" t="b">
        <f aca="false">TRUE()</f>
        <v>1</v>
      </c>
      <c r="I33" s="11" t="b">
        <f aca="false">FALSE()</f>
        <v>0</v>
      </c>
      <c r="J33" s="11" t="b">
        <f aca="false">FALSE()</f>
        <v>0</v>
      </c>
      <c r="K33" s="11" t="s">
        <v>1688</v>
      </c>
      <c r="L33" s="11" t="s">
        <v>1649</v>
      </c>
      <c r="M33" s="11" t="s">
        <v>1063</v>
      </c>
      <c r="N33" s="11"/>
      <c r="O33" s="11" t="n">
        <v>10</v>
      </c>
      <c r="P33" s="12" t="s">
        <v>115</v>
      </c>
      <c r="Q33" s="12" t="n">
        <f aca="false">COUNTIF($A$6:$A$172,A33)</f>
        <v>1</v>
      </c>
    </row>
    <row r="34" customFormat="false" ht="220" hidden="false" customHeight="true" outlineLevel="0" collapsed="false">
      <c r="A34" s="11" t="s">
        <v>1066</v>
      </c>
      <c r="B34" s="11" t="s">
        <v>613</v>
      </c>
      <c r="C34" s="11" t="s">
        <v>1066</v>
      </c>
      <c r="D34" s="11" t="s">
        <v>1067</v>
      </c>
      <c r="E34" s="11" t="s">
        <v>1640</v>
      </c>
      <c r="F34" s="11" t="s">
        <v>965</v>
      </c>
      <c r="G34" s="11" t="b">
        <f aca="false">TRUE()</f>
        <v>1</v>
      </c>
      <c r="H34" s="11" t="b">
        <f aca="false">TRUE()</f>
        <v>1</v>
      </c>
      <c r="I34" s="11" t="b">
        <f aca="false">TRUE()</f>
        <v>1</v>
      </c>
      <c r="J34" s="11" t="b">
        <f aca="false">TRUE()</f>
        <v>1</v>
      </c>
      <c r="K34" s="11" t="s">
        <v>1689</v>
      </c>
      <c r="L34" s="11" t="s">
        <v>1690</v>
      </c>
      <c r="M34" s="11" t="s">
        <v>1066</v>
      </c>
      <c r="N34" s="11" t="s">
        <v>1069</v>
      </c>
      <c r="O34" s="11" t="n">
        <v>10</v>
      </c>
      <c r="P34" s="12" t="s">
        <v>115</v>
      </c>
      <c r="Q34" s="12" t="n">
        <f aca="false">COUNTIF($A$6:$A$172,A34)</f>
        <v>1</v>
      </c>
    </row>
    <row r="35" customFormat="false" ht="220" hidden="false" customHeight="true" outlineLevel="0" collapsed="false">
      <c r="A35" s="11" t="s">
        <v>1070</v>
      </c>
      <c r="B35" s="11" t="s">
        <v>618</v>
      </c>
      <c r="C35" s="11" t="s">
        <v>1070</v>
      </c>
      <c r="D35" s="11" t="s">
        <v>1071</v>
      </c>
      <c r="E35" s="11" t="s">
        <v>1670</v>
      </c>
      <c r="F35" s="11" t="s">
        <v>965</v>
      </c>
      <c r="G35" s="11" t="b">
        <f aca="false">TRUE()</f>
        <v>1</v>
      </c>
      <c r="H35" s="11" t="b">
        <f aca="false">FALSE()</f>
        <v>0</v>
      </c>
      <c r="I35" s="11" t="b">
        <f aca="false">TRUE()</f>
        <v>1</v>
      </c>
      <c r="J35" s="11" t="b">
        <f aca="false">FALSE()</f>
        <v>0</v>
      </c>
      <c r="K35" s="11" t="s">
        <v>1691</v>
      </c>
      <c r="L35" s="11" t="s">
        <v>1692</v>
      </c>
      <c r="M35" s="11" t="s">
        <v>1070</v>
      </c>
      <c r="N35" s="11"/>
      <c r="O35" s="11" t="n">
        <v>10</v>
      </c>
      <c r="P35" s="12" t="s">
        <v>115</v>
      </c>
      <c r="Q35" s="12" t="n">
        <f aca="false">COUNTIF($A$6:$A$172,A35)</f>
        <v>1</v>
      </c>
    </row>
    <row r="36" customFormat="false" ht="220" hidden="false" customHeight="true" outlineLevel="0" collapsed="false">
      <c r="A36" s="11" t="s">
        <v>1072</v>
      </c>
      <c r="B36" s="11" t="s">
        <v>618</v>
      </c>
      <c r="C36" s="11" t="s">
        <v>1072</v>
      </c>
      <c r="D36" s="11" t="s">
        <v>1073</v>
      </c>
      <c r="E36" s="11" t="s">
        <v>1670</v>
      </c>
      <c r="F36" s="11" t="s">
        <v>965</v>
      </c>
      <c r="G36" s="11" t="b">
        <f aca="false">TRUE()</f>
        <v>1</v>
      </c>
      <c r="H36" s="11" t="b">
        <f aca="false">FALSE()</f>
        <v>0</v>
      </c>
      <c r="I36" s="11" t="b">
        <f aca="false">TRUE()</f>
        <v>1</v>
      </c>
      <c r="J36" s="11" t="b">
        <f aca="false">FALSE()</f>
        <v>0</v>
      </c>
      <c r="K36" s="11" t="s">
        <v>1693</v>
      </c>
      <c r="L36" s="11" t="s">
        <v>1694</v>
      </c>
      <c r="M36" s="11" t="s">
        <v>1072</v>
      </c>
      <c r="N36" s="11"/>
      <c r="O36" s="11" t="n">
        <v>10</v>
      </c>
      <c r="P36" s="12" t="s">
        <v>115</v>
      </c>
      <c r="Q36" s="12" t="n">
        <f aca="false">COUNTIF($A$6:$A$172,A36)</f>
        <v>1</v>
      </c>
    </row>
    <row r="37" customFormat="false" ht="220" hidden="false" customHeight="true" outlineLevel="0" collapsed="false">
      <c r="A37" s="11" t="s">
        <v>1075</v>
      </c>
      <c r="B37" s="11" t="s">
        <v>618</v>
      </c>
      <c r="C37" s="11" t="s">
        <v>1075</v>
      </c>
      <c r="D37" s="11" t="s">
        <v>1076</v>
      </c>
      <c r="E37" s="11" t="s">
        <v>1670</v>
      </c>
      <c r="F37" s="11" t="s">
        <v>965</v>
      </c>
      <c r="G37" s="11" t="b">
        <f aca="false">TRUE()</f>
        <v>1</v>
      </c>
      <c r="H37" s="11" t="b">
        <f aca="false">FALSE()</f>
        <v>0</v>
      </c>
      <c r="I37" s="11" t="b">
        <f aca="false">TRUE()</f>
        <v>1</v>
      </c>
      <c r="J37" s="11" t="b">
        <f aca="false">FALSE()</f>
        <v>0</v>
      </c>
      <c r="K37" s="11" t="s">
        <v>1695</v>
      </c>
      <c r="L37" s="11" t="s">
        <v>1696</v>
      </c>
      <c r="M37" s="11" t="s">
        <v>1075</v>
      </c>
      <c r="N37" s="11"/>
      <c r="O37" s="11" t="n">
        <v>10</v>
      </c>
      <c r="P37" s="12" t="s">
        <v>115</v>
      </c>
      <c r="Q37" s="12" t="n">
        <f aca="false">COUNTIF($A$6:$A$172,A37)</f>
        <v>1</v>
      </c>
    </row>
    <row r="38" customFormat="false" ht="220" hidden="false" customHeight="true" outlineLevel="0" collapsed="false">
      <c r="A38" s="11" t="s">
        <v>1078</v>
      </c>
      <c r="B38" s="11" t="s">
        <v>618</v>
      </c>
      <c r="C38" s="11" t="s">
        <v>1078</v>
      </c>
      <c r="D38" s="11" t="s">
        <v>1079</v>
      </c>
      <c r="E38" s="11" t="s">
        <v>1670</v>
      </c>
      <c r="F38" s="11" t="s">
        <v>965</v>
      </c>
      <c r="G38" s="11" t="b">
        <f aca="false">TRUE()</f>
        <v>1</v>
      </c>
      <c r="H38" s="11" t="b">
        <f aca="false">FALSE()</f>
        <v>0</v>
      </c>
      <c r="I38" s="11" t="b">
        <f aca="false">TRUE()</f>
        <v>1</v>
      </c>
      <c r="J38" s="11" t="b">
        <f aca="false">FALSE()</f>
        <v>0</v>
      </c>
      <c r="K38" s="11" t="s">
        <v>1697</v>
      </c>
      <c r="L38" s="11" t="s">
        <v>1698</v>
      </c>
      <c r="M38" s="11" t="s">
        <v>1078</v>
      </c>
      <c r="N38" s="11"/>
      <c r="O38" s="11" t="n">
        <v>10</v>
      </c>
      <c r="P38" s="12" t="s">
        <v>115</v>
      </c>
      <c r="Q38" s="12" t="n">
        <f aca="false">COUNTIF($A$6:$A$172,A38)</f>
        <v>1</v>
      </c>
    </row>
    <row r="39" customFormat="false" ht="220" hidden="false" customHeight="true" outlineLevel="0" collapsed="false">
      <c r="A39" s="11" t="s">
        <v>1081</v>
      </c>
      <c r="B39" s="11" t="s">
        <v>618</v>
      </c>
      <c r="C39" s="11" t="s">
        <v>1081</v>
      </c>
      <c r="D39" s="11" t="s">
        <v>1082</v>
      </c>
      <c r="E39" s="11" t="s">
        <v>1670</v>
      </c>
      <c r="F39" s="11" t="s">
        <v>965</v>
      </c>
      <c r="G39" s="11" t="b">
        <f aca="false">TRUE()</f>
        <v>1</v>
      </c>
      <c r="H39" s="11" t="b">
        <f aca="false">FALSE()</f>
        <v>0</v>
      </c>
      <c r="I39" s="11" t="b">
        <f aca="false">TRUE()</f>
        <v>1</v>
      </c>
      <c r="J39" s="11" t="b">
        <f aca="false">FALSE()</f>
        <v>0</v>
      </c>
      <c r="K39" s="11" t="s">
        <v>1699</v>
      </c>
      <c r="L39" s="11" t="s">
        <v>1700</v>
      </c>
      <c r="M39" s="11" t="s">
        <v>1081</v>
      </c>
      <c r="N39" s="11"/>
      <c r="O39" s="11" t="n">
        <v>10</v>
      </c>
      <c r="P39" s="12" t="s">
        <v>115</v>
      </c>
      <c r="Q39" s="12" t="n">
        <f aca="false">COUNTIF($A$6:$A$172,A39)</f>
        <v>1</v>
      </c>
    </row>
    <row r="40" customFormat="false" ht="220" hidden="false" customHeight="true" outlineLevel="0" collapsed="false">
      <c r="A40" s="11" t="s">
        <v>1084</v>
      </c>
      <c r="B40" s="11" t="s">
        <v>618</v>
      </c>
      <c r="C40" s="11" t="s">
        <v>1084</v>
      </c>
      <c r="D40" s="11" t="s">
        <v>1085</v>
      </c>
      <c r="E40" s="11" t="s">
        <v>1640</v>
      </c>
      <c r="F40" s="11" t="s">
        <v>965</v>
      </c>
      <c r="G40" s="11" t="b">
        <f aca="false">TRUE()</f>
        <v>1</v>
      </c>
      <c r="H40" s="11" t="b">
        <f aca="false">TRUE()</f>
        <v>1</v>
      </c>
      <c r="I40" s="11" t="b">
        <f aca="false">FALSE()</f>
        <v>0</v>
      </c>
      <c r="J40" s="11" t="b">
        <f aca="false">FALSE()</f>
        <v>0</v>
      </c>
      <c r="K40" s="11" t="s">
        <v>1701</v>
      </c>
      <c r="L40" s="11" t="s">
        <v>1649</v>
      </c>
      <c r="M40" s="11" t="s">
        <v>1084</v>
      </c>
      <c r="N40" s="11" t="s">
        <v>1087</v>
      </c>
      <c r="O40" s="11" t="n">
        <v>10</v>
      </c>
      <c r="P40" s="12" t="s">
        <v>115</v>
      </c>
      <c r="Q40" s="12" t="n">
        <f aca="false">COUNTIF($A$6:$A$172,A40)</f>
        <v>1</v>
      </c>
    </row>
    <row r="41" customFormat="false" ht="220" hidden="false" customHeight="true" outlineLevel="0" collapsed="false">
      <c r="A41" s="11" t="s">
        <v>1088</v>
      </c>
      <c r="B41" s="11" t="s">
        <v>553</v>
      </c>
      <c r="C41" s="11" t="s">
        <v>1088</v>
      </c>
      <c r="D41" s="11" t="s">
        <v>1089</v>
      </c>
      <c r="E41" s="11" t="s">
        <v>1640</v>
      </c>
      <c r="F41" s="11" t="s">
        <v>965</v>
      </c>
      <c r="G41" s="11" t="b">
        <f aca="false">TRUE()</f>
        <v>1</v>
      </c>
      <c r="H41" s="11" t="b">
        <f aca="false">TRUE()</f>
        <v>1</v>
      </c>
      <c r="I41" s="11" t="b">
        <f aca="false">TRUE()</f>
        <v>1</v>
      </c>
      <c r="J41" s="11" t="b">
        <f aca="false">TRUE()</f>
        <v>1</v>
      </c>
      <c r="K41" s="11" t="s">
        <v>1702</v>
      </c>
      <c r="L41" s="11" t="s">
        <v>1703</v>
      </c>
      <c r="M41" s="11" t="s">
        <v>1088</v>
      </c>
      <c r="N41" s="11" t="s">
        <v>1090</v>
      </c>
      <c r="O41" s="11" t="n">
        <v>10</v>
      </c>
      <c r="P41" s="12" t="s">
        <v>115</v>
      </c>
      <c r="Q41" s="12" t="n">
        <f aca="false">COUNTIF($A$6:$A$172,A41)</f>
        <v>1</v>
      </c>
    </row>
    <row r="42" customFormat="false" ht="220" hidden="false" customHeight="true" outlineLevel="0" collapsed="false">
      <c r="A42" s="11" t="s">
        <v>1091</v>
      </c>
      <c r="B42" s="11" t="s">
        <v>553</v>
      </c>
      <c r="C42" s="11" t="s">
        <v>1091</v>
      </c>
      <c r="D42" s="11" t="s">
        <v>1092</v>
      </c>
      <c r="E42" s="11" t="s">
        <v>1670</v>
      </c>
      <c r="F42" s="11" t="s">
        <v>965</v>
      </c>
      <c r="G42" s="11" t="b">
        <f aca="false">TRUE()</f>
        <v>1</v>
      </c>
      <c r="H42" s="11" t="b">
        <f aca="false">FALSE()</f>
        <v>0</v>
      </c>
      <c r="I42" s="11" t="b">
        <f aca="false">TRUE()</f>
        <v>1</v>
      </c>
      <c r="J42" s="11" t="b">
        <f aca="false">FALSE()</f>
        <v>0</v>
      </c>
      <c r="K42" s="11" t="s">
        <v>1704</v>
      </c>
      <c r="L42" s="11" t="s">
        <v>1705</v>
      </c>
      <c r="M42" s="11" t="s">
        <v>1091</v>
      </c>
      <c r="N42" s="11" t="s">
        <v>1094</v>
      </c>
      <c r="O42" s="11" t="n">
        <v>10</v>
      </c>
      <c r="P42" s="12" t="s">
        <v>115</v>
      </c>
      <c r="Q42" s="12" t="n">
        <f aca="false">COUNTIF($A$6:$A$172,A42)</f>
        <v>1</v>
      </c>
    </row>
    <row r="43" customFormat="false" ht="220" hidden="false" customHeight="true" outlineLevel="0" collapsed="false">
      <c r="A43" s="11" t="s">
        <v>1095</v>
      </c>
      <c r="B43" s="11" t="s">
        <v>553</v>
      </c>
      <c r="C43" s="11" t="s">
        <v>1095</v>
      </c>
      <c r="D43" s="11" t="s">
        <v>1096</v>
      </c>
      <c r="E43" s="11" t="s">
        <v>1640</v>
      </c>
      <c r="F43" s="11" t="s">
        <v>965</v>
      </c>
      <c r="G43" s="11" t="b">
        <f aca="false">TRUE()</f>
        <v>1</v>
      </c>
      <c r="H43" s="11" t="b">
        <f aca="false">TRUE()</f>
        <v>1</v>
      </c>
      <c r="I43" s="11" t="b">
        <f aca="false">TRUE()</f>
        <v>1</v>
      </c>
      <c r="J43" s="11" t="b">
        <f aca="false">TRUE()</f>
        <v>1</v>
      </c>
      <c r="K43" s="11" t="s">
        <v>1706</v>
      </c>
      <c r="L43" s="11" t="s">
        <v>1707</v>
      </c>
      <c r="M43" s="11" t="s">
        <v>1095</v>
      </c>
      <c r="N43" s="11"/>
      <c r="O43" s="11" t="n">
        <v>10</v>
      </c>
      <c r="P43" s="12" t="s">
        <v>115</v>
      </c>
      <c r="Q43" s="12" t="n">
        <f aca="false">COUNTIF($A$6:$A$172,A43)</f>
        <v>1</v>
      </c>
    </row>
    <row r="44" customFormat="false" ht="220" hidden="false" customHeight="true" outlineLevel="0" collapsed="false">
      <c r="A44" s="11" t="s">
        <v>1098</v>
      </c>
      <c r="B44" s="11" t="s">
        <v>553</v>
      </c>
      <c r="C44" s="11" t="s">
        <v>1098</v>
      </c>
      <c r="D44" s="11" t="s">
        <v>1099</v>
      </c>
      <c r="E44" s="11" t="s">
        <v>1640</v>
      </c>
      <c r="F44" s="11" t="s">
        <v>965</v>
      </c>
      <c r="G44" s="11" t="b">
        <f aca="false">TRUE()</f>
        <v>1</v>
      </c>
      <c r="H44" s="11" t="b">
        <f aca="false">TRUE()</f>
        <v>1</v>
      </c>
      <c r="I44" s="11" t="b">
        <f aca="false">FALSE()</f>
        <v>0</v>
      </c>
      <c r="J44" s="11" t="b">
        <f aca="false">FALSE()</f>
        <v>0</v>
      </c>
      <c r="K44" s="11" t="s">
        <v>1708</v>
      </c>
      <c r="L44" s="11" t="s">
        <v>1649</v>
      </c>
      <c r="M44" s="11" t="s">
        <v>1098</v>
      </c>
      <c r="N44" s="11" t="s">
        <v>1101</v>
      </c>
      <c r="O44" s="11" t="n">
        <v>10</v>
      </c>
      <c r="P44" s="12" t="s">
        <v>115</v>
      </c>
      <c r="Q44" s="12" t="n">
        <f aca="false">COUNTIF($A$6:$A$172,A44)</f>
        <v>1</v>
      </c>
    </row>
    <row r="45" customFormat="false" ht="220" hidden="false" customHeight="true" outlineLevel="0" collapsed="false">
      <c r="A45" s="11" t="s">
        <v>1102</v>
      </c>
      <c r="B45" s="11" t="s">
        <v>553</v>
      </c>
      <c r="C45" s="11" t="s">
        <v>1102</v>
      </c>
      <c r="D45" s="11" t="s">
        <v>1103</v>
      </c>
      <c r="E45" s="11" t="s">
        <v>1670</v>
      </c>
      <c r="F45" s="11" t="s">
        <v>965</v>
      </c>
      <c r="G45" s="11" t="b">
        <f aca="false">TRUE()</f>
        <v>1</v>
      </c>
      <c r="H45" s="11" t="b">
        <f aca="false">FALSE()</f>
        <v>0</v>
      </c>
      <c r="I45" s="11" t="b">
        <f aca="false">TRUE()</f>
        <v>1</v>
      </c>
      <c r="J45" s="11" t="b">
        <f aca="false">FALSE()</f>
        <v>0</v>
      </c>
      <c r="K45" s="11" t="s">
        <v>1709</v>
      </c>
      <c r="L45" s="11" t="s">
        <v>1710</v>
      </c>
      <c r="M45" s="11" t="s">
        <v>1102</v>
      </c>
      <c r="N45" s="11" t="s">
        <v>1105</v>
      </c>
      <c r="O45" s="11" t="n">
        <v>10</v>
      </c>
      <c r="P45" s="12" t="s">
        <v>115</v>
      </c>
      <c r="Q45" s="12" t="n">
        <f aca="false">COUNTIF($A$6:$A$172,A45)</f>
        <v>1</v>
      </c>
    </row>
    <row r="46" customFormat="false" ht="220" hidden="false" customHeight="true" outlineLevel="0" collapsed="false">
      <c r="A46" s="11" t="s">
        <v>1106</v>
      </c>
      <c r="B46" s="11" t="s">
        <v>553</v>
      </c>
      <c r="C46" s="11" t="s">
        <v>1106</v>
      </c>
      <c r="D46" s="11" t="s">
        <v>1107</v>
      </c>
      <c r="E46" s="11" t="s">
        <v>1640</v>
      </c>
      <c r="F46" s="11" t="s">
        <v>965</v>
      </c>
      <c r="G46" s="11" t="b">
        <f aca="false">TRUE()</f>
        <v>1</v>
      </c>
      <c r="H46" s="11" t="b">
        <f aca="false">TRUE()</f>
        <v>1</v>
      </c>
      <c r="I46" s="11" t="b">
        <f aca="false">FALSE()</f>
        <v>0</v>
      </c>
      <c r="J46" s="11" t="b">
        <f aca="false">FALSE()</f>
        <v>0</v>
      </c>
      <c r="K46" s="11" t="s">
        <v>1711</v>
      </c>
      <c r="L46" s="11" t="s">
        <v>1649</v>
      </c>
      <c r="M46" s="11" t="s">
        <v>1106</v>
      </c>
      <c r="N46" s="11" t="s">
        <v>1109</v>
      </c>
      <c r="O46" s="11" t="n">
        <v>10</v>
      </c>
      <c r="P46" s="12" t="s">
        <v>115</v>
      </c>
      <c r="Q46" s="12" t="n">
        <f aca="false">COUNTIF($A$6:$A$172,A46)</f>
        <v>1</v>
      </c>
    </row>
    <row r="47" customFormat="false" ht="220" hidden="false" customHeight="true" outlineLevel="0" collapsed="false">
      <c r="A47" s="11" t="s">
        <v>1110</v>
      </c>
      <c r="B47" s="11" t="s">
        <v>628</v>
      </c>
      <c r="C47" s="11" t="s">
        <v>1110</v>
      </c>
      <c r="D47" s="11" t="s">
        <v>1111</v>
      </c>
      <c r="E47" s="11" t="s">
        <v>1670</v>
      </c>
      <c r="F47" s="11" t="s">
        <v>965</v>
      </c>
      <c r="G47" s="11" t="b">
        <f aca="false">TRUE()</f>
        <v>1</v>
      </c>
      <c r="H47" s="11" t="b">
        <f aca="false">FALSE()</f>
        <v>0</v>
      </c>
      <c r="I47" s="11" t="b">
        <f aca="false">TRUE()</f>
        <v>1</v>
      </c>
      <c r="J47" s="11" t="b">
        <f aca="false">FALSE()</f>
        <v>0</v>
      </c>
      <c r="K47" s="11" t="s">
        <v>1712</v>
      </c>
      <c r="L47" s="11" t="s">
        <v>1713</v>
      </c>
      <c r="M47" s="11" t="s">
        <v>1110</v>
      </c>
      <c r="N47" s="11" t="s">
        <v>1112</v>
      </c>
      <c r="O47" s="11" t="n">
        <v>10</v>
      </c>
      <c r="P47" s="12" t="s">
        <v>115</v>
      </c>
      <c r="Q47" s="12" t="n">
        <f aca="false">COUNTIF($A$6:$A$172,A47)</f>
        <v>1</v>
      </c>
    </row>
    <row r="48" customFormat="false" ht="220" hidden="false" customHeight="true" outlineLevel="0" collapsed="false">
      <c r="A48" s="11" t="s">
        <v>1113</v>
      </c>
      <c r="B48" s="11" t="s">
        <v>628</v>
      </c>
      <c r="C48" s="11" t="s">
        <v>1113</v>
      </c>
      <c r="D48" s="11" t="s">
        <v>1114</v>
      </c>
      <c r="E48" s="11" t="s">
        <v>1670</v>
      </c>
      <c r="F48" s="11" t="s">
        <v>965</v>
      </c>
      <c r="G48" s="11" t="b">
        <f aca="false">TRUE()</f>
        <v>1</v>
      </c>
      <c r="H48" s="11" t="b">
        <f aca="false">FALSE()</f>
        <v>0</v>
      </c>
      <c r="I48" s="11" t="b">
        <f aca="false">FALSE()</f>
        <v>0</v>
      </c>
      <c r="J48" s="11" t="b">
        <f aca="false">FALSE()</f>
        <v>0</v>
      </c>
      <c r="K48" s="11" t="s">
        <v>1714</v>
      </c>
      <c r="L48" s="11" t="s">
        <v>1649</v>
      </c>
      <c r="M48" s="11" t="s">
        <v>1113</v>
      </c>
      <c r="N48" s="11" t="s">
        <v>1116</v>
      </c>
      <c r="O48" s="11" t="n">
        <v>10</v>
      </c>
      <c r="P48" s="12" t="s">
        <v>115</v>
      </c>
      <c r="Q48" s="12" t="n">
        <f aca="false">COUNTIF($A$6:$A$172,A48)</f>
        <v>1</v>
      </c>
    </row>
    <row r="49" customFormat="false" ht="220" hidden="false" customHeight="true" outlineLevel="0" collapsed="false">
      <c r="A49" s="11" t="s">
        <v>1117</v>
      </c>
      <c r="B49" s="11" t="s">
        <v>628</v>
      </c>
      <c r="C49" s="11" t="s">
        <v>1117</v>
      </c>
      <c r="D49" s="11" t="s">
        <v>1118</v>
      </c>
      <c r="E49" s="11" t="s">
        <v>1640</v>
      </c>
      <c r="F49" s="11" t="s">
        <v>965</v>
      </c>
      <c r="G49" s="11" t="b">
        <f aca="false">TRUE()</f>
        <v>1</v>
      </c>
      <c r="H49" s="11" t="b">
        <f aca="false">TRUE()</f>
        <v>1</v>
      </c>
      <c r="I49" s="11" t="b">
        <f aca="false">FALSE()</f>
        <v>0</v>
      </c>
      <c r="J49" s="11" t="b">
        <f aca="false">FALSE()</f>
        <v>0</v>
      </c>
      <c r="K49" s="11" t="s">
        <v>1715</v>
      </c>
      <c r="L49" s="11" t="s">
        <v>1649</v>
      </c>
      <c r="M49" s="11" t="s">
        <v>1117</v>
      </c>
      <c r="N49" s="11" t="s">
        <v>1120</v>
      </c>
      <c r="O49" s="11" t="n">
        <v>10</v>
      </c>
      <c r="P49" s="12" t="s">
        <v>115</v>
      </c>
      <c r="Q49" s="12" t="n">
        <f aca="false">COUNTIF($A$6:$A$172,A49)</f>
        <v>1</v>
      </c>
    </row>
    <row r="50" customFormat="false" ht="220" hidden="false" customHeight="true" outlineLevel="0" collapsed="false">
      <c r="A50" s="11" t="s">
        <v>1121</v>
      </c>
      <c r="B50" s="11" t="s">
        <v>628</v>
      </c>
      <c r="C50" s="11" t="s">
        <v>1121</v>
      </c>
      <c r="D50" s="11" t="s">
        <v>1122</v>
      </c>
      <c r="E50" s="11" t="s">
        <v>1670</v>
      </c>
      <c r="F50" s="11" t="s">
        <v>965</v>
      </c>
      <c r="G50" s="11" t="b">
        <f aca="false">TRUE()</f>
        <v>1</v>
      </c>
      <c r="H50" s="11" t="b">
        <f aca="false">FALSE()</f>
        <v>0</v>
      </c>
      <c r="I50" s="11" t="b">
        <f aca="false">TRUE()</f>
        <v>1</v>
      </c>
      <c r="J50" s="11" t="b">
        <f aca="false">FALSE()</f>
        <v>0</v>
      </c>
      <c r="K50" s="11" t="s">
        <v>1716</v>
      </c>
      <c r="L50" s="11" t="s">
        <v>1717</v>
      </c>
      <c r="M50" s="11" t="s">
        <v>1121</v>
      </c>
      <c r="N50" s="11"/>
      <c r="O50" s="11" t="n">
        <v>10</v>
      </c>
      <c r="P50" s="12" t="s">
        <v>115</v>
      </c>
      <c r="Q50" s="12" t="n">
        <f aca="false">COUNTIF($A$6:$A$172,A50)</f>
        <v>1</v>
      </c>
    </row>
    <row r="51" customFormat="false" ht="220" hidden="false" customHeight="true" outlineLevel="0" collapsed="false">
      <c r="A51" s="11" t="s">
        <v>1124</v>
      </c>
      <c r="B51" s="11" t="s">
        <v>628</v>
      </c>
      <c r="C51" s="11" t="s">
        <v>1124</v>
      </c>
      <c r="D51" s="11" t="s">
        <v>1125</v>
      </c>
      <c r="E51" s="11" t="s">
        <v>1640</v>
      </c>
      <c r="F51" s="11" t="s">
        <v>965</v>
      </c>
      <c r="G51" s="11" t="b">
        <f aca="false">TRUE()</f>
        <v>1</v>
      </c>
      <c r="H51" s="11" t="b">
        <f aca="false">TRUE()</f>
        <v>1</v>
      </c>
      <c r="I51" s="11" t="b">
        <f aca="false">FALSE()</f>
        <v>0</v>
      </c>
      <c r="J51" s="11" t="b">
        <f aca="false">FALSE()</f>
        <v>0</v>
      </c>
      <c r="K51" s="11" t="s">
        <v>1718</v>
      </c>
      <c r="L51" s="11" t="s">
        <v>1649</v>
      </c>
      <c r="M51" s="11" t="s">
        <v>1124</v>
      </c>
      <c r="N51" s="11" t="s">
        <v>1127</v>
      </c>
      <c r="O51" s="11" t="n">
        <v>10</v>
      </c>
      <c r="P51" s="12" t="s">
        <v>115</v>
      </c>
      <c r="Q51" s="12" t="n">
        <f aca="false">COUNTIF($A$6:$A$172,A51)</f>
        <v>1</v>
      </c>
    </row>
    <row r="52" customFormat="false" ht="220" hidden="false" customHeight="true" outlineLevel="0" collapsed="false">
      <c r="A52" s="11" t="s">
        <v>1128</v>
      </c>
      <c r="B52" s="11" t="s">
        <v>628</v>
      </c>
      <c r="C52" s="11" t="s">
        <v>1128</v>
      </c>
      <c r="D52" s="11" t="s">
        <v>1129</v>
      </c>
      <c r="E52" s="11" t="s">
        <v>1670</v>
      </c>
      <c r="F52" s="11" t="s">
        <v>965</v>
      </c>
      <c r="G52" s="11" t="b">
        <f aca="false">TRUE()</f>
        <v>1</v>
      </c>
      <c r="H52" s="11" t="b">
        <f aca="false">FALSE()</f>
        <v>0</v>
      </c>
      <c r="I52" s="11" t="b">
        <f aca="false">TRUE()</f>
        <v>1</v>
      </c>
      <c r="J52" s="11" t="b">
        <f aca="false">FALSE()</f>
        <v>0</v>
      </c>
      <c r="K52" s="11" t="s">
        <v>1719</v>
      </c>
      <c r="L52" s="11" t="s">
        <v>1720</v>
      </c>
      <c r="M52" s="11" t="s">
        <v>1128</v>
      </c>
      <c r="N52" s="11"/>
      <c r="O52" s="11" t="n">
        <v>10</v>
      </c>
      <c r="P52" s="12" t="s">
        <v>115</v>
      </c>
      <c r="Q52" s="12" t="n">
        <f aca="false">COUNTIF($A$6:$A$172,A52)</f>
        <v>1</v>
      </c>
    </row>
    <row r="53" customFormat="false" ht="220" hidden="false" customHeight="true" outlineLevel="0" collapsed="false">
      <c r="A53" s="11" t="s">
        <v>1133</v>
      </c>
      <c r="B53" s="11" t="s">
        <v>628</v>
      </c>
      <c r="C53" s="11" t="s">
        <v>1133</v>
      </c>
      <c r="D53" s="11" t="s">
        <v>1134</v>
      </c>
      <c r="E53" s="11" t="s">
        <v>1670</v>
      </c>
      <c r="F53" s="11" t="s">
        <v>965</v>
      </c>
      <c r="G53" s="11" t="b">
        <f aca="false">TRUE()</f>
        <v>1</v>
      </c>
      <c r="H53" s="11" t="b">
        <f aca="false">FALSE()</f>
        <v>0</v>
      </c>
      <c r="I53" s="11" t="b">
        <f aca="false">TRUE()</f>
        <v>1</v>
      </c>
      <c r="J53" s="11" t="b">
        <f aca="false">FALSE()</f>
        <v>0</v>
      </c>
      <c r="K53" s="11" t="s">
        <v>1721</v>
      </c>
      <c r="L53" s="11" t="s">
        <v>1722</v>
      </c>
      <c r="M53" s="11" t="s">
        <v>1133</v>
      </c>
      <c r="N53" s="11" t="s">
        <v>1137</v>
      </c>
      <c r="O53" s="11" t="n">
        <v>80</v>
      </c>
      <c r="P53" s="12" t="s">
        <v>115</v>
      </c>
      <c r="Q53" s="12" t="n">
        <f aca="false">COUNTIF($A$6:$A$172,A53)</f>
        <v>1</v>
      </c>
    </row>
    <row r="54" customFormat="false" ht="220" hidden="false" customHeight="true" outlineLevel="0" collapsed="false">
      <c r="A54" s="11" t="s">
        <v>1138</v>
      </c>
      <c r="B54" s="11" t="s">
        <v>636</v>
      </c>
      <c r="C54" s="11" t="s">
        <v>1138</v>
      </c>
      <c r="D54" s="11" t="s">
        <v>1139</v>
      </c>
      <c r="E54" s="11" t="s">
        <v>1643</v>
      </c>
      <c r="F54" s="11" t="s">
        <v>965</v>
      </c>
      <c r="G54" s="11" t="b">
        <f aca="false">TRUE()</f>
        <v>1</v>
      </c>
      <c r="H54" s="11" t="b">
        <f aca="false">TRUE()</f>
        <v>1</v>
      </c>
      <c r="I54" s="11" t="b">
        <f aca="false">TRUE()</f>
        <v>1</v>
      </c>
      <c r="J54" s="11" t="b">
        <f aca="false">TRUE()</f>
        <v>1</v>
      </c>
      <c r="K54" s="11" t="s">
        <v>1723</v>
      </c>
      <c r="L54" s="11" t="s">
        <v>1724</v>
      </c>
      <c r="M54" s="11" t="s">
        <v>1140</v>
      </c>
      <c r="N54" s="11" t="s">
        <v>1141</v>
      </c>
      <c r="O54" s="11" t="n">
        <v>10</v>
      </c>
      <c r="P54" s="12" t="s">
        <v>115</v>
      </c>
      <c r="Q54" s="12" t="n">
        <f aca="false">COUNTIF($A$6:$A$172,A54)</f>
        <v>1</v>
      </c>
    </row>
    <row r="55" customFormat="false" ht="220" hidden="false" customHeight="true" outlineLevel="0" collapsed="false">
      <c r="A55" s="11" t="s">
        <v>1142</v>
      </c>
      <c r="B55" s="11" t="s">
        <v>636</v>
      </c>
      <c r="C55" s="11" t="s">
        <v>1142</v>
      </c>
      <c r="D55" s="11" t="s">
        <v>1143</v>
      </c>
      <c r="E55" s="11" t="s">
        <v>1640</v>
      </c>
      <c r="F55" s="11" t="s">
        <v>965</v>
      </c>
      <c r="G55" s="11" t="b">
        <f aca="false">TRUE()</f>
        <v>1</v>
      </c>
      <c r="H55" s="11" t="b">
        <f aca="false">TRUE()</f>
        <v>1</v>
      </c>
      <c r="I55" s="11" t="b">
        <f aca="false">FALSE()</f>
        <v>0</v>
      </c>
      <c r="J55" s="11" t="b">
        <f aca="false">FALSE()</f>
        <v>0</v>
      </c>
      <c r="K55" s="11" t="s">
        <v>1725</v>
      </c>
      <c r="L55" s="11" t="s">
        <v>1649</v>
      </c>
      <c r="M55" s="11" t="s">
        <v>1142</v>
      </c>
      <c r="N55" s="11"/>
      <c r="O55" s="11" t="n">
        <v>10</v>
      </c>
      <c r="P55" s="12" t="s">
        <v>115</v>
      </c>
      <c r="Q55" s="12" t="n">
        <f aca="false">COUNTIF($A$6:$A$172,A55)</f>
        <v>1</v>
      </c>
    </row>
    <row r="56" customFormat="false" ht="220" hidden="false" customHeight="true" outlineLevel="0" collapsed="false">
      <c r="A56" s="11" t="s">
        <v>1146</v>
      </c>
      <c r="B56" s="11" t="s">
        <v>636</v>
      </c>
      <c r="C56" s="11" t="s">
        <v>1146</v>
      </c>
      <c r="D56" s="11" t="s">
        <v>1147</v>
      </c>
      <c r="E56" s="11" t="s">
        <v>1643</v>
      </c>
      <c r="F56" s="11" t="s">
        <v>965</v>
      </c>
      <c r="G56" s="11" t="b">
        <f aca="false">TRUE()</f>
        <v>1</v>
      </c>
      <c r="H56" s="11" t="b">
        <f aca="false">TRUE()</f>
        <v>1</v>
      </c>
      <c r="I56" s="11" t="b">
        <f aca="false">TRUE()</f>
        <v>1</v>
      </c>
      <c r="J56" s="11" t="b">
        <f aca="false">TRUE()</f>
        <v>1</v>
      </c>
      <c r="K56" s="11" t="s">
        <v>1726</v>
      </c>
      <c r="L56" s="11" t="s">
        <v>1727</v>
      </c>
      <c r="M56" s="11" t="s">
        <v>1146</v>
      </c>
      <c r="N56" s="11" t="s">
        <v>1150</v>
      </c>
      <c r="O56" s="11" t="n">
        <v>10</v>
      </c>
      <c r="P56" s="12" t="s">
        <v>115</v>
      </c>
      <c r="Q56" s="12" t="n">
        <f aca="false">COUNTIF($A$6:$A$172,A56)</f>
        <v>1</v>
      </c>
    </row>
    <row r="57" customFormat="false" ht="220" hidden="false" customHeight="true" outlineLevel="0" collapsed="false">
      <c r="A57" s="11" t="s">
        <v>1151</v>
      </c>
      <c r="B57" s="11" t="s">
        <v>636</v>
      </c>
      <c r="C57" s="11" t="s">
        <v>1151</v>
      </c>
      <c r="D57" s="11" t="s">
        <v>1152</v>
      </c>
      <c r="E57" s="11" t="s">
        <v>1670</v>
      </c>
      <c r="F57" s="11" t="s">
        <v>965</v>
      </c>
      <c r="G57" s="11" t="b">
        <f aca="false">TRUE()</f>
        <v>1</v>
      </c>
      <c r="H57" s="11" t="b">
        <f aca="false">FALSE()</f>
        <v>0</v>
      </c>
      <c r="I57" s="11" t="b">
        <f aca="false">TRUE()</f>
        <v>1</v>
      </c>
      <c r="J57" s="11" t="b">
        <f aca="false">FALSE()</f>
        <v>0</v>
      </c>
      <c r="K57" s="11" t="s">
        <v>1728</v>
      </c>
      <c r="L57" s="11" t="s">
        <v>1729</v>
      </c>
      <c r="M57" s="11" t="s">
        <v>1151</v>
      </c>
      <c r="N57" s="11"/>
      <c r="O57" s="11" t="n">
        <v>10</v>
      </c>
      <c r="P57" s="12" t="s">
        <v>115</v>
      </c>
      <c r="Q57" s="12" t="n">
        <f aca="false">COUNTIF($A$6:$A$172,A57)</f>
        <v>1</v>
      </c>
    </row>
    <row r="58" customFormat="false" ht="220" hidden="false" customHeight="true" outlineLevel="0" collapsed="false">
      <c r="A58" s="11" t="s">
        <v>1154</v>
      </c>
      <c r="B58" s="11" t="s">
        <v>636</v>
      </c>
      <c r="C58" s="11" t="s">
        <v>1154</v>
      </c>
      <c r="D58" s="11" t="s">
        <v>1155</v>
      </c>
      <c r="E58" s="11" t="s">
        <v>1640</v>
      </c>
      <c r="F58" s="11" t="s">
        <v>965</v>
      </c>
      <c r="G58" s="11" t="b">
        <f aca="false">TRUE()</f>
        <v>1</v>
      </c>
      <c r="H58" s="11" t="b">
        <f aca="false">TRUE()</f>
        <v>1</v>
      </c>
      <c r="I58" s="11" t="b">
        <f aca="false">TRUE()</f>
        <v>1</v>
      </c>
      <c r="J58" s="11" t="b">
        <f aca="false">TRUE()</f>
        <v>1</v>
      </c>
      <c r="K58" s="11" t="s">
        <v>1730</v>
      </c>
      <c r="L58" s="11" t="s">
        <v>1731</v>
      </c>
      <c r="M58" s="11" t="s">
        <v>1154</v>
      </c>
      <c r="N58" s="11" t="s">
        <v>1150</v>
      </c>
      <c r="O58" s="11" t="n">
        <v>10</v>
      </c>
      <c r="P58" s="12" t="s">
        <v>115</v>
      </c>
      <c r="Q58" s="12" t="n">
        <f aca="false">COUNTIF($A$6:$A$172,A58)</f>
        <v>1</v>
      </c>
    </row>
    <row r="59" customFormat="false" ht="220" hidden="false" customHeight="true" outlineLevel="0" collapsed="false">
      <c r="A59" s="11" t="s">
        <v>1157</v>
      </c>
      <c r="B59" s="11" t="s">
        <v>636</v>
      </c>
      <c r="C59" s="11" t="s">
        <v>1157</v>
      </c>
      <c r="D59" s="11" t="s">
        <v>1158</v>
      </c>
      <c r="E59" s="11" t="s">
        <v>1670</v>
      </c>
      <c r="F59" s="11" t="s">
        <v>965</v>
      </c>
      <c r="G59" s="11" t="b">
        <f aca="false">TRUE()</f>
        <v>1</v>
      </c>
      <c r="H59" s="11" t="b">
        <f aca="false">FALSE()</f>
        <v>0</v>
      </c>
      <c r="I59" s="11" t="b">
        <f aca="false">TRUE()</f>
        <v>1</v>
      </c>
      <c r="J59" s="11" t="b">
        <f aca="false">FALSE()</f>
        <v>0</v>
      </c>
      <c r="K59" s="11" t="s">
        <v>1732</v>
      </c>
      <c r="L59" s="11" t="s">
        <v>1733</v>
      </c>
      <c r="M59" s="11" t="s">
        <v>1157</v>
      </c>
      <c r="N59" s="11"/>
      <c r="O59" s="11" t="n">
        <v>10</v>
      </c>
      <c r="P59" s="12" t="s">
        <v>115</v>
      </c>
      <c r="Q59" s="12" t="n">
        <f aca="false">COUNTIF($A$6:$A$172,A59)</f>
        <v>1</v>
      </c>
    </row>
    <row r="60" customFormat="false" ht="220" hidden="false" customHeight="true" outlineLevel="0" collapsed="false">
      <c r="A60" s="11" t="s">
        <v>1160</v>
      </c>
      <c r="B60" s="11" t="s">
        <v>636</v>
      </c>
      <c r="C60" s="11" t="s">
        <v>1160</v>
      </c>
      <c r="D60" s="11" t="s">
        <v>1161</v>
      </c>
      <c r="E60" s="11" t="s">
        <v>1640</v>
      </c>
      <c r="F60" s="11" t="s">
        <v>965</v>
      </c>
      <c r="G60" s="11" t="b">
        <f aca="false">TRUE()</f>
        <v>1</v>
      </c>
      <c r="H60" s="11" t="b">
        <f aca="false">TRUE()</f>
        <v>1</v>
      </c>
      <c r="I60" s="11" t="b">
        <f aca="false">TRUE()</f>
        <v>1</v>
      </c>
      <c r="J60" s="11" t="b">
        <f aca="false">TRUE()</f>
        <v>1</v>
      </c>
      <c r="K60" s="11" t="s">
        <v>1734</v>
      </c>
      <c r="L60" s="11" t="s">
        <v>1735</v>
      </c>
      <c r="M60" s="11" t="s">
        <v>1160</v>
      </c>
      <c r="N60" s="11" t="s">
        <v>1163</v>
      </c>
      <c r="O60" s="11" t="n">
        <v>60</v>
      </c>
      <c r="P60" s="12" t="s">
        <v>115</v>
      </c>
      <c r="Q60" s="12" t="n">
        <f aca="false">COUNTIF($A$6:$A$172,A60)</f>
        <v>1</v>
      </c>
    </row>
    <row r="61" customFormat="false" ht="220" hidden="false" customHeight="true" outlineLevel="0" collapsed="false">
      <c r="A61" s="11" t="s">
        <v>1170</v>
      </c>
      <c r="B61" s="11" t="s">
        <v>636</v>
      </c>
      <c r="C61" s="11" t="s">
        <v>1170</v>
      </c>
      <c r="D61" s="11" t="s">
        <v>1171</v>
      </c>
      <c r="E61" s="11" t="s">
        <v>1670</v>
      </c>
      <c r="F61" s="11" t="s">
        <v>965</v>
      </c>
      <c r="G61" s="11" t="b">
        <f aca="false">TRUE()</f>
        <v>1</v>
      </c>
      <c r="H61" s="11" t="b">
        <f aca="false">FALSE()</f>
        <v>0</v>
      </c>
      <c r="I61" s="11" t="b">
        <f aca="false">FALSE()</f>
        <v>0</v>
      </c>
      <c r="J61" s="11" t="b">
        <f aca="false">FALSE()</f>
        <v>0</v>
      </c>
      <c r="K61" s="11" t="s">
        <v>1736</v>
      </c>
      <c r="L61" s="11" t="s">
        <v>1649</v>
      </c>
      <c r="M61" s="11" t="s">
        <v>1170</v>
      </c>
      <c r="N61" s="11" t="s">
        <v>1173</v>
      </c>
      <c r="O61" s="11" t="n">
        <v>10</v>
      </c>
      <c r="P61" s="12" t="s">
        <v>115</v>
      </c>
      <c r="Q61" s="12" t="n">
        <f aca="false">COUNTIF($A$6:$A$172,A61)</f>
        <v>1</v>
      </c>
    </row>
    <row r="62" customFormat="false" ht="220" hidden="false" customHeight="true" outlineLevel="0" collapsed="false">
      <c r="A62" s="11" t="s">
        <v>1174</v>
      </c>
      <c r="B62" s="11" t="s">
        <v>636</v>
      </c>
      <c r="C62" s="11" t="s">
        <v>1174</v>
      </c>
      <c r="D62" s="11" t="s">
        <v>1175</v>
      </c>
      <c r="E62" s="11" t="s">
        <v>1640</v>
      </c>
      <c r="F62" s="11" t="s">
        <v>965</v>
      </c>
      <c r="G62" s="11" t="b">
        <f aca="false">TRUE()</f>
        <v>1</v>
      </c>
      <c r="H62" s="11" t="b">
        <f aca="false">TRUE()</f>
        <v>1</v>
      </c>
      <c r="I62" s="11" t="b">
        <f aca="false">FALSE()</f>
        <v>0</v>
      </c>
      <c r="J62" s="11" t="b">
        <f aca="false">FALSE()</f>
        <v>0</v>
      </c>
      <c r="K62" s="11" t="s">
        <v>1737</v>
      </c>
      <c r="L62" s="11" t="s">
        <v>1649</v>
      </c>
      <c r="M62" s="11" t="s">
        <v>1174</v>
      </c>
      <c r="N62" s="11" t="s">
        <v>1150</v>
      </c>
      <c r="O62" s="11" t="n">
        <v>10</v>
      </c>
      <c r="P62" s="12" t="s">
        <v>115</v>
      </c>
      <c r="Q62" s="12" t="n">
        <f aca="false">COUNTIF($A$6:$A$172,A62)</f>
        <v>1</v>
      </c>
    </row>
    <row r="63" customFormat="false" ht="220" hidden="false" customHeight="true" outlineLevel="0" collapsed="false">
      <c r="A63" s="11" t="s">
        <v>1178</v>
      </c>
      <c r="B63" s="11" t="s">
        <v>644</v>
      </c>
      <c r="C63" s="11" t="s">
        <v>1178</v>
      </c>
      <c r="D63" s="11" t="s">
        <v>1179</v>
      </c>
      <c r="E63" s="11" t="s">
        <v>1670</v>
      </c>
      <c r="F63" s="11" t="s">
        <v>965</v>
      </c>
      <c r="G63" s="11" t="b">
        <f aca="false">TRUE()</f>
        <v>1</v>
      </c>
      <c r="H63" s="11" t="b">
        <f aca="false">FALSE()</f>
        <v>0</v>
      </c>
      <c r="I63" s="11" t="b">
        <f aca="false">TRUE()</f>
        <v>1</v>
      </c>
      <c r="J63" s="11" t="b">
        <f aca="false">FALSE()</f>
        <v>0</v>
      </c>
      <c r="K63" s="11" t="s">
        <v>1738</v>
      </c>
      <c r="L63" s="11" t="s">
        <v>1739</v>
      </c>
      <c r="M63" s="11" t="s">
        <v>1178</v>
      </c>
      <c r="N63" s="11" t="s">
        <v>1180</v>
      </c>
      <c r="O63" s="11" t="n">
        <v>10</v>
      </c>
      <c r="P63" s="12" t="s">
        <v>115</v>
      </c>
      <c r="Q63" s="12" t="n">
        <f aca="false">COUNTIF($A$6:$A$172,A63)</f>
        <v>1</v>
      </c>
    </row>
    <row r="64" customFormat="false" ht="220" hidden="false" customHeight="true" outlineLevel="0" collapsed="false">
      <c r="A64" s="11" t="s">
        <v>1181</v>
      </c>
      <c r="B64" s="11" t="s">
        <v>644</v>
      </c>
      <c r="C64" s="11" t="s">
        <v>1181</v>
      </c>
      <c r="D64" s="11" t="s">
        <v>1182</v>
      </c>
      <c r="E64" s="11" t="s">
        <v>1670</v>
      </c>
      <c r="F64" s="11" t="s">
        <v>965</v>
      </c>
      <c r="G64" s="11" t="b">
        <f aca="false">TRUE()</f>
        <v>1</v>
      </c>
      <c r="H64" s="11" t="b">
        <f aca="false">FALSE()</f>
        <v>0</v>
      </c>
      <c r="I64" s="11" t="b">
        <f aca="false">TRUE()</f>
        <v>1</v>
      </c>
      <c r="J64" s="11" t="b">
        <f aca="false">FALSE()</f>
        <v>0</v>
      </c>
      <c r="K64" s="11" t="s">
        <v>1740</v>
      </c>
      <c r="L64" s="11" t="s">
        <v>1741</v>
      </c>
      <c r="M64" s="11" t="s">
        <v>1181</v>
      </c>
      <c r="N64" s="11"/>
      <c r="O64" s="11" t="n">
        <v>10</v>
      </c>
      <c r="P64" s="12" t="s">
        <v>115</v>
      </c>
      <c r="Q64" s="12" t="n">
        <f aca="false">COUNTIF($A$6:$A$172,A64)</f>
        <v>1</v>
      </c>
    </row>
    <row r="65" customFormat="false" ht="220" hidden="false" customHeight="true" outlineLevel="0" collapsed="false">
      <c r="A65" s="11" t="s">
        <v>1184</v>
      </c>
      <c r="B65" s="11" t="s">
        <v>644</v>
      </c>
      <c r="C65" s="11" t="s">
        <v>1184</v>
      </c>
      <c r="D65" s="11" t="s">
        <v>1185</v>
      </c>
      <c r="E65" s="11" t="s">
        <v>1670</v>
      </c>
      <c r="F65" s="11" t="s">
        <v>965</v>
      </c>
      <c r="G65" s="11" t="b">
        <f aca="false">TRUE()</f>
        <v>1</v>
      </c>
      <c r="H65" s="11" t="b">
        <f aca="false">FALSE()</f>
        <v>0</v>
      </c>
      <c r="I65" s="11" t="b">
        <f aca="false">TRUE()</f>
        <v>1</v>
      </c>
      <c r="J65" s="11" t="b">
        <f aca="false">FALSE()</f>
        <v>0</v>
      </c>
      <c r="K65" s="11" t="s">
        <v>1742</v>
      </c>
      <c r="L65" s="11" t="s">
        <v>1743</v>
      </c>
      <c r="M65" s="11" t="s">
        <v>1184</v>
      </c>
      <c r="N65" s="11"/>
      <c r="O65" s="11" t="n">
        <v>10</v>
      </c>
      <c r="P65" s="12" t="s">
        <v>115</v>
      </c>
      <c r="Q65" s="12" t="n">
        <f aca="false">COUNTIF($A$6:$A$172,A65)</f>
        <v>1</v>
      </c>
    </row>
    <row r="66" customFormat="false" ht="220" hidden="false" customHeight="true" outlineLevel="0" collapsed="false">
      <c r="A66" s="11" t="s">
        <v>1187</v>
      </c>
      <c r="B66" s="11" t="s">
        <v>644</v>
      </c>
      <c r="C66" s="11" t="s">
        <v>1187</v>
      </c>
      <c r="D66" s="11" t="s">
        <v>1188</v>
      </c>
      <c r="E66" s="11" t="s">
        <v>1640</v>
      </c>
      <c r="F66" s="11" t="s">
        <v>965</v>
      </c>
      <c r="G66" s="11" t="b">
        <f aca="false">TRUE()</f>
        <v>1</v>
      </c>
      <c r="H66" s="11" t="b">
        <f aca="false">TRUE()</f>
        <v>1</v>
      </c>
      <c r="I66" s="11" t="b">
        <f aca="false">TRUE()</f>
        <v>1</v>
      </c>
      <c r="J66" s="11" t="b">
        <f aca="false">TRUE()</f>
        <v>1</v>
      </c>
      <c r="K66" s="11" t="s">
        <v>1744</v>
      </c>
      <c r="L66" s="11" t="s">
        <v>1745</v>
      </c>
      <c r="M66" s="11" t="s">
        <v>1187</v>
      </c>
      <c r="N66" s="11" t="s">
        <v>1190</v>
      </c>
      <c r="O66" s="11" t="n">
        <v>10</v>
      </c>
      <c r="P66" s="12" t="s">
        <v>115</v>
      </c>
      <c r="Q66" s="12" t="n">
        <f aca="false">COUNTIF($A$6:$A$172,A66)</f>
        <v>1</v>
      </c>
    </row>
    <row r="67" customFormat="false" ht="220" hidden="false" customHeight="true" outlineLevel="0" collapsed="false">
      <c r="A67" s="11" t="s">
        <v>1191</v>
      </c>
      <c r="B67" s="11" t="s">
        <v>644</v>
      </c>
      <c r="C67" s="11" t="s">
        <v>1191</v>
      </c>
      <c r="D67" s="11" t="s">
        <v>1192</v>
      </c>
      <c r="E67" s="11" t="s">
        <v>1670</v>
      </c>
      <c r="F67" s="11" t="s">
        <v>965</v>
      </c>
      <c r="G67" s="11" t="b">
        <f aca="false">TRUE()</f>
        <v>1</v>
      </c>
      <c r="H67" s="11" t="b">
        <f aca="false">FALSE()</f>
        <v>0</v>
      </c>
      <c r="I67" s="11" t="b">
        <f aca="false">FALSE()</f>
        <v>0</v>
      </c>
      <c r="J67" s="11" t="b">
        <f aca="false">FALSE()</f>
        <v>0</v>
      </c>
      <c r="K67" s="11" t="s">
        <v>1746</v>
      </c>
      <c r="L67" s="11" t="s">
        <v>1649</v>
      </c>
      <c r="M67" s="11" t="s">
        <v>1191</v>
      </c>
      <c r="N67" s="11"/>
      <c r="O67" s="11" t="n">
        <v>10</v>
      </c>
      <c r="P67" s="12" t="s">
        <v>115</v>
      </c>
      <c r="Q67" s="12" t="n">
        <f aca="false">COUNTIF($A$6:$A$172,A67)</f>
        <v>1</v>
      </c>
    </row>
    <row r="68" customFormat="false" ht="220" hidden="false" customHeight="true" outlineLevel="0" collapsed="false">
      <c r="A68" s="11" t="s">
        <v>1194</v>
      </c>
      <c r="B68" s="11" t="s">
        <v>644</v>
      </c>
      <c r="C68" s="11" t="s">
        <v>1194</v>
      </c>
      <c r="D68" s="11" t="s">
        <v>1195</v>
      </c>
      <c r="E68" s="11" t="s">
        <v>1643</v>
      </c>
      <c r="F68" s="11" t="s">
        <v>965</v>
      </c>
      <c r="G68" s="11" t="b">
        <f aca="false">TRUE()</f>
        <v>1</v>
      </c>
      <c r="H68" s="11" t="b">
        <f aca="false">TRUE()</f>
        <v>1</v>
      </c>
      <c r="I68" s="11" t="b">
        <f aca="false">TRUE()</f>
        <v>1</v>
      </c>
      <c r="J68" s="11" t="b">
        <f aca="false">TRUE()</f>
        <v>1</v>
      </c>
      <c r="K68" s="11" t="s">
        <v>1747</v>
      </c>
      <c r="L68" s="11" t="s">
        <v>1748</v>
      </c>
      <c r="M68" s="11" t="s">
        <v>1194</v>
      </c>
      <c r="N68" s="11" t="s">
        <v>1197</v>
      </c>
      <c r="O68" s="11" t="n">
        <v>10</v>
      </c>
      <c r="P68" s="12" t="s">
        <v>115</v>
      </c>
      <c r="Q68" s="12" t="n">
        <f aca="false">COUNTIF($A$6:$A$172,A68)</f>
        <v>1</v>
      </c>
    </row>
    <row r="69" customFormat="false" ht="220" hidden="false" customHeight="true" outlineLevel="0" collapsed="false">
      <c r="A69" s="11" t="s">
        <v>1198</v>
      </c>
      <c r="B69" s="11" t="s">
        <v>650</v>
      </c>
      <c r="C69" s="11" t="s">
        <v>1198</v>
      </c>
      <c r="D69" s="11" t="s">
        <v>1199</v>
      </c>
      <c r="E69" s="11" t="s">
        <v>1670</v>
      </c>
      <c r="F69" s="11" t="s">
        <v>965</v>
      </c>
      <c r="G69" s="11" t="b">
        <f aca="false">TRUE()</f>
        <v>1</v>
      </c>
      <c r="H69" s="11" t="b">
        <f aca="false">FALSE()</f>
        <v>0</v>
      </c>
      <c r="I69" s="11" t="b">
        <f aca="false">FALSE()</f>
        <v>0</v>
      </c>
      <c r="J69" s="11" t="b">
        <f aca="false">FALSE()</f>
        <v>0</v>
      </c>
      <c r="K69" s="11" t="s">
        <v>1749</v>
      </c>
      <c r="L69" s="11" t="s">
        <v>1649</v>
      </c>
      <c r="M69" s="11" t="s">
        <v>1198</v>
      </c>
      <c r="N69" s="11" t="s">
        <v>1200</v>
      </c>
      <c r="O69" s="11" t="n">
        <v>10</v>
      </c>
      <c r="P69" s="12" t="s">
        <v>115</v>
      </c>
      <c r="Q69" s="12" t="n">
        <f aca="false">COUNTIF($A$6:$A$172,A69)</f>
        <v>1</v>
      </c>
    </row>
    <row r="70" customFormat="false" ht="220" hidden="false" customHeight="true" outlineLevel="0" collapsed="false">
      <c r="A70" s="11" t="s">
        <v>1201</v>
      </c>
      <c r="B70" s="11" t="s">
        <v>650</v>
      </c>
      <c r="C70" s="11" t="s">
        <v>1201</v>
      </c>
      <c r="D70" s="11" t="s">
        <v>1202</v>
      </c>
      <c r="E70" s="11" t="s">
        <v>1640</v>
      </c>
      <c r="F70" s="11" t="s">
        <v>965</v>
      </c>
      <c r="G70" s="11" t="b">
        <f aca="false">TRUE()</f>
        <v>1</v>
      </c>
      <c r="H70" s="11" t="b">
        <f aca="false">TRUE()</f>
        <v>1</v>
      </c>
      <c r="I70" s="11" t="b">
        <f aca="false">TRUE()</f>
        <v>1</v>
      </c>
      <c r="J70" s="11" t="b">
        <f aca="false">TRUE()</f>
        <v>1</v>
      </c>
      <c r="K70" s="11" t="s">
        <v>1750</v>
      </c>
      <c r="L70" s="11" t="s">
        <v>1751</v>
      </c>
      <c r="M70" s="11" t="s">
        <v>1201</v>
      </c>
      <c r="N70" s="11" t="s">
        <v>1046</v>
      </c>
      <c r="O70" s="11" t="n">
        <v>10</v>
      </c>
      <c r="P70" s="12" t="s">
        <v>115</v>
      </c>
      <c r="Q70" s="12" t="n">
        <f aca="false">COUNTIF($A$6:$A$172,A70)</f>
        <v>1</v>
      </c>
    </row>
    <row r="71" customFormat="false" ht="220" hidden="false" customHeight="true" outlineLevel="0" collapsed="false">
      <c r="A71" s="11" t="s">
        <v>1204</v>
      </c>
      <c r="B71" s="11" t="s">
        <v>650</v>
      </c>
      <c r="C71" s="11" t="s">
        <v>1204</v>
      </c>
      <c r="D71" s="11" t="s">
        <v>1205</v>
      </c>
      <c r="E71" s="11" t="s">
        <v>1640</v>
      </c>
      <c r="F71" s="11" t="s">
        <v>965</v>
      </c>
      <c r="G71" s="11" t="b">
        <f aca="false">TRUE()</f>
        <v>1</v>
      </c>
      <c r="H71" s="11" t="b">
        <f aca="false">TRUE()</f>
        <v>1</v>
      </c>
      <c r="I71" s="11" t="b">
        <f aca="false">FALSE()</f>
        <v>0</v>
      </c>
      <c r="J71" s="11" t="b">
        <f aca="false">FALSE()</f>
        <v>0</v>
      </c>
      <c r="K71" s="11" t="s">
        <v>1752</v>
      </c>
      <c r="L71" s="11" t="s">
        <v>1649</v>
      </c>
      <c r="M71" s="11" t="s">
        <v>1204</v>
      </c>
      <c r="N71" s="11"/>
      <c r="O71" s="11" t="n">
        <v>10</v>
      </c>
      <c r="P71" s="12" t="s">
        <v>115</v>
      </c>
      <c r="Q71" s="12" t="n">
        <f aca="false">COUNTIF($A$6:$A$172,A71)</f>
        <v>1</v>
      </c>
    </row>
    <row r="72" customFormat="false" ht="220" hidden="false" customHeight="true" outlineLevel="0" collapsed="false">
      <c r="A72" s="11" t="s">
        <v>1207</v>
      </c>
      <c r="B72" s="11" t="s">
        <v>650</v>
      </c>
      <c r="C72" s="11" t="s">
        <v>1207</v>
      </c>
      <c r="D72" s="11" t="s">
        <v>1208</v>
      </c>
      <c r="E72" s="11" t="s">
        <v>1640</v>
      </c>
      <c r="F72" s="11" t="s">
        <v>965</v>
      </c>
      <c r="G72" s="11" t="b">
        <f aca="false">TRUE()</f>
        <v>1</v>
      </c>
      <c r="H72" s="11" t="b">
        <f aca="false">TRUE()</f>
        <v>1</v>
      </c>
      <c r="I72" s="11" t="b">
        <f aca="false">TRUE()</f>
        <v>1</v>
      </c>
      <c r="J72" s="11" t="b">
        <f aca="false">TRUE()</f>
        <v>1</v>
      </c>
      <c r="K72" s="11" t="s">
        <v>1753</v>
      </c>
      <c r="L72" s="11" t="s">
        <v>1754</v>
      </c>
      <c r="M72" s="11" t="s">
        <v>1207</v>
      </c>
      <c r="N72" s="11" t="s">
        <v>1210</v>
      </c>
      <c r="O72" s="11" t="n">
        <v>10</v>
      </c>
      <c r="P72" s="12" t="s">
        <v>115</v>
      </c>
      <c r="Q72" s="12" t="n">
        <f aca="false">COUNTIF($A$6:$A$172,A72)</f>
        <v>1</v>
      </c>
    </row>
    <row r="73" customFormat="false" ht="220" hidden="false" customHeight="true" outlineLevel="0" collapsed="false">
      <c r="A73" s="11" t="s">
        <v>1211</v>
      </c>
      <c r="B73" s="11" t="s">
        <v>650</v>
      </c>
      <c r="C73" s="11" t="s">
        <v>1211</v>
      </c>
      <c r="D73" s="11" t="s">
        <v>1212</v>
      </c>
      <c r="E73" s="11" t="s">
        <v>1670</v>
      </c>
      <c r="F73" s="11" t="s">
        <v>965</v>
      </c>
      <c r="G73" s="11" t="b">
        <f aca="false">TRUE()</f>
        <v>1</v>
      </c>
      <c r="H73" s="11" t="b">
        <f aca="false">FALSE()</f>
        <v>0</v>
      </c>
      <c r="I73" s="11" t="b">
        <f aca="false">FALSE()</f>
        <v>0</v>
      </c>
      <c r="J73" s="11" t="b">
        <f aca="false">FALSE()</f>
        <v>0</v>
      </c>
      <c r="K73" s="11" t="s">
        <v>1755</v>
      </c>
      <c r="L73" s="11" t="s">
        <v>1649</v>
      </c>
      <c r="M73" s="11" t="s">
        <v>1211</v>
      </c>
      <c r="N73" s="11" t="s">
        <v>1214</v>
      </c>
      <c r="O73" s="11" t="n">
        <v>10</v>
      </c>
      <c r="P73" s="12" t="s">
        <v>115</v>
      </c>
      <c r="Q73" s="12" t="n">
        <f aca="false">COUNTIF($A$6:$A$172,A73)</f>
        <v>1</v>
      </c>
    </row>
    <row r="74" customFormat="false" ht="220" hidden="false" customHeight="true" outlineLevel="0" collapsed="false">
      <c r="A74" s="11" t="s">
        <v>1215</v>
      </c>
      <c r="B74" s="11" t="s">
        <v>650</v>
      </c>
      <c r="C74" s="11" t="s">
        <v>1215</v>
      </c>
      <c r="D74" s="11" t="s">
        <v>1216</v>
      </c>
      <c r="E74" s="11" t="s">
        <v>1670</v>
      </c>
      <c r="F74" s="11" t="s">
        <v>965</v>
      </c>
      <c r="G74" s="11" t="b">
        <f aca="false">TRUE()</f>
        <v>1</v>
      </c>
      <c r="H74" s="11" t="b">
        <f aca="false">FALSE()</f>
        <v>0</v>
      </c>
      <c r="I74" s="11" t="b">
        <f aca="false">TRUE()</f>
        <v>1</v>
      </c>
      <c r="J74" s="11" t="b">
        <f aca="false">FALSE()</f>
        <v>0</v>
      </c>
      <c r="K74" s="11" t="s">
        <v>1756</v>
      </c>
      <c r="L74" s="11" t="s">
        <v>1757</v>
      </c>
      <c r="M74" s="11" t="s">
        <v>1215</v>
      </c>
      <c r="N74" s="11"/>
      <c r="O74" s="11" t="n">
        <v>10</v>
      </c>
      <c r="P74" s="12" t="s">
        <v>115</v>
      </c>
      <c r="Q74" s="12" t="n">
        <f aca="false">COUNTIF($A$6:$A$172,A74)</f>
        <v>1</v>
      </c>
    </row>
    <row r="75" customFormat="false" ht="220" hidden="false" customHeight="true" outlineLevel="0" collapsed="false">
      <c r="A75" s="11" t="s">
        <v>1218</v>
      </c>
      <c r="B75" s="11" t="s">
        <v>656</v>
      </c>
      <c r="C75" s="11" t="s">
        <v>1218</v>
      </c>
      <c r="D75" s="11" t="s">
        <v>1219</v>
      </c>
      <c r="E75" s="11" t="s">
        <v>1670</v>
      </c>
      <c r="F75" s="11" t="s">
        <v>965</v>
      </c>
      <c r="G75" s="11" t="b">
        <f aca="false">TRUE()</f>
        <v>1</v>
      </c>
      <c r="H75" s="11" t="b">
        <f aca="false">FALSE()</f>
        <v>0</v>
      </c>
      <c r="I75" s="11" t="b">
        <f aca="false">TRUE()</f>
        <v>1</v>
      </c>
      <c r="J75" s="11" t="b">
        <f aca="false">FALSE()</f>
        <v>0</v>
      </c>
      <c r="K75" s="11" t="s">
        <v>1758</v>
      </c>
      <c r="L75" s="11" t="s">
        <v>1759</v>
      </c>
      <c r="M75" s="11" t="s">
        <v>1218</v>
      </c>
      <c r="N75" s="11"/>
      <c r="O75" s="11" t="n">
        <v>10</v>
      </c>
      <c r="P75" s="12" t="s">
        <v>115</v>
      </c>
      <c r="Q75" s="12" t="n">
        <f aca="false">COUNTIF($A$6:$A$172,A75)</f>
        <v>1</v>
      </c>
    </row>
    <row r="76" customFormat="false" ht="220" hidden="false" customHeight="true" outlineLevel="0" collapsed="false">
      <c r="A76" s="11" t="s">
        <v>1220</v>
      </c>
      <c r="B76" s="11" t="s">
        <v>656</v>
      </c>
      <c r="C76" s="11" t="s">
        <v>1220</v>
      </c>
      <c r="D76" s="11" t="s">
        <v>1221</v>
      </c>
      <c r="E76" s="11" t="s">
        <v>1670</v>
      </c>
      <c r="F76" s="11" t="s">
        <v>965</v>
      </c>
      <c r="G76" s="11" t="b">
        <f aca="false">TRUE()</f>
        <v>1</v>
      </c>
      <c r="H76" s="11" t="b">
        <f aca="false">FALSE()</f>
        <v>0</v>
      </c>
      <c r="I76" s="11" t="b">
        <f aca="false">FALSE()</f>
        <v>0</v>
      </c>
      <c r="J76" s="11" t="b">
        <f aca="false">FALSE()</f>
        <v>0</v>
      </c>
      <c r="K76" s="11" t="s">
        <v>1760</v>
      </c>
      <c r="L76" s="11" t="s">
        <v>1649</v>
      </c>
      <c r="M76" s="11" t="s">
        <v>1220</v>
      </c>
      <c r="N76" s="11"/>
      <c r="O76" s="11" t="n">
        <v>10</v>
      </c>
      <c r="P76" s="12" t="s">
        <v>115</v>
      </c>
      <c r="Q76" s="12" t="n">
        <f aca="false">COUNTIF($A$6:$A$172,A76)</f>
        <v>1</v>
      </c>
    </row>
    <row r="77" customFormat="false" ht="220" hidden="false" customHeight="true" outlineLevel="0" collapsed="false">
      <c r="A77" s="11" t="s">
        <v>1223</v>
      </c>
      <c r="B77" s="11" t="s">
        <v>656</v>
      </c>
      <c r="C77" s="11" t="s">
        <v>1223</v>
      </c>
      <c r="D77" s="11" t="s">
        <v>1224</v>
      </c>
      <c r="E77" s="11" t="s">
        <v>1640</v>
      </c>
      <c r="F77" s="11" t="s">
        <v>965</v>
      </c>
      <c r="G77" s="11" t="b">
        <f aca="false">TRUE()</f>
        <v>1</v>
      </c>
      <c r="H77" s="11" t="b">
        <f aca="false">TRUE()</f>
        <v>1</v>
      </c>
      <c r="I77" s="11" t="b">
        <f aca="false">FALSE()</f>
        <v>0</v>
      </c>
      <c r="J77" s="11" t="b">
        <f aca="false">FALSE()</f>
        <v>0</v>
      </c>
      <c r="K77" s="11" t="s">
        <v>1761</v>
      </c>
      <c r="L77" s="11" t="s">
        <v>1649</v>
      </c>
      <c r="M77" s="11" t="s">
        <v>1223</v>
      </c>
      <c r="N77" s="11" t="s">
        <v>1226</v>
      </c>
      <c r="O77" s="11" t="n">
        <v>10</v>
      </c>
      <c r="P77" s="12" t="s">
        <v>115</v>
      </c>
      <c r="Q77" s="12" t="n">
        <f aca="false">COUNTIF($A$6:$A$172,A77)</f>
        <v>1</v>
      </c>
    </row>
    <row r="78" customFormat="false" ht="220" hidden="false" customHeight="true" outlineLevel="0" collapsed="false">
      <c r="A78" s="11" t="s">
        <v>1227</v>
      </c>
      <c r="B78" s="11" t="s">
        <v>656</v>
      </c>
      <c r="C78" s="11" t="s">
        <v>1227</v>
      </c>
      <c r="D78" s="11" t="s">
        <v>1228</v>
      </c>
      <c r="E78" s="11" t="s">
        <v>1640</v>
      </c>
      <c r="F78" s="11" t="s">
        <v>965</v>
      </c>
      <c r="G78" s="11" t="b">
        <f aca="false">TRUE()</f>
        <v>1</v>
      </c>
      <c r="H78" s="11" t="b">
        <f aca="false">TRUE()</f>
        <v>1</v>
      </c>
      <c r="I78" s="11" t="b">
        <f aca="false">FALSE()</f>
        <v>0</v>
      </c>
      <c r="J78" s="11" t="b">
        <f aca="false">FALSE()</f>
        <v>0</v>
      </c>
      <c r="K78" s="11" t="s">
        <v>1762</v>
      </c>
      <c r="L78" s="11" t="s">
        <v>1649</v>
      </c>
      <c r="M78" s="11" t="s">
        <v>1227</v>
      </c>
      <c r="N78" s="11"/>
      <c r="O78" s="11" t="n">
        <v>10</v>
      </c>
      <c r="P78" s="12" t="s">
        <v>115</v>
      </c>
      <c r="Q78" s="12" t="n">
        <f aca="false">COUNTIF($A$6:$A$172,A78)</f>
        <v>1</v>
      </c>
    </row>
    <row r="79" customFormat="false" ht="220" hidden="false" customHeight="true" outlineLevel="0" collapsed="false">
      <c r="A79" s="11" t="s">
        <v>1230</v>
      </c>
      <c r="B79" s="11" t="s">
        <v>656</v>
      </c>
      <c r="C79" s="11" t="s">
        <v>1230</v>
      </c>
      <c r="D79" s="11" t="s">
        <v>1161</v>
      </c>
      <c r="E79" s="11" t="s">
        <v>1640</v>
      </c>
      <c r="F79" s="11" t="s">
        <v>965</v>
      </c>
      <c r="G79" s="11" t="b">
        <f aca="false">TRUE()</f>
        <v>1</v>
      </c>
      <c r="H79" s="11" t="b">
        <f aca="false">TRUE()</f>
        <v>1</v>
      </c>
      <c r="I79" s="11" t="b">
        <f aca="false">FALSE()</f>
        <v>0</v>
      </c>
      <c r="J79" s="11" t="b">
        <f aca="false">FALSE()</f>
        <v>0</v>
      </c>
      <c r="K79" s="11" t="s">
        <v>1763</v>
      </c>
      <c r="L79" s="11" t="s">
        <v>1649</v>
      </c>
      <c r="M79" s="11" t="s">
        <v>1230</v>
      </c>
      <c r="N79" s="11" t="s">
        <v>1232</v>
      </c>
      <c r="O79" s="11" t="n">
        <v>10</v>
      </c>
      <c r="P79" s="12" t="s">
        <v>115</v>
      </c>
      <c r="Q79" s="12" t="n">
        <f aca="false">COUNTIF($A$6:$A$172,A79)</f>
        <v>1</v>
      </c>
    </row>
    <row r="80" customFormat="false" ht="220" hidden="false" customHeight="true" outlineLevel="0" collapsed="false">
      <c r="A80" s="11" t="s">
        <v>1233</v>
      </c>
      <c r="B80" s="11" t="s">
        <v>656</v>
      </c>
      <c r="C80" s="11" t="s">
        <v>1233</v>
      </c>
      <c r="D80" s="11" t="s">
        <v>1234</v>
      </c>
      <c r="E80" s="11" t="s">
        <v>1670</v>
      </c>
      <c r="F80" s="11" t="s">
        <v>965</v>
      </c>
      <c r="G80" s="11" t="b">
        <f aca="false">TRUE()</f>
        <v>1</v>
      </c>
      <c r="H80" s="11" t="b">
        <f aca="false">FALSE()</f>
        <v>0</v>
      </c>
      <c r="I80" s="11" t="b">
        <f aca="false">FALSE()</f>
        <v>0</v>
      </c>
      <c r="J80" s="11" t="b">
        <f aca="false">FALSE()</f>
        <v>0</v>
      </c>
      <c r="K80" s="11" t="s">
        <v>1764</v>
      </c>
      <c r="L80" s="11" t="s">
        <v>1649</v>
      </c>
      <c r="M80" s="11" t="s">
        <v>1233</v>
      </c>
      <c r="N80" s="11"/>
      <c r="O80" s="11" t="n">
        <v>10</v>
      </c>
      <c r="P80" s="12" t="s">
        <v>115</v>
      </c>
      <c r="Q80" s="12" t="n">
        <f aca="false">COUNTIF($A$6:$A$172,A80)</f>
        <v>1</v>
      </c>
    </row>
    <row r="81" customFormat="false" ht="220" hidden="false" customHeight="true" outlineLevel="0" collapsed="false">
      <c r="A81" s="11" t="s">
        <v>1236</v>
      </c>
      <c r="B81" s="11" t="s">
        <v>662</v>
      </c>
      <c r="C81" s="11" t="s">
        <v>1236</v>
      </c>
      <c r="D81" s="11" t="s">
        <v>1237</v>
      </c>
      <c r="E81" s="11" t="s">
        <v>1640</v>
      </c>
      <c r="F81" s="11" t="s">
        <v>965</v>
      </c>
      <c r="G81" s="11" t="b">
        <f aca="false">FALSE()</f>
        <v>0</v>
      </c>
      <c r="H81" s="11" t="b">
        <f aca="false">FALSE()</f>
        <v>0</v>
      </c>
      <c r="I81" s="11" t="b">
        <f aca="false">TRUE()</f>
        <v>1</v>
      </c>
      <c r="J81" s="11" t="b">
        <f aca="false">TRUE()</f>
        <v>1</v>
      </c>
      <c r="K81" s="11" t="s">
        <v>1683</v>
      </c>
      <c r="L81" s="11" t="s">
        <v>1765</v>
      </c>
      <c r="M81" s="11" t="s">
        <v>1236</v>
      </c>
      <c r="N81" s="11" t="s">
        <v>1238</v>
      </c>
      <c r="O81" s="11" t="n">
        <v>100</v>
      </c>
      <c r="P81" s="12" t="s">
        <v>115</v>
      </c>
      <c r="Q81" s="12" t="n">
        <f aca="false">COUNTIF($A$6:$A$172,A81)</f>
        <v>1</v>
      </c>
    </row>
    <row r="82" customFormat="false" ht="220" hidden="false" customHeight="true" outlineLevel="0" collapsed="false">
      <c r="A82" s="11" t="s">
        <v>1239</v>
      </c>
      <c r="B82" s="11" t="s">
        <v>662</v>
      </c>
      <c r="C82" s="11" t="s">
        <v>1239</v>
      </c>
      <c r="D82" s="11" t="s">
        <v>1240</v>
      </c>
      <c r="E82" s="11" t="s">
        <v>1670</v>
      </c>
      <c r="F82" s="11" t="s">
        <v>965</v>
      </c>
      <c r="G82" s="11" t="b">
        <f aca="false">TRUE()</f>
        <v>1</v>
      </c>
      <c r="H82" s="11" t="b">
        <f aca="false">FALSE()</f>
        <v>0</v>
      </c>
      <c r="I82" s="11" t="b">
        <f aca="false">FALSE()</f>
        <v>0</v>
      </c>
      <c r="J82" s="11" t="b">
        <f aca="false">FALSE()</f>
        <v>0</v>
      </c>
      <c r="K82" s="11" t="s">
        <v>1766</v>
      </c>
      <c r="L82" s="11" t="s">
        <v>1649</v>
      </c>
      <c r="M82" s="11" t="s">
        <v>1239</v>
      </c>
      <c r="N82" s="11"/>
      <c r="O82" s="11" t="n">
        <v>10</v>
      </c>
      <c r="P82" s="12" t="s">
        <v>115</v>
      </c>
      <c r="Q82" s="12" t="n">
        <f aca="false">COUNTIF($A$6:$A$172,A82)</f>
        <v>1</v>
      </c>
    </row>
    <row r="83" customFormat="false" ht="220" hidden="false" customHeight="true" outlineLevel="0" collapsed="false">
      <c r="A83" s="11" t="s">
        <v>1246</v>
      </c>
      <c r="B83" s="11" t="s">
        <v>662</v>
      </c>
      <c r="C83" s="11" t="s">
        <v>1246</v>
      </c>
      <c r="D83" s="11" t="s">
        <v>1247</v>
      </c>
      <c r="E83" s="11" t="s">
        <v>1640</v>
      </c>
      <c r="F83" s="11" t="s">
        <v>965</v>
      </c>
      <c r="G83" s="11" t="b">
        <f aca="false">TRUE()</f>
        <v>1</v>
      </c>
      <c r="H83" s="11" t="b">
        <f aca="false">TRUE()</f>
        <v>1</v>
      </c>
      <c r="I83" s="11" t="b">
        <f aca="false">FALSE()</f>
        <v>0</v>
      </c>
      <c r="J83" s="11" t="b">
        <f aca="false">FALSE()</f>
        <v>0</v>
      </c>
      <c r="K83" s="11" t="s">
        <v>1767</v>
      </c>
      <c r="L83" s="11" t="s">
        <v>1649</v>
      </c>
      <c r="M83" s="11" t="s">
        <v>1246</v>
      </c>
      <c r="N83" s="11" t="s">
        <v>1249</v>
      </c>
      <c r="O83" s="11" t="n">
        <v>10</v>
      </c>
      <c r="P83" s="12" t="s">
        <v>115</v>
      </c>
      <c r="Q83" s="12" t="n">
        <f aca="false">COUNTIF($A$6:$A$172,A83)</f>
        <v>1</v>
      </c>
    </row>
    <row r="84" customFormat="false" ht="220" hidden="false" customHeight="true" outlineLevel="0" collapsed="false">
      <c r="A84" s="11" t="s">
        <v>1250</v>
      </c>
      <c r="B84" s="11" t="s">
        <v>662</v>
      </c>
      <c r="C84" s="11" t="s">
        <v>1250</v>
      </c>
      <c r="D84" s="11" t="s">
        <v>1251</v>
      </c>
      <c r="E84" s="11" t="s">
        <v>1640</v>
      </c>
      <c r="F84" s="11" t="s">
        <v>965</v>
      </c>
      <c r="G84" s="11" t="b">
        <f aca="false">TRUE()</f>
        <v>1</v>
      </c>
      <c r="H84" s="11" t="b">
        <f aca="false">TRUE()</f>
        <v>1</v>
      </c>
      <c r="I84" s="11" t="b">
        <f aca="false">FALSE()</f>
        <v>0</v>
      </c>
      <c r="J84" s="11" t="b">
        <f aca="false">FALSE()</f>
        <v>0</v>
      </c>
      <c r="K84" s="11" t="s">
        <v>1768</v>
      </c>
      <c r="L84" s="11" t="s">
        <v>1649</v>
      </c>
      <c r="M84" s="11" t="s">
        <v>1250</v>
      </c>
      <c r="N84" s="11" t="s">
        <v>1249</v>
      </c>
      <c r="O84" s="11" t="n">
        <v>10</v>
      </c>
      <c r="P84" s="12" t="s">
        <v>115</v>
      </c>
      <c r="Q84" s="12" t="n">
        <f aca="false">COUNTIF($A$6:$A$172,A84)</f>
        <v>1</v>
      </c>
    </row>
    <row r="85" customFormat="false" ht="220" hidden="false" customHeight="true" outlineLevel="0" collapsed="false">
      <c r="A85" s="11" t="s">
        <v>1253</v>
      </c>
      <c r="B85" s="11" t="s">
        <v>662</v>
      </c>
      <c r="C85" s="11" t="s">
        <v>1253</v>
      </c>
      <c r="D85" s="11" t="s">
        <v>1254</v>
      </c>
      <c r="E85" s="11" t="s">
        <v>1670</v>
      </c>
      <c r="F85" s="11" t="s">
        <v>965</v>
      </c>
      <c r="G85" s="11" t="b">
        <f aca="false">TRUE()</f>
        <v>1</v>
      </c>
      <c r="H85" s="11" t="b">
        <f aca="false">FALSE()</f>
        <v>0</v>
      </c>
      <c r="I85" s="11" t="b">
        <f aca="false">TRUE()</f>
        <v>1</v>
      </c>
      <c r="J85" s="11" t="b">
        <f aca="false">FALSE()</f>
        <v>0</v>
      </c>
      <c r="K85" s="11" t="s">
        <v>1769</v>
      </c>
      <c r="L85" s="11" t="s">
        <v>1770</v>
      </c>
      <c r="M85" s="11" t="s">
        <v>1253</v>
      </c>
      <c r="N85" s="11"/>
      <c r="O85" s="11" t="n">
        <v>10</v>
      </c>
      <c r="P85" s="12" t="s">
        <v>115</v>
      </c>
      <c r="Q85" s="12" t="n">
        <f aca="false">COUNTIF($A$6:$A$172,A85)</f>
        <v>1</v>
      </c>
    </row>
    <row r="86" customFormat="false" ht="220" hidden="false" customHeight="true" outlineLevel="0" collapsed="false">
      <c r="A86" s="11" t="s">
        <v>1256</v>
      </c>
      <c r="B86" s="11" t="s">
        <v>667</v>
      </c>
      <c r="C86" s="11" t="s">
        <v>1256</v>
      </c>
      <c r="D86" s="11" t="s">
        <v>1257</v>
      </c>
      <c r="E86" s="11" t="s">
        <v>1643</v>
      </c>
      <c r="F86" s="11" t="s">
        <v>965</v>
      </c>
      <c r="G86" s="11" t="b">
        <f aca="false">TRUE()</f>
        <v>1</v>
      </c>
      <c r="H86" s="11" t="b">
        <f aca="false">TRUE()</f>
        <v>1</v>
      </c>
      <c r="I86" s="11" t="b">
        <f aca="false">FALSE()</f>
        <v>0</v>
      </c>
      <c r="J86" s="11" t="b">
        <f aca="false">FALSE()</f>
        <v>0</v>
      </c>
      <c r="K86" s="11" t="s">
        <v>1771</v>
      </c>
      <c r="L86" s="11" t="s">
        <v>1649</v>
      </c>
      <c r="M86" s="11" t="s">
        <v>1256</v>
      </c>
      <c r="N86" s="11" t="s">
        <v>1258</v>
      </c>
      <c r="O86" s="11" t="n">
        <v>10</v>
      </c>
      <c r="P86" s="12" t="s">
        <v>115</v>
      </c>
      <c r="Q86" s="12" t="n">
        <f aca="false">COUNTIF($A$6:$A$172,A86)</f>
        <v>1</v>
      </c>
    </row>
    <row r="87" customFormat="false" ht="220" hidden="false" customHeight="true" outlineLevel="0" collapsed="false">
      <c r="A87" s="11" t="s">
        <v>1259</v>
      </c>
      <c r="B87" s="11" t="s">
        <v>667</v>
      </c>
      <c r="C87" s="11" t="s">
        <v>1259</v>
      </c>
      <c r="D87" s="11" t="s">
        <v>1260</v>
      </c>
      <c r="E87" s="11" t="s">
        <v>1670</v>
      </c>
      <c r="F87" s="11" t="s">
        <v>965</v>
      </c>
      <c r="G87" s="11" t="b">
        <f aca="false">TRUE()</f>
        <v>1</v>
      </c>
      <c r="H87" s="11" t="b">
        <f aca="false">FALSE()</f>
        <v>0</v>
      </c>
      <c r="I87" s="11" t="b">
        <f aca="false">FALSE()</f>
        <v>0</v>
      </c>
      <c r="J87" s="11" t="b">
        <f aca="false">FALSE()</f>
        <v>0</v>
      </c>
      <c r="K87" s="11" t="s">
        <v>1772</v>
      </c>
      <c r="L87" s="11" t="s">
        <v>1649</v>
      </c>
      <c r="M87" s="11" t="s">
        <v>1259</v>
      </c>
      <c r="N87" s="11" t="s">
        <v>1258</v>
      </c>
      <c r="O87" s="11" t="n">
        <v>10</v>
      </c>
      <c r="P87" s="12" t="s">
        <v>115</v>
      </c>
      <c r="Q87" s="12" t="n">
        <f aca="false">COUNTIF($A$6:$A$172,A87)</f>
        <v>1</v>
      </c>
    </row>
    <row r="88" customFormat="false" ht="220" hidden="false" customHeight="true" outlineLevel="0" collapsed="false">
      <c r="A88" s="11" t="s">
        <v>1262</v>
      </c>
      <c r="B88" s="11" t="s">
        <v>667</v>
      </c>
      <c r="C88" s="11" t="s">
        <v>1262</v>
      </c>
      <c r="D88" s="11" t="s">
        <v>1263</v>
      </c>
      <c r="E88" s="11" t="s">
        <v>1670</v>
      </c>
      <c r="F88" s="11" t="s">
        <v>965</v>
      </c>
      <c r="G88" s="11" t="b">
        <f aca="false">TRUE()</f>
        <v>1</v>
      </c>
      <c r="H88" s="11" t="b">
        <f aca="false">FALSE()</f>
        <v>0</v>
      </c>
      <c r="I88" s="11" t="b">
        <f aca="false">TRUE()</f>
        <v>1</v>
      </c>
      <c r="J88" s="11" t="b">
        <f aca="false">FALSE()</f>
        <v>0</v>
      </c>
      <c r="K88" s="11" t="s">
        <v>1773</v>
      </c>
      <c r="L88" s="11" t="s">
        <v>1774</v>
      </c>
      <c r="M88" s="11" t="s">
        <v>1262</v>
      </c>
      <c r="N88" s="11" t="s">
        <v>1033</v>
      </c>
      <c r="O88" s="11" t="n">
        <v>10</v>
      </c>
      <c r="P88" s="12" t="s">
        <v>115</v>
      </c>
      <c r="Q88" s="12" t="n">
        <f aca="false">COUNTIF($A$6:$A$172,A88)</f>
        <v>1</v>
      </c>
    </row>
    <row r="89" customFormat="false" ht="220" hidden="false" customHeight="true" outlineLevel="0" collapsed="false">
      <c r="A89" s="11" t="s">
        <v>1265</v>
      </c>
      <c r="B89" s="11" t="s">
        <v>667</v>
      </c>
      <c r="C89" s="11" t="s">
        <v>1265</v>
      </c>
      <c r="D89" s="11" t="s">
        <v>1266</v>
      </c>
      <c r="E89" s="11" t="s">
        <v>1643</v>
      </c>
      <c r="F89" s="11" t="s">
        <v>965</v>
      </c>
      <c r="G89" s="11" t="b">
        <f aca="false">TRUE()</f>
        <v>1</v>
      </c>
      <c r="H89" s="11" t="b">
        <f aca="false">TRUE()</f>
        <v>1</v>
      </c>
      <c r="I89" s="11" t="b">
        <f aca="false">FALSE()</f>
        <v>0</v>
      </c>
      <c r="J89" s="11" t="b">
        <f aca="false">FALSE()</f>
        <v>0</v>
      </c>
      <c r="K89" s="11" t="s">
        <v>1775</v>
      </c>
      <c r="L89" s="11" t="s">
        <v>1649</v>
      </c>
      <c r="M89" s="11" t="s">
        <v>1265</v>
      </c>
      <c r="N89" s="11"/>
      <c r="O89" s="11" t="n">
        <v>10</v>
      </c>
      <c r="P89" s="12" t="s">
        <v>115</v>
      </c>
      <c r="Q89" s="12" t="n">
        <f aca="false">COUNTIF($A$6:$A$172,A89)</f>
        <v>1</v>
      </c>
    </row>
    <row r="90" customFormat="false" ht="220" hidden="false" customHeight="true" outlineLevel="0" collapsed="false">
      <c r="A90" s="11" t="s">
        <v>1268</v>
      </c>
      <c r="B90" s="11" t="s">
        <v>667</v>
      </c>
      <c r="C90" s="11" t="s">
        <v>1268</v>
      </c>
      <c r="D90" s="11" t="s">
        <v>1269</v>
      </c>
      <c r="E90" s="11" t="s">
        <v>1670</v>
      </c>
      <c r="F90" s="11" t="s">
        <v>965</v>
      </c>
      <c r="G90" s="11" t="b">
        <f aca="false">TRUE()</f>
        <v>1</v>
      </c>
      <c r="H90" s="11" t="b">
        <f aca="false">FALSE()</f>
        <v>0</v>
      </c>
      <c r="I90" s="11" t="b">
        <f aca="false">TRUE()</f>
        <v>1</v>
      </c>
      <c r="J90" s="11" t="b">
        <f aca="false">FALSE()</f>
        <v>0</v>
      </c>
      <c r="K90" s="11" t="s">
        <v>1776</v>
      </c>
      <c r="L90" s="11" t="s">
        <v>1777</v>
      </c>
      <c r="M90" s="11" t="s">
        <v>1268</v>
      </c>
      <c r="N90" s="11"/>
      <c r="O90" s="11" t="n">
        <v>10</v>
      </c>
      <c r="P90" s="12" t="s">
        <v>115</v>
      </c>
      <c r="Q90" s="12" t="n">
        <f aca="false">COUNTIF($A$6:$A$172,A90)</f>
        <v>1</v>
      </c>
    </row>
    <row r="91" customFormat="false" ht="220" hidden="false" customHeight="true" outlineLevel="0" collapsed="false">
      <c r="A91" s="11" t="s">
        <v>1271</v>
      </c>
      <c r="B91" s="11" t="s">
        <v>667</v>
      </c>
      <c r="C91" s="11" t="s">
        <v>1271</v>
      </c>
      <c r="D91" s="11" t="s">
        <v>1272</v>
      </c>
      <c r="E91" s="11" t="s">
        <v>1640</v>
      </c>
      <c r="F91" s="11" t="s">
        <v>965</v>
      </c>
      <c r="G91" s="11" t="b">
        <f aca="false">TRUE()</f>
        <v>1</v>
      </c>
      <c r="H91" s="11" t="b">
        <f aca="false">TRUE()</f>
        <v>1</v>
      </c>
      <c r="I91" s="11" t="b">
        <f aca="false">FALSE()</f>
        <v>0</v>
      </c>
      <c r="J91" s="11" t="b">
        <f aca="false">FALSE()</f>
        <v>0</v>
      </c>
      <c r="K91" s="11" t="s">
        <v>1778</v>
      </c>
      <c r="L91" s="11" t="s">
        <v>1649</v>
      </c>
      <c r="M91" s="11" t="s">
        <v>1271</v>
      </c>
      <c r="N91" s="11" t="s">
        <v>1274</v>
      </c>
      <c r="O91" s="11" t="n">
        <v>10</v>
      </c>
      <c r="P91" s="12" t="s">
        <v>115</v>
      </c>
      <c r="Q91" s="12" t="n">
        <f aca="false">COUNTIF($A$6:$A$172,A91)</f>
        <v>1</v>
      </c>
    </row>
    <row r="92" customFormat="false" ht="220" hidden="false" customHeight="true" outlineLevel="0" collapsed="false">
      <c r="A92" s="11" t="s">
        <v>1275</v>
      </c>
      <c r="B92" s="11" t="s">
        <v>674</v>
      </c>
      <c r="C92" s="11" t="s">
        <v>1275</v>
      </c>
      <c r="D92" s="11" t="s">
        <v>1276</v>
      </c>
      <c r="E92" s="11" t="s">
        <v>1640</v>
      </c>
      <c r="F92" s="11" t="s">
        <v>965</v>
      </c>
      <c r="G92" s="11" t="b">
        <f aca="false">TRUE()</f>
        <v>1</v>
      </c>
      <c r="H92" s="11" t="b">
        <f aca="false">TRUE()</f>
        <v>1</v>
      </c>
      <c r="I92" s="11" t="b">
        <f aca="false">TRUE()</f>
        <v>1</v>
      </c>
      <c r="J92" s="11" t="b">
        <f aca="false">TRUE()</f>
        <v>1</v>
      </c>
      <c r="K92" s="11" t="s">
        <v>1779</v>
      </c>
      <c r="L92" s="11" t="s">
        <v>1780</v>
      </c>
      <c r="M92" s="11" t="s">
        <v>1277</v>
      </c>
      <c r="N92" s="11" t="s">
        <v>1278</v>
      </c>
      <c r="O92" s="11" t="n">
        <v>10</v>
      </c>
      <c r="P92" s="12" t="s">
        <v>115</v>
      </c>
      <c r="Q92" s="12" t="n">
        <f aca="false">COUNTIF($A$6:$A$172,A92)</f>
        <v>1</v>
      </c>
    </row>
    <row r="93" customFormat="false" ht="220" hidden="false" customHeight="true" outlineLevel="0" collapsed="false">
      <c r="A93" s="11" t="s">
        <v>1279</v>
      </c>
      <c r="B93" s="11" t="s">
        <v>674</v>
      </c>
      <c r="C93" s="11" t="s">
        <v>1279</v>
      </c>
      <c r="D93" s="11" t="s">
        <v>1280</v>
      </c>
      <c r="E93" s="11" t="s">
        <v>1640</v>
      </c>
      <c r="F93" s="11" t="s">
        <v>965</v>
      </c>
      <c r="G93" s="11" t="b">
        <f aca="false">TRUE()</f>
        <v>1</v>
      </c>
      <c r="H93" s="11" t="b">
        <f aca="false">TRUE()</f>
        <v>1</v>
      </c>
      <c r="I93" s="11" t="b">
        <f aca="false">TRUE()</f>
        <v>1</v>
      </c>
      <c r="J93" s="11" t="b">
        <f aca="false">TRUE()</f>
        <v>1</v>
      </c>
      <c r="K93" s="11" t="s">
        <v>1779</v>
      </c>
      <c r="L93" s="11" t="s">
        <v>1780</v>
      </c>
      <c r="M93" s="11" t="s">
        <v>1277</v>
      </c>
      <c r="N93" s="11" t="s">
        <v>1278</v>
      </c>
      <c r="O93" s="11" t="n">
        <v>10</v>
      </c>
      <c r="P93" s="12" t="s">
        <v>115</v>
      </c>
      <c r="Q93" s="12" t="n">
        <f aca="false">COUNTIF($A$6:$A$172,A93)</f>
        <v>1</v>
      </c>
    </row>
    <row r="94" customFormat="false" ht="220" hidden="false" customHeight="true" outlineLevel="0" collapsed="false">
      <c r="A94" s="11" t="s">
        <v>1282</v>
      </c>
      <c r="B94" s="11" t="s">
        <v>674</v>
      </c>
      <c r="C94" s="11" t="s">
        <v>1282</v>
      </c>
      <c r="D94" s="11" t="s">
        <v>1283</v>
      </c>
      <c r="E94" s="11" t="s">
        <v>1640</v>
      </c>
      <c r="F94" s="11" t="s">
        <v>965</v>
      </c>
      <c r="G94" s="11" t="b">
        <f aca="false">TRUE()</f>
        <v>1</v>
      </c>
      <c r="H94" s="11" t="b">
        <f aca="false">TRUE()</f>
        <v>1</v>
      </c>
      <c r="I94" s="11" t="b">
        <f aca="false">TRUE()</f>
        <v>1</v>
      </c>
      <c r="J94" s="11" t="b">
        <f aca="false">TRUE()</f>
        <v>1</v>
      </c>
      <c r="K94" s="11" t="s">
        <v>1779</v>
      </c>
      <c r="L94" s="11" t="s">
        <v>1780</v>
      </c>
      <c r="M94" s="11" t="s">
        <v>1277</v>
      </c>
      <c r="N94" s="11" t="s">
        <v>1278</v>
      </c>
      <c r="O94" s="11" t="n">
        <v>10</v>
      </c>
      <c r="P94" s="12" t="s">
        <v>115</v>
      </c>
      <c r="Q94" s="12" t="n">
        <f aca="false">COUNTIF($A$6:$A$172,A94)</f>
        <v>1</v>
      </c>
    </row>
    <row r="95" customFormat="false" ht="220" hidden="false" customHeight="true" outlineLevel="0" collapsed="false">
      <c r="A95" s="11" t="s">
        <v>1285</v>
      </c>
      <c r="B95" s="11" t="s">
        <v>674</v>
      </c>
      <c r="C95" s="11" t="s">
        <v>1285</v>
      </c>
      <c r="D95" s="11" t="s">
        <v>1286</v>
      </c>
      <c r="E95" s="11" t="s">
        <v>1640</v>
      </c>
      <c r="F95" s="11" t="s">
        <v>965</v>
      </c>
      <c r="G95" s="11" t="b">
        <f aca="false">TRUE()</f>
        <v>1</v>
      </c>
      <c r="H95" s="11" t="b">
        <f aca="false">TRUE()</f>
        <v>1</v>
      </c>
      <c r="I95" s="11" t="b">
        <f aca="false">FALSE()</f>
        <v>0</v>
      </c>
      <c r="J95" s="11" t="b">
        <f aca="false">FALSE()</f>
        <v>0</v>
      </c>
      <c r="K95" s="11" t="s">
        <v>1781</v>
      </c>
      <c r="L95" s="11" t="s">
        <v>1649</v>
      </c>
      <c r="M95" s="11" t="s">
        <v>1285</v>
      </c>
      <c r="N95" s="11" t="s">
        <v>1288</v>
      </c>
      <c r="O95" s="11" t="n">
        <v>10</v>
      </c>
      <c r="P95" s="12" t="s">
        <v>115</v>
      </c>
      <c r="Q95" s="12" t="n">
        <f aca="false">COUNTIF($A$6:$A$172,A95)</f>
        <v>1</v>
      </c>
    </row>
    <row r="96" customFormat="false" ht="220" hidden="false" customHeight="true" outlineLevel="0" collapsed="false">
      <c r="A96" s="11" t="s">
        <v>1289</v>
      </c>
      <c r="B96" s="11" t="s">
        <v>674</v>
      </c>
      <c r="C96" s="11" t="s">
        <v>1289</v>
      </c>
      <c r="D96" s="11" t="s">
        <v>1290</v>
      </c>
      <c r="E96" s="11" t="s">
        <v>1640</v>
      </c>
      <c r="F96" s="11" t="s">
        <v>965</v>
      </c>
      <c r="G96" s="11" t="b">
        <f aca="false">TRUE()</f>
        <v>1</v>
      </c>
      <c r="H96" s="11" t="b">
        <f aca="false">TRUE()</f>
        <v>1</v>
      </c>
      <c r="I96" s="11" t="b">
        <f aca="false">TRUE()</f>
        <v>1</v>
      </c>
      <c r="J96" s="11" t="b">
        <f aca="false">TRUE()</f>
        <v>1</v>
      </c>
      <c r="K96" s="11" t="s">
        <v>1782</v>
      </c>
      <c r="L96" s="11" t="s">
        <v>1783</v>
      </c>
      <c r="M96" s="11" t="s">
        <v>1289</v>
      </c>
      <c r="N96" s="11" t="s">
        <v>1278</v>
      </c>
      <c r="O96" s="11" t="n">
        <v>10</v>
      </c>
      <c r="P96" s="12" t="s">
        <v>115</v>
      </c>
      <c r="Q96" s="12" t="n">
        <f aca="false">COUNTIF($A$6:$A$172,A96)</f>
        <v>1</v>
      </c>
    </row>
    <row r="97" customFormat="false" ht="220" hidden="false" customHeight="true" outlineLevel="0" collapsed="false">
      <c r="A97" s="11" t="s">
        <v>1292</v>
      </c>
      <c r="B97" s="11" t="s">
        <v>674</v>
      </c>
      <c r="C97" s="11" t="s">
        <v>1292</v>
      </c>
      <c r="D97" s="11" t="s">
        <v>1293</v>
      </c>
      <c r="E97" s="11" t="s">
        <v>1640</v>
      </c>
      <c r="F97" s="11" t="s">
        <v>965</v>
      </c>
      <c r="G97" s="11" t="b">
        <f aca="false">TRUE()</f>
        <v>1</v>
      </c>
      <c r="H97" s="11" t="b">
        <f aca="false">TRUE()</f>
        <v>1</v>
      </c>
      <c r="I97" s="11" t="b">
        <f aca="false">FALSE()</f>
        <v>0</v>
      </c>
      <c r="J97" s="11" t="b">
        <f aca="false">FALSE()</f>
        <v>0</v>
      </c>
      <c r="K97" s="11" t="s">
        <v>1784</v>
      </c>
      <c r="L97" s="11" t="s">
        <v>1649</v>
      </c>
      <c r="M97" s="11" t="s">
        <v>1292</v>
      </c>
      <c r="N97" s="11" t="s">
        <v>1295</v>
      </c>
      <c r="O97" s="11" t="n">
        <v>10</v>
      </c>
      <c r="P97" s="12" t="s">
        <v>115</v>
      </c>
      <c r="Q97" s="12" t="n">
        <f aca="false">COUNTIF($A$6:$A$172,A97)</f>
        <v>1</v>
      </c>
    </row>
    <row r="98" customFormat="false" ht="220" hidden="false" customHeight="true" outlineLevel="0" collapsed="false">
      <c r="A98" s="11" t="s">
        <v>1296</v>
      </c>
      <c r="B98" s="11" t="s">
        <v>674</v>
      </c>
      <c r="C98" s="11" t="s">
        <v>1296</v>
      </c>
      <c r="D98" s="11" t="s">
        <v>1297</v>
      </c>
      <c r="E98" s="11" t="s">
        <v>1640</v>
      </c>
      <c r="F98" s="11" t="s">
        <v>965</v>
      </c>
      <c r="G98" s="11" t="b">
        <f aca="false">TRUE()</f>
        <v>1</v>
      </c>
      <c r="H98" s="11" t="b">
        <f aca="false">TRUE()</f>
        <v>1</v>
      </c>
      <c r="I98" s="11" t="b">
        <f aca="false">TRUE()</f>
        <v>1</v>
      </c>
      <c r="J98" s="11" t="b">
        <f aca="false">TRUE()</f>
        <v>1</v>
      </c>
      <c r="K98" s="11" t="s">
        <v>1785</v>
      </c>
      <c r="L98" s="11" t="s">
        <v>1786</v>
      </c>
      <c r="M98" s="11" t="s">
        <v>1296</v>
      </c>
      <c r="N98" s="11" t="s">
        <v>1299</v>
      </c>
      <c r="O98" s="11" t="n">
        <v>10</v>
      </c>
      <c r="P98" s="12" t="s">
        <v>115</v>
      </c>
      <c r="Q98" s="12" t="n">
        <f aca="false">COUNTIF($A$6:$A$172,A98)</f>
        <v>1</v>
      </c>
    </row>
    <row r="99" customFormat="false" ht="220" hidden="false" customHeight="true" outlineLevel="0" collapsed="false">
      <c r="A99" s="11" t="s">
        <v>1300</v>
      </c>
      <c r="B99" s="11" t="s">
        <v>680</v>
      </c>
      <c r="C99" s="11" t="s">
        <v>1300</v>
      </c>
      <c r="D99" s="11" t="s">
        <v>1301</v>
      </c>
      <c r="E99" s="11" t="s">
        <v>1640</v>
      </c>
      <c r="F99" s="11" t="s">
        <v>965</v>
      </c>
      <c r="G99" s="11" t="b">
        <f aca="false">TRUE()</f>
        <v>1</v>
      </c>
      <c r="H99" s="11" t="b">
        <f aca="false">TRUE()</f>
        <v>1</v>
      </c>
      <c r="I99" s="11" t="b">
        <f aca="false">FALSE()</f>
        <v>0</v>
      </c>
      <c r="J99" s="11" t="b">
        <f aca="false">FALSE()</f>
        <v>0</v>
      </c>
      <c r="K99" s="11" t="s">
        <v>1787</v>
      </c>
      <c r="L99" s="11" t="s">
        <v>1649</v>
      </c>
      <c r="M99" s="11" t="s">
        <v>1300</v>
      </c>
      <c r="N99" s="11" t="s">
        <v>1302</v>
      </c>
      <c r="O99" s="11" t="n">
        <v>10</v>
      </c>
      <c r="P99" s="12" t="s">
        <v>115</v>
      </c>
      <c r="Q99" s="12" t="n">
        <f aca="false">COUNTIF($A$6:$A$172,A99)</f>
        <v>1</v>
      </c>
    </row>
    <row r="100" customFormat="false" ht="220" hidden="false" customHeight="true" outlineLevel="0" collapsed="false">
      <c r="A100" s="11" t="s">
        <v>1303</v>
      </c>
      <c r="B100" s="11" t="s">
        <v>680</v>
      </c>
      <c r="C100" s="11" t="s">
        <v>1303</v>
      </c>
      <c r="D100" s="11" t="s">
        <v>1304</v>
      </c>
      <c r="E100" s="11" t="s">
        <v>1670</v>
      </c>
      <c r="F100" s="11" t="s">
        <v>965</v>
      </c>
      <c r="G100" s="11" t="b">
        <f aca="false">TRUE()</f>
        <v>1</v>
      </c>
      <c r="H100" s="11" t="b">
        <f aca="false">FALSE()</f>
        <v>0</v>
      </c>
      <c r="I100" s="11" t="b">
        <f aca="false">FALSE()</f>
        <v>0</v>
      </c>
      <c r="J100" s="11" t="b">
        <f aca="false">FALSE()</f>
        <v>0</v>
      </c>
      <c r="K100" s="11" t="s">
        <v>1788</v>
      </c>
      <c r="L100" s="11" t="s">
        <v>1649</v>
      </c>
      <c r="M100" s="11" t="s">
        <v>1303</v>
      </c>
      <c r="N100" s="11"/>
      <c r="O100" s="11" t="n">
        <v>10</v>
      </c>
      <c r="P100" s="12" t="s">
        <v>115</v>
      </c>
      <c r="Q100" s="12" t="n">
        <f aca="false">COUNTIF($A$6:$A$172,A100)</f>
        <v>1</v>
      </c>
    </row>
    <row r="101" customFormat="false" ht="220" hidden="false" customHeight="true" outlineLevel="0" collapsed="false">
      <c r="A101" s="11" t="s">
        <v>1306</v>
      </c>
      <c r="B101" s="11" t="s">
        <v>680</v>
      </c>
      <c r="C101" s="11" t="s">
        <v>1306</v>
      </c>
      <c r="D101" s="11" t="s">
        <v>1307</v>
      </c>
      <c r="E101" s="11" t="s">
        <v>1643</v>
      </c>
      <c r="F101" s="11" t="s">
        <v>965</v>
      </c>
      <c r="G101" s="11" t="b">
        <f aca="false">TRUE()</f>
        <v>1</v>
      </c>
      <c r="H101" s="11" t="b">
        <f aca="false">TRUE()</f>
        <v>1</v>
      </c>
      <c r="I101" s="11" t="b">
        <f aca="false">FALSE()</f>
        <v>0</v>
      </c>
      <c r="J101" s="11" t="b">
        <f aca="false">FALSE()</f>
        <v>0</v>
      </c>
      <c r="K101" s="11" t="s">
        <v>1789</v>
      </c>
      <c r="L101" s="11" t="s">
        <v>1649</v>
      </c>
      <c r="M101" s="11" t="s">
        <v>1306</v>
      </c>
      <c r="N101" s="11" t="s">
        <v>1309</v>
      </c>
      <c r="O101" s="11" t="n">
        <v>10</v>
      </c>
      <c r="P101" s="12" t="s">
        <v>115</v>
      </c>
      <c r="Q101" s="12" t="n">
        <f aca="false">COUNTIF($A$6:$A$172,A101)</f>
        <v>1</v>
      </c>
    </row>
    <row r="102" customFormat="false" ht="220" hidden="false" customHeight="true" outlineLevel="0" collapsed="false">
      <c r="A102" s="11" t="s">
        <v>1310</v>
      </c>
      <c r="B102" s="11" t="s">
        <v>680</v>
      </c>
      <c r="C102" s="11" t="s">
        <v>1310</v>
      </c>
      <c r="D102" s="11" t="s">
        <v>1311</v>
      </c>
      <c r="E102" s="11" t="s">
        <v>1670</v>
      </c>
      <c r="F102" s="11" t="s">
        <v>965</v>
      </c>
      <c r="G102" s="11" t="b">
        <f aca="false">TRUE()</f>
        <v>1</v>
      </c>
      <c r="H102" s="11" t="b">
        <f aca="false">FALSE()</f>
        <v>0</v>
      </c>
      <c r="I102" s="11" t="b">
        <f aca="false">FALSE()</f>
        <v>0</v>
      </c>
      <c r="J102" s="11" t="b">
        <f aca="false">FALSE()</f>
        <v>0</v>
      </c>
      <c r="K102" s="11" t="s">
        <v>1790</v>
      </c>
      <c r="L102" s="11" t="s">
        <v>1649</v>
      </c>
      <c r="M102" s="11" t="s">
        <v>1310</v>
      </c>
      <c r="N102" s="11"/>
      <c r="O102" s="11" t="n">
        <v>10</v>
      </c>
      <c r="P102" s="12" t="s">
        <v>115</v>
      </c>
      <c r="Q102" s="12" t="n">
        <f aca="false">COUNTIF($A$6:$A$172,A102)</f>
        <v>1</v>
      </c>
    </row>
    <row r="103" customFormat="false" ht="220" hidden="false" customHeight="true" outlineLevel="0" collapsed="false">
      <c r="A103" s="11" t="s">
        <v>1313</v>
      </c>
      <c r="B103" s="11" t="s">
        <v>680</v>
      </c>
      <c r="C103" s="11" t="s">
        <v>1313</v>
      </c>
      <c r="D103" s="11" t="s">
        <v>1314</v>
      </c>
      <c r="E103" s="11" t="s">
        <v>1670</v>
      </c>
      <c r="F103" s="11" t="s">
        <v>965</v>
      </c>
      <c r="G103" s="11" t="b">
        <f aca="false">TRUE()</f>
        <v>1</v>
      </c>
      <c r="H103" s="11" t="b">
        <f aca="false">FALSE()</f>
        <v>0</v>
      </c>
      <c r="I103" s="11" t="b">
        <f aca="false">FALSE()</f>
        <v>0</v>
      </c>
      <c r="J103" s="11" t="b">
        <f aca="false">FALSE()</f>
        <v>0</v>
      </c>
      <c r="K103" s="11" t="s">
        <v>1791</v>
      </c>
      <c r="L103" s="11" t="s">
        <v>1649</v>
      </c>
      <c r="M103" s="11" t="s">
        <v>1313</v>
      </c>
      <c r="N103" s="11"/>
      <c r="O103" s="11" t="n">
        <v>10</v>
      </c>
      <c r="P103" s="12" t="s">
        <v>115</v>
      </c>
      <c r="Q103" s="12" t="n">
        <f aca="false">COUNTIF($A$6:$A$172,A103)</f>
        <v>1</v>
      </c>
    </row>
    <row r="104" customFormat="false" ht="220" hidden="false" customHeight="true" outlineLevel="0" collapsed="false">
      <c r="A104" s="11" t="s">
        <v>1316</v>
      </c>
      <c r="B104" s="11" t="s">
        <v>680</v>
      </c>
      <c r="C104" s="11" t="s">
        <v>1316</v>
      </c>
      <c r="D104" s="11" t="s">
        <v>1317</v>
      </c>
      <c r="E104" s="11" t="s">
        <v>1643</v>
      </c>
      <c r="F104" s="11" t="s">
        <v>965</v>
      </c>
      <c r="G104" s="11" t="b">
        <f aca="false">TRUE()</f>
        <v>1</v>
      </c>
      <c r="H104" s="11" t="b">
        <f aca="false">TRUE()</f>
        <v>1</v>
      </c>
      <c r="I104" s="11" t="b">
        <f aca="false">FALSE()</f>
        <v>0</v>
      </c>
      <c r="J104" s="11" t="b">
        <f aca="false">FALSE()</f>
        <v>0</v>
      </c>
      <c r="K104" s="11" t="s">
        <v>1792</v>
      </c>
      <c r="L104" s="11" t="s">
        <v>1649</v>
      </c>
      <c r="M104" s="11" t="s">
        <v>1316</v>
      </c>
      <c r="N104" s="11" t="s">
        <v>1319</v>
      </c>
      <c r="O104" s="11" t="n">
        <v>10</v>
      </c>
      <c r="P104" s="12" t="s">
        <v>115</v>
      </c>
      <c r="Q104" s="12" t="n">
        <f aca="false">COUNTIF($A$6:$A$172,A104)</f>
        <v>1</v>
      </c>
    </row>
    <row r="105" customFormat="false" ht="220" hidden="false" customHeight="true" outlineLevel="0" collapsed="false">
      <c r="A105" s="11" t="s">
        <v>1320</v>
      </c>
      <c r="B105" s="11" t="s">
        <v>557</v>
      </c>
      <c r="C105" s="11" t="s">
        <v>1320</v>
      </c>
      <c r="D105" s="11" t="s">
        <v>1321</v>
      </c>
      <c r="E105" s="11" t="s">
        <v>1640</v>
      </c>
      <c r="F105" s="11" t="s">
        <v>965</v>
      </c>
      <c r="G105" s="11" t="b">
        <f aca="false">TRUE()</f>
        <v>1</v>
      </c>
      <c r="H105" s="11" t="b">
        <f aca="false">TRUE()</f>
        <v>1</v>
      </c>
      <c r="I105" s="11" t="b">
        <f aca="false">TRUE()</f>
        <v>1</v>
      </c>
      <c r="J105" s="11" t="b">
        <f aca="false">FALSE()</f>
        <v>0</v>
      </c>
      <c r="K105" s="11" t="s">
        <v>1793</v>
      </c>
      <c r="L105" s="11" t="s">
        <v>1794</v>
      </c>
      <c r="M105" s="11" t="s">
        <v>1320</v>
      </c>
      <c r="N105" s="11"/>
      <c r="O105" s="11" t="n">
        <v>10</v>
      </c>
      <c r="P105" s="12" t="s">
        <v>115</v>
      </c>
      <c r="Q105" s="12" t="n">
        <f aca="false">COUNTIF($A$6:$A$172,A105)</f>
        <v>1</v>
      </c>
    </row>
    <row r="106" customFormat="false" ht="220" hidden="false" customHeight="true" outlineLevel="0" collapsed="false">
      <c r="A106" s="11" t="s">
        <v>1322</v>
      </c>
      <c r="B106" s="11" t="s">
        <v>557</v>
      </c>
      <c r="C106" s="11" t="s">
        <v>1322</v>
      </c>
      <c r="D106" s="11" t="s">
        <v>1323</v>
      </c>
      <c r="E106" s="11" t="s">
        <v>1640</v>
      </c>
      <c r="F106" s="11" t="s">
        <v>965</v>
      </c>
      <c r="G106" s="11" t="b">
        <f aca="false">TRUE()</f>
        <v>1</v>
      </c>
      <c r="H106" s="11" t="b">
        <f aca="false">TRUE()</f>
        <v>1</v>
      </c>
      <c r="I106" s="11" t="b">
        <f aca="false">FALSE()</f>
        <v>0</v>
      </c>
      <c r="J106" s="11" t="b">
        <f aca="false">FALSE()</f>
        <v>0</v>
      </c>
      <c r="K106" s="11" t="s">
        <v>1795</v>
      </c>
      <c r="L106" s="11" t="s">
        <v>1649</v>
      </c>
      <c r="M106" s="11" t="s">
        <v>1322</v>
      </c>
      <c r="N106" s="11"/>
      <c r="O106" s="11" t="n">
        <v>10</v>
      </c>
      <c r="P106" s="12" t="s">
        <v>115</v>
      </c>
      <c r="Q106" s="12" t="n">
        <f aca="false">COUNTIF($A$6:$A$172,A106)</f>
        <v>1</v>
      </c>
    </row>
    <row r="107" customFormat="false" ht="220" hidden="false" customHeight="true" outlineLevel="0" collapsed="false">
      <c r="A107" s="11" t="s">
        <v>1329</v>
      </c>
      <c r="B107" s="11" t="s">
        <v>557</v>
      </c>
      <c r="C107" s="11" t="s">
        <v>1329</v>
      </c>
      <c r="D107" s="11" t="s">
        <v>1330</v>
      </c>
      <c r="E107" s="11" t="s">
        <v>1670</v>
      </c>
      <c r="F107" s="11" t="s">
        <v>965</v>
      </c>
      <c r="G107" s="11" t="b">
        <f aca="false">TRUE()</f>
        <v>1</v>
      </c>
      <c r="H107" s="11" t="b">
        <f aca="false">FALSE()</f>
        <v>0</v>
      </c>
      <c r="I107" s="11" t="b">
        <f aca="false">FALSE()</f>
        <v>0</v>
      </c>
      <c r="J107" s="11" t="b">
        <f aca="false">FALSE()</f>
        <v>0</v>
      </c>
      <c r="K107" s="11" t="s">
        <v>1796</v>
      </c>
      <c r="L107" s="11" t="s">
        <v>1649</v>
      </c>
      <c r="M107" s="11" t="s">
        <v>1329</v>
      </c>
      <c r="N107" s="11" t="s">
        <v>1328</v>
      </c>
      <c r="O107" s="11" t="n">
        <v>10</v>
      </c>
      <c r="P107" s="12" t="s">
        <v>115</v>
      </c>
      <c r="Q107" s="12" t="n">
        <f aca="false">COUNTIF($A$6:$A$172,A107)</f>
        <v>1</v>
      </c>
    </row>
    <row r="108" customFormat="false" ht="220" hidden="false" customHeight="true" outlineLevel="0" collapsed="false">
      <c r="A108" s="11" t="s">
        <v>1332</v>
      </c>
      <c r="B108" s="11" t="s">
        <v>557</v>
      </c>
      <c r="C108" s="11" t="s">
        <v>1332</v>
      </c>
      <c r="D108" s="11" t="s">
        <v>1333</v>
      </c>
      <c r="E108" s="11" t="s">
        <v>1643</v>
      </c>
      <c r="F108" s="11" t="s">
        <v>965</v>
      </c>
      <c r="G108" s="11" t="b">
        <f aca="false">TRUE()</f>
        <v>1</v>
      </c>
      <c r="H108" s="11" t="b">
        <f aca="false">TRUE()</f>
        <v>1</v>
      </c>
      <c r="I108" s="11" t="b">
        <f aca="false">FALSE()</f>
        <v>0</v>
      </c>
      <c r="J108" s="11" t="b">
        <f aca="false">FALSE()</f>
        <v>0</v>
      </c>
      <c r="K108" s="11" t="s">
        <v>1797</v>
      </c>
      <c r="L108" s="11" t="s">
        <v>1649</v>
      </c>
      <c r="M108" s="11" t="s">
        <v>1332</v>
      </c>
      <c r="N108" s="11"/>
      <c r="O108" s="11" t="n">
        <v>10</v>
      </c>
      <c r="P108" s="12" t="s">
        <v>115</v>
      </c>
      <c r="Q108" s="12" t="n">
        <f aca="false">COUNTIF($A$6:$A$172,A108)</f>
        <v>1</v>
      </c>
    </row>
    <row r="109" customFormat="false" ht="220" hidden="false" customHeight="true" outlineLevel="0" collapsed="false">
      <c r="A109" s="11" t="s">
        <v>1335</v>
      </c>
      <c r="B109" s="11" t="s">
        <v>557</v>
      </c>
      <c r="C109" s="11" t="s">
        <v>1335</v>
      </c>
      <c r="D109" s="11" t="s">
        <v>1336</v>
      </c>
      <c r="E109" s="11" t="s">
        <v>1670</v>
      </c>
      <c r="F109" s="11" t="s">
        <v>965</v>
      </c>
      <c r="G109" s="11" t="b">
        <f aca="false">TRUE()</f>
        <v>1</v>
      </c>
      <c r="H109" s="11" t="b">
        <f aca="false">FALSE()</f>
        <v>0</v>
      </c>
      <c r="I109" s="11" t="b">
        <f aca="false">TRUE()</f>
        <v>1</v>
      </c>
      <c r="J109" s="11" t="b">
        <f aca="false">FALSE()</f>
        <v>0</v>
      </c>
      <c r="K109" s="11" t="s">
        <v>1798</v>
      </c>
      <c r="L109" s="11" t="s">
        <v>1799</v>
      </c>
      <c r="M109" s="11" t="s">
        <v>1335</v>
      </c>
      <c r="N109" s="11"/>
      <c r="O109" s="11" t="n">
        <v>10</v>
      </c>
      <c r="P109" s="12" t="s">
        <v>115</v>
      </c>
      <c r="Q109" s="12" t="n">
        <f aca="false">COUNTIF($A$6:$A$172,A109)</f>
        <v>1</v>
      </c>
    </row>
    <row r="110" customFormat="false" ht="220" hidden="false" customHeight="true" outlineLevel="0" collapsed="false">
      <c r="A110" s="11" t="s">
        <v>1338</v>
      </c>
      <c r="B110" s="11" t="s">
        <v>557</v>
      </c>
      <c r="C110" s="11" t="s">
        <v>1338</v>
      </c>
      <c r="D110" s="11" t="s">
        <v>1339</v>
      </c>
      <c r="E110" s="11" t="s">
        <v>1670</v>
      </c>
      <c r="F110" s="11" t="s">
        <v>965</v>
      </c>
      <c r="G110" s="11" t="b">
        <f aca="false">TRUE()</f>
        <v>1</v>
      </c>
      <c r="H110" s="11" t="b">
        <f aca="false">FALSE()</f>
        <v>0</v>
      </c>
      <c r="I110" s="11" t="b">
        <f aca="false">FALSE()</f>
        <v>0</v>
      </c>
      <c r="J110" s="11" t="b">
        <f aca="false">FALSE()</f>
        <v>0</v>
      </c>
      <c r="K110" s="11" t="s">
        <v>1800</v>
      </c>
      <c r="L110" s="11" t="s">
        <v>1649</v>
      </c>
      <c r="M110" s="11" t="s">
        <v>1338</v>
      </c>
      <c r="N110" s="11"/>
      <c r="O110" s="11" t="n">
        <v>10</v>
      </c>
      <c r="P110" s="12" t="s">
        <v>115</v>
      </c>
      <c r="Q110" s="12" t="n">
        <f aca="false">COUNTIF($A$6:$A$172,A110)</f>
        <v>1</v>
      </c>
    </row>
    <row r="111" customFormat="false" ht="220" hidden="false" customHeight="true" outlineLevel="0" collapsed="false">
      <c r="A111" s="11" t="s">
        <v>1341</v>
      </c>
      <c r="B111" s="11" t="s">
        <v>689</v>
      </c>
      <c r="C111" s="11" t="s">
        <v>1341</v>
      </c>
      <c r="D111" s="11" t="s">
        <v>1342</v>
      </c>
      <c r="E111" s="11" t="s">
        <v>1643</v>
      </c>
      <c r="F111" s="11" t="s">
        <v>965</v>
      </c>
      <c r="G111" s="11" t="b">
        <f aca="false">TRUE()</f>
        <v>1</v>
      </c>
      <c r="H111" s="11" t="b">
        <f aca="false">TRUE()</f>
        <v>1</v>
      </c>
      <c r="I111" s="11" t="b">
        <f aca="false">TRUE()</f>
        <v>1</v>
      </c>
      <c r="J111" s="11" t="b">
        <f aca="false">TRUE()</f>
        <v>1</v>
      </c>
      <c r="K111" s="11" t="s">
        <v>1801</v>
      </c>
      <c r="L111" s="11" t="s">
        <v>1802</v>
      </c>
      <c r="M111" s="11" t="s">
        <v>1343</v>
      </c>
      <c r="N111" s="11" t="s">
        <v>1344</v>
      </c>
      <c r="O111" s="11" t="n">
        <v>80</v>
      </c>
      <c r="P111" s="12" t="s">
        <v>115</v>
      </c>
      <c r="Q111" s="12" t="n">
        <f aca="false">COUNTIF($A$6:$A$172,A111)</f>
        <v>1</v>
      </c>
    </row>
    <row r="112" customFormat="false" ht="220" hidden="false" customHeight="true" outlineLevel="0" collapsed="false">
      <c r="A112" s="11" t="s">
        <v>1345</v>
      </c>
      <c r="B112" s="11" t="s">
        <v>689</v>
      </c>
      <c r="C112" s="11" t="s">
        <v>1345</v>
      </c>
      <c r="D112" s="11" t="s">
        <v>1346</v>
      </c>
      <c r="E112" s="11" t="s">
        <v>1670</v>
      </c>
      <c r="F112" s="11" t="s">
        <v>965</v>
      </c>
      <c r="G112" s="11" t="b">
        <f aca="false">TRUE()</f>
        <v>1</v>
      </c>
      <c r="H112" s="11" t="b">
        <f aca="false">FALSE()</f>
        <v>0</v>
      </c>
      <c r="I112" s="11" t="b">
        <f aca="false">FALSE()</f>
        <v>0</v>
      </c>
      <c r="J112" s="11" t="b">
        <f aca="false">FALSE()</f>
        <v>0</v>
      </c>
      <c r="K112" s="11" t="s">
        <v>1803</v>
      </c>
      <c r="L112" s="11" t="s">
        <v>1649</v>
      </c>
      <c r="M112" s="11" t="s">
        <v>1345</v>
      </c>
      <c r="N112" s="11" t="s">
        <v>1348</v>
      </c>
      <c r="O112" s="11" t="n">
        <v>10</v>
      </c>
      <c r="P112" s="12" t="s">
        <v>115</v>
      </c>
      <c r="Q112" s="12" t="n">
        <f aca="false">COUNTIF($A$6:$A$172,A112)</f>
        <v>1</v>
      </c>
    </row>
    <row r="113" customFormat="false" ht="220" hidden="false" customHeight="true" outlineLevel="0" collapsed="false">
      <c r="A113" s="11" t="s">
        <v>1349</v>
      </c>
      <c r="B113" s="11" t="s">
        <v>689</v>
      </c>
      <c r="C113" s="11" t="s">
        <v>1349</v>
      </c>
      <c r="D113" s="11" t="s">
        <v>1350</v>
      </c>
      <c r="E113" s="11" t="s">
        <v>1670</v>
      </c>
      <c r="F113" s="11" t="s">
        <v>965</v>
      </c>
      <c r="G113" s="11" t="b">
        <f aca="false">TRUE()</f>
        <v>1</v>
      </c>
      <c r="H113" s="11" t="b">
        <f aca="false">FALSE()</f>
        <v>0</v>
      </c>
      <c r="I113" s="11" t="b">
        <f aca="false">TRUE()</f>
        <v>1</v>
      </c>
      <c r="J113" s="11" t="b">
        <f aca="false">FALSE()</f>
        <v>0</v>
      </c>
      <c r="K113" s="11" t="s">
        <v>1804</v>
      </c>
      <c r="L113" s="11" t="s">
        <v>1805</v>
      </c>
      <c r="M113" s="11" t="s">
        <v>1349</v>
      </c>
      <c r="N113" s="11" t="s">
        <v>1352</v>
      </c>
      <c r="O113" s="11" t="n">
        <v>80</v>
      </c>
      <c r="P113" s="12" t="s">
        <v>115</v>
      </c>
      <c r="Q113" s="12" t="n">
        <f aca="false">COUNTIF($A$6:$A$172,A113)</f>
        <v>1</v>
      </c>
    </row>
    <row r="114" customFormat="false" ht="220" hidden="false" customHeight="true" outlineLevel="0" collapsed="false">
      <c r="A114" s="11" t="s">
        <v>1353</v>
      </c>
      <c r="B114" s="11" t="s">
        <v>689</v>
      </c>
      <c r="C114" s="11" t="s">
        <v>1353</v>
      </c>
      <c r="D114" s="11" t="s">
        <v>1354</v>
      </c>
      <c r="E114" s="11" t="s">
        <v>1670</v>
      </c>
      <c r="F114" s="11" t="s">
        <v>965</v>
      </c>
      <c r="G114" s="11" t="b">
        <f aca="false">TRUE()</f>
        <v>1</v>
      </c>
      <c r="H114" s="11" t="b">
        <f aca="false">FALSE()</f>
        <v>0</v>
      </c>
      <c r="I114" s="11" t="b">
        <f aca="false">FALSE()</f>
        <v>0</v>
      </c>
      <c r="J114" s="11" t="b">
        <f aca="false">FALSE()</f>
        <v>0</v>
      </c>
      <c r="K114" s="11" t="s">
        <v>1806</v>
      </c>
      <c r="L114" s="11" t="s">
        <v>1649</v>
      </c>
      <c r="M114" s="11" t="s">
        <v>1353</v>
      </c>
      <c r="N114" s="11"/>
      <c r="O114" s="11" t="n">
        <v>10</v>
      </c>
      <c r="P114" s="12" t="s">
        <v>115</v>
      </c>
      <c r="Q114" s="12" t="n">
        <f aca="false">COUNTIF($A$6:$A$172,A114)</f>
        <v>1</v>
      </c>
    </row>
    <row r="115" customFormat="false" ht="220" hidden="false" customHeight="true" outlineLevel="0" collapsed="false">
      <c r="A115" s="11" t="s">
        <v>1357</v>
      </c>
      <c r="B115" s="11" t="s">
        <v>689</v>
      </c>
      <c r="C115" s="11" t="s">
        <v>1357</v>
      </c>
      <c r="D115" s="11" t="s">
        <v>1358</v>
      </c>
      <c r="E115" s="11" t="s">
        <v>1670</v>
      </c>
      <c r="F115" s="11" t="s">
        <v>965</v>
      </c>
      <c r="G115" s="11" t="b">
        <f aca="false">TRUE()</f>
        <v>1</v>
      </c>
      <c r="H115" s="11" t="b">
        <f aca="false">FALSE()</f>
        <v>0</v>
      </c>
      <c r="I115" s="11" t="b">
        <f aca="false">FALSE()</f>
        <v>0</v>
      </c>
      <c r="J115" s="11" t="b">
        <f aca="false">FALSE()</f>
        <v>0</v>
      </c>
      <c r="K115" s="11" t="s">
        <v>1807</v>
      </c>
      <c r="L115" s="11" t="s">
        <v>1649</v>
      </c>
      <c r="M115" s="11" t="s">
        <v>1357</v>
      </c>
      <c r="N115" s="11" t="s">
        <v>1361</v>
      </c>
      <c r="O115" s="11" t="n">
        <v>80</v>
      </c>
      <c r="P115" s="12" t="s">
        <v>115</v>
      </c>
      <c r="Q115" s="12" t="n">
        <f aca="false">COUNTIF($A$6:$A$172,A115)</f>
        <v>1</v>
      </c>
    </row>
    <row r="116" customFormat="false" ht="220" hidden="false" customHeight="true" outlineLevel="0" collapsed="false">
      <c r="A116" s="11" t="s">
        <v>1362</v>
      </c>
      <c r="B116" s="11" t="s">
        <v>689</v>
      </c>
      <c r="C116" s="11" t="s">
        <v>1362</v>
      </c>
      <c r="D116" s="11" t="s">
        <v>1363</v>
      </c>
      <c r="E116" s="11" t="s">
        <v>1670</v>
      </c>
      <c r="F116" s="11" t="s">
        <v>965</v>
      </c>
      <c r="G116" s="11" t="b">
        <f aca="false">TRUE()</f>
        <v>1</v>
      </c>
      <c r="H116" s="11" t="b">
        <f aca="false">FALSE()</f>
        <v>0</v>
      </c>
      <c r="I116" s="11" t="b">
        <f aca="false">FALSE()</f>
        <v>0</v>
      </c>
      <c r="J116" s="11" t="b">
        <f aca="false">FALSE()</f>
        <v>0</v>
      </c>
      <c r="K116" s="11" t="s">
        <v>1808</v>
      </c>
      <c r="L116" s="11" t="s">
        <v>1649</v>
      </c>
      <c r="M116" s="11" t="s">
        <v>1362</v>
      </c>
      <c r="N116" s="11"/>
      <c r="O116" s="11" t="n">
        <v>10</v>
      </c>
      <c r="P116" s="12" t="s">
        <v>115</v>
      </c>
      <c r="Q116" s="12" t="n">
        <f aca="false">COUNTIF($A$6:$A$172,A116)</f>
        <v>1</v>
      </c>
    </row>
    <row r="117" customFormat="false" ht="220" hidden="false" customHeight="true" outlineLevel="0" collapsed="false">
      <c r="A117" s="11" t="s">
        <v>1365</v>
      </c>
      <c r="B117" s="11" t="s">
        <v>689</v>
      </c>
      <c r="C117" s="11" t="s">
        <v>1365</v>
      </c>
      <c r="D117" s="11" t="s">
        <v>1366</v>
      </c>
      <c r="E117" s="11" t="s">
        <v>1670</v>
      </c>
      <c r="F117" s="11" t="s">
        <v>965</v>
      </c>
      <c r="G117" s="11" t="b">
        <f aca="false">TRUE()</f>
        <v>1</v>
      </c>
      <c r="H117" s="11" t="b">
        <f aca="false">FALSE()</f>
        <v>0</v>
      </c>
      <c r="I117" s="11" t="b">
        <f aca="false">FALSE()</f>
        <v>0</v>
      </c>
      <c r="J117" s="11" t="b">
        <f aca="false">FALSE()</f>
        <v>0</v>
      </c>
      <c r="K117" s="11" t="s">
        <v>1809</v>
      </c>
      <c r="L117" s="11" t="s">
        <v>1649</v>
      </c>
      <c r="M117" s="11" t="s">
        <v>1365</v>
      </c>
      <c r="N117" s="11" t="s">
        <v>1361</v>
      </c>
      <c r="O117" s="11" t="n">
        <v>80</v>
      </c>
      <c r="P117" s="12" t="s">
        <v>115</v>
      </c>
      <c r="Q117" s="12" t="n">
        <f aca="false">COUNTIF($A$6:$A$172,A117)</f>
        <v>1</v>
      </c>
    </row>
    <row r="118" customFormat="false" ht="220" hidden="false" customHeight="true" outlineLevel="0" collapsed="false">
      <c r="A118" s="11" t="s">
        <v>1371</v>
      </c>
      <c r="B118" s="11" t="s">
        <v>689</v>
      </c>
      <c r="C118" s="11" t="s">
        <v>1371</v>
      </c>
      <c r="D118" s="11" t="s">
        <v>1372</v>
      </c>
      <c r="E118" s="11" t="s">
        <v>1640</v>
      </c>
      <c r="F118" s="11" t="s">
        <v>965</v>
      </c>
      <c r="G118" s="11" t="b">
        <f aca="false">TRUE()</f>
        <v>1</v>
      </c>
      <c r="H118" s="11" t="b">
        <f aca="false">TRUE()</f>
        <v>1</v>
      </c>
      <c r="I118" s="11" t="b">
        <f aca="false">TRUE()</f>
        <v>1</v>
      </c>
      <c r="J118" s="11" t="b">
        <f aca="false">FALSE()</f>
        <v>0</v>
      </c>
      <c r="K118" s="11" t="s">
        <v>1810</v>
      </c>
      <c r="L118" s="11" t="s">
        <v>1811</v>
      </c>
      <c r="M118" s="11" t="s">
        <v>1371</v>
      </c>
      <c r="N118" s="11" t="s">
        <v>1352</v>
      </c>
      <c r="O118" s="11" t="n">
        <v>80</v>
      </c>
      <c r="P118" s="12" t="s">
        <v>115</v>
      </c>
      <c r="Q118" s="12" t="n">
        <f aca="false">COUNTIF($A$6:$A$172,A118)</f>
        <v>1</v>
      </c>
    </row>
    <row r="119" customFormat="false" ht="220" hidden="false" customHeight="true" outlineLevel="0" collapsed="false">
      <c r="A119" s="11" t="s">
        <v>1378</v>
      </c>
      <c r="B119" s="11" t="s">
        <v>695</v>
      </c>
      <c r="C119" s="11" t="s">
        <v>1378</v>
      </c>
      <c r="D119" s="11" t="s">
        <v>1379</v>
      </c>
      <c r="E119" s="11" t="s">
        <v>1670</v>
      </c>
      <c r="F119" s="11" t="s">
        <v>965</v>
      </c>
      <c r="G119" s="11" t="b">
        <f aca="false">TRUE()</f>
        <v>1</v>
      </c>
      <c r="H119" s="11" t="b">
        <f aca="false">FALSE()</f>
        <v>0</v>
      </c>
      <c r="I119" s="11" t="b">
        <f aca="false">TRUE()</f>
        <v>1</v>
      </c>
      <c r="J119" s="11" t="b">
        <f aca="false">FALSE()</f>
        <v>0</v>
      </c>
      <c r="K119" s="11" t="s">
        <v>1812</v>
      </c>
      <c r="L119" s="11" t="s">
        <v>1813</v>
      </c>
      <c r="M119" s="11" t="s">
        <v>1378</v>
      </c>
      <c r="N119" s="11"/>
      <c r="O119" s="11" t="n">
        <v>10</v>
      </c>
      <c r="P119" s="12" t="s">
        <v>115</v>
      </c>
      <c r="Q119" s="12" t="n">
        <f aca="false">COUNTIF($A$6:$A$172,A119)</f>
        <v>1</v>
      </c>
    </row>
    <row r="120" customFormat="false" ht="220" hidden="false" customHeight="true" outlineLevel="0" collapsed="false">
      <c r="A120" s="11" t="s">
        <v>1380</v>
      </c>
      <c r="B120" s="11" t="s">
        <v>695</v>
      </c>
      <c r="C120" s="11" t="s">
        <v>1380</v>
      </c>
      <c r="D120" s="11" t="s">
        <v>1381</v>
      </c>
      <c r="E120" s="11" t="s">
        <v>1640</v>
      </c>
      <c r="F120" s="11" t="s">
        <v>965</v>
      </c>
      <c r="G120" s="11" t="b">
        <f aca="false">TRUE()</f>
        <v>1</v>
      </c>
      <c r="H120" s="11" t="b">
        <f aca="false">TRUE()</f>
        <v>1</v>
      </c>
      <c r="I120" s="11" t="b">
        <f aca="false">FALSE()</f>
        <v>0</v>
      </c>
      <c r="J120" s="11" t="b">
        <f aca="false">FALSE()</f>
        <v>0</v>
      </c>
      <c r="K120" s="11" t="s">
        <v>1814</v>
      </c>
      <c r="L120" s="11" t="s">
        <v>1649</v>
      </c>
      <c r="M120" s="11" t="s">
        <v>1380</v>
      </c>
      <c r="N120" s="11" t="s">
        <v>1383</v>
      </c>
      <c r="O120" s="11" t="n">
        <v>10</v>
      </c>
      <c r="P120" s="12" t="s">
        <v>115</v>
      </c>
      <c r="Q120" s="12" t="n">
        <f aca="false">COUNTIF($A$6:$A$172,A120)</f>
        <v>1</v>
      </c>
    </row>
    <row r="121" customFormat="false" ht="220" hidden="false" customHeight="true" outlineLevel="0" collapsed="false">
      <c r="A121" s="11" t="s">
        <v>1384</v>
      </c>
      <c r="B121" s="11" t="s">
        <v>695</v>
      </c>
      <c r="C121" s="11" t="s">
        <v>1384</v>
      </c>
      <c r="D121" s="11" t="s">
        <v>1385</v>
      </c>
      <c r="E121" s="11" t="s">
        <v>1670</v>
      </c>
      <c r="F121" s="11" t="s">
        <v>965</v>
      </c>
      <c r="G121" s="11" t="b">
        <f aca="false">TRUE()</f>
        <v>1</v>
      </c>
      <c r="H121" s="11" t="b">
        <f aca="false">FALSE()</f>
        <v>0</v>
      </c>
      <c r="I121" s="11" t="b">
        <f aca="false">TRUE()</f>
        <v>1</v>
      </c>
      <c r="J121" s="11" t="b">
        <f aca="false">FALSE()</f>
        <v>0</v>
      </c>
      <c r="K121" s="11" t="s">
        <v>1815</v>
      </c>
      <c r="L121" s="11" t="s">
        <v>1816</v>
      </c>
      <c r="M121" s="11" t="s">
        <v>1384</v>
      </c>
      <c r="N121" s="11"/>
      <c r="O121" s="11" t="n">
        <v>10</v>
      </c>
      <c r="P121" s="12" t="s">
        <v>115</v>
      </c>
      <c r="Q121" s="12" t="n">
        <f aca="false">COUNTIF($A$6:$A$172,A121)</f>
        <v>1</v>
      </c>
    </row>
    <row r="122" customFormat="false" ht="220" hidden="false" customHeight="true" outlineLevel="0" collapsed="false">
      <c r="A122" s="11" t="s">
        <v>1387</v>
      </c>
      <c r="B122" s="11" t="s">
        <v>695</v>
      </c>
      <c r="C122" s="11" t="s">
        <v>1387</v>
      </c>
      <c r="D122" s="11" t="s">
        <v>1388</v>
      </c>
      <c r="E122" s="11" t="s">
        <v>1670</v>
      </c>
      <c r="F122" s="11" t="s">
        <v>965</v>
      </c>
      <c r="G122" s="11" t="b">
        <f aca="false">TRUE()</f>
        <v>1</v>
      </c>
      <c r="H122" s="11" t="b">
        <f aca="false">FALSE()</f>
        <v>0</v>
      </c>
      <c r="I122" s="11" t="b">
        <f aca="false">FALSE()</f>
        <v>0</v>
      </c>
      <c r="J122" s="11" t="b">
        <f aca="false">FALSE()</f>
        <v>0</v>
      </c>
      <c r="K122" s="11" t="s">
        <v>1817</v>
      </c>
      <c r="L122" s="11" t="s">
        <v>1649</v>
      </c>
      <c r="M122" s="11" t="s">
        <v>1387</v>
      </c>
      <c r="N122" s="11"/>
      <c r="O122" s="11" t="n">
        <v>10</v>
      </c>
      <c r="P122" s="12" t="s">
        <v>115</v>
      </c>
      <c r="Q122" s="12" t="n">
        <f aca="false">COUNTIF($A$6:$A$172,A122)</f>
        <v>1</v>
      </c>
    </row>
    <row r="123" customFormat="false" ht="220" hidden="false" customHeight="true" outlineLevel="0" collapsed="false">
      <c r="A123" s="11" t="s">
        <v>1393</v>
      </c>
      <c r="B123" s="11" t="s">
        <v>695</v>
      </c>
      <c r="C123" s="11" t="s">
        <v>1393</v>
      </c>
      <c r="D123" s="11" t="s">
        <v>1394</v>
      </c>
      <c r="E123" s="11" t="s">
        <v>1670</v>
      </c>
      <c r="F123" s="11" t="s">
        <v>965</v>
      </c>
      <c r="G123" s="11" t="b">
        <f aca="false">TRUE()</f>
        <v>1</v>
      </c>
      <c r="H123" s="11" t="b">
        <f aca="false">FALSE()</f>
        <v>0</v>
      </c>
      <c r="I123" s="11" t="b">
        <f aca="false">TRUE()</f>
        <v>1</v>
      </c>
      <c r="J123" s="11" t="b">
        <f aca="false">FALSE()</f>
        <v>0</v>
      </c>
      <c r="K123" s="11" t="s">
        <v>1818</v>
      </c>
      <c r="L123" s="11" t="s">
        <v>1819</v>
      </c>
      <c r="M123" s="11" t="s">
        <v>1393</v>
      </c>
      <c r="N123" s="11"/>
      <c r="O123" s="11" t="n">
        <v>10</v>
      </c>
      <c r="P123" s="12" t="s">
        <v>115</v>
      </c>
      <c r="Q123" s="12" t="n">
        <f aca="false">COUNTIF($A$6:$A$172,A123)</f>
        <v>1</v>
      </c>
    </row>
    <row r="124" customFormat="false" ht="220" hidden="false" customHeight="true" outlineLevel="0" collapsed="false">
      <c r="A124" s="11" t="s">
        <v>1396</v>
      </c>
      <c r="B124" s="11" t="s">
        <v>560</v>
      </c>
      <c r="C124" s="11" t="s">
        <v>1396</v>
      </c>
      <c r="D124" s="11" t="s">
        <v>1397</v>
      </c>
      <c r="E124" s="11" t="s">
        <v>1640</v>
      </c>
      <c r="F124" s="11" t="s">
        <v>965</v>
      </c>
      <c r="G124" s="11" t="b">
        <f aca="false">TRUE()</f>
        <v>1</v>
      </c>
      <c r="H124" s="11" t="b">
        <f aca="false">TRUE()</f>
        <v>1</v>
      </c>
      <c r="I124" s="11" t="b">
        <f aca="false">TRUE()</f>
        <v>1</v>
      </c>
      <c r="J124" s="11" t="b">
        <f aca="false">TRUE()</f>
        <v>1</v>
      </c>
      <c r="K124" s="11" t="s">
        <v>1820</v>
      </c>
      <c r="L124" s="11" t="s">
        <v>1821</v>
      </c>
      <c r="M124" s="11" t="s">
        <v>1396</v>
      </c>
      <c r="N124" s="11" t="s">
        <v>1398</v>
      </c>
      <c r="O124" s="11" t="n">
        <v>10</v>
      </c>
      <c r="P124" s="12" t="s">
        <v>115</v>
      </c>
      <c r="Q124" s="12" t="n">
        <f aca="false">COUNTIF($A$6:$A$172,A124)</f>
        <v>1</v>
      </c>
    </row>
    <row r="125" customFormat="false" ht="220" hidden="false" customHeight="true" outlineLevel="0" collapsed="false">
      <c r="A125" s="11" t="s">
        <v>1399</v>
      </c>
      <c r="B125" s="11" t="s">
        <v>560</v>
      </c>
      <c r="C125" s="11" t="s">
        <v>1399</v>
      </c>
      <c r="D125" s="11" t="s">
        <v>1400</v>
      </c>
      <c r="E125" s="11" t="s">
        <v>1640</v>
      </c>
      <c r="F125" s="11" t="s">
        <v>965</v>
      </c>
      <c r="G125" s="11" t="b">
        <f aca="false">TRUE()</f>
        <v>1</v>
      </c>
      <c r="H125" s="11" t="b">
        <f aca="false">TRUE()</f>
        <v>1</v>
      </c>
      <c r="I125" s="11" t="b">
        <f aca="false">TRUE()</f>
        <v>1</v>
      </c>
      <c r="J125" s="11" t="b">
        <f aca="false">TRUE()</f>
        <v>1</v>
      </c>
      <c r="K125" s="11" t="s">
        <v>1822</v>
      </c>
      <c r="L125" s="11" t="s">
        <v>1823</v>
      </c>
      <c r="M125" s="11" t="s">
        <v>1399</v>
      </c>
      <c r="N125" s="11" t="s">
        <v>1402</v>
      </c>
      <c r="O125" s="11" t="n">
        <v>10</v>
      </c>
      <c r="P125" s="12" t="s">
        <v>115</v>
      </c>
      <c r="Q125" s="12" t="n">
        <f aca="false">COUNTIF($A$6:$A$172,A125)</f>
        <v>1</v>
      </c>
    </row>
    <row r="126" customFormat="false" ht="220" hidden="false" customHeight="true" outlineLevel="0" collapsed="false">
      <c r="A126" s="11" t="s">
        <v>1403</v>
      </c>
      <c r="B126" s="11" t="s">
        <v>560</v>
      </c>
      <c r="C126" s="11" t="s">
        <v>1403</v>
      </c>
      <c r="D126" s="11" t="s">
        <v>297</v>
      </c>
      <c r="E126" s="11" t="s">
        <v>1670</v>
      </c>
      <c r="F126" s="11" t="s">
        <v>965</v>
      </c>
      <c r="G126" s="11" t="b">
        <f aca="false">TRUE()</f>
        <v>1</v>
      </c>
      <c r="H126" s="11" t="b">
        <f aca="false">FALSE()</f>
        <v>0</v>
      </c>
      <c r="I126" s="11" t="b">
        <f aca="false">FALSE()</f>
        <v>0</v>
      </c>
      <c r="J126" s="11" t="b">
        <f aca="false">FALSE()</f>
        <v>0</v>
      </c>
      <c r="K126" s="11" t="s">
        <v>1824</v>
      </c>
      <c r="L126" s="11" t="s">
        <v>1649</v>
      </c>
      <c r="M126" s="11" t="s">
        <v>1403</v>
      </c>
      <c r="N126" s="11"/>
      <c r="O126" s="11" t="n">
        <v>10</v>
      </c>
      <c r="P126" s="12" t="s">
        <v>115</v>
      </c>
      <c r="Q126" s="12" t="n">
        <f aca="false">COUNTIF($A$6:$A$172,A126)</f>
        <v>1</v>
      </c>
    </row>
    <row r="127" customFormat="false" ht="220" hidden="false" customHeight="true" outlineLevel="0" collapsed="false">
      <c r="A127" s="11" t="s">
        <v>1405</v>
      </c>
      <c r="B127" s="11" t="s">
        <v>560</v>
      </c>
      <c r="C127" s="11" t="s">
        <v>1405</v>
      </c>
      <c r="D127" s="11" t="s">
        <v>1406</v>
      </c>
      <c r="E127" s="11" t="s">
        <v>1670</v>
      </c>
      <c r="F127" s="11" t="s">
        <v>965</v>
      </c>
      <c r="G127" s="11" t="b">
        <f aca="false">TRUE()</f>
        <v>1</v>
      </c>
      <c r="H127" s="11" t="b">
        <f aca="false">FALSE()</f>
        <v>0</v>
      </c>
      <c r="I127" s="11" t="b">
        <f aca="false">FALSE()</f>
        <v>0</v>
      </c>
      <c r="J127" s="11" t="b">
        <f aca="false">FALSE()</f>
        <v>0</v>
      </c>
      <c r="K127" s="11" t="s">
        <v>1825</v>
      </c>
      <c r="L127" s="11" t="s">
        <v>1649</v>
      </c>
      <c r="M127" s="11" t="s">
        <v>1405</v>
      </c>
      <c r="N127" s="11" t="s">
        <v>1408</v>
      </c>
      <c r="O127" s="11" t="n">
        <v>10</v>
      </c>
      <c r="P127" s="12" t="s">
        <v>115</v>
      </c>
      <c r="Q127" s="12" t="n">
        <f aca="false">COUNTIF($A$6:$A$172,A127)</f>
        <v>1</v>
      </c>
    </row>
    <row r="128" customFormat="false" ht="220" hidden="false" customHeight="true" outlineLevel="0" collapsed="false">
      <c r="A128" s="11" t="s">
        <v>1409</v>
      </c>
      <c r="B128" s="11" t="s">
        <v>560</v>
      </c>
      <c r="C128" s="11" t="s">
        <v>1409</v>
      </c>
      <c r="D128" s="11" t="s">
        <v>1410</v>
      </c>
      <c r="E128" s="11" t="s">
        <v>1670</v>
      </c>
      <c r="F128" s="11" t="s">
        <v>965</v>
      </c>
      <c r="G128" s="11" t="b">
        <f aca="false">TRUE()</f>
        <v>1</v>
      </c>
      <c r="H128" s="11" t="b">
        <f aca="false">FALSE()</f>
        <v>0</v>
      </c>
      <c r="I128" s="11" t="b">
        <f aca="false">FALSE()</f>
        <v>0</v>
      </c>
      <c r="J128" s="11" t="b">
        <f aca="false">FALSE()</f>
        <v>0</v>
      </c>
      <c r="K128" s="11" t="s">
        <v>1826</v>
      </c>
      <c r="L128" s="11" t="s">
        <v>1649</v>
      </c>
      <c r="M128" s="11" t="s">
        <v>1409</v>
      </c>
      <c r="N128" s="11" t="s">
        <v>1398</v>
      </c>
      <c r="O128" s="11" t="n">
        <v>10</v>
      </c>
      <c r="P128" s="12" t="s">
        <v>115</v>
      </c>
      <c r="Q128" s="12" t="n">
        <f aca="false">COUNTIF($A$6:$A$172,A128)</f>
        <v>1</v>
      </c>
    </row>
    <row r="129" customFormat="false" ht="220" hidden="false" customHeight="true" outlineLevel="0" collapsed="false">
      <c r="A129" s="11" t="s">
        <v>1412</v>
      </c>
      <c r="B129" s="11" t="s">
        <v>560</v>
      </c>
      <c r="C129" s="11" t="s">
        <v>1412</v>
      </c>
      <c r="D129" s="11" t="s">
        <v>1413</v>
      </c>
      <c r="E129" s="11" t="s">
        <v>1640</v>
      </c>
      <c r="F129" s="11" t="s">
        <v>965</v>
      </c>
      <c r="G129" s="11" t="b">
        <f aca="false">TRUE()</f>
        <v>1</v>
      </c>
      <c r="H129" s="11" t="b">
        <f aca="false">TRUE()</f>
        <v>1</v>
      </c>
      <c r="I129" s="11" t="b">
        <f aca="false">FALSE()</f>
        <v>0</v>
      </c>
      <c r="J129" s="11" t="b">
        <f aca="false">FALSE()</f>
        <v>0</v>
      </c>
      <c r="K129" s="11" t="s">
        <v>1827</v>
      </c>
      <c r="L129" s="11" t="s">
        <v>1649</v>
      </c>
      <c r="M129" s="11" t="s">
        <v>1412</v>
      </c>
      <c r="N129" s="11" t="s">
        <v>1398</v>
      </c>
      <c r="O129" s="11" t="n">
        <v>10</v>
      </c>
      <c r="P129" s="12" t="s">
        <v>115</v>
      </c>
      <c r="Q129" s="12" t="n">
        <f aca="false">COUNTIF($A$6:$A$172,A129)</f>
        <v>1</v>
      </c>
    </row>
    <row r="130" customFormat="false" ht="220" hidden="false" customHeight="true" outlineLevel="0" collapsed="false">
      <c r="A130" s="11" t="s">
        <v>1415</v>
      </c>
      <c r="B130" s="11" t="s">
        <v>563</v>
      </c>
      <c r="C130" s="11" t="s">
        <v>1415</v>
      </c>
      <c r="D130" s="11" t="s">
        <v>1416</v>
      </c>
      <c r="E130" s="11" t="s">
        <v>1640</v>
      </c>
      <c r="F130" s="11" t="s">
        <v>965</v>
      </c>
      <c r="G130" s="11" t="b">
        <f aca="false">TRUE()</f>
        <v>1</v>
      </c>
      <c r="H130" s="11" t="b">
        <f aca="false">TRUE()</f>
        <v>1</v>
      </c>
      <c r="I130" s="11" t="b">
        <f aca="false">FALSE()</f>
        <v>0</v>
      </c>
      <c r="J130" s="11" t="b">
        <f aca="false">FALSE()</f>
        <v>0</v>
      </c>
      <c r="K130" s="11" t="s">
        <v>1828</v>
      </c>
      <c r="L130" s="11" t="s">
        <v>1649</v>
      </c>
      <c r="M130" s="11" t="s">
        <v>1415</v>
      </c>
      <c r="N130" s="11" t="s">
        <v>1417</v>
      </c>
      <c r="O130" s="11" t="n">
        <v>10</v>
      </c>
      <c r="P130" s="12" t="s">
        <v>115</v>
      </c>
      <c r="Q130" s="12" t="n">
        <f aca="false">COUNTIF($A$6:$A$172,A130)</f>
        <v>1</v>
      </c>
    </row>
    <row r="131" customFormat="false" ht="220" hidden="false" customHeight="true" outlineLevel="0" collapsed="false">
      <c r="A131" s="11" t="s">
        <v>1418</v>
      </c>
      <c r="B131" s="11" t="s">
        <v>563</v>
      </c>
      <c r="C131" s="11" t="s">
        <v>1418</v>
      </c>
      <c r="D131" s="11" t="s">
        <v>1419</v>
      </c>
      <c r="E131" s="11" t="s">
        <v>1640</v>
      </c>
      <c r="F131" s="11" t="s">
        <v>965</v>
      </c>
      <c r="G131" s="11" t="b">
        <f aca="false">TRUE()</f>
        <v>1</v>
      </c>
      <c r="H131" s="11" t="b">
        <f aca="false">TRUE()</f>
        <v>1</v>
      </c>
      <c r="I131" s="11" t="b">
        <f aca="false">FALSE()</f>
        <v>0</v>
      </c>
      <c r="J131" s="11" t="b">
        <f aca="false">FALSE()</f>
        <v>0</v>
      </c>
      <c r="K131" s="11" t="s">
        <v>1829</v>
      </c>
      <c r="L131" s="11" t="s">
        <v>1649</v>
      </c>
      <c r="M131" s="11" t="s">
        <v>1418</v>
      </c>
      <c r="N131" s="11" t="s">
        <v>1421</v>
      </c>
      <c r="O131" s="11" t="n">
        <v>10</v>
      </c>
      <c r="P131" s="12" t="s">
        <v>115</v>
      </c>
      <c r="Q131" s="12" t="n">
        <f aca="false">COUNTIF($A$6:$A$172,A131)</f>
        <v>1</v>
      </c>
    </row>
    <row r="132" customFormat="false" ht="220" hidden="false" customHeight="true" outlineLevel="0" collapsed="false">
      <c r="A132" s="11" t="s">
        <v>1422</v>
      </c>
      <c r="B132" s="11" t="s">
        <v>563</v>
      </c>
      <c r="C132" s="11" t="s">
        <v>1422</v>
      </c>
      <c r="D132" s="11" t="s">
        <v>1423</v>
      </c>
      <c r="E132" s="11" t="s">
        <v>1640</v>
      </c>
      <c r="F132" s="11" t="s">
        <v>965</v>
      </c>
      <c r="G132" s="11" t="b">
        <f aca="false">TRUE()</f>
        <v>1</v>
      </c>
      <c r="H132" s="11" t="b">
        <f aca="false">TRUE()</f>
        <v>1</v>
      </c>
      <c r="I132" s="11" t="b">
        <f aca="false">FALSE()</f>
        <v>0</v>
      </c>
      <c r="J132" s="11" t="b">
        <f aca="false">FALSE()</f>
        <v>0</v>
      </c>
      <c r="K132" s="11" t="s">
        <v>1830</v>
      </c>
      <c r="L132" s="11" t="s">
        <v>1649</v>
      </c>
      <c r="M132" s="11" t="s">
        <v>1422</v>
      </c>
      <c r="N132" s="11" t="s">
        <v>1425</v>
      </c>
      <c r="O132" s="11" t="n">
        <v>10</v>
      </c>
      <c r="P132" s="12" t="s">
        <v>115</v>
      </c>
      <c r="Q132" s="12" t="n">
        <f aca="false">COUNTIF($A$6:$A$172,A132)</f>
        <v>1</v>
      </c>
    </row>
    <row r="133" customFormat="false" ht="220" hidden="false" customHeight="true" outlineLevel="0" collapsed="false">
      <c r="A133" s="11" t="s">
        <v>1426</v>
      </c>
      <c r="B133" s="11" t="s">
        <v>563</v>
      </c>
      <c r="C133" s="11" t="s">
        <v>1426</v>
      </c>
      <c r="D133" s="11" t="s">
        <v>1427</v>
      </c>
      <c r="E133" s="11" t="s">
        <v>1640</v>
      </c>
      <c r="F133" s="11" t="s">
        <v>965</v>
      </c>
      <c r="G133" s="11" t="b">
        <f aca="false">TRUE()</f>
        <v>1</v>
      </c>
      <c r="H133" s="11" t="b">
        <f aca="false">TRUE()</f>
        <v>1</v>
      </c>
      <c r="I133" s="11" t="b">
        <f aca="false">FALSE()</f>
        <v>0</v>
      </c>
      <c r="J133" s="11" t="b">
        <f aca="false">FALSE()</f>
        <v>0</v>
      </c>
      <c r="K133" s="11" t="s">
        <v>1831</v>
      </c>
      <c r="L133" s="11" t="s">
        <v>1649</v>
      </c>
      <c r="M133" s="11" t="s">
        <v>1426</v>
      </c>
      <c r="N133" s="11" t="s">
        <v>1429</v>
      </c>
      <c r="O133" s="11" t="n">
        <v>10</v>
      </c>
      <c r="P133" s="12" t="s">
        <v>115</v>
      </c>
      <c r="Q133" s="12" t="n">
        <f aca="false">COUNTIF($A$6:$A$172,A133)</f>
        <v>1</v>
      </c>
    </row>
    <row r="134" customFormat="false" ht="220" hidden="false" customHeight="true" outlineLevel="0" collapsed="false">
      <c r="A134" s="11" t="s">
        <v>1430</v>
      </c>
      <c r="B134" s="11" t="s">
        <v>563</v>
      </c>
      <c r="C134" s="11" t="s">
        <v>1430</v>
      </c>
      <c r="D134" s="11" t="s">
        <v>1431</v>
      </c>
      <c r="E134" s="11" t="s">
        <v>1640</v>
      </c>
      <c r="F134" s="11" t="s">
        <v>965</v>
      </c>
      <c r="G134" s="11" t="b">
        <f aca="false">TRUE()</f>
        <v>1</v>
      </c>
      <c r="H134" s="11" t="b">
        <f aca="false">TRUE()</f>
        <v>1</v>
      </c>
      <c r="I134" s="11" t="b">
        <f aca="false">FALSE()</f>
        <v>0</v>
      </c>
      <c r="J134" s="11" t="b">
        <f aca="false">FALSE()</f>
        <v>0</v>
      </c>
      <c r="K134" s="11" t="s">
        <v>1832</v>
      </c>
      <c r="L134" s="11" t="s">
        <v>1649</v>
      </c>
      <c r="M134" s="11" t="s">
        <v>1430</v>
      </c>
      <c r="N134" s="11" t="s">
        <v>1433</v>
      </c>
      <c r="O134" s="11" t="n">
        <v>10</v>
      </c>
      <c r="P134" s="12" t="s">
        <v>115</v>
      </c>
      <c r="Q134" s="12" t="n">
        <f aca="false">COUNTIF($A$6:$A$172,A134)</f>
        <v>1</v>
      </c>
    </row>
    <row r="135" customFormat="false" ht="220" hidden="false" customHeight="true" outlineLevel="0" collapsed="false">
      <c r="A135" s="11" t="s">
        <v>1434</v>
      </c>
      <c r="B135" s="11" t="s">
        <v>563</v>
      </c>
      <c r="C135" s="11" t="s">
        <v>1434</v>
      </c>
      <c r="D135" s="11" t="s">
        <v>1435</v>
      </c>
      <c r="E135" s="11" t="s">
        <v>1640</v>
      </c>
      <c r="F135" s="11" t="s">
        <v>965</v>
      </c>
      <c r="G135" s="11" t="b">
        <f aca="false">TRUE()</f>
        <v>1</v>
      </c>
      <c r="H135" s="11" t="b">
        <f aca="false">TRUE()</f>
        <v>1</v>
      </c>
      <c r="I135" s="11" t="b">
        <f aca="false">FALSE()</f>
        <v>0</v>
      </c>
      <c r="J135" s="11" t="b">
        <f aca="false">FALSE()</f>
        <v>0</v>
      </c>
      <c r="K135" s="11" t="s">
        <v>1833</v>
      </c>
      <c r="L135" s="11" t="s">
        <v>1649</v>
      </c>
      <c r="M135" s="11" t="s">
        <v>1434</v>
      </c>
      <c r="N135" s="11" t="s">
        <v>1437</v>
      </c>
      <c r="O135" s="11" t="n">
        <v>10</v>
      </c>
      <c r="P135" s="12" t="s">
        <v>115</v>
      </c>
      <c r="Q135" s="12" t="n">
        <f aca="false">COUNTIF($A$6:$A$172,A135)</f>
        <v>1</v>
      </c>
    </row>
    <row r="136" customFormat="false" ht="220" hidden="false" customHeight="true" outlineLevel="0" collapsed="false">
      <c r="A136" s="11" t="s">
        <v>1438</v>
      </c>
      <c r="B136" s="11" t="s">
        <v>567</v>
      </c>
      <c r="C136" s="11" t="s">
        <v>1438</v>
      </c>
      <c r="D136" s="11" t="s">
        <v>1439</v>
      </c>
      <c r="E136" s="11" t="s">
        <v>1640</v>
      </c>
      <c r="F136" s="11" t="s">
        <v>965</v>
      </c>
      <c r="G136" s="11" t="b">
        <f aca="false">TRUE()</f>
        <v>1</v>
      </c>
      <c r="H136" s="11" t="b">
        <f aca="false">TRUE()</f>
        <v>1</v>
      </c>
      <c r="I136" s="11" t="b">
        <f aca="false">TRUE()</f>
        <v>1</v>
      </c>
      <c r="J136" s="11" t="b">
        <f aca="false">TRUE()</f>
        <v>1</v>
      </c>
      <c r="K136" s="11" t="s">
        <v>1834</v>
      </c>
      <c r="L136" s="11" t="s">
        <v>1835</v>
      </c>
      <c r="M136" s="11" t="s">
        <v>1440</v>
      </c>
      <c r="N136" s="11" t="s">
        <v>1441</v>
      </c>
      <c r="O136" s="11" t="n">
        <v>10</v>
      </c>
      <c r="P136" s="12" t="s">
        <v>115</v>
      </c>
      <c r="Q136" s="12" t="n">
        <f aca="false">COUNTIF($A$6:$A$172,A136)</f>
        <v>1</v>
      </c>
    </row>
    <row r="137" customFormat="false" ht="220" hidden="false" customHeight="true" outlineLevel="0" collapsed="false">
      <c r="A137" s="11" t="s">
        <v>1442</v>
      </c>
      <c r="B137" s="11" t="s">
        <v>567</v>
      </c>
      <c r="C137" s="11" t="s">
        <v>1442</v>
      </c>
      <c r="D137" s="11" t="s">
        <v>978</v>
      </c>
      <c r="E137" s="11" t="s">
        <v>1670</v>
      </c>
      <c r="F137" s="11" t="s">
        <v>965</v>
      </c>
      <c r="G137" s="11" t="b">
        <f aca="false">TRUE()</f>
        <v>1</v>
      </c>
      <c r="H137" s="11" t="b">
        <f aca="false">FALSE()</f>
        <v>0</v>
      </c>
      <c r="I137" s="11" t="b">
        <f aca="false">TRUE()</f>
        <v>1</v>
      </c>
      <c r="J137" s="11" t="b">
        <f aca="false">FALSE()</f>
        <v>0</v>
      </c>
      <c r="K137" s="11" t="s">
        <v>1836</v>
      </c>
      <c r="L137" s="11" t="s">
        <v>1837</v>
      </c>
      <c r="M137" s="11" t="s">
        <v>1445</v>
      </c>
      <c r="N137" s="11"/>
      <c r="O137" s="11" t="n">
        <v>55</v>
      </c>
      <c r="P137" s="12" t="s">
        <v>115</v>
      </c>
      <c r="Q137" s="12" t="n">
        <f aca="false">COUNTIF($A$6:$A$172,A137)</f>
        <v>1</v>
      </c>
    </row>
    <row r="138" customFormat="false" ht="220" hidden="false" customHeight="true" outlineLevel="0" collapsed="false">
      <c r="A138" s="11" t="s">
        <v>1446</v>
      </c>
      <c r="B138" s="11" t="s">
        <v>567</v>
      </c>
      <c r="C138" s="11" t="s">
        <v>1446</v>
      </c>
      <c r="D138" s="11" t="s">
        <v>1447</v>
      </c>
      <c r="E138" s="11" t="s">
        <v>1640</v>
      </c>
      <c r="F138" s="11" t="s">
        <v>965</v>
      </c>
      <c r="G138" s="11" t="b">
        <f aca="false">TRUE()</f>
        <v>1</v>
      </c>
      <c r="H138" s="11" t="b">
        <f aca="false">TRUE()</f>
        <v>1</v>
      </c>
      <c r="I138" s="11" t="b">
        <f aca="false">TRUE()</f>
        <v>1</v>
      </c>
      <c r="J138" s="11" t="b">
        <f aca="false">TRUE()</f>
        <v>1</v>
      </c>
      <c r="K138" s="11" t="s">
        <v>1838</v>
      </c>
      <c r="L138" s="11" t="s">
        <v>1839</v>
      </c>
      <c r="M138" s="11" t="s">
        <v>1446</v>
      </c>
      <c r="N138" s="11" t="s">
        <v>1450</v>
      </c>
      <c r="O138" s="11" t="n">
        <v>10</v>
      </c>
      <c r="P138" s="12" t="s">
        <v>115</v>
      </c>
      <c r="Q138" s="12" t="n">
        <f aca="false">COUNTIF($A$6:$A$172,A138)</f>
        <v>1</v>
      </c>
    </row>
    <row r="139" customFormat="false" ht="220" hidden="false" customHeight="true" outlineLevel="0" collapsed="false">
      <c r="A139" s="11" t="s">
        <v>1451</v>
      </c>
      <c r="B139" s="11" t="s">
        <v>567</v>
      </c>
      <c r="C139" s="11" t="s">
        <v>1451</v>
      </c>
      <c r="D139" s="11" t="s">
        <v>1452</v>
      </c>
      <c r="E139" s="11" t="s">
        <v>1670</v>
      </c>
      <c r="F139" s="11" t="s">
        <v>965</v>
      </c>
      <c r="G139" s="11" t="b">
        <f aca="false">TRUE()</f>
        <v>1</v>
      </c>
      <c r="H139" s="11" t="b">
        <f aca="false">FALSE()</f>
        <v>0</v>
      </c>
      <c r="I139" s="11" t="b">
        <f aca="false">FALSE()</f>
        <v>0</v>
      </c>
      <c r="J139" s="11" t="b">
        <f aca="false">FALSE()</f>
        <v>0</v>
      </c>
      <c r="K139" s="11" t="s">
        <v>1840</v>
      </c>
      <c r="L139" s="11" t="s">
        <v>1649</v>
      </c>
      <c r="M139" s="11" t="s">
        <v>1451</v>
      </c>
      <c r="N139" s="11"/>
      <c r="O139" s="11" t="n">
        <v>10</v>
      </c>
      <c r="P139" s="12" t="s">
        <v>115</v>
      </c>
      <c r="Q139" s="12" t="n">
        <f aca="false">COUNTIF($A$6:$A$172,A139)</f>
        <v>1</v>
      </c>
    </row>
    <row r="140" customFormat="false" ht="220" hidden="false" customHeight="true" outlineLevel="0" collapsed="false">
      <c r="A140" s="11" t="s">
        <v>1455</v>
      </c>
      <c r="B140" s="11" t="s">
        <v>567</v>
      </c>
      <c r="C140" s="11" t="s">
        <v>1455</v>
      </c>
      <c r="D140" s="11" t="s">
        <v>1456</v>
      </c>
      <c r="E140" s="11" t="s">
        <v>1640</v>
      </c>
      <c r="F140" s="11" t="s">
        <v>965</v>
      </c>
      <c r="G140" s="11" t="b">
        <f aca="false">TRUE()</f>
        <v>1</v>
      </c>
      <c r="H140" s="11" t="b">
        <f aca="false">TRUE()</f>
        <v>1</v>
      </c>
      <c r="I140" s="11" t="b">
        <f aca="false">TRUE()</f>
        <v>1</v>
      </c>
      <c r="J140" s="11" t="b">
        <f aca="false">FALSE()</f>
        <v>0</v>
      </c>
      <c r="K140" s="11" t="s">
        <v>1841</v>
      </c>
      <c r="L140" s="11" t="s">
        <v>1842</v>
      </c>
      <c r="M140" s="11" t="s">
        <v>1455</v>
      </c>
      <c r="N140" s="11"/>
      <c r="O140" s="11" t="n">
        <v>10</v>
      </c>
      <c r="P140" s="12" t="s">
        <v>115</v>
      </c>
      <c r="Q140" s="12" t="n">
        <f aca="false">COUNTIF($A$6:$A$172,A140)</f>
        <v>1</v>
      </c>
    </row>
    <row r="141" customFormat="false" ht="220" hidden="false" customHeight="true" outlineLevel="0" collapsed="false">
      <c r="A141" s="11" t="s">
        <v>1458</v>
      </c>
      <c r="B141" s="11" t="s">
        <v>567</v>
      </c>
      <c r="C141" s="11" t="s">
        <v>1458</v>
      </c>
      <c r="D141" s="11" t="s">
        <v>1459</v>
      </c>
      <c r="E141" s="11" t="s">
        <v>1640</v>
      </c>
      <c r="F141" s="11" t="s">
        <v>965</v>
      </c>
      <c r="G141" s="11" t="b">
        <f aca="false">TRUE()</f>
        <v>1</v>
      </c>
      <c r="H141" s="11" t="b">
        <f aca="false">TRUE()</f>
        <v>1</v>
      </c>
      <c r="I141" s="11" t="b">
        <f aca="false">FALSE()</f>
        <v>0</v>
      </c>
      <c r="J141" s="11" t="b">
        <f aca="false">FALSE()</f>
        <v>0</v>
      </c>
      <c r="K141" s="11" t="s">
        <v>1843</v>
      </c>
      <c r="L141" s="11" t="s">
        <v>1649</v>
      </c>
      <c r="M141" s="11" t="s">
        <v>1458</v>
      </c>
      <c r="N141" s="11"/>
      <c r="O141" s="11" t="n">
        <v>10</v>
      </c>
      <c r="P141" s="12" t="s">
        <v>115</v>
      </c>
      <c r="Q141" s="12" t="n">
        <f aca="false">COUNTIF($A$6:$A$172,A141)</f>
        <v>1</v>
      </c>
    </row>
    <row r="142" customFormat="false" ht="220" hidden="false" customHeight="true" outlineLevel="0" collapsed="false">
      <c r="A142" s="11" t="s">
        <v>1461</v>
      </c>
      <c r="B142" s="11" t="s">
        <v>567</v>
      </c>
      <c r="C142" s="11" t="s">
        <v>1461</v>
      </c>
      <c r="D142" s="11" t="s">
        <v>1462</v>
      </c>
      <c r="E142" s="11" t="s">
        <v>1670</v>
      </c>
      <c r="F142" s="11" t="s">
        <v>965</v>
      </c>
      <c r="G142" s="11" t="b">
        <f aca="false">TRUE()</f>
        <v>1</v>
      </c>
      <c r="H142" s="11" t="b">
        <f aca="false">FALSE()</f>
        <v>0</v>
      </c>
      <c r="I142" s="11" t="b">
        <f aca="false">FALSE()</f>
        <v>0</v>
      </c>
      <c r="J142" s="11" t="b">
        <f aca="false">FALSE()</f>
        <v>0</v>
      </c>
      <c r="K142" s="11" t="s">
        <v>1844</v>
      </c>
      <c r="L142" s="11" t="s">
        <v>1649</v>
      </c>
      <c r="M142" s="11" t="s">
        <v>1464</v>
      </c>
      <c r="N142" s="11" t="s">
        <v>1465</v>
      </c>
      <c r="O142" s="11" t="n">
        <v>10</v>
      </c>
      <c r="P142" s="12" t="s">
        <v>115</v>
      </c>
      <c r="Q142" s="12" t="n">
        <f aca="false">COUNTIF($A$6:$A$172,A142)</f>
        <v>1</v>
      </c>
    </row>
    <row r="143" customFormat="false" ht="220" hidden="false" customHeight="true" outlineLevel="0" collapsed="false">
      <c r="A143" s="11" t="s">
        <v>1466</v>
      </c>
      <c r="B143" s="11" t="s">
        <v>567</v>
      </c>
      <c r="C143" s="11" t="s">
        <v>1466</v>
      </c>
      <c r="D143" s="11" t="s">
        <v>1467</v>
      </c>
      <c r="E143" s="11" t="s">
        <v>1670</v>
      </c>
      <c r="F143" s="11" t="s">
        <v>965</v>
      </c>
      <c r="G143" s="11" t="b">
        <f aca="false">TRUE()</f>
        <v>1</v>
      </c>
      <c r="H143" s="11" t="b">
        <f aca="false">FALSE()</f>
        <v>0</v>
      </c>
      <c r="I143" s="11" t="b">
        <f aca="false">TRUE()</f>
        <v>1</v>
      </c>
      <c r="J143" s="11" t="b">
        <f aca="false">FALSE()</f>
        <v>0</v>
      </c>
      <c r="K143" s="11" t="s">
        <v>1845</v>
      </c>
      <c r="L143" s="11" t="s">
        <v>1846</v>
      </c>
      <c r="M143" s="11" t="s">
        <v>1466</v>
      </c>
      <c r="N143" s="11"/>
      <c r="O143" s="11" t="n">
        <v>10</v>
      </c>
      <c r="P143" s="12" t="s">
        <v>115</v>
      </c>
      <c r="Q143" s="12" t="n">
        <f aca="false">COUNTIF($A$6:$A$172,A143)</f>
        <v>1</v>
      </c>
    </row>
    <row r="144" customFormat="false" ht="220" hidden="false" customHeight="true" outlineLevel="0" collapsed="false">
      <c r="A144" s="11" t="s">
        <v>1469</v>
      </c>
      <c r="B144" s="11" t="s">
        <v>567</v>
      </c>
      <c r="C144" s="11" t="s">
        <v>1469</v>
      </c>
      <c r="D144" s="11" t="s">
        <v>1470</v>
      </c>
      <c r="E144" s="11" t="s">
        <v>1670</v>
      </c>
      <c r="F144" s="11" t="s">
        <v>965</v>
      </c>
      <c r="G144" s="11" t="b">
        <f aca="false">TRUE()</f>
        <v>1</v>
      </c>
      <c r="H144" s="11" t="b">
        <f aca="false">FALSE()</f>
        <v>0</v>
      </c>
      <c r="I144" s="11" t="b">
        <f aca="false">FALSE()</f>
        <v>0</v>
      </c>
      <c r="J144" s="11" t="b">
        <f aca="false">FALSE()</f>
        <v>0</v>
      </c>
      <c r="K144" s="11" t="s">
        <v>1847</v>
      </c>
      <c r="L144" s="11" t="s">
        <v>1649</v>
      </c>
      <c r="M144" s="11" t="s">
        <v>1469</v>
      </c>
      <c r="N144" s="11"/>
      <c r="O144" s="11" t="n">
        <v>10</v>
      </c>
      <c r="P144" s="12" t="s">
        <v>115</v>
      </c>
      <c r="Q144" s="12" t="n">
        <f aca="false">COUNTIF($A$6:$A$172,A144)</f>
        <v>1</v>
      </c>
    </row>
    <row r="145" customFormat="false" ht="220" hidden="false" customHeight="true" outlineLevel="0" collapsed="false">
      <c r="A145" s="11" t="s">
        <v>1472</v>
      </c>
      <c r="B145" s="11" t="s">
        <v>567</v>
      </c>
      <c r="C145" s="11" t="s">
        <v>1472</v>
      </c>
      <c r="D145" s="11" t="s">
        <v>1473</v>
      </c>
      <c r="E145" s="11" t="s">
        <v>1670</v>
      </c>
      <c r="F145" s="11" t="s">
        <v>965</v>
      </c>
      <c r="G145" s="11" t="b">
        <f aca="false">TRUE()</f>
        <v>1</v>
      </c>
      <c r="H145" s="11" t="b">
        <f aca="false">FALSE()</f>
        <v>0</v>
      </c>
      <c r="I145" s="11" t="b">
        <f aca="false">FALSE()</f>
        <v>0</v>
      </c>
      <c r="J145" s="11" t="b">
        <f aca="false">FALSE()</f>
        <v>0</v>
      </c>
      <c r="K145" s="11" t="s">
        <v>1848</v>
      </c>
      <c r="L145" s="11" t="s">
        <v>1649</v>
      </c>
      <c r="M145" s="11" t="s">
        <v>1475</v>
      </c>
      <c r="N145" s="11" t="s">
        <v>1465</v>
      </c>
      <c r="O145" s="11" t="n">
        <v>10</v>
      </c>
      <c r="P145" s="12" t="s">
        <v>115</v>
      </c>
      <c r="Q145" s="12" t="n">
        <f aca="false">COUNTIF($A$6:$A$172,A145)</f>
        <v>1</v>
      </c>
    </row>
    <row r="146" customFormat="false" ht="220" hidden="false" customHeight="true" outlineLevel="0" collapsed="false">
      <c r="A146" s="11" t="s">
        <v>1476</v>
      </c>
      <c r="B146" s="11" t="s">
        <v>567</v>
      </c>
      <c r="C146" s="11" t="s">
        <v>1476</v>
      </c>
      <c r="D146" s="11" t="s">
        <v>1477</v>
      </c>
      <c r="E146" s="11" t="s">
        <v>1640</v>
      </c>
      <c r="F146" s="11" t="s">
        <v>965</v>
      </c>
      <c r="G146" s="11" t="b">
        <f aca="false">TRUE()</f>
        <v>1</v>
      </c>
      <c r="H146" s="11" t="b">
        <f aca="false">TRUE()</f>
        <v>1</v>
      </c>
      <c r="I146" s="11" t="b">
        <f aca="false">FALSE()</f>
        <v>0</v>
      </c>
      <c r="J146" s="11" t="b">
        <f aca="false">FALSE()</f>
        <v>0</v>
      </c>
      <c r="K146" s="11" t="s">
        <v>1849</v>
      </c>
      <c r="L146" s="11" t="s">
        <v>1649</v>
      </c>
      <c r="M146" s="11" t="s">
        <v>1476</v>
      </c>
      <c r="N146" s="11" t="s">
        <v>1479</v>
      </c>
      <c r="O146" s="11" t="n">
        <v>10</v>
      </c>
      <c r="P146" s="12" t="s">
        <v>115</v>
      </c>
      <c r="Q146" s="12" t="n">
        <f aca="false">COUNTIF($A$6:$A$172,A146)</f>
        <v>1</v>
      </c>
    </row>
    <row r="147" customFormat="false" ht="220" hidden="false" customHeight="true" outlineLevel="0" collapsed="false">
      <c r="A147" s="11" t="s">
        <v>1480</v>
      </c>
      <c r="B147" s="11" t="s">
        <v>567</v>
      </c>
      <c r="C147" s="11" t="s">
        <v>1480</v>
      </c>
      <c r="D147" s="11" t="s">
        <v>1481</v>
      </c>
      <c r="E147" s="11" t="s">
        <v>1670</v>
      </c>
      <c r="F147" s="11" t="s">
        <v>965</v>
      </c>
      <c r="G147" s="11" t="b">
        <f aca="false">TRUE()</f>
        <v>1</v>
      </c>
      <c r="H147" s="11" t="b">
        <f aca="false">FALSE()</f>
        <v>0</v>
      </c>
      <c r="I147" s="11" t="b">
        <f aca="false">FALSE()</f>
        <v>0</v>
      </c>
      <c r="J147" s="11" t="b">
        <f aca="false">FALSE()</f>
        <v>0</v>
      </c>
      <c r="K147" s="11" t="s">
        <v>1850</v>
      </c>
      <c r="L147" s="11" t="s">
        <v>1649</v>
      </c>
      <c r="M147" s="11" t="s">
        <v>1480</v>
      </c>
      <c r="N147" s="11"/>
      <c r="O147" s="11" t="n">
        <v>10</v>
      </c>
      <c r="P147" s="12" t="s">
        <v>115</v>
      </c>
      <c r="Q147" s="12" t="n">
        <f aca="false">COUNTIF($A$6:$A$172,A147)</f>
        <v>1</v>
      </c>
    </row>
    <row r="148" customFormat="false" ht="220" hidden="false" customHeight="true" outlineLevel="0" collapsed="false">
      <c r="A148" s="11" t="s">
        <v>1483</v>
      </c>
      <c r="B148" s="11" t="s">
        <v>567</v>
      </c>
      <c r="C148" s="11" t="s">
        <v>1483</v>
      </c>
      <c r="D148" s="11" t="s">
        <v>1484</v>
      </c>
      <c r="E148" s="11" t="s">
        <v>1640</v>
      </c>
      <c r="F148" s="11" t="s">
        <v>965</v>
      </c>
      <c r="G148" s="11" t="b">
        <f aca="false">TRUE()</f>
        <v>1</v>
      </c>
      <c r="H148" s="11" t="b">
        <f aca="false">TRUE()</f>
        <v>1</v>
      </c>
      <c r="I148" s="11" t="b">
        <f aca="false">FALSE()</f>
        <v>0</v>
      </c>
      <c r="J148" s="11" t="b">
        <f aca="false">FALSE()</f>
        <v>0</v>
      </c>
      <c r="K148" s="11" t="s">
        <v>1851</v>
      </c>
      <c r="L148" s="11" t="s">
        <v>1649</v>
      </c>
      <c r="M148" s="11" t="s">
        <v>1483</v>
      </c>
      <c r="N148" s="11" t="s">
        <v>1486</v>
      </c>
      <c r="O148" s="11" t="n">
        <v>10</v>
      </c>
      <c r="P148" s="12" t="s">
        <v>115</v>
      </c>
      <c r="Q148" s="12" t="n">
        <f aca="false">COUNTIF($A$6:$A$172,A148)</f>
        <v>1</v>
      </c>
    </row>
    <row r="149" customFormat="false" ht="220" hidden="false" customHeight="true" outlineLevel="0" collapsed="false">
      <c r="A149" s="11" t="s">
        <v>1487</v>
      </c>
      <c r="B149" s="11" t="s">
        <v>567</v>
      </c>
      <c r="C149" s="11" t="s">
        <v>1487</v>
      </c>
      <c r="D149" s="11" t="s">
        <v>1488</v>
      </c>
      <c r="E149" s="11" t="s">
        <v>1643</v>
      </c>
      <c r="F149" s="11" t="s">
        <v>965</v>
      </c>
      <c r="G149" s="11" t="b">
        <f aca="false">TRUE()</f>
        <v>1</v>
      </c>
      <c r="H149" s="11" t="b">
        <f aca="false">TRUE()</f>
        <v>1</v>
      </c>
      <c r="I149" s="11" t="b">
        <f aca="false">FALSE()</f>
        <v>0</v>
      </c>
      <c r="J149" s="11" t="b">
        <f aca="false">FALSE()</f>
        <v>0</v>
      </c>
      <c r="K149" s="11" t="s">
        <v>1852</v>
      </c>
      <c r="L149" s="11" t="s">
        <v>1649</v>
      </c>
      <c r="M149" s="11" t="s">
        <v>1491</v>
      </c>
      <c r="N149" s="11" t="s">
        <v>1492</v>
      </c>
      <c r="O149" s="11" t="n">
        <v>10</v>
      </c>
      <c r="P149" s="12" t="s">
        <v>115</v>
      </c>
      <c r="Q149" s="12" t="n">
        <f aca="false">COUNTIF($A$6:$A$172,A149)</f>
        <v>1</v>
      </c>
    </row>
    <row r="150" customFormat="false" ht="220" hidden="false" customHeight="true" outlineLevel="0" collapsed="false">
      <c r="A150" s="11" t="s">
        <v>1493</v>
      </c>
      <c r="B150" s="11" t="s">
        <v>571</v>
      </c>
      <c r="C150" s="11" t="s">
        <v>1493</v>
      </c>
      <c r="D150" s="11" t="s">
        <v>1494</v>
      </c>
      <c r="E150" s="11" t="s">
        <v>1670</v>
      </c>
      <c r="F150" s="11" t="s">
        <v>965</v>
      </c>
      <c r="G150" s="11" t="b">
        <f aca="false">TRUE()</f>
        <v>1</v>
      </c>
      <c r="H150" s="11" t="b">
        <f aca="false">FALSE()</f>
        <v>0</v>
      </c>
      <c r="I150" s="11" t="b">
        <f aca="false">TRUE()</f>
        <v>1</v>
      </c>
      <c r="J150" s="11" t="b">
        <f aca="false">FALSE()</f>
        <v>0</v>
      </c>
      <c r="K150" s="11" t="s">
        <v>1853</v>
      </c>
      <c r="L150" s="11" t="s">
        <v>1854</v>
      </c>
      <c r="M150" s="11" t="s">
        <v>1493</v>
      </c>
      <c r="N150" s="11" t="s">
        <v>1495</v>
      </c>
      <c r="O150" s="11" t="n">
        <v>10</v>
      </c>
      <c r="P150" s="12" t="s">
        <v>115</v>
      </c>
      <c r="Q150" s="12" t="n">
        <f aca="false">COUNTIF($A$6:$A$172,A150)</f>
        <v>1</v>
      </c>
    </row>
    <row r="151" customFormat="false" ht="220" hidden="false" customHeight="true" outlineLevel="0" collapsed="false">
      <c r="A151" s="11" t="s">
        <v>1496</v>
      </c>
      <c r="B151" s="11" t="s">
        <v>571</v>
      </c>
      <c r="C151" s="11" t="s">
        <v>1496</v>
      </c>
      <c r="D151" s="11" t="s">
        <v>1497</v>
      </c>
      <c r="E151" s="11" t="s">
        <v>1670</v>
      </c>
      <c r="F151" s="11" t="s">
        <v>965</v>
      </c>
      <c r="G151" s="11" t="b">
        <f aca="false">TRUE()</f>
        <v>1</v>
      </c>
      <c r="H151" s="11" t="b">
        <f aca="false">FALSE()</f>
        <v>0</v>
      </c>
      <c r="I151" s="11" t="b">
        <f aca="false">TRUE()</f>
        <v>1</v>
      </c>
      <c r="J151" s="11" t="b">
        <f aca="false">FALSE()</f>
        <v>0</v>
      </c>
      <c r="K151" s="11" t="s">
        <v>1855</v>
      </c>
      <c r="L151" s="11" t="s">
        <v>1856</v>
      </c>
      <c r="M151" s="11" t="s">
        <v>1496</v>
      </c>
      <c r="N151" s="11"/>
      <c r="O151" s="11" t="n">
        <v>10</v>
      </c>
      <c r="P151" s="12" t="s">
        <v>115</v>
      </c>
      <c r="Q151" s="12" t="n">
        <f aca="false">COUNTIF($A$6:$A$172,A151)</f>
        <v>1</v>
      </c>
    </row>
    <row r="152" customFormat="false" ht="220" hidden="false" customHeight="true" outlineLevel="0" collapsed="false">
      <c r="A152" s="11" t="s">
        <v>1505</v>
      </c>
      <c r="B152" s="11" t="s">
        <v>571</v>
      </c>
      <c r="C152" s="11" t="s">
        <v>1505</v>
      </c>
      <c r="D152" s="11" t="s">
        <v>1506</v>
      </c>
      <c r="E152" s="11" t="s">
        <v>1640</v>
      </c>
      <c r="F152" s="11" t="s">
        <v>965</v>
      </c>
      <c r="G152" s="11" t="b">
        <f aca="false">TRUE()</f>
        <v>1</v>
      </c>
      <c r="H152" s="11" t="b">
        <f aca="false">TRUE()</f>
        <v>1</v>
      </c>
      <c r="I152" s="11" t="b">
        <f aca="false">FALSE()</f>
        <v>0</v>
      </c>
      <c r="J152" s="11" t="b">
        <f aca="false">FALSE()</f>
        <v>0</v>
      </c>
      <c r="K152" s="11" t="s">
        <v>1857</v>
      </c>
      <c r="L152" s="11" t="s">
        <v>1649</v>
      </c>
      <c r="M152" s="11" t="s">
        <v>1509</v>
      </c>
      <c r="N152" s="11" t="s">
        <v>1510</v>
      </c>
      <c r="O152" s="11" t="n">
        <v>10</v>
      </c>
      <c r="P152" s="12" t="s">
        <v>115</v>
      </c>
      <c r="Q152" s="12" t="n">
        <f aca="false">COUNTIF($A$6:$A$172,A152)</f>
        <v>1</v>
      </c>
    </row>
    <row r="153" customFormat="false" ht="220" hidden="false" customHeight="true" outlineLevel="0" collapsed="false">
      <c r="A153" s="11" t="s">
        <v>1511</v>
      </c>
      <c r="B153" s="11" t="s">
        <v>571</v>
      </c>
      <c r="C153" s="11" t="s">
        <v>1511</v>
      </c>
      <c r="D153" s="11" t="s">
        <v>1512</v>
      </c>
      <c r="E153" s="11" t="s">
        <v>1640</v>
      </c>
      <c r="F153" s="11" t="s">
        <v>965</v>
      </c>
      <c r="G153" s="11" t="b">
        <f aca="false">TRUE()</f>
        <v>1</v>
      </c>
      <c r="H153" s="11" t="b">
        <f aca="false">TRUE()</f>
        <v>1</v>
      </c>
      <c r="I153" s="11" t="b">
        <f aca="false">FALSE()</f>
        <v>0</v>
      </c>
      <c r="J153" s="11" t="b">
        <f aca="false">FALSE()</f>
        <v>0</v>
      </c>
      <c r="K153" s="11" t="s">
        <v>1858</v>
      </c>
      <c r="L153" s="11" t="s">
        <v>1649</v>
      </c>
      <c r="M153" s="11" t="s">
        <v>1511</v>
      </c>
      <c r="N153" s="11" t="s">
        <v>1514</v>
      </c>
      <c r="O153" s="11" t="n">
        <v>10</v>
      </c>
      <c r="P153" s="12" t="s">
        <v>115</v>
      </c>
      <c r="Q153" s="12" t="n">
        <f aca="false">COUNTIF($A$6:$A$172,A153)</f>
        <v>1</v>
      </c>
    </row>
    <row r="154" customFormat="false" ht="220" hidden="false" customHeight="true" outlineLevel="0" collapsed="false">
      <c r="A154" s="11" t="s">
        <v>1515</v>
      </c>
      <c r="B154" s="11" t="s">
        <v>571</v>
      </c>
      <c r="C154" s="11" t="s">
        <v>1515</v>
      </c>
      <c r="D154" s="11" t="s">
        <v>1516</v>
      </c>
      <c r="E154" s="11" t="s">
        <v>1640</v>
      </c>
      <c r="F154" s="11" t="s">
        <v>965</v>
      </c>
      <c r="G154" s="11" t="b">
        <f aca="false">TRUE()</f>
        <v>1</v>
      </c>
      <c r="H154" s="11" t="b">
        <f aca="false">TRUE()</f>
        <v>1</v>
      </c>
      <c r="I154" s="11" t="b">
        <f aca="false">TRUE()</f>
        <v>1</v>
      </c>
      <c r="J154" s="11" t="b">
        <f aca="false">TRUE()</f>
        <v>1</v>
      </c>
      <c r="K154" s="11" t="s">
        <v>1859</v>
      </c>
      <c r="L154" s="11" t="s">
        <v>1860</v>
      </c>
      <c r="M154" s="11" t="s">
        <v>1515</v>
      </c>
      <c r="N154" s="11" t="s">
        <v>1514</v>
      </c>
      <c r="O154" s="11" t="n">
        <v>10</v>
      </c>
      <c r="P154" s="12" t="s">
        <v>115</v>
      </c>
      <c r="Q154" s="12" t="n">
        <f aca="false">COUNTIF($A$6:$A$172,A154)</f>
        <v>1</v>
      </c>
    </row>
    <row r="155" customFormat="false" ht="220" hidden="false" customHeight="true" outlineLevel="0" collapsed="false">
      <c r="A155" s="11" t="s">
        <v>1518</v>
      </c>
      <c r="B155" s="11" t="s">
        <v>571</v>
      </c>
      <c r="C155" s="11" t="s">
        <v>1518</v>
      </c>
      <c r="D155" s="11" t="s">
        <v>1519</v>
      </c>
      <c r="E155" s="11" t="s">
        <v>1670</v>
      </c>
      <c r="F155" s="11" t="s">
        <v>965</v>
      </c>
      <c r="G155" s="11" t="b">
        <f aca="false">TRUE()</f>
        <v>1</v>
      </c>
      <c r="H155" s="11" t="b">
        <f aca="false">FALSE()</f>
        <v>0</v>
      </c>
      <c r="I155" s="11" t="b">
        <f aca="false">FALSE()</f>
        <v>0</v>
      </c>
      <c r="J155" s="11" t="b">
        <f aca="false">FALSE()</f>
        <v>0</v>
      </c>
      <c r="K155" s="11" t="s">
        <v>1861</v>
      </c>
      <c r="L155" s="11" t="s">
        <v>1649</v>
      </c>
      <c r="M155" s="11" t="s">
        <v>1521</v>
      </c>
      <c r="N155" s="11" t="s">
        <v>1522</v>
      </c>
      <c r="O155" s="11" t="n">
        <v>10</v>
      </c>
      <c r="P155" s="12" t="s">
        <v>115</v>
      </c>
      <c r="Q155" s="12" t="n">
        <f aca="false">COUNTIF($A$6:$A$172,A155)</f>
        <v>1</v>
      </c>
    </row>
    <row r="156" customFormat="false" ht="220" hidden="false" customHeight="true" outlineLevel="0" collapsed="false">
      <c r="A156" s="11" t="s">
        <v>1530</v>
      </c>
      <c r="B156" s="11" t="s">
        <v>571</v>
      </c>
      <c r="C156" s="11" t="s">
        <v>1530</v>
      </c>
      <c r="D156" s="11" t="s">
        <v>1531</v>
      </c>
      <c r="E156" s="11" t="s">
        <v>1670</v>
      </c>
      <c r="F156" s="11" t="s">
        <v>965</v>
      </c>
      <c r="G156" s="11" t="b">
        <f aca="false">TRUE()</f>
        <v>1</v>
      </c>
      <c r="H156" s="11" t="b">
        <f aca="false">FALSE()</f>
        <v>0</v>
      </c>
      <c r="I156" s="11" t="b">
        <f aca="false">FALSE()</f>
        <v>0</v>
      </c>
      <c r="J156" s="11" t="b">
        <f aca="false">FALSE()</f>
        <v>0</v>
      </c>
      <c r="K156" s="11" t="s">
        <v>1862</v>
      </c>
      <c r="L156" s="11" t="s">
        <v>1649</v>
      </c>
      <c r="M156" s="11" t="s">
        <v>1530</v>
      </c>
      <c r="N156" s="11" t="s">
        <v>1533</v>
      </c>
      <c r="O156" s="11" t="n">
        <v>10</v>
      </c>
      <c r="P156" s="12" t="s">
        <v>115</v>
      </c>
      <c r="Q156" s="12" t="n">
        <f aca="false">COUNTIF($A$6:$A$172,A156)</f>
        <v>1</v>
      </c>
    </row>
    <row r="157" customFormat="false" ht="220" hidden="false" customHeight="true" outlineLevel="0" collapsed="false">
      <c r="A157" s="11" t="s">
        <v>1541</v>
      </c>
      <c r="B157" s="11" t="s">
        <v>571</v>
      </c>
      <c r="C157" s="11" t="s">
        <v>1541</v>
      </c>
      <c r="D157" s="11" t="s">
        <v>1542</v>
      </c>
      <c r="E157" s="11" t="s">
        <v>1640</v>
      </c>
      <c r="F157" s="11" t="s">
        <v>965</v>
      </c>
      <c r="G157" s="11" t="b">
        <f aca="false">TRUE()</f>
        <v>1</v>
      </c>
      <c r="H157" s="11" t="b">
        <f aca="false">TRUE()</f>
        <v>1</v>
      </c>
      <c r="I157" s="11" t="b">
        <f aca="false">FALSE()</f>
        <v>0</v>
      </c>
      <c r="J157" s="11" t="b">
        <f aca="false">FALSE()</f>
        <v>0</v>
      </c>
      <c r="K157" s="11" t="s">
        <v>1863</v>
      </c>
      <c r="L157" s="11" t="s">
        <v>1649</v>
      </c>
      <c r="M157" s="11" t="s">
        <v>1541</v>
      </c>
      <c r="N157" s="11" t="s">
        <v>1544</v>
      </c>
      <c r="O157" s="11" t="n">
        <v>80</v>
      </c>
      <c r="P157" s="12" t="s">
        <v>115</v>
      </c>
      <c r="Q157" s="12" t="n">
        <f aca="false">COUNTIF($A$6:$A$172,A157)</f>
        <v>1</v>
      </c>
    </row>
    <row r="158" customFormat="false" ht="220" hidden="false" customHeight="true" outlineLevel="0" collapsed="false">
      <c r="A158" s="11" t="s">
        <v>1545</v>
      </c>
      <c r="B158" s="11" t="s">
        <v>571</v>
      </c>
      <c r="C158" s="11" t="s">
        <v>1545</v>
      </c>
      <c r="D158" s="11" t="s">
        <v>1546</v>
      </c>
      <c r="E158" s="11" t="s">
        <v>1640</v>
      </c>
      <c r="F158" s="11" t="s">
        <v>965</v>
      </c>
      <c r="G158" s="11" t="b">
        <f aca="false">TRUE()</f>
        <v>1</v>
      </c>
      <c r="H158" s="11" t="b">
        <f aca="false">TRUE()</f>
        <v>1</v>
      </c>
      <c r="I158" s="11" t="b">
        <f aca="false">FALSE()</f>
        <v>0</v>
      </c>
      <c r="J158" s="11" t="b">
        <f aca="false">FALSE()</f>
        <v>0</v>
      </c>
      <c r="K158" s="11" t="s">
        <v>1864</v>
      </c>
      <c r="L158" s="11" t="s">
        <v>1649</v>
      </c>
      <c r="M158" s="11" t="s">
        <v>1545</v>
      </c>
      <c r="N158" s="11" t="s">
        <v>1549</v>
      </c>
      <c r="O158" s="11" t="n">
        <v>10</v>
      </c>
      <c r="P158" s="12" t="s">
        <v>115</v>
      </c>
      <c r="Q158" s="12" t="n">
        <f aca="false">COUNTIF($A$6:$A$172,A158)</f>
        <v>1</v>
      </c>
    </row>
    <row r="159" customFormat="false" ht="220" hidden="false" customHeight="true" outlineLevel="0" collapsed="false">
      <c r="A159" s="11" t="s">
        <v>1550</v>
      </c>
      <c r="B159" s="11" t="s">
        <v>574</v>
      </c>
      <c r="C159" s="11" t="s">
        <v>1550</v>
      </c>
      <c r="D159" s="11" t="s">
        <v>1551</v>
      </c>
      <c r="E159" s="11" t="s">
        <v>1640</v>
      </c>
      <c r="F159" s="11" t="s">
        <v>965</v>
      </c>
      <c r="G159" s="11" t="b">
        <f aca="false">TRUE()</f>
        <v>1</v>
      </c>
      <c r="H159" s="11" t="b">
        <f aca="false">TRUE()</f>
        <v>1</v>
      </c>
      <c r="I159" s="11" t="b">
        <f aca="false">FALSE()</f>
        <v>0</v>
      </c>
      <c r="J159" s="11" t="b">
        <f aca="false">FALSE()</f>
        <v>0</v>
      </c>
      <c r="K159" s="11" t="s">
        <v>1865</v>
      </c>
      <c r="L159" s="11" t="s">
        <v>1649</v>
      </c>
      <c r="M159" s="11" t="s">
        <v>1552</v>
      </c>
      <c r="N159" s="11" t="s">
        <v>1553</v>
      </c>
      <c r="O159" s="11" t="n">
        <v>10</v>
      </c>
      <c r="P159" s="12" t="s">
        <v>115</v>
      </c>
      <c r="Q159" s="12" t="n">
        <f aca="false">COUNTIF($A$6:$A$172,A159)</f>
        <v>1</v>
      </c>
    </row>
    <row r="160" customFormat="false" ht="220" hidden="false" customHeight="true" outlineLevel="0" collapsed="false">
      <c r="A160" s="11" t="s">
        <v>1554</v>
      </c>
      <c r="B160" s="11" t="s">
        <v>574</v>
      </c>
      <c r="C160" s="11" t="s">
        <v>1554</v>
      </c>
      <c r="D160" s="11" t="s">
        <v>1555</v>
      </c>
      <c r="E160" s="11" t="s">
        <v>1640</v>
      </c>
      <c r="F160" s="11" t="s">
        <v>965</v>
      </c>
      <c r="G160" s="11" t="b">
        <f aca="false">TRUE()</f>
        <v>1</v>
      </c>
      <c r="H160" s="11" t="b">
        <f aca="false">TRUE()</f>
        <v>1</v>
      </c>
      <c r="I160" s="11" t="b">
        <f aca="false">TRUE()</f>
        <v>1</v>
      </c>
      <c r="J160" s="11" t="b">
        <f aca="false">TRUE()</f>
        <v>1</v>
      </c>
      <c r="K160" s="11" t="s">
        <v>1866</v>
      </c>
      <c r="L160" s="11" t="s">
        <v>1867</v>
      </c>
      <c r="M160" s="11" t="s">
        <v>1554</v>
      </c>
      <c r="N160" s="11" t="s">
        <v>1558</v>
      </c>
      <c r="O160" s="11" t="n">
        <v>10</v>
      </c>
      <c r="P160" s="12" t="s">
        <v>115</v>
      </c>
      <c r="Q160" s="12" t="n">
        <f aca="false">COUNTIF($A$6:$A$172,A160)</f>
        <v>1</v>
      </c>
    </row>
    <row r="161" customFormat="false" ht="220" hidden="false" customHeight="true" outlineLevel="0" collapsed="false">
      <c r="A161" s="11" t="s">
        <v>1559</v>
      </c>
      <c r="B161" s="11" t="s">
        <v>574</v>
      </c>
      <c r="C161" s="11" t="s">
        <v>1559</v>
      </c>
      <c r="D161" s="11" t="s">
        <v>1560</v>
      </c>
      <c r="E161" s="11" t="s">
        <v>1640</v>
      </c>
      <c r="F161" s="11" t="s">
        <v>965</v>
      </c>
      <c r="G161" s="11" t="b">
        <f aca="false">TRUE()</f>
        <v>1</v>
      </c>
      <c r="H161" s="11" t="b">
        <f aca="false">TRUE()</f>
        <v>1</v>
      </c>
      <c r="I161" s="11" t="b">
        <f aca="false">FALSE()</f>
        <v>0</v>
      </c>
      <c r="J161" s="11" t="b">
        <f aca="false">FALSE()</f>
        <v>0</v>
      </c>
      <c r="K161" s="11" t="s">
        <v>1868</v>
      </c>
      <c r="L161" s="11" t="s">
        <v>1649</v>
      </c>
      <c r="M161" s="11" t="s">
        <v>1559</v>
      </c>
      <c r="N161" s="11"/>
      <c r="O161" s="11" t="n">
        <v>10</v>
      </c>
      <c r="P161" s="12" t="s">
        <v>115</v>
      </c>
      <c r="Q161" s="12" t="n">
        <f aca="false">COUNTIF($A$6:$A$172,A161)</f>
        <v>1</v>
      </c>
    </row>
    <row r="162" customFormat="false" ht="220" hidden="false" customHeight="true" outlineLevel="0" collapsed="false">
      <c r="A162" s="11" t="s">
        <v>1563</v>
      </c>
      <c r="B162" s="11" t="s">
        <v>574</v>
      </c>
      <c r="C162" s="11" t="s">
        <v>1563</v>
      </c>
      <c r="D162" s="11" t="s">
        <v>1564</v>
      </c>
      <c r="E162" s="11" t="s">
        <v>1640</v>
      </c>
      <c r="F162" s="11" t="s">
        <v>965</v>
      </c>
      <c r="G162" s="11" t="b">
        <f aca="false">TRUE()</f>
        <v>1</v>
      </c>
      <c r="H162" s="11" t="b">
        <f aca="false">TRUE()</f>
        <v>1</v>
      </c>
      <c r="I162" s="11" t="b">
        <f aca="false">TRUE()</f>
        <v>1</v>
      </c>
      <c r="J162" s="11" t="b">
        <f aca="false">TRUE()</f>
        <v>1</v>
      </c>
      <c r="K162" s="11" t="s">
        <v>1869</v>
      </c>
      <c r="L162" s="11" t="s">
        <v>1870</v>
      </c>
      <c r="M162" s="11" t="s">
        <v>1563</v>
      </c>
      <c r="N162" s="11" t="s">
        <v>1567</v>
      </c>
      <c r="O162" s="11" t="n">
        <v>10</v>
      </c>
      <c r="P162" s="12" t="s">
        <v>115</v>
      </c>
      <c r="Q162" s="12" t="n">
        <f aca="false">COUNTIF($A$6:$A$172,A162)</f>
        <v>1</v>
      </c>
    </row>
    <row r="163" customFormat="false" ht="220" hidden="false" customHeight="true" outlineLevel="0" collapsed="false">
      <c r="A163" s="11" t="s">
        <v>1568</v>
      </c>
      <c r="B163" s="11" t="s">
        <v>574</v>
      </c>
      <c r="C163" s="11" t="s">
        <v>1568</v>
      </c>
      <c r="D163" s="11" t="s">
        <v>1569</v>
      </c>
      <c r="E163" s="11" t="s">
        <v>1640</v>
      </c>
      <c r="F163" s="11" t="s">
        <v>965</v>
      </c>
      <c r="G163" s="11" t="b">
        <f aca="false">TRUE()</f>
        <v>1</v>
      </c>
      <c r="H163" s="11" t="b">
        <f aca="false">TRUE()</f>
        <v>1</v>
      </c>
      <c r="I163" s="11" t="b">
        <f aca="false">TRUE()</f>
        <v>1</v>
      </c>
      <c r="J163" s="11" t="b">
        <f aca="false">TRUE()</f>
        <v>1</v>
      </c>
      <c r="K163" s="11" t="s">
        <v>1871</v>
      </c>
      <c r="L163" s="11" t="s">
        <v>1872</v>
      </c>
      <c r="M163" s="11" t="s">
        <v>1568</v>
      </c>
      <c r="N163" s="11" t="s">
        <v>1571</v>
      </c>
      <c r="O163" s="11" t="n">
        <v>10</v>
      </c>
      <c r="P163" s="12" t="s">
        <v>115</v>
      </c>
      <c r="Q163" s="12" t="n">
        <f aca="false">COUNTIF($A$6:$A$172,A163)</f>
        <v>1</v>
      </c>
    </row>
    <row r="164" customFormat="false" ht="220" hidden="false" customHeight="true" outlineLevel="0" collapsed="false">
      <c r="A164" s="11" t="s">
        <v>1572</v>
      </c>
      <c r="B164" s="11" t="s">
        <v>574</v>
      </c>
      <c r="C164" s="11" t="s">
        <v>1572</v>
      </c>
      <c r="D164" s="11" t="s">
        <v>1573</v>
      </c>
      <c r="E164" s="11" t="s">
        <v>1640</v>
      </c>
      <c r="F164" s="11" t="s">
        <v>965</v>
      </c>
      <c r="G164" s="11" t="b">
        <f aca="false">TRUE()</f>
        <v>1</v>
      </c>
      <c r="H164" s="11" t="b">
        <f aca="false">TRUE()</f>
        <v>1</v>
      </c>
      <c r="I164" s="11" t="b">
        <f aca="false">FALSE()</f>
        <v>0</v>
      </c>
      <c r="J164" s="11" t="b">
        <f aca="false">FALSE()</f>
        <v>0</v>
      </c>
      <c r="K164" s="11" t="s">
        <v>1873</v>
      </c>
      <c r="L164" s="11" t="s">
        <v>1649</v>
      </c>
      <c r="M164" s="11" t="s">
        <v>1572</v>
      </c>
      <c r="N164" s="11"/>
      <c r="O164" s="11" t="n">
        <v>10</v>
      </c>
      <c r="P164" s="12" t="s">
        <v>115</v>
      </c>
      <c r="Q164" s="12" t="n">
        <f aca="false">COUNTIF($A$6:$A$172,A164)</f>
        <v>1</v>
      </c>
    </row>
    <row r="165" customFormat="false" ht="220" hidden="false" customHeight="true" outlineLevel="0" collapsed="false">
      <c r="A165" s="11" t="s">
        <v>1575</v>
      </c>
      <c r="B165" s="11" t="s">
        <v>574</v>
      </c>
      <c r="C165" s="11" t="s">
        <v>1575</v>
      </c>
      <c r="D165" s="11" t="s">
        <v>1576</v>
      </c>
      <c r="E165" s="11" t="s">
        <v>1640</v>
      </c>
      <c r="F165" s="11" t="s">
        <v>965</v>
      </c>
      <c r="G165" s="11" t="b">
        <f aca="false">TRUE()</f>
        <v>1</v>
      </c>
      <c r="H165" s="11" t="b">
        <f aca="false">TRUE()</f>
        <v>1</v>
      </c>
      <c r="I165" s="11" t="b">
        <f aca="false">TRUE()</f>
        <v>1</v>
      </c>
      <c r="J165" s="11" t="b">
        <f aca="false">TRUE()</f>
        <v>1</v>
      </c>
      <c r="K165" s="11" t="s">
        <v>1874</v>
      </c>
      <c r="L165" s="11" t="s">
        <v>1875</v>
      </c>
      <c r="M165" s="11" t="s">
        <v>1575</v>
      </c>
      <c r="N165" s="11"/>
      <c r="O165" s="11" t="n">
        <v>10</v>
      </c>
      <c r="P165" s="12" t="s">
        <v>115</v>
      </c>
      <c r="Q165" s="12" t="n">
        <f aca="false">COUNTIF($A$6:$A$172,A165)</f>
        <v>1</v>
      </c>
    </row>
    <row r="166" customFormat="false" ht="220" hidden="false" customHeight="true" outlineLevel="0" collapsed="false">
      <c r="A166" s="11" t="s">
        <v>1578</v>
      </c>
      <c r="B166" s="11" t="s">
        <v>574</v>
      </c>
      <c r="C166" s="11" t="s">
        <v>1578</v>
      </c>
      <c r="D166" s="11" t="s">
        <v>1579</v>
      </c>
      <c r="E166" s="11" t="s">
        <v>1670</v>
      </c>
      <c r="F166" s="11" t="s">
        <v>965</v>
      </c>
      <c r="G166" s="11" t="b">
        <f aca="false">TRUE()</f>
        <v>1</v>
      </c>
      <c r="H166" s="11" t="b">
        <f aca="false">FALSE()</f>
        <v>0</v>
      </c>
      <c r="I166" s="11" t="b">
        <f aca="false">FALSE()</f>
        <v>0</v>
      </c>
      <c r="J166" s="11" t="b">
        <f aca="false">FALSE()</f>
        <v>0</v>
      </c>
      <c r="K166" s="11" t="s">
        <v>1876</v>
      </c>
      <c r="L166" s="11" t="s">
        <v>1649</v>
      </c>
      <c r="M166" s="11" t="s">
        <v>1578</v>
      </c>
      <c r="N166" s="11"/>
      <c r="O166" s="11" t="n">
        <v>10</v>
      </c>
      <c r="P166" s="12" t="s">
        <v>115</v>
      </c>
      <c r="Q166" s="12" t="n">
        <f aca="false">COUNTIF($A$6:$A$172,A166)</f>
        <v>1</v>
      </c>
    </row>
    <row r="167" customFormat="false" ht="220" hidden="false" customHeight="true" outlineLevel="0" collapsed="false">
      <c r="A167" s="11" t="s">
        <v>1581</v>
      </c>
      <c r="B167" s="11" t="s">
        <v>574</v>
      </c>
      <c r="C167" s="11" t="s">
        <v>1581</v>
      </c>
      <c r="D167" s="11" t="s">
        <v>1582</v>
      </c>
      <c r="E167" s="11" t="s">
        <v>1640</v>
      </c>
      <c r="F167" s="11" t="s">
        <v>965</v>
      </c>
      <c r="G167" s="11" t="b">
        <f aca="false">TRUE()</f>
        <v>1</v>
      </c>
      <c r="H167" s="11" t="b">
        <f aca="false">TRUE()</f>
        <v>1</v>
      </c>
      <c r="I167" s="11" t="b">
        <f aca="false">TRUE()</f>
        <v>1</v>
      </c>
      <c r="J167" s="11" t="b">
        <f aca="false">TRUE()</f>
        <v>1</v>
      </c>
      <c r="K167" s="11" t="s">
        <v>1877</v>
      </c>
      <c r="L167" s="11" t="s">
        <v>1878</v>
      </c>
      <c r="M167" s="11" t="s">
        <v>1581</v>
      </c>
      <c r="N167" s="11" t="s">
        <v>1584</v>
      </c>
      <c r="O167" s="11" t="n">
        <v>10</v>
      </c>
      <c r="P167" s="12" t="s">
        <v>115</v>
      </c>
      <c r="Q167" s="12" t="n">
        <f aca="false">COUNTIF($A$6:$A$172,A167)</f>
        <v>1</v>
      </c>
    </row>
    <row r="168" customFormat="false" ht="220" hidden="false" customHeight="true" outlineLevel="0" collapsed="false">
      <c r="A168" s="11" t="s">
        <v>1589</v>
      </c>
      <c r="B168" s="11" t="s">
        <v>574</v>
      </c>
      <c r="C168" s="11" t="s">
        <v>1589</v>
      </c>
      <c r="D168" s="11" t="s">
        <v>1590</v>
      </c>
      <c r="E168" s="11" t="s">
        <v>1640</v>
      </c>
      <c r="F168" s="11" t="s">
        <v>965</v>
      </c>
      <c r="G168" s="11" t="b">
        <f aca="false">TRUE()</f>
        <v>1</v>
      </c>
      <c r="H168" s="11" t="b">
        <f aca="false">TRUE()</f>
        <v>1</v>
      </c>
      <c r="I168" s="11" t="b">
        <f aca="false">TRUE()</f>
        <v>1</v>
      </c>
      <c r="J168" s="11" t="b">
        <f aca="false">FALSE()</f>
        <v>0</v>
      </c>
      <c r="K168" s="11" t="s">
        <v>1879</v>
      </c>
      <c r="L168" s="11" t="s">
        <v>1880</v>
      </c>
      <c r="M168" s="11" t="s">
        <v>1593</v>
      </c>
      <c r="N168" s="11"/>
      <c r="O168" s="11" t="n">
        <v>10</v>
      </c>
      <c r="P168" s="12" t="s">
        <v>115</v>
      </c>
      <c r="Q168" s="12" t="n">
        <f aca="false">COUNTIF($A$6:$A$172,A168)</f>
        <v>1</v>
      </c>
    </row>
    <row r="169" customFormat="false" ht="220" hidden="false" customHeight="true" outlineLevel="0" collapsed="false">
      <c r="A169" s="11" t="s">
        <v>1601</v>
      </c>
      <c r="B169" s="11" t="s">
        <v>574</v>
      </c>
      <c r="C169" s="11" t="s">
        <v>1601</v>
      </c>
      <c r="D169" s="11" t="s">
        <v>1602</v>
      </c>
      <c r="E169" s="11" t="s">
        <v>1670</v>
      </c>
      <c r="F169" s="11" t="s">
        <v>965</v>
      </c>
      <c r="G169" s="11" t="b">
        <f aca="false">TRUE()</f>
        <v>1</v>
      </c>
      <c r="H169" s="11" t="b">
        <f aca="false">FALSE()</f>
        <v>0</v>
      </c>
      <c r="I169" s="11" t="b">
        <f aca="false">TRUE()</f>
        <v>1</v>
      </c>
      <c r="J169" s="11" t="b">
        <f aca="false">FALSE()</f>
        <v>0</v>
      </c>
      <c r="K169" s="11" t="s">
        <v>1881</v>
      </c>
      <c r="L169" s="11" t="s">
        <v>1882</v>
      </c>
      <c r="M169" s="11" t="s">
        <v>1605</v>
      </c>
      <c r="N169" s="11"/>
      <c r="O169" s="11" t="n">
        <v>10</v>
      </c>
      <c r="P169" s="12" t="s">
        <v>115</v>
      </c>
      <c r="Q169" s="12" t="n">
        <f aca="false">COUNTIF($A$6:$A$172,A169)</f>
        <v>1</v>
      </c>
    </row>
    <row r="170" customFormat="false" ht="220" hidden="false" customHeight="true" outlineLevel="0" collapsed="false">
      <c r="A170" s="11" t="s">
        <v>1611</v>
      </c>
      <c r="B170" s="11" t="s">
        <v>574</v>
      </c>
      <c r="C170" s="11" t="s">
        <v>1611</v>
      </c>
      <c r="D170" s="11" t="s">
        <v>1612</v>
      </c>
      <c r="E170" s="11" t="s">
        <v>1670</v>
      </c>
      <c r="F170" s="11" t="s">
        <v>965</v>
      </c>
      <c r="G170" s="11" t="b">
        <f aca="false">TRUE()</f>
        <v>1</v>
      </c>
      <c r="H170" s="11" t="b">
        <f aca="false">FALSE()</f>
        <v>0</v>
      </c>
      <c r="I170" s="11" t="b">
        <f aca="false">FALSE()</f>
        <v>0</v>
      </c>
      <c r="J170" s="11" t="b">
        <f aca="false">FALSE()</f>
        <v>0</v>
      </c>
      <c r="K170" s="11" t="s">
        <v>1883</v>
      </c>
      <c r="L170" s="11" t="s">
        <v>1649</v>
      </c>
      <c r="M170" s="11" t="s">
        <v>1614</v>
      </c>
      <c r="N170" s="11" t="s">
        <v>1615</v>
      </c>
      <c r="O170" s="11" t="n">
        <v>10</v>
      </c>
      <c r="P170" s="12" t="s">
        <v>115</v>
      </c>
      <c r="Q170" s="12" t="n">
        <f aca="false">COUNTIF($A$6:$A$172,A170)</f>
        <v>1</v>
      </c>
    </row>
    <row r="171" customFormat="false" ht="220" hidden="false" customHeight="true" outlineLevel="0" collapsed="false">
      <c r="A171" s="11" t="s">
        <v>1621</v>
      </c>
      <c r="B171" s="11" t="s">
        <v>574</v>
      </c>
      <c r="C171" s="11" t="s">
        <v>1621</v>
      </c>
      <c r="D171" s="11" t="s">
        <v>1622</v>
      </c>
      <c r="E171" s="11" t="s">
        <v>1670</v>
      </c>
      <c r="F171" s="11" t="s">
        <v>965</v>
      </c>
      <c r="G171" s="11" t="b">
        <f aca="false">TRUE()</f>
        <v>1</v>
      </c>
      <c r="H171" s="11" t="b">
        <f aca="false">FALSE()</f>
        <v>0</v>
      </c>
      <c r="I171" s="11" t="b">
        <f aca="false">FALSE()</f>
        <v>0</v>
      </c>
      <c r="J171" s="11" t="b">
        <f aca="false">FALSE()</f>
        <v>0</v>
      </c>
      <c r="K171" s="11" t="s">
        <v>1884</v>
      </c>
      <c r="L171" s="11" t="s">
        <v>1649</v>
      </c>
      <c r="M171" s="11" t="s">
        <v>1621</v>
      </c>
      <c r="N171" s="11"/>
      <c r="O171" s="11" t="n">
        <v>10</v>
      </c>
      <c r="P171" s="12" t="s">
        <v>115</v>
      </c>
      <c r="Q171" s="12" t="n">
        <f aca="false">COUNTIF($A$6:$A$172,A171)</f>
        <v>1</v>
      </c>
    </row>
    <row r="172" customFormat="false" ht="220" hidden="false" customHeight="true" outlineLevel="0" collapsed="false">
      <c r="A172" s="11" t="s">
        <v>1625</v>
      </c>
      <c r="B172" s="11" t="s">
        <v>574</v>
      </c>
      <c r="C172" s="11" t="s">
        <v>1625</v>
      </c>
      <c r="D172" s="11" t="s">
        <v>1626</v>
      </c>
      <c r="E172" s="11" t="s">
        <v>1640</v>
      </c>
      <c r="F172" s="11" t="s">
        <v>965</v>
      </c>
      <c r="G172" s="11" t="b">
        <f aca="false">TRUE()</f>
        <v>1</v>
      </c>
      <c r="H172" s="11" t="b">
        <f aca="false">TRUE()</f>
        <v>1</v>
      </c>
      <c r="I172" s="11" t="b">
        <f aca="false">FALSE()</f>
        <v>0</v>
      </c>
      <c r="J172" s="11" t="b">
        <f aca="false">FALSE()</f>
        <v>0</v>
      </c>
      <c r="K172" s="11" t="s">
        <v>1885</v>
      </c>
      <c r="L172" s="11" t="s">
        <v>1649</v>
      </c>
      <c r="M172" s="11" t="s">
        <v>1627</v>
      </c>
      <c r="N172" s="11" t="s">
        <v>1628</v>
      </c>
      <c r="O172" s="11" t="n">
        <v>10</v>
      </c>
      <c r="P172" s="12" t="s">
        <v>115</v>
      </c>
      <c r="Q172" s="12" t="n">
        <f aca="false">COUNTIF($A$6:$A$172,A172)</f>
        <v>1</v>
      </c>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34"/>
    <col collapsed="false" customWidth="true" hidden="false" outlineLevel="0" max="4" min="3" style="0" width="12"/>
    <col collapsed="false" customWidth="true" hidden="false" outlineLevel="0" max="5" min="5" style="0" width="24"/>
    <col collapsed="false" customWidth="true" hidden="false" outlineLevel="0" max="6" min="6" style="0" width="64"/>
    <col collapsed="false" customWidth="true" hidden="false" outlineLevel="0" max="7" min="7" style="0" width="76"/>
    <col collapsed="false" customWidth="true" hidden="false" outlineLevel="0" max="8" min="8" style="0" width="90"/>
    <col collapsed="false" customWidth="true" hidden="false" outlineLevel="0" max="9" min="9" style="0" width="74"/>
    <col collapsed="false" customWidth="true" hidden="false" outlineLevel="0" max="10" min="10" style="0" width="64"/>
    <col collapsed="false" customWidth="true" hidden="false" outlineLevel="0" max="11" min="11" style="0" width="120"/>
    <col collapsed="false" customWidth="true" hidden="false" outlineLevel="0" max="12" min="12" style="0" width="70"/>
    <col collapsed="false" customWidth="true" hidden="false" outlineLevel="0" max="13" min="13" style="0" width="58"/>
    <col collapsed="false" customWidth="true" hidden="false" outlineLevel="0" max="14" min="14" style="0" width="70"/>
    <col collapsed="false" customWidth="true" hidden="false" outlineLevel="0" max="15" min="15" style="0" width="86"/>
    <col collapsed="false" customWidth="true" hidden="false" outlineLevel="0" max="16" min="16" style="0" width="78"/>
    <col collapsed="false" customWidth="true" hidden="false" outlineLevel="0" max="17" min="17" style="0" width="120"/>
    <col collapsed="false" customWidth="true" hidden="false" outlineLevel="0" max="18" min="18" style="0" width="96"/>
    <col collapsed="false" customWidth="true" hidden="false" outlineLevel="0" max="20" min="19" style="0" width="62"/>
    <col collapsed="false" customWidth="true" hidden="false" outlineLevel="0" max="21" min="21" style="0" width="70"/>
    <col collapsed="false" customWidth="true" hidden="false" outlineLevel="0" max="22" min="22" style="0" width="84"/>
    <col collapsed="false" customWidth="true" hidden="false" outlineLevel="0" max="23" min="23" style="0" width="60"/>
    <col collapsed="false" customWidth="true" hidden="false" outlineLevel="0" max="24" min="24" style="0" width="58"/>
    <col collapsed="false" customWidth="true" hidden="false" outlineLevel="0" max="25" min="25" style="0" width="10"/>
  </cols>
  <sheetData>
    <row r="1" customFormat="false" ht="30" hidden="false" customHeight="true" outlineLevel="0" collapsed="false">
      <c r="A1" s="1" t="s">
        <v>1886</v>
      </c>
      <c r="B1" s="1"/>
      <c r="C1" s="1"/>
      <c r="D1" s="1"/>
      <c r="E1" s="1"/>
      <c r="F1" s="1"/>
      <c r="G1" s="1"/>
      <c r="H1" s="1"/>
      <c r="I1" s="1"/>
      <c r="J1" s="1"/>
      <c r="K1" s="1"/>
      <c r="L1" s="1"/>
      <c r="M1" s="1"/>
      <c r="N1" s="1"/>
      <c r="O1" s="1"/>
      <c r="P1" s="1"/>
      <c r="Q1" s="1"/>
      <c r="R1" s="1"/>
      <c r="S1" s="1"/>
      <c r="T1" s="1"/>
      <c r="U1" s="1"/>
      <c r="V1" s="1"/>
      <c r="W1" s="1"/>
      <c r="X1" s="1"/>
      <c r="Y1" s="1"/>
    </row>
    <row r="2" customFormat="false" ht="42" hidden="false" customHeight="true" outlineLevel="0" collapsed="false">
      <c r="A2" s="2" t="s">
        <v>1887</v>
      </c>
      <c r="B2" s="2"/>
      <c r="C2" s="2"/>
      <c r="D2" s="2"/>
      <c r="E2" s="2"/>
      <c r="F2" s="2"/>
      <c r="G2" s="2"/>
      <c r="H2" s="2"/>
      <c r="I2" s="2"/>
      <c r="J2" s="2"/>
      <c r="K2" s="2"/>
      <c r="L2" s="2"/>
      <c r="M2" s="2"/>
      <c r="N2" s="2"/>
      <c r="O2" s="2"/>
      <c r="P2" s="2"/>
      <c r="Q2" s="2"/>
      <c r="R2" s="2"/>
      <c r="S2" s="2"/>
      <c r="T2" s="2"/>
      <c r="U2" s="2"/>
      <c r="V2" s="2"/>
      <c r="W2" s="2"/>
      <c r="X2" s="2"/>
      <c r="Y2" s="2"/>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row>
    <row r="5" customFormat="false" ht="38" hidden="false" customHeight="true" outlineLevel="0" collapsed="false">
      <c r="A5" s="10" t="s">
        <v>1888</v>
      </c>
      <c r="B5" s="10" t="s">
        <v>958</v>
      </c>
      <c r="C5" s="10" t="s">
        <v>1889</v>
      </c>
      <c r="D5" s="10" t="s">
        <v>1890</v>
      </c>
      <c r="E5" s="10" t="s">
        <v>1891</v>
      </c>
      <c r="F5" s="10" t="s">
        <v>1892</v>
      </c>
      <c r="G5" s="10" t="s">
        <v>1893</v>
      </c>
      <c r="H5" s="10" t="s">
        <v>1894</v>
      </c>
      <c r="I5" s="10" t="s">
        <v>1895</v>
      </c>
      <c r="J5" s="10" t="s">
        <v>1896</v>
      </c>
      <c r="K5" s="10" t="s">
        <v>1897</v>
      </c>
      <c r="L5" s="10" t="s">
        <v>1898</v>
      </c>
      <c r="M5" s="10" t="s">
        <v>1899</v>
      </c>
      <c r="N5" s="10" t="s">
        <v>1900</v>
      </c>
      <c r="O5" s="10" t="s">
        <v>1901</v>
      </c>
      <c r="P5" s="10" t="s">
        <v>1902</v>
      </c>
      <c r="Q5" s="10" t="s">
        <v>1903</v>
      </c>
      <c r="R5" s="10" t="s">
        <v>1904</v>
      </c>
      <c r="S5" s="10" t="s">
        <v>1905</v>
      </c>
      <c r="T5" s="10" t="s">
        <v>1906</v>
      </c>
      <c r="U5" s="10" t="s">
        <v>1907</v>
      </c>
      <c r="V5" s="10" t="s">
        <v>1908</v>
      </c>
      <c r="W5" s="10" t="s">
        <v>1909</v>
      </c>
      <c r="X5" s="10" t="s">
        <v>67</v>
      </c>
      <c r="Y5" s="10" t="s">
        <v>69</v>
      </c>
    </row>
    <row r="6" customFormat="false" ht="240" hidden="false" customHeight="true" outlineLevel="0" collapsed="false">
      <c r="A6" s="11" t="s">
        <v>1910</v>
      </c>
      <c r="B6" s="11" t="s">
        <v>961</v>
      </c>
      <c r="C6" s="11" t="s">
        <v>1911</v>
      </c>
      <c r="D6" s="11" t="b">
        <f aca="false">TRUE()</f>
        <v>1</v>
      </c>
      <c r="E6" s="11" t="b">
        <f aca="false">TRUE()</f>
        <v>1</v>
      </c>
      <c r="F6" s="11"/>
      <c r="G6" s="11" t="s">
        <v>1912</v>
      </c>
      <c r="H6" s="11" t="s">
        <v>1913</v>
      </c>
      <c r="I6" s="11" t="s">
        <v>1914</v>
      </c>
      <c r="J6" s="11" t="s">
        <v>1915</v>
      </c>
      <c r="K6" s="11" t="s">
        <v>1641</v>
      </c>
      <c r="L6" s="11" t="s">
        <v>1916</v>
      </c>
      <c r="M6" s="11" t="s">
        <v>1917</v>
      </c>
      <c r="N6" s="11" t="s">
        <v>1918</v>
      </c>
      <c r="O6" s="11" t="s">
        <v>1919</v>
      </c>
      <c r="P6" s="11" t="s">
        <v>1920</v>
      </c>
      <c r="Q6" s="11" t="s">
        <v>1921</v>
      </c>
      <c r="R6" s="11" t="s">
        <v>1922</v>
      </c>
      <c r="S6" s="11" t="s">
        <v>1923</v>
      </c>
      <c r="T6" s="11" t="s">
        <v>1923</v>
      </c>
      <c r="U6" s="11" t="s">
        <v>1924</v>
      </c>
      <c r="V6" s="11" t="s">
        <v>1925</v>
      </c>
      <c r="W6" s="11" t="s">
        <v>1926</v>
      </c>
      <c r="X6" s="11" t="s">
        <v>1927</v>
      </c>
      <c r="Y6" s="12" t="n">
        <f aca="false">COUNTIF($A$6:$A$339,A6)</f>
        <v>1</v>
      </c>
    </row>
    <row r="7" customFormat="false" ht="240" hidden="false" customHeight="true" outlineLevel="0" collapsed="false">
      <c r="A7" s="11" t="s">
        <v>1928</v>
      </c>
      <c r="B7" s="11" t="s">
        <v>961</v>
      </c>
      <c r="C7" s="11" t="s">
        <v>1929</v>
      </c>
      <c r="D7" s="11" t="b">
        <f aca="false">TRUE()</f>
        <v>1</v>
      </c>
      <c r="E7" s="11" t="b">
        <f aca="false">TRUE()</f>
        <v>1</v>
      </c>
      <c r="F7" s="11"/>
      <c r="G7" s="11" t="s">
        <v>1912</v>
      </c>
      <c r="H7" s="11" t="s">
        <v>1913</v>
      </c>
      <c r="I7" s="11" t="s">
        <v>1914</v>
      </c>
      <c r="J7" s="11" t="s">
        <v>1915</v>
      </c>
      <c r="K7" s="11" t="s">
        <v>1642</v>
      </c>
      <c r="L7" s="11" t="s">
        <v>1930</v>
      </c>
      <c r="M7" s="11" t="s">
        <v>1931</v>
      </c>
      <c r="N7" s="11" t="s">
        <v>1918</v>
      </c>
      <c r="O7" s="11" t="s">
        <v>1919</v>
      </c>
      <c r="P7" s="11" t="s">
        <v>1920</v>
      </c>
      <c r="Q7" s="11" t="s">
        <v>1921</v>
      </c>
      <c r="R7" s="11" t="s">
        <v>1922</v>
      </c>
      <c r="S7" s="11" t="s">
        <v>1923</v>
      </c>
      <c r="T7" s="11" t="s">
        <v>1923</v>
      </c>
      <c r="U7" s="11" t="s">
        <v>1932</v>
      </c>
      <c r="V7" s="11" t="s">
        <v>1925</v>
      </c>
      <c r="W7" s="11" t="s">
        <v>1926</v>
      </c>
      <c r="X7" s="11" t="s">
        <v>1933</v>
      </c>
      <c r="Y7" s="12" t="n">
        <f aca="false">COUNTIF($A$6:$A$339,A7)</f>
        <v>1</v>
      </c>
    </row>
    <row r="8" customFormat="false" ht="240" hidden="false" customHeight="true" outlineLevel="0" collapsed="false">
      <c r="A8" s="11" t="s">
        <v>1934</v>
      </c>
      <c r="B8" s="11" t="s">
        <v>967</v>
      </c>
      <c r="C8" s="11" t="s">
        <v>1911</v>
      </c>
      <c r="D8" s="11" t="b">
        <f aca="false">TRUE()</f>
        <v>1</v>
      </c>
      <c r="E8" s="11" t="b">
        <f aca="false">TRUE()</f>
        <v>1</v>
      </c>
      <c r="F8" s="11"/>
      <c r="G8" s="11" t="s">
        <v>1935</v>
      </c>
      <c r="H8" s="11" t="s">
        <v>1936</v>
      </c>
      <c r="I8" s="11" t="s">
        <v>1937</v>
      </c>
      <c r="J8" s="11" t="s">
        <v>1938</v>
      </c>
      <c r="K8" s="11" t="s">
        <v>1644</v>
      </c>
      <c r="L8" s="11" t="s">
        <v>1939</v>
      </c>
      <c r="M8" s="11" t="s">
        <v>1917</v>
      </c>
      <c r="N8" s="11" t="s">
        <v>1940</v>
      </c>
      <c r="O8" s="11" t="s">
        <v>1941</v>
      </c>
      <c r="P8" s="11" t="s">
        <v>1920</v>
      </c>
      <c r="Q8" s="11" t="s">
        <v>1942</v>
      </c>
      <c r="R8" s="11" t="s">
        <v>1943</v>
      </c>
      <c r="S8" s="11" t="s">
        <v>1944</v>
      </c>
      <c r="T8" s="11" t="s">
        <v>1944</v>
      </c>
      <c r="U8" s="11" t="s">
        <v>1935</v>
      </c>
      <c r="V8" s="11" t="s">
        <v>1945</v>
      </c>
      <c r="W8" s="11" t="s">
        <v>1926</v>
      </c>
      <c r="X8" s="11" t="s">
        <v>1946</v>
      </c>
      <c r="Y8" s="12" t="n">
        <f aca="false">COUNTIF($A$6:$A$339,A8)</f>
        <v>1</v>
      </c>
    </row>
    <row r="9" customFormat="false" ht="240" hidden="false" customHeight="true" outlineLevel="0" collapsed="false">
      <c r="A9" s="11" t="s">
        <v>1947</v>
      </c>
      <c r="B9" s="11" t="s">
        <v>967</v>
      </c>
      <c r="C9" s="11" t="s">
        <v>1929</v>
      </c>
      <c r="D9" s="11" t="b">
        <f aca="false">TRUE()</f>
        <v>1</v>
      </c>
      <c r="E9" s="11" t="b">
        <f aca="false">TRUE()</f>
        <v>1</v>
      </c>
      <c r="F9" s="11"/>
      <c r="G9" s="11" t="s">
        <v>1935</v>
      </c>
      <c r="H9" s="11" t="s">
        <v>1936</v>
      </c>
      <c r="I9" s="11" t="s">
        <v>1937</v>
      </c>
      <c r="J9" s="11" t="s">
        <v>1938</v>
      </c>
      <c r="K9" s="11" t="s">
        <v>1645</v>
      </c>
      <c r="L9" s="11" t="s">
        <v>1948</v>
      </c>
      <c r="M9" s="11" t="s">
        <v>1931</v>
      </c>
      <c r="N9" s="11" t="s">
        <v>1940</v>
      </c>
      <c r="O9" s="11" t="s">
        <v>1941</v>
      </c>
      <c r="P9" s="11" t="s">
        <v>1920</v>
      </c>
      <c r="Q9" s="11" t="s">
        <v>1942</v>
      </c>
      <c r="R9" s="11" t="s">
        <v>1943</v>
      </c>
      <c r="S9" s="11" t="s">
        <v>1944</v>
      </c>
      <c r="T9" s="11" t="s">
        <v>1944</v>
      </c>
      <c r="U9" s="11" t="s">
        <v>1935</v>
      </c>
      <c r="V9" s="11" t="s">
        <v>1945</v>
      </c>
      <c r="W9" s="11" t="s">
        <v>1926</v>
      </c>
      <c r="X9" s="11" t="s">
        <v>1949</v>
      </c>
      <c r="Y9" s="12" t="n">
        <f aca="false">COUNTIF($A$6:$A$339,A9)</f>
        <v>1</v>
      </c>
    </row>
    <row r="10" customFormat="false" ht="240" hidden="false" customHeight="true" outlineLevel="0" collapsed="false">
      <c r="A10" s="11" t="s">
        <v>1950</v>
      </c>
      <c r="B10" s="11" t="s">
        <v>973</v>
      </c>
      <c r="C10" s="11" t="s">
        <v>1911</v>
      </c>
      <c r="D10" s="11" t="b">
        <f aca="false">TRUE()</f>
        <v>1</v>
      </c>
      <c r="E10" s="11" t="b">
        <f aca="false">TRUE()</f>
        <v>1</v>
      </c>
      <c r="F10" s="11"/>
      <c r="G10" s="11" t="s">
        <v>1951</v>
      </c>
      <c r="H10" s="11" t="s">
        <v>1952</v>
      </c>
      <c r="I10" s="11" t="s">
        <v>1953</v>
      </c>
      <c r="J10" s="11" t="s">
        <v>1954</v>
      </c>
      <c r="K10" s="11" t="s">
        <v>1646</v>
      </c>
      <c r="L10" s="11" t="s">
        <v>1951</v>
      </c>
      <c r="M10" s="11" t="s">
        <v>1917</v>
      </c>
      <c r="N10" s="11" t="s">
        <v>1955</v>
      </c>
      <c r="O10" s="11" t="s">
        <v>1956</v>
      </c>
      <c r="P10" s="11" t="s">
        <v>1920</v>
      </c>
      <c r="Q10" s="11" t="s">
        <v>1957</v>
      </c>
      <c r="R10" s="11" t="s">
        <v>1958</v>
      </c>
      <c r="S10" s="11" t="s">
        <v>1959</v>
      </c>
      <c r="T10" s="11" t="s">
        <v>1960</v>
      </c>
      <c r="U10" s="11" t="s">
        <v>1924</v>
      </c>
      <c r="V10" s="11" t="s">
        <v>1925</v>
      </c>
      <c r="W10" s="11" t="s">
        <v>1926</v>
      </c>
      <c r="X10" s="11" t="s">
        <v>1961</v>
      </c>
      <c r="Y10" s="12" t="n">
        <f aca="false">COUNTIF($A$6:$A$339,A10)</f>
        <v>1</v>
      </c>
    </row>
    <row r="11" customFormat="false" ht="240" hidden="false" customHeight="true" outlineLevel="0" collapsed="false">
      <c r="A11" s="11" t="s">
        <v>1962</v>
      </c>
      <c r="B11" s="11" t="s">
        <v>973</v>
      </c>
      <c r="C11" s="11" t="s">
        <v>1929</v>
      </c>
      <c r="D11" s="11" t="b">
        <f aca="false">TRUE()</f>
        <v>1</v>
      </c>
      <c r="E11" s="11" t="b">
        <f aca="false">TRUE()</f>
        <v>1</v>
      </c>
      <c r="F11" s="11"/>
      <c r="G11" s="11" t="s">
        <v>1951</v>
      </c>
      <c r="H11" s="11" t="s">
        <v>1952</v>
      </c>
      <c r="I11" s="11" t="s">
        <v>1953</v>
      </c>
      <c r="J11" s="11" t="s">
        <v>1954</v>
      </c>
      <c r="K11" s="11" t="s">
        <v>1647</v>
      </c>
      <c r="L11" s="11" t="s">
        <v>1963</v>
      </c>
      <c r="M11" s="11" t="s">
        <v>1931</v>
      </c>
      <c r="N11" s="11" t="s">
        <v>1955</v>
      </c>
      <c r="O11" s="11" t="s">
        <v>1956</v>
      </c>
      <c r="P11" s="11" t="s">
        <v>1920</v>
      </c>
      <c r="Q11" s="11" t="s">
        <v>1957</v>
      </c>
      <c r="R11" s="11" t="s">
        <v>1958</v>
      </c>
      <c r="S11" s="11" t="s">
        <v>1959</v>
      </c>
      <c r="T11" s="11" t="s">
        <v>1960</v>
      </c>
      <c r="U11" s="11" t="s">
        <v>1932</v>
      </c>
      <c r="V11" s="11" t="s">
        <v>1925</v>
      </c>
      <c r="W11" s="11" t="s">
        <v>1926</v>
      </c>
      <c r="X11" s="11" t="s">
        <v>1964</v>
      </c>
      <c r="Y11" s="12" t="n">
        <f aca="false">COUNTIF($A$6:$A$339,A11)</f>
        <v>1</v>
      </c>
    </row>
    <row r="12" customFormat="false" ht="240" hidden="false" customHeight="true" outlineLevel="0" collapsed="false">
      <c r="A12" s="11" t="s">
        <v>1965</v>
      </c>
      <c r="B12" s="11" t="s">
        <v>977</v>
      </c>
      <c r="C12" s="11" t="s">
        <v>1911</v>
      </c>
      <c r="D12" s="11" t="b">
        <f aca="false">TRUE()</f>
        <v>1</v>
      </c>
      <c r="E12" s="11" t="b">
        <f aca="false">TRUE()</f>
        <v>1</v>
      </c>
      <c r="F12" s="11"/>
      <c r="G12" s="11" t="s">
        <v>1966</v>
      </c>
      <c r="H12" s="11" t="s">
        <v>1967</v>
      </c>
      <c r="I12" s="11" t="s">
        <v>1968</v>
      </c>
      <c r="J12" s="11" t="s">
        <v>1969</v>
      </c>
      <c r="K12" s="11" t="s">
        <v>1648</v>
      </c>
      <c r="L12" s="11" t="s">
        <v>1970</v>
      </c>
      <c r="M12" s="11" t="s">
        <v>1917</v>
      </c>
      <c r="N12" s="11" t="s">
        <v>1971</v>
      </c>
      <c r="O12" s="11" t="s">
        <v>1972</v>
      </c>
      <c r="P12" s="11" t="s">
        <v>1920</v>
      </c>
      <c r="Q12" s="11" t="s">
        <v>1973</v>
      </c>
      <c r="R12" s="11" t="s">
        <v>1974</v>
      </c>
      <c r="S12" s="11" t="s">
        <v>1975</v>
      </c>
      <c r="T12" s="11" t="s">
        <v>1975</v>
      </c>
      <c r="U12" s="11" t="s">
        <v>1924</v>
      </c>
      <c r="V12" s="11" t="s">
        <v>1925</v>
      </c>
      <c r="W12" s="11" t="s">
        <v>1926</v>
      </c>
      <c r="X12" s="11" t="s">
        <v>1976</v>
      </c>
      <c r="Y12" s="12" t="n">
        <f aca="false">COUNTIF($A$6:$A$339,A12)</f>
        <v>1</v>
      </c>
    </row>
    <row r="13" customFormat="false" ht="240" hidden="false" customHeight="true" outlineLevel="0" collapsed="false">
      <c r="A13" s="11" t="s">
        <v>1977</v>
      </c>
      <c r="B13" s="11" t="s">
        <v>977</v>
      </c>
      <c r="C13" s="11" t="s">
        <v>1929</v>
      </c>
      <c r="D13" s="11" t="b">
        <f aca="false">FALSE()</f>
        <v>0</v>
      </c>
      <c r="E13" s="11" t="b">
        <f aca="false">FALSE()</f>
        <v>0</v>
      </c>
      <c r="F13" s="11" t="s">
        <v>1978</v>
      </c>
      <c r="G13" s="11" t="s">
        <v>1979</v>
      </c>
      <c r="H13" s="11" t="s">
        <v>1980</v>
      </c>
      <c r="I13" s="11" t="s">
        <v>1981</v>
      </c>
      <c r="J13" s="11" t="s">
        <v>1982</v>
      </c>
      <c r="K13" s="11" t="s">
        <v>1983</v>
      </c>
      <c r="L13" s="11" t="s">
        <v>1984</v>
      </c>
      <c r="M13" s="11" t="s">
        <v>1984</v>
      </c>
      <c r="N13" s="11" t="s">
        <v>1984</v>
      </c>
      <c r="O13" s="11" t="s">
        <v>1985</v>
      </c>
      <c r="P13" s="11" t="s">
        <v>1986</v>
      </c>
      <c r="Q13" s="11" t="s">
        <v>1987</v>
      </c>
      <c r="R13" s="11" t="s">
        <v>1988</v>
      </c>
      <c r="S13" s="11" t="s">
        <v>1988</v>
      </c>
      <c r="T13" s="11" t="s">
        <v>1988</v>
      </c>
      <c r="U13" s="11" t="s">
        <v>1988</v>
      </c>
      <c r="V13" s="11" t="s">
        <v>1989</v>
      </c>
      <c r="W13" s="11" t="s">
        <v>1990</v>
      </c>
      <c r="X13" s="11" t="s">
        <v>1991</v>
      </c>
      <c r="Y13" s="12" t="n">
        <f aca="false">COUNTIF($A$6:$A$339,A13)</f>
        <v>1</v>
      </c>
    </row>
    <row r="14" customFormat="false" ht="240" hidden="false" customHeight="true" outlineLevel="0" collapsed="false">
      <c r="A14" s="11" t="s">
        <v>1992</v>
      </c>
      <c r="B14" s="11" t="s">
        <v>981</v>
      </c>
      <c r="C14" s="11" t="s">
        <v>1911</v>
      </c>
      <c r="D14" s="11" t="b">
        <f aca="false">TRUE()</f>
        <v>1</v>
      </c>
      <c r="E14" s="11" t="b">
        <f aca="false">TRUE()</f>
        <v>1</v>
      </c>
      <c r="F14" s="11"/>
      <c r="G14" s="11" t="s">
        <v>1993</v>
      </c>
      <c r="H14" s="11" t="s">
        <v>1994</v>
      </c>
      <c r="I14" s="11" t="s">
        <v>1995</v>
      </c>
      <c r="J14" s="11" t="s">
        <v>1996</v>
      </c>
      <c r="K14" s="11" t="s">
        <v>1650</v>
      </c>
      <c r="L14" s="11" t="s">
        <v>1997</v>
      </c>
      <c r="M14" s="11" t="s">
        <v>1917</v>
      </c>
      <c r="N14" s="11" t="s">
        <v>1998</v>
      </c>
      <c r="O14" s="11" t="s">
        <v>1999</v>
      </c>
      <c r="P14" s="11" t="s">
        <v>1920</v>
      </c>
      <c r="Q14" s="11" t="s">
        <v>2000</v>
      </c>
      <c r="R14" s="11" t="s">
        <v>2001</v>
      </c>
      <c r="S14" s="11" t="s">
        <v>2002</v>
      </c>
      <c r="T14" s="11" t="s">
        <v>2002</v>
      </c>
      <c r="U14" s="11" t="s">
        <v>1924</v>
      </c>
      <c r="V14" s="11" t="s">
        <v>1925</v>
      </c>
      <c r="W14" s="11" t="s">
        <v>1926</v>
      </c>
      <c r="X14" s="11" t="s">
        <v>2003</v>
      </c>
      <c r="Y14" s="12" t="n">
        <f aca="false">COUNTIF($A$6:$A$339,A14)</f>
        <v>1</v>
      </c>
    </row>
    <row r="15" customFormat="false" ht="240" hidden="false" customHeight="true" outlineLevel="0" collapsed="false">
      <c r="A15" s="11" t="s">
        <v>2004</v>
      </c>
      <c r="B15" s="11" t="s">
        <v>981</v>
      </c>
      <c r="C15" s="11" t="s">
        <v>1929</v>
      </c>
      <c r="D15" s="11" t="b">
        <f aca="false">TRUE()</f>
        <v>1</v>
      </c>
      <c r="E15" s="11" t="b">
        <f aca="false">TRUE()</f>
        <v>1</v>
      </c>
      <c r="F15" s="11"/>
      <c r="G15" s="11" t="s">
        <v>1993</v>
      </c>
      <c r="H15" s="11" t="s">
        <v>1994</v>
      </c>
      <c r="I15" s="11" t="s">
        <v>1995</v>
      </c>
      <c r="J15" s="11" t="s">
        <v>1996</v>
      </c>
      <c r="K15" s="11" t="s">
        <v>1651</v>
      </c>
      <c r="L15" s="11" t="s">
        <v>2005</v>
      </c>
      <c r="M15" s="11" t="s">
        <v>1931</v>
      </c>
      <c r="N15" s="11" t="s">
        <v>1998</v>
      </c>
      <c r="O15" s="11" t="s">
        <v>1999</v>
      </c>
      <c r="P15" s="11" t="s">
        <v>1920</v>
      </c>
      <c r="Q15" s="11" t="s">
        <v>2000</v>
      </c>
      <c r="R15" s="11" t="s">
        <v>2001</v>
      </c>
      <c r="S15" s="11" t="s">
        <v>2002</v>
      </c>
      <c r="T15" s="11" t="s">
        <v>2002</v>
      </c>
      <c r="U15" s="11" t="s">
        <v>1932</v>
      </c>
      <c r="V15" s="11" t="s">
        <v>1925</v>
      </c>
      <c r="W15" s="11" t="s">
        <v>1926</v>
      </c>
      <c r="X15" s="11" t="s">
        <v>2006</v>
      </c>
      <c r="Y15" s="12" t="n">
        <f aca="false">COUNTIF($A$6:$A$339,A15)</f>
        <v>1</v>
      </c>
    </row>
    <row r="16" customFormat="false" ht="240" hidden="false" customHeight="true" outlineLevel="0" collapsed="false">
      <c r="A16" s="11" t="s">
        <v>2007</v>
      </c>
      <c r="B16" s="11" t="s">
        <v>985</v>
      </c>
      <c r="C16" s="11" t="s">
        <v>1911</v>
      </c>
      <c r="D16" s="11" t="b">
        <f aca="false">TRUE()</f>
        <v>1</v>
      </c>
      <c r="E16" s="11" t="b">
        <f aca="false">TRUE()</f>
        <v>1</v>
      </c>
      <c r="F16" s="11"/>
      <c r="G16" s="11" t="s">
        <v>2008</v>
      </c>
      <c r="H16" s="11" t="s">
        <v>2009</v>
      </c>
      <c r="I16" s="11" t="s">
        <v>2010</v>
      </c>
      <c r="J16" s="11" t="s">
        <v>2011</v>
      </c>
      <c r="K16" s="11" t="s">
        <v>1652</v>
      </c>
      <c r="L16" s="11" t="s">
        <v>2012</v>
      </c>
      <c r="M16" s="11" t="s">
        <v>1917</v>
      </c>
      <c r="N16" s="11" t="s">
        <v>2013</v>
      </c>
      <c r="O16" s="11" t="s">
        <v>2014</v>
      </c>
      <c r="P16" s="11" t="s">
        <v>1920</v>
      </c>
      <c r="Q16" s="11" t="s">
        <v>2015</v>
      </c>
      <c r="R16" s="11" t="s">
        <v>2016</v>
      </c>
      <c r="S16" s="11" t="s">
        <v>2017</v>
      </c>
      <c r="T16" s="11" t="s">
        <v>2017</v>
      </c>
      <c r="U16" s="11" t="s">
        <v>1924</v>
      </c>
      <c r="V16" s="11" t="s">
        <v>1925</v>
      </c>
      <c r="W16" s="11" t="s">
        <v>1926</v>
      </c>
      <c r="X16" s="11" t="s">
        <v>2018</v>
      </c>
      <c r="Y16" s="12" t="n">
        <f aca="false">COUNTIF($A$6:$A$339,A16)</f>
        <v>1</v>
      </c>
    </row>
    <row r="17" customFormat="false" ht="240" hidden="false" customHeight="true" outlineLevel="0" collapsed="false">
      <c r="A17" s="11" t="s">
        <v>2019</v>
      </c>
      <c r="B17" s="11" t="s">
        <v>985</v>
      </c>
      <c r="C17" s="11" t="s">
        <v>1929</v>
      </c>
      <c r="D17" s="11" t="b">
        <f aca="false">FALSE()</f>
        <v>0</v>
      </c>
      <c r="E17" s="11" t="b">
        <f aca="false">FALSE()</f>
        <v>0</v>
      </c>
      <c r="F17" s="11" t="s">
        <v>1978</v>
      </c>
      <c r="G17" s="11" t="s">
        <v>1979</v>
      </c>
      <c r="H17" s="11" t="s">
        <v>1980</v>
      </c>
      <c r="I17" s="11" t="s">
        <v>1981</v>
      </c>
      <c r="J17" s="11" t="s">
        <v>1982</v>
      </c>
      <c r="K17" s="11" t="s">
        <v>1983</v>
      </c>
      <c r="L17" s="11" t="s">
        <v>1984</v>
      </c>
      <c r="M17" s="11" t="s">
        <v>1984</v>
      </c>
      <c r="N17" s="11" t="s">
        <v>1984</v>
      </c>
      <c r="O17" s="11" t="s">
        <v>1985</v>
      </c>
      <c r="P17" s="11" t="s">
        <v>1986</v>
      </c>
      <c r="Q17" s="11" t="s">
        <v>1987</v>
      </c>
      <c r="R17" s="11" t="s">
        <v>1988</v>
      </c>
      <c r="S17" s="11" t="s">
        <v>1988</v>
      </c>
      <c r="T17" s="11" t="s">
        <v>1988</v>
      </c>
      <c r="U17" s="11" t="s">
        <v>1988</v>
      </c>
      <c r="V17" s="11" t="s">
        <v>1989</v>
      </c>
      <c r="W17" s="11" t="s">
        <v>1990</v>
      </c>
      <c r="X17" s="11" t="s">
        <v>2020</v>
      </c>
      <c r="Y17" s="12" t="n">
        <f aca="false">COUNTIF($A$6:$A$339,A17)</f>
        <v>1</v>
      </c>
    </row>
    <row r="18" customFormat="false" ht="240" hidden="false" customHeight="true" outlineLevel="0" collapsed="false">
      <c r="A18" s="11" t="s">
        <v>2021</v>
      </c>
      <c r="B18" s="11" t="s">
        <v>989</v>
      </c>
      <c r="C18" s="11" t="s">
        <v>1911</v>
      </c>
      <c r="D18" s="11" t="b">
        <f aca="false">TRUE()</f>
        <v>1</v>
      </c>
      <c r="E18" s="11" t="b">
        <f aca="false">TRUE()</f>
        <v>1</v>
      </c>
      <c r="F18" s="11"/>
      <c r="G18" s="11" t="s">
        <v>2022</v>
      </c>
      <c r="H18" s="11" t="s">
        <v>2023</v>
      </c>
      <c r="I18" s="11" t="s">
        <v>2024</v>
      </c>
      <c r="J18" s="11" t="s">
        <v>2025</v>
      </c>
      <c r="K18" s="11" t="s">
        <v>1653</v>
      </c>
      <c r="L18" s="11" t="s">
        <v>2026</v>
      </c>
      <c r="M18" s="11" t="s">
        <v>1917</v>
      </c>
      <c r="N18" s="11" t="s">
        <v>2027</v>
      </c>
      <c r="O18" s="11" t="s">
        <v>2028</v>
      </c>
      <c r="P18" s="11" t="s">
        <v>1920</v>
      </c>
      <c r="Q18" s="11" t="s">
        <v>2029</v>
      </c>
      <c r="R18" s="11" t="s">
        <v>2030</v>
      </c>
      <c r="S18" s="11" t="s">
        <v>2031</v>
      </c>
      <c r="T18" s="11" t="s">
        <v>2031</v>
      </c>
      <c r="U18" s="11" t="s">
        <v>1924</v>
      </c>
      <c r="V18" s="11" t="s">
        <v>1925</v>
      </c>
      <c r="W18" s="11" t="s">
        <v>1926</v>
      </c>
      <c r="X18" s="11" t="s">
        <v>2032</v>
      </c>
      <c r="Y18" s="12" t="n">
        <f aca="false">COUNTIF($A$6:$A$339,A18)</f>
        <v>1</v>
      </c>
    </row>
    <row r="19" customFormat="false" ht="240" hidden="false" customHeight="true" outlineLevel="0" collapsed="false">
      <c r="A19" s="11" t="s">
        <v>2033</v>
      </c>
      <c r="B19" s="11" t="s">
        <v>989</v>
      </c>
      <c r="C19" s="11" t="s">
        <v>1929</v>
      </c>
      <c r="D19" s="11" t="b">
        <f aca="false">FALSE()</f>
        <v>0</v>
      </c>
      <c r="E19" s="11" t="b">
        <f aca="false">FALSE()</f>
        <v>0</v>
      </c>
      <c r="F19" s="11" t="s">
        <v>1978</v>
      </c>
      <c r="G19" s="11" t="s">
        <v>1979</v>
      </c>
      <c r="H19" s="11" t="s">
        <v>1980</v>
      </c>
      <c r="I19" s="11" t="s">
        <v>1981</v>
      </c>
      <c r="J19" s="11" t="s">
        <v>1982</v>
      </c>
      <c r="K19" s="11" t="s">
        <v>1983</v>
      </c>
      <c r="L19" s="11" t="s">
        <v>1984</v>
      </c>
      <c r="M19" s="11" t="s">
        <v>1984</v>
      </c>
      <c r="N19" s="11" t="s">
        <v>1984</v>
      </c>
      <c r="O19" s="11" t="s">
        <v>1985</v>
      </c>
      <c r="P19" s="11" t="s">
        <v>1986</v>
      </c>
      <c r="Q19" s="11" t="s">
        <v>1987</v>
      </c>
      <c r="R19" s="11" t="s">
        <v>1988</v>
      </c>
      <c r="S19" s="11" t="s">
        <v>1988</v>
      </c>
      <c r="T19" s="11" t="s">
        <v>1988</v>
      </c>
      <c r="U19" s="11" t="s">
        <v>1988</v>
      </c>
      <c r="V19" s="11" t="s">
        <v>1989</v>
      </c>
      <c r="W19" s="11" t="s">
        <v>1990</v>
      </c>
      <c r="X19" s="11" t="s">
        <v>2034</v>
      </c>
      <c r="Y19" s="12" t="n">
        <f aca="false">COUNTIF($A$6:$A$339,A19)</f>
        <v>1</v>
      </c>
    </row>
    <row r="20" customFormat="false" ht="240" hidden="false" customHeight="true" outlineLevel="0" collapsed="false">
      <c r="A20" s="11" t="s">
        <v>2035</v>
      </c>
      <c r="B20" s="11" t="s">
        <v>993</v>
      </c>
      <c r="C20" s="11" t="s">
        <v>1911</v>
      </c>
      <c r="D20" s="11" t="b">
        <f aca="false">TRUE()</f>
        <v>1</v>
      </c>
      <c r="E20" s="11" t="b">
        <f aca="false">TRUE()</f>
        <v>1</v>
      </c>
      <c r="F20" s="11"/>
      <c r="G20" s="11" t="s">
        <v>2036</v>
      </c>
      <c r="H20" s="11" t="s">
        <v>2037</v>
      </c>
      <c r="I20" s="11" t="s">
        <v>2038</v>
      </c>
      <c r="J20" s="11" t="s">
        <v>2039</v>
      </c>
      <c r="K20" s="11" t="s">
        <v>1654</v>
      </c>
      <c r="L20" s="11" t="s">
        <v>2040</v>
      </c>
      <c r="M20" s="11" t="s">
        <v>1917</v>
      </c>
      <c r="N20" s="11" t="s">
        <v>2041</v>
      </c>
      <c r="O20" s="11" t="s">
        <v>2042</v>
      </c>
      <c r="P20" s="11" t="s">
        <v>1920</v>
      </c>
      <c r="Q20" s="11" t="s">
        <v>2043</v>
      </c>
      <c r="R20" s="11" t="s">
        <v>2044</v>
      </c>
      <c r="S20" s="11" t="s">
        <v>2045</v>
      </c>
      <c r="T20" s="11" t="s">
        <v>2045</v>
      </c>
      <c r="U20" s="11" t="s">
        <v>1924</v>
      </c>
      <c r="V20" s="11" t="s">
        <v>1925</v>
      </c>
      <c r="W20" s="11" t="s">
        <v>1926</v>
      </c>
      <c r="X20" s="11" t="s">
        <v>2046</v>
      </c>
      <c r="Y20" s="12" t="n">
        <f aca="false">COUNTIF($A$6:$A$339,A20)</f>
        <v>1</v>
      </c>
    </row>
    <row r="21" customFormat="false" ht="240" hidden="false" customHeight="true" outlineLevel="0" collapsed="false">
      <c r="A21" s="11" t="s">
        <v>2047</v>
      </c>
      <c r="B21" s="11" t="s">
        <v>993</v>
      </c>
      <c r="C21" s="11" t="s">
        <v>1929</v>
      </c>
      <c r="D21" s="11" t="b">
        <f aca="false">TRUE()</f>
        <v>1</v>
      </c>
      <c r="E21" s="11" t="b">
        <f aca="false">TRUE()</f>
        <v>1</v>
      </c>
      <c r="F21" s="11"/>
      <c r="G21" s="11" t="s">
        <v>2036</v>
      </c>
      <c r="H21" s="11" t="s">
        <v>2037</v>
      </c>
      <c r="I21" s="11" t="s">
        <v>2038</v>
      </c>
      <c r="J21" s="11" t="s">
        <v>2039</v>
      </c>
      <c r="K21" s="11" t="s">
        <v>1655</v>
      </c>
      <c r="L21" s="11" t="s">
        <v>2048</v>
      </c>
      <c r="M21" s="11" t="s">
        <v>1931</v>
      </c>
      <c r="N21" s="11" t="s">
        <v>2041</v>
      </c>
      <c r="O21" s="11" t="s">
        <v>2042</v>
      </c>
      <c r="P21" s="11" t="s">
        <v>1920</v>
      </c>
      <c r="Q21" s="11" t="s">
        <v>2043</v>
      </c>
      <c r="R21" s="11" t="s">
        <v>2044</v>
      </c>
      <c r="S21" s="11" t="s">
        <v>2045</v>
      </c>
      <c r="T21" s="11" t="s">
        <v>2045</v>
      </c>
      <c r="U21" s="11" t="s">
        <v>1932</v>
      </c>
      <c r="V21" s="11" t="s">
        <v>1925</v>
      </c>
      <c r="W21" s="11" t="s">
        <v>1926</v>
      </c>
      <c r="X21" s="11" t="s">
        <v>2049</v>
      </c>
      <c r="Y21" s="12" t="n">
        <f aca="false">COUNTIF($A$6:$A$339,A21)</f>
        <v>1</v>
      </c>
    </row>
    <row r="22" customFormat="false" ht="240" hidden="false" customHeight="true" outlineLevel="0" collapsed="false">
      <c r="A22" s="11" t="s">
        <v>2050</v>
      </c>
      <c r="B22" s="11" t="s">
        <v>997</v>
      </c>
      <c r="C22" s="11" t="s">
        <v>1911</v>
      </c>
      <c r="D22" s="11" t="b">
        <f aca="false">TRUE()</f>
        <v>1</v>
      </c>
      <c r="E22" s="11" t="b">
        <f aca="false">TRUE()</f>
        <v>1</v>
      </c>
      <c r="F22" s="11"/>
      <c r="G22" s="11" t="s">
        <v>2051</v>
      </c>
      <c r="H22" s="11" t="s">
        <v>2052</v>
      </c>
      <c r="I22" s="11" t="s">
        <v>2053</v>
      </c>
      <c r="J22" s="11" t="s">
        <v>2054</v>
      </c>
      <c r="K22" s="11" t="s">
        <v>1656</v>
      </c>
      <c r="L22" s="11" t="s">
        <v>2055</v>
      </c>
      <c r="M22" s="11" t="s">
        <v>1917</v>
      </c>
      <c r="N22" s="11" t="s">
        <v>2056</v>
      </c>
      <c r="O22" s="11" t="s">
        <v>2057</v>
      </c>
      <c r="P22" s="11" t="s">
        <v>1920</v>
      </c>
      <c r="Q22" s="11" t="s">
        <v>2058</v>
      </c>
      <c r="R22" s="11" t="s">
        <v>2059</v>
      </c>
      <c r="S22" s="11" t="s">
        <v>2060</v>
      </c>
      <c r="T22" s="11" t="s">
        <v>2060</v>
      </c>
      <c r="U22" s="11" t="s">
        <v>1924</v>
      </c>
      <c r="V22" s="11" t="s">
        <v>1925</v>
      </c>
      <c r="W22" s="11" t="s">
        <v>1926</v>
      </c>
      <c r="X22" s="11" t="s">
        <v>2061</v>
      </c>
      <c r="Y22" s="12" t="n">
        <f aca="false">COUNTIF($A$6:$A$339,A22)</f>
        <v>1</v>
      </c>
    </row>
    <row r="23" customFormat="false" ht="240" hidden="false" customHeight="true" outlineLevel="0" collapsed="false">
      <c r="A23" s="11" t="s">
        <v>2062</v>
      </c>
      <c r="B23" s="11" t="s">
        <v>997</v>
      </c>
      <c r="C23" s="11" t="s">
        <v>1929</v>
      </c>
      <c r="D23" s="11" t="b">
        <f aca="false">TRUE()</f>
        <v>1</v>
      </c>
      <c r="E23" s="11" t="b">
        <f aca="false">TRUE()</f>
        <v>1</v>
      </c>
      <c r="F23" s="11"/>
      <c r="G23" s="11" t="s">
        <v>2051</v>
      </c>
      <c r="H23" s="11" t="s">
        <v>2052</v>
      </c>
      <c r="I23" s="11" t="s">
        <v>2053</v>
      </c>
      <c r="J23" s="11" t="s">
        <v>2054</v>
      </c>
      <c r="K23" s="11" t="s">
        <v>1657</v>
      </c>
      <c r="L23" s="11" t="s">
        <v>2063</v>
      </c>
      <c r="M23" s="11" t="s">
        <v>1931</v>
      </c>
      <c r="N23" s="11" t="s">
        <v>2056</v>
      </c>
      <c r="O23" s="11" t="s">
        <v>2057</v>
      </c>
      <c r="P23" s="11" t="s">
        <v>1920</v>
      </c>
      <c r="Q23" s="11" t="s">
        <v>2058</v>
      </c>
      <c r="R23" s="11" t="s">
        <v>2059</v>
      </c>
      <c r="S23" s="11" t="s">
        <v>2060</v>
      </c>
      <c r="T23" s="11" t="s">
        <v>2060</v>
      </c>
      <c r="U23" s="11" t="s">
        <v>1932</v>
      </c>
      <c r="V23" s="11" t="s">
        <v>1925</v>
      </c>
      <c r="W23" s="11" t="s">
        <v>1926</v>
      </c>
      <c r="X23" s="11" t="s">
        <v>2064</v>
      </c>
      <c r="Y23" s="12" t="n">
        <f aca="false">COUNTIF($A$6:$A$339,A23)</f>
        <v>1</v>
      </c>
    </row>
    <row r="24" customFormat="false" ht="240" hidden="false" customHeight="true" outlineLevel="0" collapsed="false">
      <c r="A24" s="11" t="s">
        <v>2065</v>
      </c>
      <c r="B24" s="11" t="s">
        <v>1001</v>
      </c>
      <c r="C24" s="11" t="s">
        <v>1911</v>
      </c>
      <c r="D24" s="11" t="b">
        <f aca="false">TRUE()</f>
        <v>1</v>
      </c>
      <c r="E24" s="11" t="b">
        <f aca="false">TRUE()</f>
        <v>1</v>
      </c>
      <c r="F24" s="11"/>
      <c r="G24" s="11" t="s">
        <v>2066</v>
      </c>
      <c r="H24" s="11" t="s">
        <v>2067</v>
      </c>
      <c r="I24" s="11" t="s">
        <v>2068</v>
      </c>
      <c r="J24" s="11" t="s">
        <v>2069</v>
      </c>
      <c r="K24" s="11" t="s">
        <v>1658</v>
      </c>
      <c r="L24" s="11" t="s">
        <v>2066</v>
      </c>
      <c r="M24" s="11" t="s">
        <v>1917</v>
      </c>
      <c r="N24" s="11" t="s">
        <v>2070</v>
      </c>
      <c r="O24" s="11" t="s">
        <v>2071</v>
      </c>
      <c r="P24" s="11" t="s">
        <v>1920</v>
      </c>
      <c r="Q24" s="11" t="s">
        <v>2072</v>
      </c>
      <c r="R24" s="11" t="s">
        <v>2073</v>
      </c>
      <c r="S24" s="11" t="s">
        <v>1959</v>
      </c>
      <c r="T24" s="11" t="s">
        <v>1960</v>
      </c>
      <c r="U24" s="11" t="s">
        <v>1924</v>
      </c>
      <c r="V24" s="11" t="s">
        <v>1925</v>
      </c>
      <c r="W24" s="11" t="s">
        <v>1926</v>
      </c>
      <c r="X24" s="11" t="s">
        <v>2074</v>
      </c>
      <c r="Y24" s="12" t="n">
        <f aca="false">COUNTIF($A$6:$A$339,A24)</f>
        <v>1</v>
      </c>
    </row>
    <row r="25" customFormat="false" ht="240" hidden="false" customHeight="true" outlineLevel="0" collapsed="false">
      <c r="A25" s="11" t="s">
        <v>2075</v>
      </c>
      <c r="B25" s="11" t="s">
        <v>1001</v>
      </c>
      <c r="C25" s="11" t="s">
        <v>1929</v>
      </c>
      <c r="D25" s="11" t="b">
        <f aca="false">FALSE()</f>
        <v>0</v>
      </c>
      <c r="E25" s="11" t="b">
        <f aca="false">FALSE()</f>
        <v>0</v>
      </c>
      <c r="F25" s="11" t="s">
        <v>1978</v>
      </c>
      <c r="G25" s="11" t="s">
        <v>1979</v>
      </c>
      <c r="H25" s="11" t="s">
        <v>1980</v>
      </c>
      <c r="I25" s="11" t="s">
        <v>1981</v>
      </c>
      <c r="J25" s="11" t="s">
        <v>1982</v>
      </c>
      <c r="K25" s="11" t="s">
        <v>1983</v>
      </c>
      <c r="L25" s="11" t="s">
        <v>1984</v>
      </c>
      <c r="M25" s="11" t="s">
        <v>1984</v>
      </c>
      <c r="N25" s="11" t="s">
        <v>1984</v>
      </c>
      <c r="O25" s="11" t="s">
        <v>1985</v>
      </c>
      <c r="P25" s="11" t="s">
        <v>1986</v>
      </c>
      <c r="Q25" s="11" t="s">
        <v>1987</v>
      </c>
      <c r="R25" s="11" t="s">
        <v>1988</v>
      </c>
      <c r="S25" s="11" t="s">
        <v>1988</v>
      </c>
      <c r="T25" s="11" t="s">
        <v>1988</v>
      </c>
      <c r="U25" s="11" t="s">
        <v>1988</v>
      </c>
      <c r="V25" s="11" t="s">
        <v>1989</v>
      </c>
      <c r="W25" s="11" t="s">
        <v>1990</v>
      </c>
      <c r="X25" s="11" t="s">
        <v>2076</v>
      </c>
      <c r="Y25" s="12" t="n">
        <f aca="false">COUNTIF($A$6:$A$339,A25)</f>
        <v>1</v>
      </c>
    </row>
    <row r="26" customFormat="false" ht="240" hidden="false" customHeight="true" outlineLevel="0" collapsed="false">
      <c r="A26" s="11" t="s">
        <v>2077</v>
      </c>
      <c r="B26" s="11" t="s">
        <v>1006</v>
      </c>
      <c r="C26" s="11" t="s">
        <v>1911</v>
      </c>
      <c r="D26" s="11" t="b">
        <f aca="false">TRUE()</f>
        <v>1</v>
      </c>
      <c r="E26" s="11" t="b">
        <f aca="false">TRUE()</f>
        <v>1</v>
      </c>
      <c r="F26" s="11"/>
      <c r="G26" s="11" t="s">
        <v>2078</v>
      </c>
      <c r="H26" s="11" t="s">
        <v>2079</v>
      </c>
      <c r="I26" s="11" t="s">
        <v>2080</v>
      </c>
      <c r="J26" s="11" t="s">
        <v>2081</v>
      </c>
      <c r="K26" s="11" t="s">
        <v>1659</v>
      </c>
      <c r="L26" s="11" t="s">
        <v>2082</v>
      </c>
      <c r="M26" s="11" t="s">
        <v>1917</v>
      </c>
      <c r="N26" s="11" t="s">
        <v>2083</v>
      </c>
      <c r="O26" s="11" t="s">
        <v>2084</v>
      </c>
      <c r="P26" s="11" t="s">
        <v>1920</v>
      </c>
      <c r="Q26" s="11" t="s">
        <v>2085</v>
      </c>
      <c r="R26" s="11" t="s">
        <v>2086</v>
      </c>
      <c r="S26" s="11" t="s">
        <v>2087</v>
      </c>
      <c r="T26" s="11" t="s">
        <v>2087</v>
      </c>
      <c r="U26" s="11" t="s">
        <v>1924</v>
      </c>
      <c r="V26" s="11" t="s">
        <v>1925</v>
      </c>
      <c r="W26" s="11" t="s">
        <v>1926</v>
      </c>
      <c r="X26" s="11" t="s">
        <v>2088</v>
      </c>
      <c r="Y26" s="12" t="n">
        <f aca="false">COUNTIF($A$6:$A$339,A26)</f>
        <v>1</v>
      </c>
    </row>
    <row r="27" customFormat="false" ht="240" hidden="false" customHeight="true" outlineLevel="0" collapsed="false">
      <c r="A27" s="11" t="s">
        <v>2089</v>
      </c>
      <c r="B27" s="11" t="s">
        <v>1006</v>
      </c>
      <c r="C27" s="11" t="s">
        <v>1929</v>
      </c>
      <c r="D27" s="11" t="b">
        <f aca="false">TRUE()</f>
        <v>1</v>
      </c>
      <c r="E27" s="11" t="b">
        <f aca="false">TRUE()</f>
        <v>1</v>
      </c>
      <c r="F27" s="11"/>
      <c r="G27" s="11" t="s">
        <v>2078</v>
      </c>
      <c r="H27" s="11" t="s">
        <v>2079</v>
      </c>
      <c r="I27" s="11" t="s">
        <v>2080</v>
      </c>
      <c r="J27" s="11" t="s">
        <v>2081</v>
      </c>
      <c r="K27" s="11" t="s">
        <v>1660</v>
      </c>
      <c r="L27" s="11" t="s">
        <v>2090</v>
      </c>
      <c r="M27" s="11" t="s">
        <v>1931</v>
      </c>
      <c r="N27" s="11" t="s">
        <v>2083</v>
      </c>
      <c r="O27" s="11" t="s">
        <v>2084</v>
      </c>
      <c r="P27" s="11" t="s">
        <v>1920</v>
      </c>
      <c r="Q27" s="11" t="s">
        <v>2085</v>
      </c>
      <c r="R27" s="11" t="s">
        <v>2086</v>
      </c>
      <c r="S27" s="11" t="s">
        <v>2087</v>
      </c>
      <c r="T27" s="11" t="s">
        <v>2087</v>
      </c>
      <c r="U27" s="11" t="s">
        <v>1932</v>
      </c>
      <c r="V27" s="11" t="s">
        <v>1925</v>
      </c>
      <c r="W27" s="11" t="s">
        <v>1926</v>
      </c>
      <c r="X27" s="11" t="s">
        <v>2091</v>
      </c>
      <c r="Y27" s="12" t="n">
        <f aca="false">COUNTIF($A$6:$A$339,A27)</f>
        <v>1</v>
      </c>
    </row>
    <row r="28" customFormat="false" ht="240" hidden="false" customHeight="true" outlineLevel="0" collapsed="false">
      <c r="A28" s="11" t="s">
        <v>2092</v>
      </c>
      <c r="B28" s="11" t="s">
        <v>1009</v>
      </c>
      <c r="C28" s="11" t="s">
        <v>1911</v>
      </c>
      <c r="D28" s="11" t="b">
        <f aca="false">TRUE()</f>
        <v>1</v>
      </c>
      <c r="E28" s="11" t="b">
        <f aca="false">TRUE()</f>
        <v>1</v>
      </c>
      <c r="F28" s="11"/>
      <c r="G28" s="11" t="s">
        <v>2093</v>
      </c>
      <c r="H28" s="11" t="s">
        <v>2094</v>
      </c>
      <c r="I28" s="11" t="s">
        <v>2095</v>
      </c>
      <c r="J28" s="11" t="s">
        <v>2096</v>
      </c>
      <c r="K28" s="11" t="s">
        <v>1661</v>
      </c>
      <c r="L28" s="11" t="s">
        <v>2097</v>
      </c>
      <c r="M28" s="11" t="s">
        <v>1917</v>
      </c>
      <c r="N28" s="11" t="s">
        <v>2098</v>
      </c>
      <c r="O28" s="11" t="s">
        <v>2099</v>
      </c>
      <c r="P28" s="11" t="s">
        <v>1920</v>
      </c>
      <c r="Q28" s="11" t="s">
        <v>2100</v>
      </c>
      <c r="R28" s="11" t="s">
        <v>2101</v>
      </c>
      <c r="S28" s="11" t="s">
        <v>2102</v>
      </c>
      <c r="T28" s="11" t="s">
        <v>2102</v>
      </c>
      <c r="U28" s="11" t="s">
        <v>1924</v>
      </c>
      <c r="V28" s="11" t="s">
        <v>2103</v>
      </c>
      <c r="W28" s="11" t="s">
        <v>1926</v>
      </c>
      <c r="X28" s="11" t="s">
        <v>2104</v>
      </c>
      <c r="Y28" s="12" t="n">
        <f aca="false">COUNTIF($A$6:$A$339,A28)</f>
        <v>1</v>
      </c>
    </row>
    <row r="29" customFormat="false" ht="240" hidden="false" customHeight="true" outlineLevel="0" collapsed="false">
      <c r="A29" s="11" t="s">
        <v>2105</v>
      </c>
      <c r="B29" s="11" t="s">
        <v>1009</v>
      </c>
      <c r="C29" s="11" t="s">
        <v>1929</v>
      </c>
      <c r="D29" s="11" t="b">
        <f aca="false">TRUE()</f>
        <v>1</v>
      </c>
      <c r="E29" s="11" t="b">
        <f aca="false">TRUE()</f>
        <v>1</v>
      </c>
      <c r="F29" s="11"/>
      <c r="G29" s="11" t="s">
        <v>2093</v>
      </c>
      <c r="H29" s="11" t="s">
        <v>2094</v>
      </c>
      <c r="I29" s="11" t="s">
        <v>2095</v>
      </c>
      <c r="J29" s="11" t="s">
        <v>2096</v>
      </c>
      <c r="K29" s="11" t="s">
        <v>1662</v>
      </c>
      <c r="L29" s="11" t="s">
        <v>2106</v>
      </c>
      <c r="M29" s="11" t="s">
        <v>1931</v>
      </c>
      <c r="N29" s="11" t="s">
        <v>2098</v>
      </c>
      <c r="O29" s="11" t="s">
        <v>2099</v>
      </c>
      <c r="P29" s="11" t="s">
        <v>1920</v>
      </c>
      <c r="Q29" s="11" t="s">
        <v>2100</v>
      </c>
      <c r="R29" s="11" t="s">
        <v>2101</v>
      </c>
      <c r="S29" s="11" t="s">
        <v>2102</v>
      </c>
      <c r="T29" s="11" t="s">
        <v>2102</v>
      </c>
      <c r="U29" s="11" t="s">
        <v>1932</v>
      </c>
      <c r="V29" s="11" t="s">
        <v>2103</v>
      </c>
      <c r="W29" s="11" t="s">
        <v>1926</v>
      </c>
      <c r="X29" s="11" t="s">
        <v>2107</v>
      </c>
      <c r="Y29" s="12" t="n">
        <f aca="false">COUNTIF($A$6:$A$339,A29)</f>
        <v>1</v>
      </c>
    </row>
    <row r="30" customFormat="false" ht="240" hidden="false" customHeight="true" outlineLevel="0" collapsed="false">
      <c r="A30" s="11" t="s">
        <v>2108</v>
      </c>
      <c r="B30" s="11" t="s">
        <v>1013</v>
      </c>
      <c r="C30" s="11" t="s">
        <v>1911</v>
      </c>
      <c r="D30" s="11" t="b">
        <f aca="false">TRUE()</f>
        <v>1</v>
      </c>
      <c r="E30" s="11" t="b">
        <f aca="false">TRUE()</f>
        <v>1</v>
      </c>
      <c r="F30" s="11"/>
      <c r="G30" s="11" t="s">
        <v>2109</v>
      </c>
      <c r="H30" s="11" t="s">
        <v>2110</v>
      </c>
      <c r="I30" s="11" t="s">
        <v>2111</v>
      </c>
      <c r="J30" s="11" t="s">
        <v>2112</v>
      </c>
      <c r="K30" s="11" t="s">
        <v>1663</v>
      </c>
      <c r="L30" s="11" t="s">
        <v>2113</v>
      </c>
      <c r="M30" s="11" t="s">
        <v>1917</v>
      </c>
      <c r="N30" s="11" t="s">
        <v>2114</v>
      </c>
      <c r="O30" s="11" t="s">
        <v>2115</v>
      </c>
      <c r="P30" s="11" t="s">
        <v>1920</v>
      </c>
      <c r="Q30" s="11" t="s">
        <v>2116</v>
      </c>
      <c r="R30" s="11" t="s">
        <v>2117</v>
      </c>
      <c r="S30" s="11" t="s">
        <v>2118</v>
      </c>
      <c r="T30" s="11" t="s">
        <v>2118</v>
      </c>
      <c r="U30" s="11" t="s">
        <v>1924</v>
      </c>
      <c r="V30" s="11" t="s">
        <v>1925</v>
      </c>
      <c r="W30" s="11" t="s">
        <v>1926</v>
      </c>
      <c r="X30" s="11" t="s">
        <v>2119</v>
      </c>
      <c r="Y30" s="12" t="n">
        <f aca="false">COUNTIF($A$6:$A$339,A30)</f>
        <v>1</v>
      </c>
    </row>
    <row r="31" customFormat="false" ht="240" hidden="false" customHeight="true" outlineLevel="0" collapsed="false">
      <c r="A31" s="11" t="s">
        <v>2120</v>
      </c>
      <c r="B31" s="11" t="s">
        <v>1013</v>
      </c>
      <c r="C31" s="11" t="s">
        <v>1929</v>
      </c>
      <c r="D31" s="11" t="b">
        <f aca="false">FALSE()</f>
        <v>0</v>
      </c>
      <c r="E31" s="11" t="b">
        <f aca="false">FALSE()</f>
        <v>0</v>
      </c>
      <c r="F31" s="11" t="s">
        <v>1978</v>
      </c>
      <c r="G31" s="11" t="s">
        <v>1979</v>
      </c>
      <c r="H31" s="11" t="s">
        <v>1980</v>
      </c>
      <c r="I31" s="11" t="s">
        <v>1981</v>
      </c>
      <c r="J31" s="11" t="s">
        <v>1982</v>
      </c>
      <c r="K31" s="11" t="s">
        <v>1983</v>
      </c>
      <c r="L31" s="11" t="s">
        <v>1984</v>
      </c>
      <c r="M31" s="11" t="s">
        <v>1984</v>
      </c>
      <c r="N31" s="11" t="s">
        <v>1984</v>
      </c>
      <c r="O31" s="11" t="s">
        <v>1985</v>
      </c>
      <c r="P31" s="11" t="s">
        <v>1986</v>
      </c>
      <c r="Q31" s="11" t="s">
        <v>1987</v>
      </c>
      <c r="R31" s="11" t="s">
        <v>1988</v>
      </c>
      <c r="S31" s="11" t="s">
        <v>1988</v>
      </c>
      <c r="T31" s="11" t="s">
        <v>1988</v>
      </c>
      <c r="U31" s="11" t="s">
        <v>1988</v>
      </c>
      <c r="V31" s="11" t="s">
        <v>1989</v>
      </c>
      <c r="W31" s="11" t="s">
        <v>1990</v>
      </c>
      <c r="X31" s="11" t="s">
        <v>2121</v>
      </c>
      <c r="Y31" s="12" t="n">
        <f aca="false">COUNTIF($A$6:$A$339,A31)</f>
        <v>1</v>
      </c>
    </row>
    <row r="32" customFormat="false" ht="240" hidden="false" customHeight="true" outlineLevel="0" collapsed="false">
      <c r="A32" s="11" t="s">
        <v>2122</v>
      </c>
      <c r="B32" s="11" t="s">
        <v>1017</v>
      </c>
      <c r="C32" s="11" t="s">
        <v>1911</v>
      </c>
      <c r="D32" s="11" t="b">
        <f aca="false">TRUE()</f>
        <v>1</v>
      </c>
      <c r="E32" s="11" t="b">
        <f aca="false">TRUE()</f>
        <v>1</v>
      </c>
      <c r="F32" s="11"/>
      <c r="G32" s="11" t="s">
        <v>2123</v>
      </c>
      <c r="H32" s="11" t="s">
        <v>2124</v>
      </c>
      <c r="I32" s="11" t="s">
        <v>2125</v>
      </c>
      <c r="J32" s="11" t="s">
        <v>2126</v>
      </c>
      <c r="K32" s="11" t="s">
        <v>1664</v>
      </c>
      <c r="L32" s="11" t="s">
        <v>2127</v>
      </c>
      <c r="M32" s="11" t="s">
        <v>1917</v>
      </c>
      <c r="N32" s="11" t="s">
        <v>2128</v>
      </c>
      <c r="O32" s="11" t="s">
        <v>2129</v>
      </c>
      <c r="P32" s="11" t="s">
        <v>1920</v>
      </c>
      <c r="Q32" s="11" t="s">
        <v>2130</v>
      </c>
      <c r="R32" s="11" t="s">
        <v>2131</v>
      </c>
      <c r="S32" s="11" t="s">
        <v>2132</v>
      </c>
      <c r="T32" s="11" t="s">
        <v>2132</v>
      </c>
      <c r="U32" s="11" t="s">
        <v>1924</v>
      </c>
      <c r="V32" s="11" t="s">
        <v>1925</v>
      </c>
      <c r="W32" s="11" t="s">
        <v>1926</v>
      </c>
      <c r="X32" s="11" t="s">
        <v>2133</v>
      </c>
      <c r="Y32" s="12" t="n">
        <f aca="false">COUNTIF($A$6:$A$339,A32)</f>
        <v>1</v>
      </c>
    </row>
    <row r="33" customFormat="false" ht="240" hidden="false" customHeight="true" outlineLevel="0" collapsed="false">
      <c r="A33" s="11" t="s">
        <v>2134</v>
      </c>
      <c r="B33" s="11" t="s">
        <v>1017</v>
      </c>
      <c r="C33" s="11" t="s">
        <v>1929</v>
      </c>
      <c r="D33" s="11" t="b">
        <f aca="false">TRUE()</f>
        <v>1</v>
      </c>
      <c r="E33" s="11" t="b">
        <f aca="false">TRUE()</f>
        <v>1</v>
      </c>
      <c r="F33" s="11"/>
      <c r="G33" s="11" t="s">
        <v>2123</v>
      </c>
      <c r="H33" s="11" t="s">
        <v>2124</v>
      </c>
      <c r="I33" s="11" t="s">
        <v>2125</v>
      </c>
      <c r="J33" s="11" t="s">
        <v>2126</v>
      </c>
      <c r="K33" s="11" t="s">
        <v>1665</v>
      </c>
      <c r="L33" s="11" t="s">
        <v>2135</v>
      </c>
      <c r="M33" s="11" t="s">
        <v>1931</v>
      </c>
      <c r="N33" s="11" t="s">
        <v>2128</v>
      </c>
      <c r="O33" s="11" t="s">
        <v>2129</v>
      </c>
      <c r="P33" s="11" t="s">
        <v>1920</v>
      </c>
      <c r="Q33" s="11" t="s">
        <v>2130</v>
      </c>
      <c r="R33" s="11" t="s">
        <v>2131</v>
      </c>
      <c r="S33" s="11" t="s">
        <v>2132</v>
      </c>
      <c r="T33" s="11" t="s">
        <v>2132</v>
      </c>
      <c r="U33" s="11" t="s">
        <v>1932</v>
      </c>
      <c r="V33" s="11" t="s">
        <v>1925</v>
      </c>
      <c r="W33" s="11" t="s">
        <v>1926</v>
      </c>
      <c r="X33" s="11" t="s">
        <v>2136</v>
      </c>
      <c r="Y33" s="12" t="n">
        <f aca="false">COUNTIF($A$6:$A$339,A33)</f>
        <v>1</v>
      </c>
    </row>
    <row r="34" customFormat="false" ht="240" hidden="false" customHeight="true" outlineLevel="0" collapsed="false">
      <c r="A34" s="11" t="s">
        <v>2137</v>
      </c>
      <c r="B34" s="11" t="s">
        <v>1021</v>
      </c>
      <c r="C34" s="11" t="s">
        <v>1911</v>
      </c>
      <c r="D34" s="11" t="b">
        <f aca="false">TRUE()</f>
        <v>1</v>
      </c>
      <c r="E34" s="11" t="b">
        <f aca="false">TRUE()</f>
        <v>1</v>
      </c>
      <c r="F34" s="11"/>
      <c r="G34" s="11" t="s">
        <v>2138</v>
      </c>
      <c r="H34" s="11" t="s">
        <v>2139</v>
      </c>
      <c r="I34" s="11" t="s">
        <v>2140</v>
      </c>
      <c r="J34" s="11" t="s">
        <v>2141</v>
      </c>
      <c r="K34" s="11" t="s">
        <v>1666</v>
      </c>
      <c r="L34" s="11" t="s">
        <v>2142</v>
      </c>
      <c r="M34" s="11" t="s">
        <v>1917</v>
      </c>
      <c r="N34" s="11" t="s">
        <v>2143</v>
      </c>
      <c r="O34" s="11" t="s">
        <v>2144</v>
      </c>
      <c r="P34" s="11" t="s">
        <v>1920</v>
      </c>
      <c r="Q34" s="11" t="s">
        <v>2145</v>
      </c>
      <c r="R34" s="11" t="s">
        <v>2146</v>
      </c>
      <c r="S34" s="11" t="s">
        <v>2147</v>
      </c>
      <c r="T34" s="11" t="s">
        <v>2147</v>
      </c>
      <c r="U34" s="11" t="s">
        <v>1924</v>
      </c>
      <c r="V34" s="11" t="s">
        <v>1925</v>
      </c>
      <c r="W34" s="11" t="s">
        <v>1926</v>
      </c>
      <c r="X34" s="11" t="s">
        <v>2148</v>
      </c>
      <c r="Y34" s="12" t="n">
        <f aca="false">COUNTIF($A$6:$A$339,A34)</f>
        <v>1</v>
      </c>
    </row>
    <row r="35" customFormat="false" ht="240" hidden="false" customHeight="true" outlineLevel="0" collapsed="false">
      <c r="A35" s="11" t="s">
        <v>2149</v>
      </c>
      <c r="B35" s="11" t="s">
        <v>1021</v>
      </c>
      <c r="C35" s="11" t="s">
        <v>1929</v>
      </c>
      <c r="D35" s="11" t="b">
        <f aca="false">FALSE()</f>
        <v>0</v>
      </c>
      <c r="E35" s="11" t="b">
        <f aca="false">FALSE()</f>
        <v>0</v>
      </c>
      <c r="F35" s="11" t="s">
        <v>1978</v>
      </c>
      <c r="G35" s="11" t="s">
        <v>1979</v>
      </c>
      <c r="H35" s="11" t="s">
        <v>1980</v>
      </c>
      <c r="I35" s="11" t="s">
        <v>1981</v>
      </c>
      <c r="J35" s="11" t="s">
        <v>1982</v>
      </c>
      <c r="K35" s="11" t="s">
        <v>1983</v>
      </c>
      <c r="L35" s="11" t="s">
        <v>1984</v>
      </c>
      <c r="M35" s="11" t="s">
        <v>1984</v>
      </c>
      <c r="N35" s="11" t="s">
        <v>1984</v>
      </c>
      <c r="O35" s="11" t="s">
        <v>1985</v>
      </c>
      <c r="P35" s="11" t="s">
        <v>1986</v>
      </c>
      <c r="Q35" s="11" t="s">
        <v>1987</v>
      </c>
      <c r="R35" s="11" t="s">
        <v>1988</v>
      </c>
      <c r="S35" s="11" t="s">
        <v>1988</v>
      </c>
      <c r="T35" s="11" t="s">
        <v>1988</v>
      </c>
      <c r="U35" s="11" t="s">
        <v>1988</v>
      </c>
      <c r="V35" s="11" t="s">
        <v>1989</v>
      </c>
      <c r="W35" s="11" t="s">
        <v>1990</v>
      </c>
      <c r="X35" s="11" t="s">
        <v>2150</v>
      </c>
      <c r="Y35" s="12" t="n">
        <f aca="false">COUNTIF($A$6:$A$339,A35)</f>
        <v>1</v>
      </c>
    </row>
    <row r="36" customFormat="false" ht="240" hidden="false" customHeight="true" outlineLevel="0" collapsed="false">
      <c r="A36" s="11" t="s">
        <v>2151</v>
      </c>
      <c r="B36" s="11" t="s">
        <v>1024</v>
      </c>
      <c r="C36" s="11" t="s">
        <v>1911</v>
      </c>
      <c r="D36" s="11" t="b">
        <f aca="false">TRUE()</f>
        <v>1</v>
      </c>
      <c r="E36" s="11" t="b">
        <f aca="false">TRUE()</f>
        <v>1</v>
      </c>
      <c r="F36" s="11"/>
      <c r="G36" s="11" t="s">
        <v>2152</v>
      </c>
      <c r="H36" s="11" t="s">
        <v>2153</v>
      </c>
      <c r="I36" s="11" t="s">
        <v>2154</v>
      </c>
      <c r="J36" s="11" t="s">
        <v>2155</v>
      </c>
      <c r="K36" s="11" t="s">
        <v>1667</v>
      </c>
      <c r="L36" s="11" t="s">
        <v>2156</v>
      </c>
      <c r="M36" s="11" t="s">
        <v>1917</v>
      </c>
      <c r="N36" s="11" t="s">
        <v>2157</v>
      </c>
      <c r="O36" s="11" t="s">
        <v>2158</v>
      </c>
      <c r="P36" s="11" t="s">
        <v>1920</v>
      </c>
      <c r="Q36" s="11" t="s">
        <v>2159</v>
      </c>
      <c r="R36" s="11" t="s">
        <v>2160</v>
      </c>
      <c r="S36" s="11" t="s">
        <v>2161</v>
      </c>
      <c r="T36" s="11" t="s">
        <v>2161</v>
      </c>
      <c r="U36" s="11" t="s">
        <v>1924</v>
      </c>
      <c r="V36" s="11" t="s">
        <v>1925</v>
      </c>
      <c r="W36" s="11" t="s">
        <v>1926</v>
      </c>
      <c r="X36" s="11" t="s">
        <v>2162</v>
      </c>
      <c r="Y36" s="12" t="n">
        <f aca="false">COUNTIF($A$6:$A$339,A36)</f>
        <v>1</v>
      </c>
    </row>
    <row r="37" customFormat="false" ht="240" hidden="false" customHeight="true" outlineLevel="0" collapsed="false">
      <c r="A37" s="11" t="s">
        <v>2163</v>
      </c>
      <c r="B37" s="11" t="s">
        <v>1024</v>
      </c>
      <c r="C37" s="11" t="s">
        <v>1929</v>
      </c>
      <c r="D37" s="11" t="b">
        <f aca="false">FALSE()</f>
        <v>0</v>
      </c>
      <c r="E37" s="11" t="b">
        <f aca="false">FALSE()</f>
        <v>0</v>
      </c>
      <c r="F37" s="11" t="s">
        <v>1978</v>
      </c>
      <c r="G37" s="11" t="s">
        <v>1979</v>
      </c>
      <c r="H37" s="11" t="s">
        <v>1980</v>
      </c>
      <c r="I37" s="11" t="s">
        <v>1981</v>
      </c>
      <c r="J37" s="11" t="s">
        <v>1982</v>
      </c>
      <c r="K37" s="11" t="s">
        <v>1983</v>
      </c>
      <c r="L37" s="11" t="s">
        <v>1984</v>
      </c>
      <c r="M37" s="11" t="s">
        <v>1984</v>
      </c>
      <c r="N37" s="11" t="s">
        <v>1984</v>
      </c>
      <c r="O37" s="11" t="s">
        <v>1985</v>
      </c>
      <c r="P37" s="11" t="s">
        <v>1986</v>
      </c>
      <c r="Q37" s="11" t="s">
        <v>1987</v>
      </c>
      <c r="R37" s="11" t="s">
        <v>1988</v>
      </c>
      <c r="S37" s="11" t="s">
        <v>1988</v>
      </c>
      <c r="T37" s="11" t="s">
        <v>1988</v>
      </c>
      <c r="U37" s="11" t="s">
        <v>1988</v>
      </c>
      <c r="V37" s="11" t="s">
        <v>1989</v>
      </c>
      <c r="W37" s="11" t="s">
        <v>1990</v>
      </c>
      <c r="X37" s="11" t="s">
        <v>2164</v>
      </c>
      <c r="Y37" s="12" t="n">
        <f aca="false">COUNTIF($A$6:$A$339,A37)</f>
        <v>1</v>
      </c>
    </row>
    <row r="38" customFormat="false" ht="240" hidden="false" customHeight="true" outlineLevel="0" collapsed="false">
      <c r="A38" s="11" t="s">
        <v>2165</v>
      </c>
      <c r="B38" s="11" t="s">
        <v>1027</v>
      </c>
      <c r="C38" s="11" t="s">
        <v>1911</v>
      </c>
      <c r="D38" s="11" t="b">
        <f aca="false">TRUE()</f>
        <v>1</v>
      </c>
      <c r="E38" s="11" t="b">
        <f aca="false">TRUE()</f>
        <v>1</v>
      </c>
      <c r="F38" s="11"/>
      <c r="G38" s="11" t="s">
        <v>2166</v>
      </c>
      <c r="H38" s="11" t="s">
        <v>2167</v>
      </c>
      <c r="I38" s="11" t="s">
        <v>2168</v>
      </c>
      <c r="J38" s="11" t="s">
        <v>2169</v>
      </c>
      <c r="K38" s="11" t="s">
        <v>1668</v>
      </c>
      <c r="L38" s="11" t="s">
        <v>2170</v>
      </c>
      <c r="M38" s="11" t="s">
        <v>1917</v>
      </c>
      <c r="N38" s="11" t="s">
        <v>2171</v>
      </c>
      <c r="O38" s="11" t="s">
        <v>2172</v>
      </c>
      <c r="P38" s="11" t="s">
        <v>1920</v>
      </c>
      <c r="Q38" s="11" t="s">
        <v>2173</v>
      </c>
      <c r="R38" s="11" t="s">
        <v>2174</v>
      </c>
      <c r="S38" s="11" t="s">
        <v>2175</v>
      </c>
      <c r="T38" s="11" t="s">
        <v>2175</v>
      </c>
      <c r="U38" s="11" t="s">
        <v>1924</v>
      </c>
      <c r="V38" s="11" t="s">
        <v>1925</v>
      </c>
      <c r="W38" s="11" t="s">
        <v>1926</v>
      </c>
      <c r="X38" s="11" t="s">
        <v>2176</v>
      </c>
      <c r="Y38" s="12" t="n">
        <f aca="false">COUNTIF($A$6:$A$339,A38)</f>
        <v>1</v>
      </c>
    </row>
    <row r="39" customFormat="false" ht="240" hidden="false" customHeight="true" outlineLevel="0" collapsed="false">
      <c r="A39" s="11" t="s">
        <v>2177</v>
      </c>
      <c r="B39" s="11" t="s">
        <v>1027</v>
      </c>
      <c r="C39" s="11" t="s">
        <v>1929</v>
      </c>
      <c r="D39" s="11" t="b">
        <f aca="false">TRUE()</f>
        <v>1</v>
      </c>
      <c r="E39" s="11" t="b">
        <f aca="false">TRUE()</f>
        <v>1</v>
      </c>
      <c r="F39" s="11"/>
      <c r="G39" s="11" t="s">
        <v>2166</v>
      </c>
      <c r="H39" s="11" t="s">
        <v>2167</v>
      </c>
      <c r="I39" s="11" t="s">
        <v>2168</v>
      </c>
      <c r="J39" s="11" t="s">
        <v>2169</v>
      </c>
      <c r="K39" s="11" t="s">
        <v>1669</v>
      </c>
      <c r="L39" s="11" t="s">
        <v>2178</v>
      </c>
      <c r="M39" s="11" t="s">
        <v>1931</v>
      </c>
      <c r="N39" s="11" t="s">
        <v>2171</v>
      </c>
      <c r="O39" s="11" t="s">
        <v>2172</v>
      </c>
      <c r="P39" s="11" t="s">
        <v>1920</v>
      </c>
      <c r="Q39" s="11" t="s">
        <v>2173</v>
      </c>
      <c r="R39" s="11" t="s">
        <v>2174</v>
      </c>
      <c r="S39" s="11" t="s">
        <v>2175</v>
      </c>
      <c r="T39" s="11" t="s">
        <v>2175</v>
      </c>
      <c r="U39" s="11" t="s">
        <v>1932</v>
      </c>
      <c r="V39" s="11" t="s">
        <v>1925</v>
      </c>
      <c r="W39" s="11" t="s">
        <v>1926</v>
      </c>
      <c r="X39" s="11" t="s">
        <v>2179</v>
      </c>
      <c r="Y39" s="12" t="n">
        <f aca="false">COUNTIF($A$6:$A$339,A39)</f>
        <v>1</v>
      </c>
    </row>
    <row r="40" customFormat="false" ht="240" hidden="false" customHeight="true" outlineLevel="0" collapsed="false">
      <c r="A40" s="11" t="s">
        <v>2180</v>
      </c>
      <c r="B40" s="11" t="s">
        <v>1031</v>
      </c>
      <c r="C40" s="11" t="s">
        <v>1911</v>
      </c>
      <c r="D40" s="11" t="b">
        <f aca="false">TRUE()</f>
        <v>1</v>
      </c>
      <c r="E40" s="11" t="b">
        <f aca="false">FALSE()</f>
        <v>0</v>
      </c>
      <c r="F40" s="11"/>
      <c r="G40" s="11" t="s">
        <v>2181</v>
      </c>
      <c r="H40" s="11" t="s">
        <v>2182</v>
      </c>
      <c r="I40" s="11" t="s">
        <v>2183</v>
      </c>
      <c r="J40" s="11" t="s">
        <v>2184</v>
      </c>
      <c r="K40" s="11" t="s">
        <v>1671</v>
      </c>
      <c r="L40" s="11" t="s">
        <v>2185</v>
      </c>
      <c r="M40" s="11" t="s">
        <v>1917</v>
      </c>
      <c r="N40" s="11" t="s">
        <v>2186</v>
      </c>
      <c r="O40" s="11" t="s">
        <v>2187</v>
      </c>
      <c r="P40" s="11" t="s">
        <v>1920</v>
      </c>
      <c r="Q40" s="11" t="s">
        <v>2188</v>
      </c>
      <c r="R40" s="11" t="s">
        <v>2189</v>
      </c>
      <c r="S40" s="11" t="s">
        <v>2185</v>
      </c>
      <c r="T40" s="11" t="s">
        <v>2185</v>
      </c>
      <c r="U40" s="11" t="s">
        <v>1924</v>
      </c>
      <c r="V40" s="11" t="s">
        <v>1925</v>
      </c>
      <c r="W40" s="11" t="s">
        <v>1926</v>
      </c>
      <c r="X40" s="11" t="s">
        <v>2190</v>
      </c>
      <c r="Y40" s="12" t="n">
        <f aca="false">COUNTIF($A$6:$A$339,A40)</f>
        <v>1</v>
      </c>
    </row>
    <row r="41" customFormat="false" ht="240" hidden="false" customHeight="true" outlineLevel="0" collapsed="false">
      <c r="A41" s="11" t="s">
        <v>2191</v>
      </c>
      <c r="B41" s="11" t="s">
        <v>1031</v>
      </c>
      <c r="C41" s="11" t="s">
        <v>1929</v>
      </c>
      <c r="D41" s="11" t="b">
        <f aca="false">TRUE()</f>
        <v>1</v>
      </c>
      <c r="E41" s="11" t="b">
        <f aca="false">FALSE()</f>
        <v>0</v>
      </c>
      <c r="F41" s="11"/>
      <c r="G41" s="11" t="s">
        <v>2181</v>
      </c>
      <c r="H41" s="11" t="s">
        <v>2182</v>
      </c>
      <c r="I41" s="11" t="s">
        <v>2183</v>
      </c>
      <c r="J41" s="11" t="s">
        <v>2184</v>
      </c>
      <c r="K41" s="11" t="s">
        <v>1672</v>
      </c>
      <c r="L41" s="11" t="s">
        <v>2192</v>
      </c>
      <c r="M41" s="11" t="s">
        <v>1931</v>
      </c>
      <c r="N41" s="11" t="s">
        <v>2186</v>
      </c>
      <c r="O41" s="11" t="s">
        <v>2187</v>
      </c>
      <c r="P41" s="11" t="s">
        <v>1920</v>
      </c>
      <c r="Q41" s="11" t="s">
        <v>2188</v>
      </c>
      <c r="R41" s="11" t="s">
        <v>2189</v>
      </c>
      <c r="S41" s="11" t="s">
        <v>2185</v>
      </c>
      <c r="T41" s="11" t="s">
        <v>2185</v>
      </c>
      <c r="U41" s="11" t="s">
        <v>1932</v>
      </c>
      <c r="V41" s="11" t="s">
        <v>1925</v>
      </c>
      <c r="W41" s="11" t="s">
        <v>1926</v>
      </c>
      <c r="X41" s="11" t="s">
        <v>2193</v>
      </c>
      <c r="Y41" s="12" t="n">
        <f aca="false">COUNTIF($A$6:$A$339,A41)</f>
        <v>1</v>
      </c>
    </row>
    <row r="42" customFormat="false" ht="240" hidden="false" customHeight="true" outlineLevel="0" collapsed="false">
      <c r="A42" s="11" t="s">
        <v>2194</v>
      </c>
      <c r="B42" s="11" t="s">
        <v>1034</v>
      </c>
      <c r="C42" s="11" t="s">
        <v>1911</v>
      </c>
      <c r="D42" s="11" t="b">
        <f aca="false">TRUE()</f>
        <v>1</v>
      </c>
      <c r="E42" s="11" t="b">
        <f aca="false">FALSE()</f>
        <v>0</v>
      </c>
      <c r="F42" s="11"/>
      <c r="G42" s="11" t="s">
        <v>2195</v>
      </c>
      <c r="H42" s="11" t="s">
        <v>2196</v>
      </c>
      <c r="I42" s="11" t="s">
        <v>2197</v>
      </c>
      <c r="J42" s="11" t="s">
        <v>2198</v>
      </c>
      <c r="K42" s="11" t="s">
        <v>1673</v>
      </c>
      <c r="L42" s="11" t="s">
        <v>2199</v>
      </c>
      <c r="M42" s="11" t="s">
        <v>1917</v>
      </c>
      <c r="N42" s="11" t="s">
        <v>2186</v>
      </c>
      <c r="O42" s="11" t="s">
        <v>2187</v>
      </c>
      <c r="P42" s="11" t="s">
        <v>1920</v>
      </c>
      <c r="Q42" s="11" t="s">
        <v>2200</v>
      </c>
      <c r="R42" s="11" t="s">
        <v>2201</v>
      </c>
      <c r="S42" s="11" t="s">
        <v>2200</v>
      </c>
      <c r="T42" s="11" t="s">
        <v>2200</v>
      </c>
      <c r="U42" s="11" t="s">
        <v>1924</v>
      </c>
      <c r="V42" s="11" t="s">
        <v>1925</v>
      </c>
      <c r="W42" s="11" t="s">
        <v>1926</v>
      </c>
      <c r="X42" s="11" t="s">
        <v>2202</v>
      </c>
      <c r="Y42" s="12" t="n">
        <f aca="false">COUNTIF($A$6:$A$339,A42)</f>
        <v>1</v>
      </c>
    </row>
    <row r="43" customFormat="false" ht="240" hidden="false" customHeight="true" outlineLevel="0" collapsed="false">
      <c r="A43" s="11" t="s">
        <v>2203</v>
      </c>
      <c r="B43" s="11" t="s">
        <v>1034</v>
      </c>
      <c r="C43" s="11" t="s">
        <v>1929</v>
      </c>
      <c r="D43" s="11" t="b">
        <f aca="false">TRUE()</f>
        <v>1</v>
      </c>
      <c r="E43" s="11" t="b">
        <f aca="false">FALSE()</f>
        <v>0</v>
      </c>
      <c r="F43" s="11"/>
      <c r="G43" s="11" t="s">
        <v>2195</v>
      </c>
      <c r="H43" s="11" t="s">
        <v>2196</v>
      </c>
      <c r="I43" s="11" t="s">
        <v>2197</v>
      </c>
      <c r="J43" s="11" t="s">
        <v>2198</v>
      </c>
      <c r="K43" s="11" t="s">
        <v>1674</v>
      </c>
      <c r="L43" s="11" t="s">
        <v>2204</v>
      </c>
      <c r="M43" s="11" t="s">
        <v>1931</v>
      </c>
      <c r="N43" s="11" t="s">
        <v>2186</v>
      </c>
      <c r="O43" s="11" t="s">
        <v>2187</v>
      </c>
      <c r="P43" s="11" t="s">
        <v>1920</v>
      </c>
      <c r="Q43" s="11" t="s">
        <v>2200</v>
      </c>
      <c r="R43" s="11" t="s">
        <v>2201</v>
      </c>
      <c r="S43" s="11" t="s">
        <v>2200</v>
      </c>
      <c r="T43" s="11" t="s">
        <v>2200</v>
      </c>
      <c r="U43" s="11" t="s">
        <v>1932</v>
      </c>
      <c r="V43" s="11" t="s">
        <v>1925</v>
      </c>
      <c r="W43" s="11" t="s">
        <v>1926</v>
      </c>
      <c r="X43" s="11" t="s">
        <v>2205</v>
      </c>
      <c r="Y43" s="12" t="n">
        <f aca="false">COUNTIF($A$6:$A$339,A43)</f>
        <v>1</v>
      </c>
    </row>
    <row r="44" customFormat="false" ht="240" hidden="false" customHeight="true" outlineLevel="0" collapsed="false">
      <c r="A44" s="11" t="s">
        <v>2206</v>
      </c>
      <c r="B44" s="11" t="s">
        <v>1037</v>
      </c>
      <c r="C44" s="11" t="s">
        <v>1911</v>
      </c>
      <c r="D44" s="11" t="b">
        <f aca="false">TRUE()</f>
        <v>1</v>
      </c>
      <c r="E44" s="11" t="b">
        <f aca="false">FALSE()</f>
        <v>0</v>
      </c>
      <c r="F44" s="11"/>
      <c r="G44" s="11" t="s">
        <v>2207</v>
      </c>
      <c r="H44" s="11" t="s">
        <v>2208</v>
      </c>
      <c r="I44" s="11" t="s">
        <v>2209</v>
      </c>
      <c r="J44" s="11" t="s">
        <v>2210</v>
      </c>
      <c r="K44" s="11" t="s">
        <v>1675</v>
      </c>
      <c r="L44" s="11" t="s">
        <v>2199</v>
      </c>
      <c r="M44" s="11" t="s">
        <v>1917</v>
      </c>
      <c r="N44" s="11" t="s">
        <v>2186</v>
      </c>
      <c r="O44" s="11" t="s">
        <v>2187</v>
      </c>
      <c r="P44" s="11" t="s">
        <v>1920</v>
      </c>
      <c r="Q44" s="11" t="s">
        <v>2211</v>
      </c>
      <c r="R44" s="11" t="s">
        <v>2212</v>
      </c>
      <c r="S44" s="11" t="s">
        <v>1959</v>
      </c>
      <c r="T44" s="11" t="s">
        <v>1960</v>
      </c>
      <c r="U44" s="11" t="s">
        <v>1924</v>
      </c>
      <c r="V44" s="11" t="s">
        <v>1925</v>
      </c>
      <c r="W44" s="11" t="s">
        <v>1926</v>
      </c>
      <c r="X44" s="11" t="s">
        <v>2213</v>
      </c>
      <c r="Y44" s="12" t="n">
        <f aca="false">COUNTIF($A$6:$A$339,A44)</f>
        <v>1</v>
      </c>
    </row>
    <row r="45" customFormat="false" ht="240" hidden="false" customHeight="true" outlineLevel="0" collapsed="false">
      <c r="A45" s="11" t="s">
        <v>2214</v>
      </c>
      <c r="B45" s="11" t="s">
        <v>1037</v>
      </c>
      <c r="C45" s="11" t="s">
        <v>1929</v>
      </c>
      <c r="D45" s="11" t="b">
        <f aca="false">FALSE()</f>
        <v>0</v>
      </c>
      <c r="E45" s="11" t="b">
        <f aca="false">FALSE()</f>
        <v>0</v>
      </c>
      <c r="F45" s="11" t="s">
        <v>1978</v>
      </c>
      <c r="G45" s="11" t="s">
        <v>1979</v>
      </c>
      <c r="H45" s="11" t="s">
        <v>1980</v>
      </c>
      <c r="I45" s="11" t="s">
        <v>1981</v>
      </c>
      <c r="J45" s="11" t="s">
        <v>1982</v>
      </c>
      <c r="K45" s="11" t="s">
        <v>1983</v>
      </c>
      <c r="L45" s="11" t="s">
        <v>1984</v>
      </c>
      <c r="M45" s="11" t="s">
        <v>1984</v>
      </c>
      <c r="N45" s="11" t="s">
        <v>1984</v>
      </c>
      <c r="O45" s="11" t="s">
        <v>1985</v>
      </c>
      <c r="P45" s="11" t="s">
        <v>1986</v>
      </c>
      <c r="Q45" s="11" t="s">
        <v>1987</v>
      </c>
      <c r="R45" s="11" t="s">
        <v>1988</v>
      </c>
      <c r="S45" s="11" t="s">
        <v>1988</v>
      </c>
      <c r="T45" s="11" t="s">
        <v>1988</v>
      </c>
      <c r="U45" s="11" t="s">
        <v>1988</v>
      </c>
      <c r="V45" s="11" t="s">
        <v>1989</v>
      </c>
      <c r="W45" s="11" t="s">
        <v>1990</v>
      </c>
      <c r="X45" s="11" t="s">
        <v>2215</v>
      </c>
      <c r="Y45" s="12" t="n">
        <f aca="false">COUNTIF($A$6:$A$339,A45)</f>
        <v>1</v>
      </c>
    </row>
    <row r="46" customFormat="false" ht="240" hidden="false" customHeight="true" outlineLevel="0" collapsed="false">
      <c r="A46" s="11" t="s">
        <v>2216</v>
      </c>
      <c r="B46" s="11" t="s">
        <v>1040</v>
      </c>
      <c r="C46" s="11" t="s">
        <v>1911</v>
      </c>
      <c r="D46" s="11" t="b">
        <f aca="false">TRUE()</f>
        <v>1</v>
      </c>
      <c r="E46" s="11" t="b">
        <f aca="false">FALSE()</f>
        <v>0</v>
      </c>
      <c r="F46" s="11"/>
      <c r="G46" s="11" t="s">
        <v>2217</v>
      </c>
      <c r="H46" s="11" t="s">
        <v>2218</v>
      </c>
      <c r="I46" s="11" t="s">
        <v>2219</v>
      </c>
      <c r="J46" s="11" t="s">
        <v>2220</v>
      </c>
      <c r="K46" s="11" t="s">
        <v>1676</v>
      </c>
      <c r="L46" s="11" t="s">
        <v>2199</v>
      </c>
      <c r="M46" s="11" t="s">
        <v>1917</v>
      </c>
      <c r="N46" s="11" t="s">
        <v>2186</v>
      </c>
      <c r="O46" s="11" t="s">
        <v>2187</v>
      </c>
      <c r="P46" s="11" t="s">
        <v>1920</v>
      </c>
      <c r="Q46" s="11" t="s">
        <v>2221</v>
      </c>
      <c r="R46" s="11" t="s">
        <v>2222</v>
      </c>
      <c r="S46" s="11" t="s">
        <v>1959</v>
      </c>
      <c r="T46" s="11" t="s">
        <v>1960</v>
      </c>
      <c r="U46" s="11" t="s">
        <v>1924</v>
      </c>
      <c r="V46" s="11" t="s">
        <v>1925</v>
      </c>
      <c r="W46" s="11" t="s">
        <v>1926</v>
      </c>
      <c r="X46" s="11" t="s">
        <v>2223</v>
      </c>
      <c r="Y46" s="12" t="n">
        <f aca="false">COUNTIF($A$6:$A$339,A46)</f>
        <v>1</v>
      </c>
    </row>
    <row r="47" customFormat="false" ht="240" hidden="false" customHeight="true" outlineLevel="0" collapsed="false">
      <c r="A47" s="11" t="s">
        <v>2224</v>
      </c>
      <c r="B47" s="11" t="s">
        <v>1040</v>
      </c>
      <c r="C47" s="11" t="s">
        <v>1929</v>
      </c>
      <c r="D47" s="11" t="b">
        <f aca="false">FALSE()</f>
        <v>0</v>
      </c>
      <c r="E47" s="11" t="b">
        <f aca="false">FALSE()</f>
        <v>0</v>
      </c>
      <c r="F47" s="11" t="s">
        <v>1978</v>
      </c>
      <c r="G47" s="11" t="s">
        <v>1979</v>
      </c>
      <c r="H47" s="11" t="s">
        <v>1980</v>
      </c>
      <c r="I47" s="11" t="s">
        <v>1981</v>
      </c>
      <c r="J47" s="11" t="s">
        <v>1982</v>
      </c>
      <c r="K47" s="11" t="s">
        <v>1983</v>
      </c>
      <c r="L47" s="11" t="s">
        <v>1984</v>
      </c>
      <c r="M47" s="11" t="s">
        <v>1984</v>
      </c>
      <c r="N47" s="11" t="s">
        <v>1984</v>
      </c>
      <c r="O47" s="11" t="s">
        <v>1985</v>
      </c>
      <c r="P47" s="11" t="s">
        <v>1986</v>
      </c>
      <c r="Q47" s="11" t="s">
        <v>1987</v>
      </c>
      <c r="R47" s="11" t="s">
        <v>1988</v>
      </c>
      <c r="S47" s="11" t="s">
        <v>1988</v>
      </c>
      <c r="T47" s="11" t="s">
        <v>1988</v>
      </c>
      <c r="U47" s="11" t="s">
        <v>1988</v>
      </c>
      <c r="V47" s="11" t="s">
        <v>1989</v>
      </c>
      <c r="W47" s="11" t="s">
        <v>1990</v>
      </c>
      <c r="X47" s="11" t="s">
        <v>2225</v>
      </c>
      <c r="Y47" s="12" t="n">
        <f aca="false">COUNTIF($A$6:$A$339,A47)</f>
        <v>1</v>
      </c>
    </row>
    <row r="48" customFormat="false" ht="240" hidden="false" customHeight="true" outlineLevel="0" collapsed="false">
      <c r="A48" s="11" t="s">
        <v>2226</v>
      </c>
      <c r="B48" s="11" t="s">
        <v>1043</v>
      </c>
      <c r="C48" s="11" t="s">
        <v>1911</v>
      </c>
      <c r="D48" s="11" t="b">
        <f aca="false">TRUE()</f>
        <v>1</v>
      </c>
      <c r="E48" s="11" t="b">
        <f aca="false">TRUE()</f>
        <v>1</v>
      </c>
      <c r="F48" s="11"/>
      <c r="G48" s="11" t="s">
        <v>2227</v>
      </c>
      <c r="H48" s="11" t="s">
        <v>2228</v>
      </c>
      <c r="I48" s="11" t="s">
        <v>2229</v>
      </c>
      <c r="J48" s="11" t="s">
        <v>2230</v>
      </c>
      <c r="K48" s="11" t="s">
        <v>1677</v>
      </c>
      <c r="L48" s="11" t="s">
        <v>2231</v>
      </c>
      <c r="M48" s="11" t="s">
        <v>1917</v>
      </c>
      <c r="N48" s="11" t="s">
        <v>2232</v>
      </c>
      <c r="O48" s="11" t="s">
        <v>2233</v>
      </c>
      <c r="P48" s="11" t="s">
        <v>1920</v>
      </c>
      <c r="Q48" s="11" t="s">
        <v>2234</v>
      </c>
      <c r="R48" s="11" t="s">
        <v>2235</v>
      </c>
      <c r="S48" s="11" t="s">
        <v>2236</v>
      </c>
      <c r="T48" s="11" t="s">
        <v>2236</v>
      </c>
      <c r="U48" s="11" t="s">
        <v>1924</v>
      </c>
      <c r="V48" s="11" t="s">
        <v>1925</v>
      </c>
      <c r="W48" s="11" t="s">
        <v>1926</v>
      </c>
      <c r="X48" s="11" t="s">
        <v>2237</v>
      </c>
      <c r="Y48" s="12" t="n">
        <f aca="false">COUNTIF($A$6:$A$339,A48)</f>
        <v>1</v>
      </c>
    </row>
    <row r="49" customFormat="false" ht="240" hidden="false" customHeight="true" outlineLevel="0" collapsed="false">
      <c r="A49" s="11" t="s">
        <v>2238</v>
      </c>
      <c r="B49" s="11" t="s">
        <v>1043</v>
      </c>
      <c r="C49" s="11" t="s">
        <v>1929</v>
      </c>
      <c r="D49" s="11" t="b">
        <f aca="false">TRUE()</f>
        <v>1</v>
      </c>
      <c r="E49" s="11" t="b">
        <f aca="false">TRUE()</f>
        <v>1</v>
      </c>
      <c r="F49" s="11"/>
      <c r="G49" s="11" t="s">
        <v>2227</v>
      </c>
      <c r="H49" s="11" t="s">
        <v>2228</v>
      </c>
      <c r="I49" s="11" t="s">
        <v>2229</v>
      </c>
      <c r="J49" s="11" t="s">
        <v>2230</v>
      </c>
      <c r="K49" s="11" t="s">
        <v>1678</v>
      </c>
      <c r="L49" s="11" t="s">
        <v>2239</v>
      </c>
      <c r="M49" s="11" t="s">
        <v>1931</v>
      </c>
      <c r="N49" s="11" t="s">
        <v>2232</v>
      </c>
      <c r="O49" s="11" t="s">
        <v>2233</v>
      </c>
      <c r="P49" s="11" t="s">
        <v>1920</v>
      </c>
      <c r="Q49" s="11" t="s">
        <v>2234</v>
      </c>
      <c r="R49" s="11" t="s">
        <v>2235</v>
      </c>
      <c r="S49" s="11" t="s">
        <v>2236</v>
      </c>
      <c r="T49" s="11" t="s">
        <v>2236</v>
      </c>
      <c r="U49" s="11" t="s">
        <v>1932</v>
      </c>
      <c r="V49" s="11" t="s">
        <v>1925</v>
      </c>
      <c r="W49" s="11" t="s">
        <v>1926</v>
      </c>
      <c r="X49" s="11" t="s">
        <v>2240</v>
      </c>
      <c r="Y49" s="12" t="n">
        <f aca="false">COUNTIF($A$6:$A$339,A49)</f>
        <v>1</v>
      </c>
    </row>
    <row r="50" customFormat="false" ht="240" hidden="false" customHeight="true" outlineLevel="0" collapsed="false">
      <c r="A50" s="11" t="s">
        <v>2241</v>
      </c>
      <c r="B50" s="11" t="s">
        <v>1047</v>
      </c>
      <c r="C50" s="11" t="s">
        <v>1911</v>
      </c>
      <c r="D50" s="11" t="b">
        <f aca="false">TRUE()</f>
        <v>1</v>
      </c>
      <c r="E50" s="11" t="b">
        <f aca="false">FALSE()</f>
        <v>0</v>
      </c>
      <c r="F50" s="11"/>
      <c r="G50" s="11" t="s">
        <v>2242</v>
      </c>
      <c r="H50" s="11" t="s">
        <v>2243</v>
      </c>
      <c r="I50" s="11" t="s">
        <v>2244</v>
      </c>
      <c r="J50" s="11" t="s">
        <v>2245</v>
      </c>
      <c r="K50" s="11" t="s">
        <v>1679</v>
      </c>
      <c r="L50" s="11" t="s">
        <v>2199</v>
      </c>
      <c r="M50" s="11" t="s">
        <v>1917</v>
      </c>
      <c r="N50" s="11" t="s">
        <v>2186</v>
      </c>
      <c r="O50" s="11" t="s">
        <v>2187</v>
      </c>
      <c r="P50" s="11" t="s">
        <v>1920</v>
      </c>
      <c r="Q50" s="11" t="s">
        <v>2246</v>
      </c>
      <c r="R50" s="11" t="s">
        <v>2247</v>
      </c>
      <c r="S50" s="11" t="s">
        <v>1959</v>
      </c>
      <c r="T50" s="11" t="s">
        <v>1960</v>
      </c>
      <c r="U50" s="11" t="s">
        <v>1924</v>
      </c>
      <c r="V50" s="11" t="s">
        <v>1925</v>
      </c>
      <c r="W50" s="11" t="s">
        <v>1926</v>
      </c>
      <c r="X50" s="11" t="s">
        <v>2248</v>
      </c>
      <c r="Y50" s="12" t="n">
        <f aca="false">COUNTIF($A$6:$A$339,A50)</f>
        <v>1</v>
      </c>
    </row>
    <row r="51" customFormat="false" ht="240" hidden="false" customHeight="true" outlineLevel="0" collapsed="false">
      <c r="A51" s="11" t="s">
        <v>2249</v>
      </c>
      <c r="B51" s="11" t="s">
        <v>1047</v>
      </c>
      <c r="C51" s="11" t="s">
        <v>1929</v>
      </c>
      <c r="D51" s="11" t="b">
        <f aca="false">TRUE()</f>
        <v>1</v>
      </c>
      <c r="E51" s="11" t="b">
        <f aca="false">FALSE()</f>
        <v>0</v>
      </c>
      <c r="F51" s="11"/>
      <c r="G51" s="11" t="s">
        <v>2242</v>
      </c>
      <c r="H51" s="11" t="s">
        <v>2243</v>
      </c>
      <c r="I51" s="11" t="s">
        <v>2244</v>
      </c>
      <c r="J51" s="11" t="s">
        <v>2245</v>
      </c>
      <c r="K51" s="11" t="s">
        <v>1680</v>
      </c>
      <c r="L51" s="11" t="s">
        <v>2204</v>
      </c>
      <c r="M51" s="11" t="s">
        <v>1931</v>
      </c>
      <c r="N51" s="11" t="s">
        <v>2186</v>
      </c>
      <c r="O51" s="11" t="s">
        <v>2187</v>
      </c>
      <c r="P51" s="11" t="s">
        <v>1920</v>
      </c>
      <c r="Q51" s="11" t="s">
        <v>2246</v>
      </c>
      <c r="R51" s="11" t="s">
        <v>2247</v>
      </c>
      <c r="S51" s="11" t="s">
        <v>1959</v>
      </c>
      <c r="T51" s="11" t="s">
        <v>1960</v>
      </c>
      <c r="U51" s="11" t="s">
        <v>1932</v>
      </c>
      <c r="V51" s="11" t="s">
        <v>1925</v>
      </c>
      <c r="W51" s="11" t="s">
        <v>1926</v>
      </c>
      <c r="X51" s="11" t="s">
        <v>2250</v>
      </c>
      <c r="Y51" s="12" t="n">
        <f aca="false">COUNTIF($A$6:$A$339,A51)</f>
        <v>1</v>
      </c>
    </row>
    <row r="52" customFormat="false" ht="240" hidden="false" customHeight="true" outlineLevel="0" collapsed="false">
      <c r="A52" s="11" t="s">
        <v>2251</v>
      </c>
      <c r="B52" s="11" t="s">
        <v>1050</v>
      </c>
      <c r="C52" s="11" t="s">
        <v>1911</v>
      </c>
      <c r="D52" s="11" t="b">
        <f aca="false">TRUE()</f>
        <v>1</v>
      </c>
      <c r="E52" s="11" t="b">
        <f aca="false">FALSE()</f>
        <v>0</v>
      </c>
      <c r="F52" s="11"/>
      <c r="G52" s="11" t="s">
        <v>2252</v>
      </c>
      <c r="H52" s="11" t="s">
        <v>2253</v>
      </c>
      <c r="I52" s="11" t="s">
        <v>2254</v>
      </c>
      <c r="J52" s="11" t="s">
        <v>2255</v>
      </c>
      <c r="K52" s="11" t="s">
        <v>1681</v>
      </c>
      <c r="L52" s="11" t="s">
        <v>2199</v>
      </c>
      <c r="M52" s="11" t="s">
        <v>1917</v>
      </c>
      <c r="N52" s="11" t="s">
        <v>2186</v>
      </c>
      <c r="O52" s="11" t="s">
        <v>2256</v>
      </c>
      <c r="P52" s="11" t="s">
        <v>1920</v>
      </c>
      <c r="Q52" s="11" t="s">
        <v>2257</v>
      </c>
      <c r="R52" s="11" t="s">
        <v>2258</v>
      </c>
      <c r="S52" s="11" t="s">
        <v>1959</v>
      </c>
      <c r="T52" s="11" t="s">
        <v>1960</v>
      </c>
      <c r="U52" s="11" t="s">
        <v>1924</v>
      </c>
      <c r="V52" s="11" t="s">
        <v>1925</v>
      </c>
      <c r="W52" s="11" t="s">
        <v>1926</v>
      </c>
      <c r="X52" s="11" t="s">
        <v>2259</v>
      </c>
      <c r="Y52" s="12" t="n">
        <f aca="false">COUNTIF($A$6:$A$339,A52)</f>
        <v>1</v>
      </c>
    </row>
    <row r="53" customFormat="false" ht="240" hidden="false" customHeight="true" outlineLevel="0" collapsed="false">
      <c r="A53" s="11" t="s">
        <v>2260</v>
      </c>
      <c r="B53" s="11" t="s">
        <v>1050</v>
      </c>
      <c r="C53" s="11" t="s">
        <v>1929</v>
      </c>
      <c r="D53" s="11" t="b">
        <f aca="false">TRUE()</f>
        <v>1</v>
      </c>
      <c r="E53" s="11" t="b">
        <f aca="false">FALSE()</f>
        <v>0</v>
      </c>
      <c r="F53" s="11"/>
      <c r="G53" s="11" t="s">
        <v>2252</v>
      </c>
      <c r="H53" s="11" t="s">
        <v>2253</v>
      </c>
      <c r="I53" s="11" t="s">
        <v>2254</v>
      </c>
      <c r="J53" s="11" t="s">
        <v>2255</v>
      </c>
      <c r="K53" s="11" t="s">
        <v>1682</v>
      </c>
      <c r="L53" s="11" t="s">
        <v>2204</v>
      </c>
      <c r="M53" s="11" t="s">
        <v>1931</v>
      </c>
      <c r="N53" s="11" t="s">
        <v>2186</v>
      </c>
      <c r="O53" s="11" t="s">
        <v>2256</v>
      </c>
      <c r="P53" s="11" t="s">
        <v>1920</v>
      </c>
      <c r="Q53" s="11" t="s">
        <v>2257</v>
      </c>
      <c r="R53" s="11" t="s">
        <v>2258</v>
      </c>
      <c r="S53" s="11" t="s">
        <v>1959</v>
      </c>
      <c r="T53" s="11" t="s">
        <v>1960</v>
      </c>
      <c r="U53" s="11" t="s">
        <v>1932</v>
      </c>
      <c r="V53" s="11" t="s">
        <v>1925</v>
      </c>
      <c r="W53" s="11" t="s">
        <v>1926</v>
      </c>
      <c r="X53" s="11" t="s">
        <v>2261</v>
      </c>
      <c r="Y53" s="12" t="n">
        <f aca="false">COUNTIF($A$6:$A$339,A53)</f>
        <v>1</v>
      </c>
    </row>
    <row r="54" customFormat="false" ht="240" hidden="false" customHeight="true" outlineLevel="0" collapsed="false">
      <c r="A54" s="11" t="s">
        <v>2262</v>
      </c>
      <c r="B54" s="11" t="s">
        <v>1052</v>
      </c>
      <c r="C54" s="11" t="s">
        <v>1911</v>
      </c>
      <c r="D54" s="11" t="b">
        <f aca="false">FALSE()</f>
        <v>0</v>
      </c>
      <c r="E54" s="11" t="b">
        <f aca="false">FALSE()</f>
        <v>0</v>
      </c>
      <c r="F54" s="11" t="s">
        <v>2263</v>
      </c>
      <c r="G54" s="11" t="s">
        <v>1979</v>
      </c>
      <c r="H54" s="11" t="s">
        <v>1980</v>
      </c>
      <c r="I54" s="11" t="s">
        <v>1981</v>
      </c>
      <c r="J54" s="11" t="s">
        <v>1982</v>
      </c>
      <c r="K54" s="11" t="s">
        <v>1983</v>
      </c>
      <c r="L54" s="11" t="s">
        <v>1984</v>
      </c>
      <c r="M54" s="11" t="s">
        <v>1984</v>
      </c>
      <c r="N54" s="11" t="s">
        <v>1984</v>
      </c>
      <c r="O54" s="11" t="s">
        <v>1985</v>
      </c>
      <c r="P54" s="11" t="s">
        <v>1986</v>
      </c>
      <c r="Q54" s="11" t="s">
        <v>1987</v>
      </c>
      <c r="R54" s="11" t="s">
        <v>1988</v>
      </c>
      <c r="S54" s="11" t="s">
        <v>1988</v>
      </c>
      <c r="T54" s="11" t="s">
        <v>1988</v>
      </c>
      <c r="U54" s="11" t="s">
        <v>1988</v>
      </c>
      <c r="V54" s="11" t="s">
        <v>1989</v>
      </c>
      <c r="W54" s="11" t="s">
        <v>1990</v>
      </c>
      <c r="X54" s="11" t="s">
        <v>2264</v>
      </c>
      <c r="Y54" s="12" t="n">
        <f aca="false">COUNTIF($A$6:$A$339,A54)</f>
        <v>1</v>
      </c>
    </row>
    <row r="55" customFormat="false" ht="240" hidden="false" customHeight="true" outlineLevel="0" collapsed="false">
      <c r="A55" s="11" t="s">
        <v>2265</v>
      </c>
      <c r="B55" s="11" t="s">
        <v>1052</v>
      </c>
      <c r="C55" s="11" t="s">
        <v>1929</v>
      </c>
      <c r="D55" s="11" t="b">
        <f aca="false">TRUE()</f>
        <v>1</v>
      </c>
      <c r="E55" s="11" t="b">
        <f aca="false">FALSE()</f>
        <v>0</v>
      </c>
      <c r="F55" s="11"/>
      <c r="G55" s="11" t="s">
        <v>2266</v>
      </c>
      <c r="H55" s="11" t="s">
        <v>2267</v>
      </c>
      <c r="I55" s="11" t="s">
        <v>2268</v>
      </c>
      <c r="J55" s="11" t="s">
        <v>2269</v>
      </c>
      <c r="K55" s="11" t="s">
        <v>1684</v>
      </c>
      <c r="L55" s="11" t="s">
        <v>2270</v>
      </c>
      <c r="M55" s="11" t="s">
        <v>1931</v>
      </c>
      <c r="N55" s="11" t="s">
        <v>2186</v>
      </c>
      <c r="O55" s="11" t="s">
        <v>2187</v>
      </c>
      <c r="P55" s="11" t="s">
        <v>1920</v>
      </c>
      <c r="Q55" s="11" t="s">
        <v>2271</v>
      </c>
      <c r="R55" s="11" t="s">
        <v>2272</v>
      </c>
      <c r="S55" s="11" t="s">
        <v>2273</v>
      </c>
      <c r="T55" s="11" t="s">
        <v>2273</v>
      </c>
      <c r="U55" s="11" t="s">
        <v>2273</v>
      </c>
      <c r="V55" s="11" t="s">
        <v>2272</v>
      </c>
      <c r="W55" s="11" t="s">
        <v>1926</v>
      </c>
      <c r="X55" s="11" t="s">
        <v>2274</v>
      </c>
      <c r="Y55" s="12" t="n">
        <f aca="false">COUNTIF($A$6:$A$339,A55)</f>
        <v>1</v>
      </c>
    </row>
    <row r="56" customFormat="false" ht="240" hidden="false" customHeight="true" outlineLevel="0" collapsed="false">
      <c r="A56" s="11" t="s">
        <v>2275</v>
      </c>
      <c r="B56" s="11" t="s">
        <v>1056</v>
      </c>
      <c r="C56" s="11" t="s">
        <v>1911</v>
      </c>
      <c r="D56" s="11" t="b">
        <f aca="false">TRUE()</f>
        <v>1</v>
      </c>
      <c r="E56" s="11" t="b">
        <f aca="false">TRUE()</f>
        <v>1</v>
      </c>
      <c r="F56" s="11"/>
      <c r="G56" s="11" t="s">
        <v>2276</v>
      </c>
      <c r="H56" s="11" t="s">
        <v>2277</v>
      </c>
      <c r="I56" s="11" t="s">
        <v>2278</v>
      </c>
      <c r="J56" s="11" t="s">
        <v>2279</v>
      </c>
      <c r="K56" s="11" t="s">
        <v>1685</v>
      </c>
      <c r="L56" s="11" t="s">
        <v>2276</v>
      </c>
      <c r="M56" s="11" t="s">
        <v>1917</v>
      </c>
      <c r="N56" s="11" t="s">
        <v>2280</v>
      </c>
      <c r="O56" s="11" t="s">
        <v>2281</v>
      </c>
      <c r="P56" s="11" t="s">
        <v>1920</v>
      </c>
      <c r="Q56" s="11" t="s">
        <v>2281</v>
      </c>
      <c r="R56" s="11" t="s">
        <v>2282</v>
      </c>
      <c r="S56" s="11" t="s">
        <v>1959</v>
      </c>
      <c r="T56" s="11" t="s">
        <v>1960</v>
      </c>
      <c r="U56" s="11" t="s">
        <v>1924</v>
      </c>
      <c r="V56" s="11" t="s">
        <v>1925</v>
      </c>
      <c r="W56" s="11" t="s">
        <v>1926</v>
      </c>
      <c r="X56" s="11" t="s">
        <v>2283</v>
      </c>
      <c r="Y56" s="12" t="n">
        <f aca="false">COUNTIF($A$6:$A$339,A56)</f>
        <v>1</v>
      </c>
    </row>
    <row r="57" customFormat="false" ht="240" hidden="false" customHeight="true" outlineLevel="0" collapsed="false">
      <c r="A57" s="11" t="s">
        <v>2284</v>
      </c>
      <c r="B57" s="11" t="s">
        <v>1056</v>
      </c>
      <c r="C57" s="11" t="s">
        <v>1929</v>
      </c>
      <c r="D57" s="11" t="b">
        <f aca="false">TRUE()</f>
        <v>1</v>
      </c>
      <c r="E57" s="11" t="b">
        <f aca="false">TRUE()</f>
        <v>1</v>
      </c>
      <c r="F57" s="11"/>
      <c r="G57" s="11" t="s">
        <v>2276</v>
      </c>
      <c r="H57" s="11" t="s">
        <v>2277</v>
      </c>
      <c r="I57" s="11" t="s">
        <v>2278</v>
      </c>
      <c r="J57" s="11" t="s">
        <v>2279</v>
      </c>
      <c r="K57" s="11" t="s">
        <v>1686</v>
      </c>
      <c r="L57" s="11" t="s">
        <v>2285</v>
      </c>
      <c r="M57" s="11" t="s">
        <v>1931</v>
      </c>
      <c r="N57" s="11" t="s">
        <v>2280</v>
      </c>
      <c r="O57" s="11" t="s">
        <v>2281</v>
      </c>
      <c r="P57" s="11" t="s">
        <v>1920</v>
      </c>
      <c r="Q57" s="11" t="s">
        <v>2281</v>
      </c>
      <c r="R57" s="11" t="s">
        <v>2282</v>
      </c>
      <c r="S57" s="11" t="s">
        <v>1959</v>
      </c>
      <c r="T57" s="11" t="s">
        <v>1960</v>
      </c>
      <c r="U57" s="11" t="s">
        <v>1932</v>
      </c>
      <c r="V57" s="11" t="s">
        <v>1925</v>
      </c>
      <c r="W57" s="11" t="s">
        <v>1926</v>
      </c>
      <c r="X57" s="11" t="s">
        <v>2286</v>
      </c>
      <c r="Y57" s="12" t="n">
        <f aca="false">COUNTIF($A$6:$A$339,A57)</f>
        <v>1</v>
      </c>
    </row>
    <row r="58" customFormat="false" ht="240" hidden="false" customHeight="true" outlineLevel="0" collapsed="false">
      <c r="A58" s="11" t="s">
        <v>2287</v>
      </c>
      <c r="B58" s="11" t="s">
        <v>1059</v>
      </c>
      <c r="C58" s="11" t="s">
        <v>1911</v>
      </c>
      <c r="D58" s="11" t="b">
        <f aca="false">TRUE()</f>
        <v>1</v>
      </c>
      <c r="E58" s="11" t="b">
        <f aca="false">FALSE()</f>
        <v>0</v>
      </c>
      <c r="F58" s="11"/>
      <c r="G58" s="11" t="s">
        <v>2288</v>
      </c>
      <c r="H58" s="11" t="s">
        <v>2289</v>
      </c>
      <c r="I58" s="11" t="s">
        <v>2290</v>
      </c>
      <c r="J58" s="11" t="s">
        <v>2291</v>
      </c>
      <c r="K58" s="11" t="s">
        <v>1687</v>
      </c>
      <c r="L58" s="11" t="s">
        <v>2292</v>
      </c>
      <c r="M58" s="11" t="s">
        <v>1917</v>
      </c>
      <c r="N58" s="11" t="s">
        <v>2293</v>
      </c>
      <c r="O58" s="11" t="s">
        <v>2294</v>
      </c>
      <c r="P58" s="11" t="s">
        <v>1920</v>
      </c>
      <c r="Q58" s="11" t="s">
        <v>2295</v>
      </c>
      <c r="R58" s="11" t="s">
        <v>2296</v>
      </c>
      <c r="S58" s="11" t="s">
        <v>2297</v>
      </c>
      <c r="T58" s="11" t="s">
        <v>2297</v>
      </c>
      <c r="U58" s="11" t="s">
        <v>1924</v>
      </c>
      <c r="V58" s="11" t="s">
        <v>1925</v>
      </c>
      <c r="W58" s="11" t="s">
        <v>1926</v>
      </c>
      <c r="X58" s="11" t="s">
        <v>2298</v>
      </c>
      <c r="Y58" s="12" t="n">
        <f aca="false">COUNTIF($A$6:$A$339,A58)</f>
        <v>1</v>
      </c>
    </row>
    <row r="59" customFormat="false" ht="240" hidden="false" customHeight="true" outlineLevel="0" collapsed="false">
      <c r="A59" s="11" t="s">
        <v>2299</v>
      </c>
      <c r="B59" s="11" t="s">
        <v>1059</v>
      </c>
      <c r="C59" s="11" t="s">
        <v>1929</v>
      </c>
      <c r="D59" s="11" t="b">
        <f aca="false">FALSE()</f>
        <v>0</v>
      </c>
      <c r="E59" s="11" t="b">
        <f aca="false">FALSE()</f>
        <v>0</v>
      </c>
      <c r="F59" s="11" t="s">
        <v>1978</v>
      </c>
      <c r="G59" s="11" t="s">
        <v>1979</v>
      </c>
      <c r="H59" s="11" t="s">
        <v>1980</v>
      </c>
      <c r="I59" s="11" t="s">
        <v>1981</v>
      </c>
      <c r="J59" s="11" t="s">
        <v>1982</v>
      </c>
      <c r="K59" s="11" t="s">
        <v>1983</v>
      </c>
      <c r="L59" s="11" t="s">
        <v>1984</v>
      </c>
      <c r="M59" s="11" t="s">
        <v>1984</v>
      </c>
      <c r="N59" s="11" t="s">
        <v>1984</v>
      </c>
      <c r="O59" s="11" t="s">
        <v>1985</v>
      </c>
      <c r="P59" s="11" t="s">
        <v>1986</v>
      </c>
      <c r="Q59" s="11" t="s">
        <v>1987</v>
      </c>
      <c r="R59" s="11" t="s">
        <v>1988</v>
      </c>
      <c r="S59" s="11" t="s">
        <v>1988</v>
      </c>
      <c r="T59" s="11" t="s">
        <v>1988</v>
      </c>
      <c r="U59" s="11" t="s">
        <v>1988</v>
      </c>
      <c r="V59" s="11" t="s">
        <v>1989</v>
      </c>
      <c r="W59" s="11" t="s">
        <v>1990</v>
      </c>
      <c r="X59" s="11" t="s">
        <v>2300</v>
      </c>
      <c r="Y59" s="12" t="n">
        <f aca="false">COUNTIF($A$6:$A$339,A59)</f>
        <v>1</v>
      </c>
    </row>
    <row r="60" customFormat="false" ht="240" hidden="false" customHeight="true" outlineLevel="0" collapsed="false">
      <c r="A60" s="11" t="s">
        <v>2301</v>
      </c>
      <c r="B60" s="11" t="s">
        <v>1063</v>
      </c>
      <c r="C60" s="11" t="s">
        <v>1911</v>
      </c>
      <c r="D60" s="11" t="b">
        <f aca="false">TRUE()</f>
        <v>1</v>
      </c>
      <c r="E60" s="11" t="b">
        <f aca="false">TRUE()</f>
        <v>1</v>
      </c>
      <c r="F60" s="11"/>
      <c r="G60" s="11" t="s">
        <v>2302</v>
      </c>
      <c r="H60" s="11" t="s">
        <v>2303</v>
      </c>
      <c r="I60" s="11" t="s">
        <v>2304</v>
      </c>
      <c r="J60" s="11" t="s">
        <v>2305</v>
      </c>
      <c r="K60" s="11" t="s">
        <v>1688</v>
      </c>
      <c r="L60" s="11" t="s">
        <v>2302</v>
      </c>
      <c r="M60" s="11" t="s">
        <v>1917</v>
      </c>
      <c r="N60" s="11" t="s">
        <v>2306</v>
      </c>
      <c r="O60" s="11" t="s">
        <v>2304</v>
      </c>
      <c r="P60" s="11" t="s">
        <v>1920</v>
      </c>
      <c r="Q60" s="11" t="s">
        <v>2307</v>
      </c>
      <c r="R60" s="11" t="s">
        <v>2308</v>
      </c>
      <c r="S60" s="11" t="s">
        <v>1959</v>
      </c>
      <c r="T60" s="11" t="s">
        <v>1960</v>
      </c>
      <c r="U60" s="11" t="s">
        <v>1924</v>
      </c>
      <c r="V60" s="11" t="s">
        <v>1925</v>
      </c>
      <c r="W60" s="11" t="s">
        <v>1926</v>
      </c>
      <c r="X60" s="11" t="s">
        <v>2309</v>
      </c>
      <c r="Y60" s="12" t="n">
        <f aca="false">COUNTIF($A$6:$A$339,A60)</f>
        <v>1</v>
      </c>
    </row>
    <row r="61" customFormat="false" ht="240" hidden="false" customHeight="true" outlineLevel="0" collapsed="false">
      <c r="A61" s="11" t="s">
        <v>2310</v>
      </c>
      <c r="B61" s="11" t="s">
        <v>1063</v>
      </c>
      <c r="C61" s="11" t="s">
        <v>1929</v>
      </c>
      <c r="D61" s="11" t="b">
        <f aca="false">FALSE()</f>
        <v>0</v>
      </c>
      <c r="E61" s="11" t="b">
        <f aca="false">FALSE()</f>
        <v>0</v>
      </c>
      <c r="F61" s="11" t="s">
        <v>1978</v>
      </c>
      <c r="G61" s="11" t="s">
        <v>1979</v>
      </c>
      <c r="H61" s="11" t="s">
        <v>1980</v>
      </c>
      <c r="I61" s="11" t="s">
        <v>1981</v>
      </c>
      <c r="J61" s="11" t="s">
        <v>1982</v>
      </c>
      <c r="K61" s="11" t="s">
        <v>1983</v>
      </c>
      <c r="L61" s="11" t="s">
        <v>1984</v>
      </c>
      <c r="M61" s="11" t="s">
        <v>1984</v>
      </c>
      <c r="N61" s="11" t="s">
        <v>1984</v>
      </c>
      <c r="O61" s="11" t="s">
        <v>1985</v>
      </c>
      <c r="P61" s="11" t="s">
        <v>1986</v>
      </c>
      <c r="Q61" s="11" t="s">
        <v>1987</v>
      </c>
      <c r="R61" s="11" t="s">
        <v>1988</v>
      </c>
      <c r="S61" s="11" t="s">
        <v>1988</v>
      </c>
      <c r="T61" s="11" t="s">
        <v>1988</v>
      </c>
      <c r="U61" s="11" t="s">
        <v>1988</v>
      </c>
      <c r="V61" s="11" t="s">
        <v>1989</v>
      </c>
      <c r="W61" s="11" t="s">
        <v>1990</v>
      </c>
      <c r="X61" s="11" t="s">
        <v>2311</v>
      </c>
      <c r="Y61" s="12" t="n">
        <f aca="false">COUNTIF($A$6:$A$339,A61)</f>
        <v>1</v>
      </c>
    </row>
    <row r="62" customFormat="false" ht="240" hidden="false" customHeight="true" outlineLevel="0" collapsed="false">
      <c r="A62" s="11" t="s">
        <v>2312</v>
      </c>
      <c r="B62" s="11" t="s">
        <v>1066</v>
      </c>
      <c r="C62" s="11" t="s">
        <v>1911</v>
      </c>
      <c r="D62" s="11" t="b">
        <f aca="false">TRUE()</f>
        <v>1</v>
      </c>
      <c r="E62" s="11" t="b">
        <f aca="false">TRUE()</f>
        <v>1</v>
      </c>
      <c r="F62" s="11"/>
      <c r="G62" s="11" t="s">
        <v>2313</v>
      </c>
      <c r="H62" s="11" t="s">
        <v>2314</v>
      </c>
      <c r="I62" s="11" t="s">
        <v>2315</v>
      </c>
      <c r="J62" s="11" t="s">
        <v>2316</v>
      </c>
      <c r="K62" s="11" t="s">
        <v>1689</v>
      </c>
      <c r="L62" s="11" t="s">
        <v>2317</v>
      </c>
      <c r="M62" s="11" t="s">
        <v>1917</v>
      </c>
      <c r="N62" s="11" t="s">
        <v>2318</v>
      </c>
      <c r="O62" s="11" t="s">
        <v>2319</v>
      </c>
      <c r="P62" s="11" t="s">
        <v>1920</v>
      </c>
      <c r="Q62" s="11" t="s">
        <v>2320</v>
      </c>
      <c r="R62" s="11" t="s">
        <v>2321</v>
      </c>
      <c r="S62" s="11" t="s">
        <v>2322</v>
      </c>
      <c r="T62" s="11" t="s">
        <v>2322</v>
      </c>
      <c r="U62" s="11" t="s">
        <v>1924</v>
      </c>
      <c r="V62" s="11" t="s">
        <v>1925</v>
      </c>
      <c r="W62" s="11" t="s">
        <v>1926</v>
      </c>
      <c r="X62" s="11" t="s">
        <v>2323</v>
      </c>
      <c r="Y62" s="12" t="n">
        <f aca="false">COUNTIF($A$6:$A$339,A62)</f>
        <v>1</v>
      </c>
    </row>
    <row r="63" customFormat="false" ht="240" hidden="false" customHeight="true" outlineLevel="0" collapsed="false">
      <c r="A63" s="11" t="s">
        <v>2324</v>
      </c>
      <c r="B63" s="11" t="s">
        <v>1066</v>
      </c>
      <c r="C63" s="11" t="s">
        <v>1929</v>
      </c>
      <c r="D63" s="11" t="b">
        <f aca="false">TRUE()</f>
        <v>1</v>
      </c>
      <c r="E63" s="11" t="b">
        <f aca="false">TRUE()</f>
        <v>1</v>
      </c>
      <c r="F63" s="11"/>
      <c r="G63" s="11" t="s">
        <v>2313</v>
      </c>
      <c r="H63" s="11" t="s">
        <v>2314</v>
      </c>
      <c r="I63" s="11" t="s">
        <v>2315</v>
      </c>
      <c r="J63" s="11" t="s">
        <v>2316</v>
      </c>
      <c r="K63" s="11" t="s">
        <v>1690</v>
      </c>
      <c r="L63" s="11" t="s">
        <v>2325</v>
      </c>
      <c r="M63" s="11" t="s">
        <v>1931</v>
      </c>
      <c r="N63" s="11" t="s">
        <v>2318</v>
      </c>
      <c r="O63" s="11" t="s">
        <v>2319</v>
      </c>
      <c r="P63" s="11" t="s">
        <v>1920</v>
      </c>
      <c r="Q63" s="11" t="s">
        <v>2320</v>
      </c>
      <c r="R63" s="11" t="s">
        <v>2321</v>
      </c>
      <c r="S63" s="11" t="s">
        <v>2322</v>
      </c>
      <c r="T63" s="11" t="s">
        <v>2322</v>
      </c>
      <c r="U63" s="11" t="s">
        <v>1932</v>
      </c>
      <c r="V63" s="11" t="s">
        <v>1925</v>
      </c>
      <c r="W63" s="11" t="s">
        <v>1926</v>
      </c>
      <c r="X63" s="11" t="s">
        <v>2326</v>
      </c>
      <c r="Y63" s="12" t="n">
        <f aca="false">COUNTIF($A$6:$A$339,A63)</f>
        <v>1</v>
      </c>
    </row>
    <row r="64" customFormat="false" ht="240" hidden="false" customHeight="true" outlineLevel="0" collapsed="false">
      <c r="A64" s="11" t="s">
        <v>2327</v>
      </c>
      <c r="B64" s="11" t="s">
        <v>1070</v>
      </c>
      <c r="C64" s="11" t="s">
        <v>1911</v>
      </c>
      <c r="D64" s="11" t="b">
        <f aca="false">TRUE()</f>
        <v>1</v>
      </c>
      <c r="E64" s="11" t="b">
        <f aca="false">FALSE()</f>
        <v>0</v>
      </c>
      <c r="F64" s="11"/>
      <c r="G64" s="11" t="s">
        <v>2328</v>
      </c>
      <c r="H64" s="11" t="s">
        <v>2329</v>
      </c>
      <c r="I64" s="11" t="s">
        <v>2330</v>
      </c>
      <c r="J64" s="11" t="s">
        <v>2331</v>
      </c>
      <c r="K64" s="11" t="s">
        <v>1691</v>
      </c>
      <c r="L64" s="11" t="s">
        <v>2199</v>
      </c>
      <c r="M64" s="11" t="s">
        <v>1917</v>
      </c>
      <c r="N64" s="11" t="s">
        <v>2186</v>
      </c>
      <c r="O64" s="11" t="s">
        <v>2187</v>
      </c>
      <c r="P64" s="11" t="s">
        <v>1920</v>
      </c>
      <c r="Q64" s="11" t="s">
        <v>2332</v>
      </c>
      <c r="R64" s="11" t="s">
        <v>2333</v>
      </c>
      <c r="S64" s="11" t="s">
        <v>1959</v>
      </c>
      <c r="T64" s="11" t="s">
        <v>1960</v>
      </c>
      <c r="U64" s="11" t="s">
        <v>1924</v>
      </c>
      <c r="V64" s="11" t="s">
        <v>1925</v>
      </c>
      <c r="W64" s="11" t="s">
        <v>1926</v>
      </c>
      <c r="X64" s="11" t="s">
        <v>2334</v>
      </c>
      <c r="Y64" s="12" t="n">
        <f aca="false">COUNTIF($A$6:$A$339,A64)</f>
        <v>1</v>
      </c>
    </row>
    <row r="65" customFormat="false" ht="240" hidden="false" customHeight="true" outlineLevel="0" collapsed="false">
      <c r="A65" s="11" t="s">
        <v>2335</v>
      </c>
      <c r="B65" s="11" t="s">
        <v>1070</v>
      </c>
      <c r="C65" s="11" t="s">
        <v>1929</v>
      </c>
      <c r="D65" s="11" t="b">
        <f aca="false">TRUE()</f>
        <v>1</v>
      </c>
      <c r="E65" s="11" t="b">
        <f aca="false">FALSE()</f>
        <v>0</v>
      </c>
      <c r="F65" s="11"/>
      <c r="G65" s="11" t="s">
        <v>2328</v>
      </c>
      <c r="H65" s="11" t="s">
        <v>2329</v>
      </c>
      <c r="I65" s="11" t="s">
        <v>2330</v>
      </c>
      <c r="J65" s="11" t="s">
        <v>2331</v>
      </c>
      <c r="K65" s="11" t="s">
        <v>1692</v>
      </c>
      <c r="L65" s="11" t="s">
        <v>2204</v>
      </c>
      <c r="M65" s="11" t="s">
        <v>1931</v>
      </c>
      <c r="N65" s="11" t="s">
        <v>2186</v>
      </c>
      <c r="O65" s="11" t="s">
        <v>2187</v>
      </c>
      <c r="P65" s="11" t="s">
        <v>1920</v>
      </c>
      <c r="Q65" s="11" t="s">
        <v>2332</v>
      </c>
      <c r="R65" s="11" t="s">
        <v>2333</v>
      </c>
      <c r="S65" s="11" t="s">
        <v>1959</v>
      </c>
      <c r="T65" s="11" t="s">
        <v>1960</v>
      </c>
      <c r="U65" s="11" t="s">
        <v>1932</v>
      </c>
      <c r="V65" s="11" t="s">
        <v>1925</v>
      </c>
      <c r="W65" s="11" t="s">
        <v>1926</v>
      </c>
      <c r="X65" s="11" t="s">
        <v>2336</v>
      </c>
      <c r="Y65" s="12" t="n">
        <f aca="false">COUNTIF($A$6:$A$339,A65)</f>
        <v>1</v>
      </c>
    </row>
    <row r="66" customFormat="false" ht="240" hidden="false" customHeight="true" outlineLevel="0" collapsed="false">
      <c r="A66" s="11" t="s">
        <v>2337</v>
      </c>
      <c r="B66" s="11" t="s">
        <v>1072</v>
      </c>
      <c r="C66" s="11" t="s">
        <v>1911</v>
      </c>
      <c r="D66" s="11" t="b">
        <f aca="false">TRUE()</f>
        <v>1</v>
      </c>
      <c r="E66" s="11" t="b">
        <f aca="false">FALSE()</f>
        <v>0</v>
      </c>
      <c r="F66" s="11"/>
      <c r="G66" s="11" t="s">
        <v>2338</v>
      </c>
      <c r="H66" s="11" t="s">
        <v>2339</v>
      </c>
      <c r="I66" s="11" t="s">
        <v>2340</v>
      </c>
      <c r="J66" s="11" t="s">
        <v>2198</v>
      </c>
      <c r="K66" s="11" t="s">
        <v>1693</v>
      </c>
      <c r="L66" s="11" t="s">
        <v>2199</v>
      </c>
      <c r="M66" s="11" t="s">
        <v>1917</v>
      </c>
      <c r="N66" s="11" t="s">
        <v>2186</v>
      </c>
      <c r="O66" s="11" t="s">
        <v>2341</v>
      </c>
      <c r="P66" s="11" t="s">
        <v>1920</v>
      </c>
      <c r="Q66" s="11" t="s">
        <v>2341</v>
      </c>
      <c r="R66" s="11" t="s">
        <v>2342</v>
      </c>
      <c r="S66" s="11" t="s">
        <v>1959</v>
      </c>
      <c r="T66" s="11" t="s">
        <v>1960</v>
      </c>
      <c r="U66" s="11" t="s">
        <v>1924</v>
      </c>
      <c r="V66" s="11" t="s">
        <v>1925</v>
      </c>
      <c r="W66" s="11" t="s">
        <v>1926</v>
      </c>
      <c r="X66" s="11" t="s">
        <v>2343</v>
      </c>
      <c r="Y66" s="12" t="n">
        <f aca="false">COUNTIF($A$6:$A$339,A66)</f>
        <v>1</v>
      </c>
    </row>
    <row r="67" customFormat="false" ht="240" hidden="false" customHeight="true" outlineLevel="0" collapsed="false">
      <c r="A67" s="11" t="s">
        <v>2344</v>
      </c>
      <c r="B67" s="11" t="s">
        <v>1072</v>
      </c>
      <c r="C67" s="11" t="s">
        <v>1929</v>
      </c>
      <c r="D67" s="11" t="b">
        <f aca="false">TRUE()</f>
        <v>1</v>
      </c>
      <c r="E67" s="11" t="b">
        <f aca="false">FALSE()</f>
        <v>0</v>
      </c>
      <c r="F67" s="11"/>
      <c r="G67" s="11" t="s">
        <v>2338</v>
      </c>
      <c r="H67" s="11" t="s">
        <v>2339</v>
      </c>
      <c r="I67" s="11" t="s">
        <v>2340</v>
      </c>
      <c r="J67" s="11" t="s">
        <v>2198</v>
      </c>
      <c r="K67" s="11" t="s">
        <v>1694</v>
      </c>
      <c r="L67" s="11" t="s">
        <v>2204</v>
      </c>
      <c r="M67" s="11" t="s">
        <v>1931</v>
      </c>
      <c r="N67" s="11" t="s">
        <v>2186</v>
      </c>
      <c r="O67" s="11" t="s">
        <v>2341</v>
      </c>
      <c r="P67" s="11" t="s">
        <v>1920</v>
      </c>
      <c r="Q67" s="11" t="s">
        <v>2341</v>
      </c>
      <c r="R67" s="11" t="s">
        <v>2342</v>
      </c>
      <c r="S67" s="11" t="s">
        <v>1959</v>
      </c>
      <c r="T67" s="11" t="s">
        <v>1960</v>
      </c>
      <c r="U67" s="11" t="s">
        <v>1932</v>
      </c>
      <c r="V67" s="11" t="s">
        <v>1925</v>
      </c>
      <c r="W67" s="11" t="s">
        <v>1926</v>
      </c>
      <c r="X67" s="11" t="s">
        <v>2345</v>
      </c>
      <c r="Y67" s="12" t="n">
        <f aca="false">COUNTIF($A$6:$A$339,A67)</f>
        <v>1</v>
      </c>
    </row>
    <row r="68" customFormat="false" ht="240" hidden="false" customHeight="true" outlineLevel="0" collapsed="false">
      <c r="A68" s="11" t="s">
        <v>2346</v>
      </c>
      <c r="B68" s="11" t="s">
        <v>1075</v>
      </c>
      <c r="C68" s="11" t="s">
        <v>1911</v>
      </c>
      <c r="D68" s="11" t="b">
        <f aca="false">TRUE()</f>
        <v>1</v>
      </c>
      <c r="E68" s="11" t="b">
        <f aca="false">FALSE()</f>
        <v>0</v>
      </c>
      <c r="F68" s="11"/>
      <c r="G68" s="11" t="s">
        <v>2347</v>
      </c>
      <c r="H68" s="11" t="s">
        <v>2348</v>
      </c>
      <c r="I68" s="11" t="s">
        <v>2349</v>
      </c>
      <c r="J68" s="11" t="s">
        <v>2198</v>
      </c>
      <c r="K68" s="11" t="s">
        <v>1695</v>
      </c>
      <c r="L68" s="11" t="s">
        <v>2199</v>
      </c>
      <c r="M68" s="11" t="s">
        <v>1917</v>
      </c>
      <c r="N68" s="11" t="s">
        <v>2350</v>
      </c>
      <c r="O68" s="11" t="s">
        <v>2187</v>
      </c>
      <c r="P68" s="11" t="s">
        <v>1920</v>
      </c>
      <c r="Q68" s="11" t="s">
        <v>2351</v>
      </c>
      <c r="R68" s="11" t="s">
        <v>2352</v>
      </c>
      <c r="S68" s="11" t="s">
        <v>1959</v>
      </c>
      <c r="T68" s="11" t="s">
        <v>1960</v>
      </c>
      <c r="U68" s="11" t="s">
        <v>1924</v>
      </c>
      <c r="V68" s="11" t="s">
        <v>1925</v>
      </c>
      <c r="W68" s="11" t="s">
        <v>1926</v>
      </c>
      <c r="X68" s="11" t="s">
        <v>2353</v>
      </c>
      <c r="Y68" s="12" t="n">
        <f aca="false">COUNTIF($A$6:$A$339,A68)</f>
        <v>1</v>
      </c>
    </row>
    <row r="69" customFormat="false" ht="240" hidden="false" customHeight="true" outlineLevel="0" collapsed="false">
      <c r="A69" s="11" t="s">
        <v>2354</v>
      </c>
      <c r="B69" s="11" t="s">
        <v>1075</v>
      </c>
      <c r="C69" s="11" t="s">
        <v>1929</v>
      </c>
      <c r="D69" s="11" t="b">
        <f aca="false">TRUE()</f>
        <v>1</v>
      </c>
      <c r="E69" s="11" t="b">
        <f aca="false">FALSE()</f>
        <v>0</v>
      </c>
      <c r="F69" s="11"/>
      <c r="G69" s="11" t="s">
        <v>2347</v>
      </c>
      <c r="H69" s="11" t="s">
        <v>2348</v>
      </c>
      <c r="I69" s="11" t="s">
        <v>2349</v>
      </c>
      <c r="J69" s="11" t="s">
        <v>2198</v>
      </c>
      <c r="K69" s="11" t="s">
        <v>1696</v>
      </c>
      <c r="L69" s="11" t="s">
        <v>2204</v>
      </c>
      <c r="M69" s="11" t="s">
        <v>1931</v>
      </c>
      <c r="N69" s="11" t="s">
        <v>2350</v>
      </c>
      <c r="O69" s="11" t="s">
        <v>2187</v>
      </c>
      <c r="P69" s="11" t="s">
        <v>1920</v>
      </c>
      <c r="Q69" s="11" t="s">
        <v>2351</v>
      </c>
      <c r="R69" s="11" t="s">
        <v>2352</v>
      </c>
      <c r="S69" s="11" t="s">
        <v>1959</v>
      </c>
      <c r="T69" s="11" t="s">
        <v>1960</v>
      </c>
      <c r="U69" s="11" t="s">
        <v>1932</v>
      </c>
      <c r="V69" s="11" t="s">
        <v>1925</v>
      </c>
      <c r="W69" s="11" t="s">
        <v>1926</v>
      </c>
      <c r="X69" s="11" t="s">
        <v>2355</v>
      </c>
      <c r="Y69" s="12" t="n">
        <f aca="false">COUNTIF($A$6:$A$339,A69)</f>
        <v>1</v>
      </c>
    </row>
    <row r="70" customFormat="false" ht="240" hidden="false" customHeight="true" outlineLevel="0" collapsed="false">
      <c r="A70" s="11" t="s">
        <v>2356</v>
      </c>
      <c r="B70" s="11" t="s">
        <v>1078</v>
      </c>
      <c r="C70" s="11" t="s">
        <v>1911</v>
      </c>
      <c r="D70" s="11" t="b">
        <f aca="false">TRUE()</f>
        <v>1</v>
      </c>
      <c r="E70" s="11" t="b">
        <f aca="false">FALSE()</f>
        <v>0</v>
      </c>
      <c r="F70" s="11"/>
      <c r="G70" s="11" t="s">
        <v>2357</v>
      </c>
      <c r="H70" s="11" t="s">
        <v>2358</v>
      </c>
      <c r="I70" s="11" t="s">
        <v>2359</v>
      </c>
      <c r="J70" s="11" t="s">
        <v>2198</v>
      </c>
      <c r="K70" s="11" t="s">
        <v>1697</v>
      </c>
      <c r="L70" s="11" t="s">
        <v>2199</v>
      </c>
      <c r="M70" s="11" t="s">
        <v>1917</v>
      </c>
      <c r="N70" s="11" t="s">
        <v>2186</v>
      </c>
      <c r="O70" s="11" t="s">
        <v>2187</v>
      </c>
      <c r="P70" s="11" t="s">
        <v>1920</v>
      </c>
      <c r="Q70" s="11" t="s">
        <v>2360</v>
      </c>
      <c r="R70" s="11" t="s">
        <v>2361</v>
      </c>
      <c r="S70" s="11" t="s">
        <v>1959</v>
      </c>
      <c r="T70" s="11" t="s">
        <v>1960</v>
      </c>
      <c r="U70" s="11" t="s">
        <v>1924</v>
      </c>
      <c r="V70" s="11" t="s">
        <v>1925</v>
      </c>
      <c r="W70" s="11" t="s">
        <v>1926</v>
      </c>
      <c r="X70" s="11" t="s">
        <v>2362</v>
      </c>
      <c r="Y70" s="12" t="n">
        <f aca="false">COUNTIF($A$6:$A$339,A70)</f>
        <v>1</v>
      </c>
    </row>
    <row r="71" customFormat="false" ht="240" hidden="false" customHeight="true" outlineLevel="0" collapsed="false">
      <c r="A71" s="11" t="s">
        <v>2363</v>
      </c>
      <c r="B71" s="11" t="s">
        <v>1078</v>
      </c>
      <c r="C71" s="11" t="s">
        <v>1929</v>
      </c>
      <c r="D71" s="11" t="b">
        <f aca="false">TRUE()</f>
        <v>1</v>
      </c>
      <c r="E71" s="11" t="b">
        <f aca="false">FALSE()</f>
        <v>0</v>
      </c>
      <c r="F71" s="11"/>
      <c r="G71" s="11" t="s">
        <v>2357</v>
      </c>
      <c r="H71" s="11" t="s">
        <v>2358</v>
      </c>
      <c r="I71" s="11" t="s">
        <v>2359</v>
      </c>
      <c r="J71" s="11" t="s">
        <v>2198</v>
      </c>
      <c r="K71" s="11" t="s">
        <v>1698</v>
      </c>
      <c r="L71" s="11" t="s">
        <v>2204</v>
      </c>
      <c r="M71" s="11" t="s">
        <v>1931</v>
      </c>
      <c r="N71" s="11" t="s">
        <v>2186</v>
      </c>
      <c r="O71" s="11" t="s">
        <v>2187</v>
      </c>
      <c r="P71" s="11" t="s">
        <v>1920</v>
      </c>
      <c r="Q71" s="11" t="s">
        <v>2360</v>
      </c>
      <c r="R71" s="11" t="s">
        <v>2361</v>
      </c>
      <c r="S71" s="11" t="s">
        <v>1959</v>
      </c>
      <c r="T71" s="11" t="s">
        <v>1960</v>
      </c>
      <c r="U71" s="11" t="s">
        <v>1932</v>
      </c>
      <c r="V71" s="11" t="s">
        <v>1925</v>
      </c>
      <c r="W71" s="11" t="s">
        <v>1926</v>
      </c>
      <c r="X71" s="11" t="s">
        <v>2364</v>
      </c>
      <c r="Y71" s="12" t="n">
        <f aca="false">COUNTIF($A$6:$A$339,A71)</f>
        <v>1</v>
      </c>
    </row>
    <row r="72" customFormat="false" ht="240" hidden="false" customHeight="true" outlineLevel="0" collapsed="false">
      <c r="A72" s="11" t="s">
        <v>2365</v>
      </c>
      <c r="B72" s="11" t="s">
        <v>1081</v>
      </c>
      <c r="C72" s="11" t="s">
        <v>1911</v>
      </c>
      <c r="D72" s="11" t="b">
        <f aca="false">TRUE()</f>
        <v>1</v>
      </c>
      <c r="E72" s="11" t="b">
        <f aca="false">FALSE()</f>
        <v>0</v>
      </c>
      <c r="F72" s="11"/>
      <c r="G72" s="11" t="s">
        <v>2366</v>
      </c>
      <c r="H72" s="11" t="s">
        <v>2367</v>
      </c>
      <c r="I72" s="11" t="s">
        <v>2368</v>
      </c>
      <c r="J72" s="11" t="s">
        <v>2198</v>
      </c>
      <c r="K72" s="11" t="s">
        <v>1699</v>
      </c>
      <c r="L72" s="11" t="s">
        <v>2199</v>
      </c>
      <c r="M72" s="11" t="s">
        <v>1917</v>
      </c>
      <c r="N72" s="11" t="s">
        <v>2186</v>
      </c>
      <c r="O72" s="11" t="s">
        <v>2187</v>
      </c>
      <c r="P72" s="11" t="s">
        <v>1920</v>
      </c>
      <c r="Q72" s="11" t="s">
        <v>2369</v>
      </c>
      <c r="R72" s="11" t="s">
        <v>2370</v>
      </c>
      <c r="S72" s="11" t="s">
        <v>1959</v>
      </c>
      <c r="T72" s="11" t="s">
        <v>1960</v>
      </c>
      <c r="U72" s="11" t="s">
        <v>1924</v>
      </c>
      <c r="V72" s="11" t="s">
        <v>1925</v>
      </c>
      <c r="W72" s="11" t="s">
        <v>1926</v>
      </c>
      <c r="X72" s="11" t="s">
        <v>2371</v>
      </c>
      <c r="Y72" s="12" t="n">
        <f aca="false">COUNTIF($A$6:$A$339,A72)</f>
        <v>1</v>
      </c>
    </row>
    <row r="73" customFormat="false" ht="240" hidden="false" customHeight="true" outlineLevel="0" collapsed="false">
      <c r="A73" s="11" t="s">
        <v>2372</v>
      </c>
      <c r="B73" s="11" t="s">
        <v>1081</v>
      </c>
      <c r="C73" s="11" t="s">
        <v>1929</v>
      </c>
      <c r="D73" s="11" t="b">
        <f aca="false">TRUE()</f>
        <v>1</v>
      </c>
      <c r="E73" s="11" t="b">
        <f aca="false">FALSE()</f>
        <v>0</v>
      </c>
      <c r="F73" s="11"/>
      <c r="G73" s="11" t="s">
        <v>2366</v>
      </c>
      <c r="H73" s="11" t="s">
        <v>2367</v>
      </c>
      <c r="I73" s="11" t="s">
        <v>2368</v>
      </c>
      <c r="J73" s="11" t="s">
        <v>2198</v>
      </c>
      <c r="K73" s="11" t="s">
        <v>1700</v>
      </c>
      <c r="L73" s="11" t="s">
        <v>2204</v>
      </c>
      <c r="M73" s="11" t="s">
        <v>1931</v>
      </c>
      <c r="N73" s="11" t="s">
        <v>2186</v>
      </c>
      <c r="O73" s="11" t="s">
        <v>2187</v>
      </c>
      <c r="P73" s="11" t="s">
        <v>1920</v>
      </c>
      <c r="Q73" s="11" t="s">
        <v>2369</v>
      </c>
      <c r="R73" s="11" t="s">
        <v>2370</v>
      </c>
      <c r="S73" s="11" t="s">
        <v>1959</v>
      </c>
      <c r="T73" s="11" t="s">
        <v>1960</v>
      </c>
      <c r="U73" s="11" t="s">
        <v>1932</v>
      </c>
      <c r="V73" s="11" t="s">
        <v>1925</v>
      </c>
      <c r="W73" s="11" t="s">
        <v>1926</v>
      </c>
      <c r="X73" s="11" t="s">
        <v>2373</v>
      </c>
      <c r="Y73" s="12" t="n">
        <f aca="false">COUNTIF($A$6:$A$339,A73)</f>
        <v>1</v>
      </c>
    </row>
    <row r="74" customFormat="false" ht="240" hidden="false" customHeight="true" outlineLevel="0" collapsed="false">
      <c r="A74" s="11" t="s">
        <v>2374</v>
      </c>
      <c r="B74" s="11" t="s">
        <v>1084</v>
      </c>
      <c r="C74" s="11" t="s">
        <v>1911</v>
      </c>
      <c r="D74" s="11" t="b">
        <f aca="false">TRUE()</f>
        <v>1</v>
      </c>
      <c r="E74" s="11" t="b">
        <f aca="false">TRUE()</f>
        <v>1</v>
      </c>
      <c r="F74" s="11"/>
      <c r="G74" s="11" t="s">
        <v>2375</v>
      </c>
      <c r="H74" s="11" t="s">
        <v>2376</v>
      </c>
      <c r="I74" s="11" t="s">
        <v>2377</v>
      </c>
      <c r="J74" s="11" t="s">
        <v>2378</v>
      </c>
      <c r="K74" s="11" t="s">
        <v>1701</v>
      </c>
      <c r="L74" s="11" t="s">
        <v>2379</v>
      </c>
      <c r="M74" s="11" t="s">
        <v>1917</v>
      </c>
      <c r="N74" s="11" t="s">
        <v>2380</v>
      </c>
      <c r="O74" s="11" t="s">
        <v>2381</v>
      </c>
      <c r="P74" s="11" t="s">
        <v>1920</v>
      </c>
      <c r="Q74" s="11" t="s">
        <v>2382</v>
      </c>
      <c r="R74" s="11" t="s">
        <v>2383</v>
      </c>
      <c r="S74" s="11" t="s">
        <v>2384</v>
      </c>
      <c r="T74" s="11" t="s">
        <v>2384</v>
      </c>
      <c r="U74" s="11" t="s">
        <v>1924</v>
      </c>
      <c r="V74" s="11" t="s">
        <v>1925</v>
      </c>
      <c r="W74" s="11" t="s">
        <v>1926</v>
      </c>
      <c r="X74" s="11" t="s">
        <v>2385</v>
      </c>
      <c r="Y74" s="12" t="n">
        <f aca="false">COUNTIF($A$6:$A$339,A74)</f>
        <v>1</v>
      </c>
    </row>
    <row r="75" customFormat="false" ht="240" hidden="false" customHeight="true" outlineLevel="0" collapsed="false">
      <c r="A75" s="11" t="s">
        <v>2386</v>
      </c>
      <c r="B75" s="11" t="s">
        <v>1084</v>
      </c>
      <c r="C75" s="11" t="s">
        <v>1929</v>
      </c>
      <c r="D75" s="11" t="b">
        <f aca="false">FALSE()</f>
        <v>0</v>
      </c>
      <c r="E75" s="11" t="b">
        <f aca="false">FALSE()</f>
        <v>0</v>
      </c>
      <c r="F75" s="11" t="s">
        <v>1978</v>
      </c>
      <c r="G75" s="11" t="s">
        <v>1979</v>
      </c>
      <c r="H75" s="11" t="s">
        <v>1980</v>
      </c>
      <c r="I75" s="11" t="s">
        <v>1981</v>
      </c>
      <c r="J75" s="11" t="s">
        <v>1982</v>
      </c>
      <c r="K75" s="11" t="s">
        <v>1983</v>
      </c>
      <c r="L75" s="11" t="s">
        <v>1984</v>
      </c>
      <c r="M75" s="11" t="s">
        <v>1984</v>
      </c>
      <c r="N75" s="11" t="s">
        <v>1984</v>
      </c>
      <c r="O75" s="11" t="s">
        <v>1985</v>
      </c>
      <c r="P75" s="11" t="s">
        <v>1986</v>
      </c>
      <c r="Q75" s="11" t="s">
        <v>1987</v>
      </c>
      <c r="R75" s="11" t="s">
        <v>1988</v>
      </c>
      <c r="S75" s="11" t="s">
        <v>1988</v>
      </c>
      <c r="T75" s="11" t="s">
        <v>1988</v>
      </c>
      <c r="U75" s="11" t="s">
        <v>1988</v>
      </c>
      <c r="V75" s="11" t="s">
        <v>1989</v>
      </c>
      <c r="W75" s="11" t="s">
        <v>1990</v>
      </c>
      <c r="X75" s="11" t="s">
        <v>2387</v>
      </c>
      <c r="Y75" s="12" t="n">
        <f aca="false">COUNTIF($A$6:$A$339,A75)</f>
        <v>1</v>
      </c>
    </row>
    <row r="76" customFormat="false" ht="240" hidden="false" customHeight="true" outlineLevel="0" collapsed="false">
      <c r="A76" s="11" t="s">
        <v>2388</v>
      </c>
      <c r="B76" s="11" t="s">
        <v>1088</v>
      </c>
      <c r="C76" s="11" t="s">
        <v>1911</v>
      </c>
      <c r="D76" s="11" t="b">
        <f aca="false">TRUE()</f>
        <v>1</v>
      </c>
      <c r="E76" s="11" t="b">
        <f aca="false">TRUE()</f>
        <v>1</v>
      </c>
      <c r="F76" s="11"/>
      <c r="G76" s="11" t="s">
        <v>2389</v>
      </c>
      <c r="H76" s="11" t="s">
        <v>2390</v>
      </c>
      <c r="I76" s="11" t="s">
        <v>2391</v>
      </c>
      <c r="J76" s="11" t="s">
        <v>2392</v>
      </c>
      <c r="K76" s="11" t="s">
        <v>1702</v>
      </c>
      <c r="L76" s="11" t="s">
        <v>2393</v>
      </c>
      <c r="M76" s="11" t="s">
        <v>1917</v>
      </c>
      <c r="N76" s="11" t="s">
        <v>2186</v>
      </c>
      <c r="O76" s="11" t="s">
        <v>2187</v>
      </c>
      <c r="P76" s="11" t="s">
        <v>1920</v>
      </c>
      <c r="Q76" s="11" t="s">
        <v>2394</v>
      </c>
      <c r="R76" s="11" t="s">
        <v>2395</v>
      </c>
      <c r="S76" s="11" t="s">
        <v>2393</v>
      </c>
      <c r="T76" s="11" t="s">
        <v>2393</v>
      </c>
      <c r="U76" s="11" t="s">
        <v>1924</v>
      </c>
      <c r="V76" s="11" t="s">
        <v>1925</v>
      </c>
      <c r="W76" s="11" t="s">
        <v>1926</v>
      </c>
      <c r="X76" s="11" t="s">
        <v>2396</v>
      </c>
      <c r="Y76" s="12" t="n">
        <f aca="false">COUNTIF($A$6:$A$339,A76)</f>
        <v>1</v>
      </c>
    </row>
    <row r="77" customFormat="false" ht="240" hidden="false" customHeight="true" outlineLevel="0" collapsed="false">
      <c r="A77" s="11" t="s">
        <v>2397</v>
      </c>
      <c r="B77" s="11" t="s">
        <v>1088</v>
      </c>
      <c r="C77" s="11" t="s">
        <v>1929</v>
      </c>
      <c r="D77" s="11" t="b">
        <f aca="false">TRUE()</f>
        <v>1</v>
      </c>
      <c r="E77" s="11" t="b">
        <f aca="false">TRUE()</f>
        <v>1</v>
      </c>
      <c r="F77" s="11"/>
      <c r="G77" s="11" t="s">
        <v>2389</v>
      </c>
      <c r="H77" s="11" t="s">
        <v>2390</v>
      </c>
      <c r="I77" s="11" t="s">
        <v>2391</v>
      </c>
      <c r="J77" s="11" t="s">
        <v>2392</v>
      </c>
      <c r="K77" s="11" t="s">
        <v>1703</v>
      </c>
      <c r="L77" s="11" t="s">
        <v>2398</v>
      </c>
      <c r="M77" s="11" t="s">
        <v>1931</v>
      </c>
      <c r="N77" s="11" t="s">
        <v>2186</v>
      </c>
      <c r="O77" s="11" t="s">
        <v>2187</v>
      </c>
      <c r="P77" s="11" t="s">
        <v>1920</v>
      </c>
      <c r="Q77" s="11" t="s">
        <v>2394</v>
      </c>
      <c r="R77" s="11" t="s">
        <v>2395</v>
      </c>
      <c r="S77" s="11" t="s">
        <v>2393</v>
      </c>
      <c r="T77" s="11" t="s">
        <v>2393</v>
      </c>
      <c r="U77" s="11" t="s">
        <v>1932</v>
      </c>
      <c r="V77" s="11" t="s">
        <v>1925</v>
      </c>
      <c r="W77" s="11" t="s">
        <v>1926</v>
      </c>
      <c r="X77" s="11" t="s">
        <v>2399</v>
      </c>
      <c r="Y77" s="12" t="n">
        <f aca="false">COUNTIF($A$6:$A$339,A77)</f>
        <v>1</v>
      </c>
    </row>
    <row r="78" customFormat="false" ht="240" hidden="false" customHeight="true" outlineLevel="0" collapsed="false">
      <c r="A78" s="11" t="s">
        <v>2400</v>
      </c>
      <c r="B78" s="11" t="s">
        <v>1091</v>
      </c>
      <c r="C78" s="11" t="s">
        <v>1911</v>
      </c>
      <c r="D78" s="11" t="b">
        <f aca="false">TRUE()</f>
        <v>1</v>
      </c>
      <c r="E78" s="11" t="b">
        <f aca="false">FALSE()</f>
        <v>0</v>
      </c>
      <c r="F78" s="11"/>
      <c r="G78" s="11" t="s">
        <v>2401</v>
      </c>
      <c r="H78" s="11" t="s">
        <v>2402</v>
      </c>
      <c r="I78" s="11" t="s">
        <v>2403</v>
      </c>
      <c r="J78" s="11" t="s">
        <v>2404</v>
      </c>
      <c r="K78" s="11" t="s">
        <v>1704</v>
      </c>
      <c r="L78" s="11" t="s">
        <v>2405</v>
      </c>
      <c r="M78" s="11" t="s">
        <v>1917</v>
      </c>
      <c r="N78" s="11" t="s">
        <v>2186</v>
      </c>
      <c r="O78" s="11" t="s">
        <v>2187</v>
      </c>
      <c r="P78" s="11" t="s">
        <v>1920</v>
      </c>
      <c r="Q78" s="11" t="s">
        <v>2406</v>
      </c>
      <c r="R78" s="11" t="s">
        <v>2407</v>
      </c>
      <c r="S78" s="11" t="s">
        <v>2405</v>
      </c>
      <c r="T78" s="11" t="s">
        <v>2405</v>
      </c>
      <c r="U78" s="11" t="s">
        <v>1924</v>
      </c>
      <c r="V78" s="11" t="s">
        <v>1925</v>
      </c>
      <c r="W78" s="11" t="s">
        <v>1926</v>
      </c>
      <c r="X78" s="11" t="s">
        <v>2408</v>
      </c>
      <c r="Y78" s="12" t="n">
        <f aca="false">COUNTIF($A$6:$A$339,A78)</f>
        <v>1</v>
      </c>
    </row>
    <row r="79" customFormat="false" ht="240" hidden="false" customHeight="true" outlineLevel="0" collapsed="false">
      <c r="A79" s="11" t="s">
        <v>2409</v>
      </c>
      <c r="B79" s="11" t="s">
        <v>1091</v>
      </c>
      <c r="C79" s="11" t="s">
        <v>1929</v>
      </c>
      <c r="D79" s="11" t="b">
        <f aca="false">TRUE()</f>
        <v>1</v>
      </c>
      <c r="E79" s="11" t="b">
        <f aca="false">FALSE()</f>
        <v>0</v>
      </c>
      <c r="F79" s="11"/>
      <c r="G79" s="11" t="s">
        <v>2401</v>
      </c>
      <c r="H79" s="11" t="s">
        <v>2402</v>
      </c>
      <c r="I79" s="11" t="s">
        <v>2403</v>
      </c>
      <c r="J79" s="11" t="s">
        <v>2404</v>
      </c>
      <c r="K79" s="11" t="s">
        <v>1705</v>
      </c>
      <c r="L79" s="11" t="s">
        <v>2410</v>
      </c>
      <c r="M79" s="11" t="s">
        <v>1931</v>
      </c>
      <c r="N79" s="11" t="s">
        <v>2186</v>
      </c>
      <c r="O79" s="11" t="s">
        <v>2187</v>
      </c>
      <c r="P79" s="11" t="s">
        <v>1920</v>
      </c>
      <c r="Q79" s="11" t="s">
        <v>2406</v>
      </c>
      <c r="R79" s="11" t="s">
        <v>2407</v>
      </c>
      <c r="S79" s="11" t="s">
        <v>2405</v>
      </c>
      <c r="T79" s="11" t="s">
        <v>2405</v>
      </c>
      <c r="U79" s="11" t="s">
        <v>1932</v>
      </c>
      <c r="V79" s="11" t="s">
        <v>1925</v>
      </c>
      <c r="W79" s="11" t="s">
        <v>1926</v>
      </c>
      <c r="X79" s="11" t="s">
        <v>2411</v>
      </c>
      <c r="Y79" s="12" t="n">
        <f aca="false">COUNTIF($A$6:$A$339,A79)</f>
        <v>1</v>
      </c>
    </row>
    <row r="80" customFormat="false" ht="240" hidden="false" customHeight="true" outlineLevel="0" collapsed="false">
      <c r="A80" s="11" t="s">
        <v>2412</v>
      </c>
      <c r="B80" s="11" t="s">
        <v>1095</v>
      </c>
      <c r="C80" s="11" t="s">
        <v>1911</v>
      </c>
      <c r="D80" s="11" t="b">
        <f aca="false">TRUE()</f>
        <v>1</v>
      </c>
      <c r="E80" s="11" t="b">
        <f aca="false">TRUE()</f>
        <v>1</v>
      </c>
      <c r="F80" s="11"/>
      <c r="G80" s="11" t="s">
        <v>2413</v>
      </c>
      <c r="H80" s="11" t="s">
        <v>2414</v>
      </c>
      <c r="I80" s="11" t="s">
        <v>2415</v>
      </c>
      <c r="J80" s="11" t="s">
        <v>2416</v>
      </c>
      <c r="K80" s="11" t="s">
        <v>1706</v>
      </c>
      <c r="L80" s="11" t="s">
        <v>2199</v>
      </c>
      <c r="M80" s="11" t="s">
        <v>1917</v>
      </c>
      <c r="N80" s="11" t="s">
        <v>2186</v>
      </c>
      <c r="O80" s="11" t="s">
        <v>2187</v>
      </c>
      <c r="P80" s="11" t="s">
        <v>1920</v>
      </c>
      <c r="Q80" s="11" t="s">
        <v>2417</v>
      </c>
      <c r="R80" s="11" t="s">
        <v>2418</v>
      </c>
      <c r="S80" s="11" t="s">
        <v>1959</v>
      </c>
      <c r="T80" s="11" t="s">
        <v>1960</v>
      </c>
      <c r="U80" s="11" t="s">
        <v>1924</v>
      </c>
      <c r="V80" s="11" t="s">
        <v>1925</v>
      </c>
      <c r="W80" s="11" t="s">
        <v>1926</v>
      </c>
      <c r="X80" s="11" t="s">
        <v>2419</v>
      </c>
      <c r="Y80" s="12" t="n">
        <f aca="false">COUNTIF($A$6:$A$339,A80)</f>
        <v>1</v>
      </c>
    </row>
    <row r="81" customFormat="false" ht="240" hidden="false" customHeight="true" outlineLevel="0" collapsed="false">
      <c r="A81" s="11" t="s">
        <v>2420</v>
      </c>
      <c r="B81" s="11" t="s">
        <v>1095</v>
      </c>
      <c r="C81" s="11" t="s">
        <v>1929</v>
      </c>
      <c r="D81" s="11" t="b">
        <f aca="false">TRUE()</f>
        <v>1</v>
      </c>
      <c r="E81" s="11" t="b">
        <f aca="false">TRUE()</f>
        <v>1</v>
      </c>
      <c r="F81" s="11"/>
      <c r="G81" s="11" t="s">
        <v>2413</v>
      </c>
      <c r="H81" s="11" t="s">
        <v>2414</v>
      </c>
      <c r="I81" s="11" t="s">
        <v>2415</v>
      </c>
      <c r="J81" s="11" t="s">
        <v>2416</v>
      </c>
      <c r="K81" s="11" t="s">
        <v>1707</v>
      </c>
      <c r="L81" s="11" t="s">
        <v>2204</v>
      </c>
      <c r="M81" s="11" t="s">
        <v>1931</v>
      </c>
      <c r="N81" s="11" t="s">
        <v>2186</v>
      </c>
      <c r="O81" s="11" t="s">
        <v>2187</v>
      </c>
      <c r="P81" s="11" t="s">
        <v>1920</v>
      </c>
      <c r="Q81" s="11" t="s">
        <v>2417</v>
      </c>
      <c r="R81" s="11" t="s">
        <v>2418</v>
      </c>
      <c r="S81" s="11" t="s">
        <v>1959</v>
      </c>
      <c r="T81" s="11" t="s">
        <v>1960</v>
      </c>
      <c r="U81" s="11" t="s">
        <v>1932</v>
      </c>
      <c r="V81" s="11" t="s">
        <v>1925</v>
      </c>
      <c r="W81" s="11" t="s">
        <v>1926</v>
      </c>
      <c r="X81" s="11" t="s">
        <v>2421</v>
      </c>
      <c r="Y81" s="12" t="n">
        <f aca="false">COUNTIF($A$6:$A$339,A81)</f>
        <v>1</v>
      </c>
    </row>
    <row r="82" customFormat="false" ht="240" hidden="false" customHeight="true" outlineLevel="0" collapsed="false">
      <c r="A82" s="11" t="s">
        <v>2422</v>
      </c>
      <c r="B82" s="11" t="s">
        <v>1098</v>
      </c>
      <c r="C82" s="11" t="s">
        <v>1911</v>
      </c>
      <c r="D82" s="11" t="b">
        <f aca="false">TRUE()</f>
        <v>1</v>
      </c>
      <c r="E82" s="11" t="b">
        <f aca="false">TRUE()</f>
        <v>1</v>
      </c>
      <c r="F82" s="11"/>
      <c r="G82" s="11" t="s">
        <v>2423</v>
      </c>
      <c r="H82" s="11" t="s">
        <v>2424</v>
      </c>
      <c r="I82" s="11" t="s">
        <v>2425</v>
      </c>
      <c r="J82" s="11" t="s">
        <v>2426</v>
      </c>
      <c r="K82" s="11" t="s">
        <v>1708</v>
      </c>
      <c r="L82" s="11" t="s">
        <v>2427</v>
      </c>
      <c r="M82" s="11" t="s">
        <v>1917</v>
      </c>
      <c r="N82" s="11" t="s">
        <v>2428</v>
      </c>
      <c r="O82" s="11" t="s">
        <v>2429</v>
      </c>
      <c r="P82" s="11" t="s">
        <v>1920</v>
      </c>
      <c r="Q82" s="11" t="s">
        <v>2430</v>
      </c>
      <c r="R82" s="11" t="s">
        <v>2431</v>
      </c>
      <c r="S82" s="11" t="s">
        <v>2432</v>
      </c>
      <c r="T82" s="11" t="s">
        <v>2432</v>
      </c>
      <c r="U82" s="11" t="s">
        <v>1924</v>
      </c>
      <c r="V82" s="11" t="s">
        <v>1925</v>
      </c>
      <c r="W82" s="11" t="s">
        <v>1926</v>
      </c>
      <c r="X82" s="11" t="s">
        <v>2433</v>
      </c>
      <c r="Y82" s="12" t="n">
        <f aca="false">COUNTIF($A$6:$A$339,A82)</f>
        <v>1</v>
      </c>
    </row>
    <row r="83" customFormat="false" ht="240" hidden="false" customHeight="true" outlineLevel="0" collapsed="false">
      <c r="A83" s="11" t="s">
        <v>2434</v>
      </c>
      <c r="B83" s="11" t="s">
        <v>1098</v>
      </c>
      <c r="C83" s="11" t="s">
        <v>1929</v>
      </c>
      <c r="D83" s="11" t="b">
        <f aca="false">FALSE()</f>
        <v>0</v>
      </c>
      <c r="E83" s="11" t="b">
        <f aca="false">FALSE()</f>
        <v>0</v>
      </c>
      <c r="F83" s="11" t="s">
        <v>1978</v>
      </c>
      <c r="G83" s="11" t="s">
        <v>1979</v>
      </c>
      <c r="H83" s="11" t="s">
        <v>1980</v>
      </c>
      <c r="I83" s="11" t="s">
        <v>1981</v>
      </c>
      <c r="J83" s="11" t="s">
        <v>1982</v>
      </c>
      <c r="K83" s="11" t="s">
        <v>1983</v>
      </c>
      <c r="L83" s="11" t="s">
        <v>1984</v>
      </c>
      <c r="M83" s="11" t="s">
        <v>1984</v>
      </c>
      <c r="N83" s="11" t="s">
        <v>1984</v>
      </c>
      <c r="O83" s="11" t="s">
        <v>1985</v>
      </c>
      <c r="P83" s="11" t="s">
        <v>1986</v>
      </c>
      <c r="Q83" s="11" t="s">
        <v>1987</v>
      </c>
      <c r="R83" s="11" t="s">
        <v>1988</v>
      </c>
      <c r="S83" s="11" t="s">
        <v>1988</v>
      </c>
      <c r="T83" s="11" t="s">
        <v>1988</v>
      </c>
      <c r="U83" s="11" t="s">
        <v>1988</v>
      </c>
      <c r="V83" s="11" t="s">
        <v>1989</v>
      </c>
      <c r="W83" s="11" t="s">
        <v>1990</v>
      </c>
      <c r="X83" s="11" t="s">
        <v>2435</v>
      </c>
      <c r="Y83" s="12" t="n">
        <f aca="false">COUNTIF($A$6:$A$339,A83)</f>
        <v>1</v>
      </c>
    </row>
    <row r="84" customFormat="false" ht="240" hidden="false" customHeight="true" outlineLevel="0" collapsed="false">
      <c r="A84" s="11" t="s">
        <v>2436</v>
      </c>
      <c r="B84" s="11" t="s">
        <v>1102</v>
      </c>
      <c r="C84" s="11" t="s">
        <v>1911</v>
      </c>
      <c r="D84" s="11" t="b">
        <f aca="false">TRUE()</f>
        <v>1</v>
      </c>
      <c r="E84" s="11" t="b">
        <f aca="false">FALSE()</f>
        <v>0</v>
      </c>
      <c r="F84" s="11"/>
      <c r="G84" s="11" t="s">
        <v>2437</v>
      </c>
      <c r="H84" s="11" t="s">
        <v>2438</v>
      </c>
      <c r="I84" s="11" t="s">
        <v>2439</v>
      </c>
      <c r="J84" s="11" t="s">
        <v>2440</v>
      </c>
      <c r="K84" s="11" t="s">
        <v>1709</v>
      </c>
      <c r="L84" s="11" t="s">
        <v>2441</v>
      </c>
      <c r="M84" s="11" t="s">
        <v>1917</v>
      </c>
      <c r="N84" s="11" t="s">
        <v>2442</v>
      </c>
      <c r="O84" s="11" t="s">
        <v>2187</v>
      </c>
      <c r="P84" s="11" t="s">
        <v>1920</v>
      </c>
      <c r="Q84" s="11" t="s">
        <v>2443</v>
      </c>
      <c r="R84" s="11" t="s">
        <v>2444</v>
      </c>
      <c r="S84" s="11" t="s">
        <v>2445</v>
      </c>
      <c r="T84" s="11" t="s">
        <v>2445</v>
      </c>
      <c r="U84" s="11" t="s">
        <v>1924</v>
      </c>
      <c r="V84" s="11" t="s">
        <v>1925</v>
      </c>
      <c r="W84" s="11" t="s">
        <v>1926</v>
      </c>
      <c r="X84" s="11" t="s">
        <v>2446</v>
      </c>
      <c r="Y84" s="12" t="n">
        <f aca="false">COUNTIF($A$6:$A$339,A84)</f>
        <v>1</v>
      </c>
    </row>
    <row r="85" customFormat="false" ht="240" hidden="false" customHeight="true" outlineLevel="0" collapsed="false">
      <c r="A85" s="11" t="s">
        <v>2447</v>
      </c>
      <c r="B85" s="11" t="s">
        <v>1102</v>
      </c>
      <c r="C85" s="11" t="s">
        <v>1929</v>
      </c>
      <c r="D85" s="11" t="b">
        <f aca="false">TRUE()</f>
        <v>1</v>
      </c>
      <c r="E85" s="11" t="b">
        <f aca="false">FALSE()</f>
        <v>0</v>
      </c>
      <c r="F85" s="11"/>
      <c r="G85" s="11" t="s">
        <v>2437</v>
      </c>
      <c r="H85" s="11" t="s">
        <v>2438</v>
      </c>
      <c r="I85" s="11" t="s">
        <v>2439</v>
      </c>
      <c r="J85" s="11" t="s">
        <v>2440</v>
      </c>
      <c r="K85" s="11" t="s">
        <v>1710</v>
      </c>
      <c r="L85" s="11" t="s">
        <v>2448</v>
      </c>
      <c r="M85" s="11" t="s">
        <v>1931</v>
      </c>
      <c r="N85" s="11" t="s">
        <v>2442</v>
      </c>
      <c r="O85" s="11" t="s">
        <v>2187</v>
      </c>
      <c r="P85" s="11" t="s">
        <v>1920</v>
      </c>
      <c r="Q85" s="11" t="s">
        <v>2443</v>
      </c>
      <c r="R85" s="11" t="s">
        <v>2444</v>
      </c>
      <c r="S85" s="11" t="s">
        <v>2445</v>
      </c>
      <c r="T85" s="11" t="s">
        <v>2445</v>
      </c>
      <c r="U85" s="11" t="s">
        <v>1932</v>
      </c>
      <c r="V85" s="11" t="s">
        <v>1925</v>
      </c>
      <c r="W85" s="11" t="s">
        <v>1926</v>
      </c>
      <c r="X85" s="11" t="s">
        <v>2449</v>
      </c>
      <c r="Y85" s="12" t="n">
        <f aca="false">COUNTIF($A$6:$A$339,A85)</f>
        <v>1</v>
      </c>
    </row>
    <row r="86" customFormat="false" ht="240" hidden="false" customHeight="true" outlineLevel="0" collapsed="false">
      <c r="A86" s="11" t="s">
        <v>2450</v>
      </c>
      <c r="B86" s="11" t="s">
        <v>1106</v>
      </c>
      <c r="C86" s="11" t="s">
        <v>1911</v>
      </c>
      <c r="D86" s="11" t="b">
        <f aca="false">TRUE()</f>
        <v>1</v>
      </c>
      <c r="E86" s="11" t="b">
        <f aca="false">TRUE()</f>
        <v>1</v>
      </c>
      <c r="F86" s="11"/>
      <c r="G86" s="11" t="s">
        <v>2451</v>
      </c>
      <c r="H86" s="11" t="s">
        <v>2452</v>
      </c>
      <c r="I86" s="11" t="s">
        <v>2453</v>
      </c>
      <c r="J86" s="11" t="s">
        <v>2454</v>
      </c>
      <c r="K86" s="11" t="s">
        <v>1711</v>
      </c>
      <c r="L86" s="11" t="s">
        <v>2455</v>
      </c>
      <c r="M86" s="11" t="s">
        <v>1917</v>
      </c>
      <c r="N86" s="11" t="s">
        <v>2456</v>
      </c>
      <c r="O86" s="11" t="s">
        <v>2457</v>
      </c>
      <c r="P86" s="11" t="s">
        <v>1920</v>
      </c>
      <c r="Q86" s="11" t="s">
        <v>2458</v>
      </c>
      <c r="R86" s="11" t="s">
        <v>2459</v>
      </c>
      <c r="S86" s="11" t="s">
        <v>2460</v>
      </c>
      <c r="T86" s="11" t="s">
        <v>2460</v>
      </c>
      <c r="U86" s="11" t="s">
        <v>1924</v>
      </c>
      <c r="V86" s="11" t="s">
        <v>1925</v>
      </c>
      <c r="W86" s="11" t="s">
        <v>1926</v>
      </c>
      <c r="X86" s="11" t="s">
        <v>2461</v>
      </c>
      <c r="Y86" s="12" t="n">
        <f aca="false">COUNTIF($A$6:$A$339,A86)</f>
        <v>1</v>
      </c>
    </row>
    <row r="87" customFormat="false" ht="240" hidden="false" customHeight="true" outlineLevel="0" collapsed="false">
      <c r="A87" s="11" t="s">
        <v>2462</v>
      </c>
      <c r="B87" s="11" t="s">
        <v>1106</v>
      </c>
      <c r="C87" s="11" t="s">
        <v>1929</v>
      </c>
      <c r="D87" s="11" t="b">
        <f aca="false">FALSE()</f>
        <v>0</v>
      </c>
      <c r="E87" s="11" t="b">
        <f aca="false">FALSE()</f>
        <v>0</v>
      </c>
      <c r="F87" s="11" t="s">
        <v>1978</v>
      </c>
      <c r="G87" s="11" t="s">
        <v>1979</v>
      </c>
      <c r="H87" s="11" t="s">
        <v>1980</v>
      </c>
      <c r="I87" s="11" t="s">
        <v>1981</v>
      </c>
      <c r="J87" s="11" t="s">
        <v>1982</v>
      </c>
      <c r="K87" s="11" t="s">
        <v>1983</v>
      </c>
      <c r="L87" s="11" t="s">
        <v>1984</v>
      </c>
      <c r="M87" s="11" t="s">
        <v>1984</v>
      </c>
      <c r="N87" s="11" t="s">
        <v>1984</v>
      </c>
      <c r="O87" s="11" t="s">
        <v>1985</v>
      </c>
      <c r="P87" s="11" t="s">
        <v>1986</v>
      </c>
      <c r="Q87" s="11" t="s">
        <v>1987</v>
      </c>
      <c r="R87" s="11" t="s">
        <v>1988</v>
      </c>
      <c r="S87" s="11" t="s">
        <v>1988</v>
      </c>
      <c r="T87" s="11" t="s">
        <v>1988</v>
      </c>
      <c r="U87" s="11" t="s">
        <v>1988</v>
      </c>
      <c r="V87" s="11" t="s">
        <v>1989</v>
      </c>
      <c r="W87" s="11" t="s">
        <v>1990</v>
      </c>
      <c r="X87" s="11" t="s">
        <v>2463</v>
      </c>
      <c r="Y87" s="12" t="n">
        <f aca="false">COUNTIF($A$6:$A$339,A87)</f>
        <v>1</v>
      </c>
    </row>
    <row r="88" customFormat="false" ht="240" hidden="false" customHeight="true" outlineLevel="0" collapsed="false">
      <c r="A88" s="11" t="s">
        <v>2464</v>
      </c>
      <c r="B88" s="11" t="s">
        <v>1110</v>
      </c>
      <c r="C88" s="11" t="s">
        <v>1911</v>
      </c>
      <c r="D88" s="11" t="b">
        <f aca="false">TRUE()</f>
        <v>1</v>
      </c>
      <c r="E88" s="11" t="b">
        <f aca="false">FALSE()</f>
        <v>0</v>
      </c>
      <c r="F88" s="11"/>
      <c r="G88" s="11" t="s">
        <v>2465</v>
      </c>
      <c r="H88" s="11" t="s">
        <v>2466</v>
      </c>
      <c r="I88" s="11" t="s">
        <v>2467</v>
      </c>
      <c r="J88" s="11" t="s">
        <v>2468</v>
      </c>
      <c r="K88" s="11" t="s">
        <v>1712</v>
      </c>
      <c r="L88" s="11" t="s">
        <v>2469</v>
      </c>
      <c r="M88" s="11" t="s">
        <v>1917</v>
      </c>
      <c r="N88" s="11" t="s">
        <v>2470</v>
      </c>
      <c r="O88" s="11" t="s">
        <v>2471</v>
      </c>
      <c r="P88" s="11" t="s">
        <v>1920</v>
      </c>
      <c r="Q88" s="11" t="s">
        <v>2472</v>
      </c>
      <c r="R88" s="11" t="s">
        <v>2473</v>
      </c>
      <c r="S88" s="11" t="s">
        <v>2469</v>
      </c>
      <c r="T88" s="11" t="s">
        <v>2469</v>
      </c>
      <c r="U88" s="11" t="s">
        <v>1924</v>
      </c>
      <c r="V88" s="11" t="s">
        <v>1925</v>
      </c>
      <c r="W88" s="11" t="s">
        <v>1926</v>
      </c>
      <c r="X88" s="11" t="s">
        <v>2474</v>
      </c>
      <c r="Y88" s="12" t="n">
        <f aca="false">COUNTIF($A$6:$A$339,A88)</f>
        <v>1</v>
      </c>
    </row>
    <row r="89" customFormat="false" ht="240" hidden="false" customHeight="true" outlineLevel="0" collapsed="false">
      <c r="A89" s="11" t="s">
        <v>2475</v>
      </c>
      <c r="B89" s="11" t="s">
        <v>1110</v>
      </c>
      <c r="C89" s="11" t="s">
        <v>1929</v>
      </c>
      <c r="D89" s="11" t="b">
        <f aca="false">TRUE()</f>
        <v>1</v>
      </c>
      <c r="E89" s="11" t="b">
        <f aca="false">FALSE()</f>
        <v>0</v>
      </c>
      <c r="F89" s="11"/>
      <c r="G89" s="11" t="s">
        <v>2465</v>
      </c>
      <c r="H89" s="11" t="s">
        <v>2466</v>
      </c>
      <c r="I89" s="11" t="s">
        <v>2467</v>
      </c>
      <c r="J89" s="11" t="s">
        <v>2468</v>
      </c>
      <c r="K89" s="11" t="s">
        <v>1713</v>
      </c>
      <c r="L89" s="11" t="s">
        <v>2476</v>
      </c>
      <c r="M89" s="11" t="s">
        <v>1931</v>
      </c>
      <c r="N89" s="11" t="s">
        <v>2470</v>
      </c>
      <c r="O89" s="11" t="s">
        <v>2471</v>
      </c>
      <c r="P89" s="11" t="s">
        <v>1920</v>
      </c>
      <c r="Q89" s="11" t="s">
        <v>2472</v>
      </c>
      <c r="R89" s="11" t="s">
        <v>2473</v>
      </c>
      <c r="S89" s="11" t="s">
        <v>2469</v>
      </c>
      <c r="T89" s="11" t="s">
        <v>2469</v>
      </c>
      <c r="U89" s="11" t="s">
        <v>1932</v>
      </c>
      <c r="V89" s="11" t="s">
        <v>1925</v>
      </c>
      <c r="W89" s="11" t="s">
        <v>1926</v>
      </c>
      <c r="X89" s="11" t="s">
        <v>2477</v>
      </c>
      <c r="Y89" s="12" t="n">
        <f aca="false">COUNTIF($A$6:$A$339,A89)</f>
        <v>1</v>
      </c>
    </row>
    <row r="90" customFormat="false" ht="240" hidden="false" customHeight="true" outlineLevel="0" collapsed="false">
      <c r="A90" s="11" t="s">
        <v>2478</v>
      </c>
      <c r="B90" s="11" t="s">
        <v>1113</v>
      </c>
      <c r="C90" s="11" t="s">
        <v>1911</v>
      </c>
      <c r="D90" s="11" t="b">
        <f aca="false">TRUE()</f>
        <v>1</v>
      </c>
      <c r="E90" s="11" t="b">
        <f aca="false">FALSE()</f>
        <v>0</v>
      </c>
      <c r="F90" s="11"/>
      <c r="G90" s="11" t="s">
        <v>2479</v>
      </c>
      <c r="H90" s="11" t="s">
        <v>2480</v>
      </c>
      <c r="I90" s="11" t="s">
        <v>2481</v>
      </c>
      <c r="J90" s="11" t="s">
        <v>2198</v>
      </c>
      <c r="K90" s="11" t="s">
        <v>1714</v>
      </c>
      <c r="L90" s="11" t="s">
        <v>2482</v>
      </c>
      <c r="M90" s="11" t="s">
        <v>1917</v>
      </c>
      <c r="N90" s="11" t="s">
        <v>2483</v>
      </c>
      <c r="O90" s="11" t="s">
        <v>2484</v>
      </c>
      <c r="P90" s="11" t="s">
        <v>1920</v>
      </c>
      <c r="Q90" s="11" t="s">
        <v>2485</v>
      </c>
      <c r="R90" s="11" t="s">
        <v>2486</v>
      </c>
      <c r="S90" s="11" t="s">
        <v>2482</v>
      </c>
      <c r="T90" s="11" t="s">
        <v>2482</v>
      </c>
      <c r="U90" s="11" t="s">
        <v>1924</v>
      </c>
      <c r="V90" s="11" t="s">
        <v>1925</v>
      </c>
      <c r="W90" s="11" t="s">
        <v>1926</v>
      </c>
      <c r="X90" s="11" t="s">
        <v>2487</v>
      </c>
      <c r="Y90" s="12" t="n">
        <f aca="false">COUNTIF($A$6:$A$339,A90)</f>
        <v>1</v>
      </c>
    </row>
    <row r="91" customFormat="false" ht="240" hidden="false" customHeight="true" outlineLevel="0" collapsed="false">
      <c r="A91" s="11" t="s">
        <v>2488</v>
      </c>
      <c r="B91" s="11" t="s">
        <v>1113</v>
      </c>
      <c r="C91" s="11" t="s">
        <v>1929</v>
      </c>
      <c r="D91" s="11" t="b">
        <f aca="false">FALSE()</f>
        <v>0</v>
      </c>
      <c r="E91" s="11" t="b">
        <f aca="false">FALSE()</f>
        <v>0</v>
      </c>
      <c r="F91" s="11" t="s">
        <v>1978</v>
      </c>
      <c r="G91" s="11" t="s">
        <v>1979</v>
      </c>
      <c r="H91" s="11" t="s">
        <v>1980</v>
      </c>
      <c r="I91" s="11" t="s">
        <v>1981</v>
      </c>
      <c r="J91" s="11" t="s">
        <v>1982</v>
      </c>
      <c r="K91" s="11" t="s">
        <v>1983</v>
      </c>
      <c r="L91" s="11" t="s">
        <v>1984</v>
      </c>
      <c r="M91" s="11" t="s">
        <v>1984</v>
      </c>
      <c r="N91" s="11" t="s">
        <v>1984</v>
      </c>
      <c r="O91" s="11" t="s">
        <v>1985</v>
      </c>
      <c r="P91" s="11" t="s">
        <v>1986</v>
      </c>
      <c r="Q91" s="11" t="s">
        <v>1987</v>
      </c>
      <c r="R91" s="11" t="s">
        <v>1988</v>
      </c>
      <c r="S91" s="11" t="s">
        <v>1988</v>
      </c>
      <c r="T91" s="11" t="s">
        <v>1988</v>
      </c>
      <c r="U91" s="11" t="s">
        <v>1988</v>
      </c>
      <c r="V91" s="11" t="s">
        <v>1989</v>
      </c>
      <c r="W91" s="11" t="s">
        <v>1990</v>
      </c>
      <c r="X91" s="11" t="s">
        <v>2489</v>
      </c>
      <c r="Y91" s="12" t="n">
        <f aca="false">COUNTIF($A$6:$A$339,A91)</f>
        <v>1</v>
      </c>
    </row>
    <row r="92" customFormat="false" ht="240" hidden="false" customHeight="true" outlineLevel="0" collapsed="false">
      <c r="A92" s="11" t="s">
        <v>2490</v>
      </c>
      <c r="B92" s="11" t="s">
        <v>1117</v>
      </c>
      <c r="C92" s="11" t="s">
        <v>1911</v>
      </c>
      <c r="D92" s="11" t="b">
        <f aca="false">TRUE()</f>
        <v>1</v>
      </c>
      <c r="E92" s="11" t="b">
        <f aca="false">TRUE()</f>
        <v>1</v>
      </c>
      <c r="F92" s="11"/>
      <c r="G92" s="11" t="s">
        <v>2491</v>
      </c>
      <c r="H92" s="11" t="s">
        <v>2492</v>
      </c>
      <c r="I92" s="11" t="s">
        <v>2493</v>
      </c>
      <c r="J92" s="11" t="s">
        <v>2494</v>
      </c>
      <c r="K92" s="11" t="s">
        <v>1715</v>
      </c>
      <c r="L92" s="11" t="s">
        <v>2495</v>
      </c>
      <c r="M92" s="11" t="s">
        <v>1917</v>
      </c>
      <c r="N92" s="11" t="s">
        <v>2491</v>
      </c>
      <c r="O92" s="11" t="s">
        <v>2493</v>
      </c>
      <c r="P92" s="11" t="s">
        <v>1920</v>
      </c>
      <c r="Q92" s="11" t="s">
        <v>2496</v>
      </c>
      <c r="R92" s="11" t="s">
        <v>2497</v>
      </c>
      <c r="S92" s="11" t="s">
        <v>2498</v>
      </c>
      <c r="T92" s="11" t="s">
        <v>2498</v>
      </c>
      <c r="U92" s="11" t="s">
        <v>1924</v>
      </c>
      <c r="V92" s="11" t="s">
        <v>1925</v>
      </c>
      <c r="W92" s="11" t="s">
        <v>1926</v>
      </c>
      <c r="X92" s="11" t="s">
        <v>2499</v>
      </c>
      <c r="Y92" s="12" t="n">
        <f aca="false">COUNTIF($A$6:$A$339,A92)</f>
        <v>1</v>
      </c>
    </row>
    <row r="93" customFormat="false" ht="240" hidden="false" customHeight="true" outlineLevel="0" collapsed="false">
      <c r="A93" s="11" t="s">
        <v>2500</v>
      </c>
      <c r="B93" s="11" t="s">
        <v>1117</v>
      </c>
      <c r="C93" s="11" t="s">
        <v>1929</v>
      </c>
      <c r="D93" s="11" t="b">
        <f aca="false">FALSE()</f>
        <v>0</v>
      </c>
      <c r="E93" s="11" t="b">
        <f aca="false">FALSE()</f>
        <v>0</v>
      </c>
      <c r="F93" s="11" t="s">
        <v>1978</v>
      </c>
      <c r="G93" s="11" t="s">
        <v>1979</v>
      </c>
      <c r="H93" s="11" t="s">
        <v>1980</v>
      </c>
      <c r="I93" s="11" t="s">
        <v>1981</v>
      </c>
      <c r="J93" s="11" t="s">
        <v>1982</v>
      </c>
      <c r="K93" s="11" t="s">
        <v>1983</v>
      </c>
      <c r="L93" s="11" t="s">
        <v>1984</v>
      </c>
      <c r="M93" s="11" t="s">
        <v>1984</v>
      </c>
      <c r="N93" s="11" t="s">
        <v>1984</v>
      </c>
      <c r="O93" s="11" t="s">
        <v>1985</v>
      </c>
      <c r="P93" s="11" t="s">
        <v>1986</v>
      </c>
      <c r="Q93" s="11" t="s">
        <v>1987</v>
      </c>
      <c r="R93" s="11" t="s">
        <v>1988</v>
      </c>
      <c r="S93" s="11" t="s">
        <v>1988</v>
      </c>
      <c r="T93" s="11" t="s">
        <v>1988</v>
      </c>
      <c r="U93" s="11" t="s">
        <v>1988</v>
      </c>
      <c r="V93" s="11" t="s">
        <v>1989</v>
      </c>
      <c r="W93" s="11" t="s">
        <v>1990</v>
      </c>
      <c r="X93" s="11" t="s">
        <v>2501</v>
      </c>
      <c r="Y93" s="12" t="n">
        <f aca="false">COUNTIF($A$6:$A$339,A93)</f>
        <v>1</v>
      </c>
    </row>
    <row r="94" customFormat="false" ht="240" hidden="false" customHeight="true" outlineLevel="0" collapsed="false">
      <c r="A94" s="11" t="s">
        <v>2502</v>
      </c>
      <c r="B94" s="11" t="s">
        <v>1121</v>
      </c>
      <c r="C94" s="11" t="s">
        <v>1911</v>
      </c>
      <c r="D94" s="11" t="b">
        <f aca="false">TRUE()</f>
        <v>1</v>
      </c>
      <c r="E94" s="11" t="b">
        <f aca="false">FALSE()</f>
        <v>0</v>
      </c>
      <c r="F94" s="11"/>
      <c r="G94" s="11" t="s">
        <v>2503</v>
      </c>
      <c r="H94" s="11" t="s">
        <v>2504</v>
      </c>
      <c r="I94" s="11" t="s">
        <v>2505</v>
      </c>
      <c r="J94" s="11" t="s">
        <v>2506</v>
      </c>
      <c r="K94" s="11" t="s">
        <v>1716</v>
      </c>
      <c r="L94" s="11" t="s">
        <v>2199</v>
      </c>
      <c r="M94" s="11" t="s">
        <v>1917</v>
      </c>
      <c r="N94" s="11" t="s">
        <v>2186</v>
      </c>
      <c r="O94" s="11" t="s">
        <v>2187</v>
      </c>
      <c r="P94" s="11" t="s">
        <v>1920</v>
      </c>
      <c r="Q94" s="11" t="s">
        <v>2507</v>
      </c>
      <c r="R94" s="11" t="s">
        <v>2508</v>
      </c>
      <c r="S94" s="11" t="s">
        <v>1959</v>
      </c>
      <c r="T94" s="11" t="s">
        <v>1960</v>
      </c>
      <c r="U94" s="11" t="s">
        <v>1924</v>
      </c>
      <c r="V94" s="11" t="s">
        <v>1925</v>
      </c>
      <c r="W94" s="11" t="s">
        <v>1926</v>
      </c>
      <c r="X94" s="11" t="s">
        <v>2509</v>
      </c>
      <c r="Y94" s="12" t="n">
        <f aca="false">COUNTIF($A$6:$A$339,A94)</f>
        <v>1</v>
      </c>
    </row>
    <row r="95" customFormat="false" ht="240" hidden="false" customHeight="true" outlineLevel="0" collapsed="false">
      <c r="A95" s="11" t="s">
        <v>2510</v>
      </c>
      <c r="B95" s="11" t="s">
        <v>1121</v>
      </c>
      <c r="C95" s="11" t="s">
        <v>1929</v>
      </c>
      <c r="D95" s="11" t="b">
        <f aca="false">TRUE()</f>
        <v>1</v>
      </c>
      <c r="E95" s="11" t="b">
        <f aca="false">FALSE()</f>
        <v>0</v>
      </c>
      <c r="F95" s="11"/>
      <c r="G95" s="11" t="s">
        <v>2503</v>
      </c>
      <c r="H95" s="11" t="s">
        <v>2504</v>
      </c>
      <c r="I95" s="11" t="s">
        <v>2505</v>
      </c>
      <c r="J95" s="11" t="s">
        <v>2506</v>
      </c>
      <c r="K95" s="11" t="s">
        <v>1717</v>
      </c>
      <c r="L95" s="11" t="s">
        <v>2204</v>
      </c>
      <c r="M95" s="11" t="s">
        <v>1931</v>
      </c>
      <c r="N95" s="11" t="s">
        <v>2186</v>
      </c>
      <c r="O95" s="11" t="s">
        <v>2187</v>
      </c>
      <c r="P95" s="11" t="s">
        <v>1920</v>
      </c>
      <c r="Q95" s="11" t="s">
        <v>2507</v>
      </c>
      <c r="R95" s="11" t="s">
        <v>2508</v>
      </c>
      <c r="S95" s="11" t="s">
        <v>1959</v>
      </c>
      <c r="T95" s="11" t="s">
        <v>1960</v>
      </c>
      <c r="U95" s="11" t="s">
        <v>1932</v>
      </c>
      <c r="V95" s="11" t="s">
        <v>1925</v>
      </c>
      <c r="W95" s="11" t="s">
        <v>1926</v>
      </c>
      <c r="X95" s="11" t="s">
        <v>2511</v>
      </c>
      <c r="Y95" s="12" t="n">
        <f aca="false">COUNTIF($A$6:$A$339,A95)</f>
        <v>1</v>
      </c>
    </row>
    <row r="96" customFormat="false" ht="240" hidden="false" customHeight="true" outlineLevel="0" collapsed="false">
      <c r="A96" s="11" t="s">
        <v>2512</v>
      </c>
      <c r="B96" s="11" t="s">
        <v>1124</v>
      </c>
      <c r="C96" s="11" t="s">
        <v>1911</v>
      </c>
      <c r="D96" s="11" t="b">
        <f aca="false">TRUE()</f>
        <v>1</v>
      </c>
      <c r="E96" s="11" t="b">
        <f aca="false">TRUE()</f>
        <v>1</v>
      </c>
      <c r="F96" s="11"/>
      <c r="G96" s="11" t="s">
        <v>2513</v>
      </c>
      <c r="H96" s="11" t="s">
        <v>2514</v>
      </c>
      <c r="I96" s="11" t="s">
        <v>2515</v>
      </c>
      <c r="J96" s="11" t="s">
        <v>2198</v>
      </c>
      <c r="K96" s="11" t="s">
        <v>1718</v>
      </c>
      <c r="L96" s="11" t="s">
        <v>2516</v>
      </c>
      <c r="M96" s="11" t="s">
        <v>1917</v>
      </c>
      <c r="N96" s="11" t="s">
        <v>2517</v>
      </c>
      <c r="O96" s="11" t="s">
        <v>2187</v>
      </c>
      <c r="P96" s="11" t="s">
        <v>1920</v>
      </c>
      <c r="Q96" s="11" t="s">
        <v>2518</v>
      </c>
      <c r="R96" s="11" t="s">
        <v>2519</v>
      </c>
      <c r="S96" s="11" t="s">
        <v>2520</v>
      </c>
      <c r="T96" s="11" t="s">
        <v>2520</v>
      </c>
      <c r="U96" s="11" t="s">
        <v>1924</v>
      </c>
      <c r="V96" s="11" t="s">
        <v>1925</v>
      </c>
      <c r="W96" s="11" t="s">
        <v>1926</v>
      </c>
      <c r="X96" s="11" t="s">
        <v>2521</v>
      </c>
      <c r="Y96" s="12" t="n">
        <f aca="false">COUNTIF($A$6:$A$339,A96)</f>
        <v>1</v>
      </c>
    </row>
    <row r="97" customFormat="false" ht="240" hidden="false" customHeight="true" outlineLevel="0" collapsed="false">
      <c r="A97" s="11" t="s">
        <v>2522</v>
      </c>
      <c r="B97" s="11" t="s">
        <v>1124</v>
      </c>
      <c r="C97" s="11" t="s">
        <v>1929</v>
      </c>
      <c r="D97" s="11" t="b">
        <f aca="false">FALSE()</f>
        <v>0</v>
      </c>
      <c r="E97" s="11" t="b">
        <f aca="false">FALSE()</f>
        <v>0</v>
      </c>
      <c r="F97" s="11" t="s">
        <v>1978</v>
      </c>
      <c r="G97" s="11" t="s">
        <v>1979</v>
      </c>
      <c r="H97" s="11" t="s">
        <v>1980</v>
      </c>
      <c r="I97" s="11" t="s">
        <v>1981</v>
      </c>
      <c r="J97" s="11" t="s">
        <v>1982</v>
      </c>
      <c r="K97" s="11" t="s">
        <v>1983</v>
      </c>
      <c r="L97" s="11" t="s">
        <v>1984</v>
      </c>
      <c r="M97" s="11" t="s">
        <v>1984</v>
      </c>
      <c r="N97" s="11" t="s">
        <v>1984</v>
      </c>
      <c r="O97" s="11" t="s">
        <v>1985</v>
      </c>
      <c r="P97" s="11" t="s">
        <v>1986</v>
      </c>
      <c r="Q97" s="11" t="s">
        <v>1987</v>
      </c>
      <c r="R97" s="11" t="s">
        <v>1988</v>
      </c>
      <c r="S97" s="11" t="s">
        <v>1988</v>
      </c>
      <c r="T97" s="11" t="s">
        <v>1988</v>
      </c>
      <c r="U97" s="11" t="s">
        <v>1988</v>
      </c>
      <c r="V97" s="11" t="s">
        <v>1989</v>
      </c>
      <c r="W97" s="11" t="s">
        <v>1990</v>
      </c>
      <c r="X97" s="11" t="s">
        <v>2523</v>
      </c>
      <c r="Y97" s="12" t="n">
        <f aca="false">COUNTIF($A$6:$A$339,A97)</f>
        <v>1</v>
      </c>
    </row>
    <row r="98" customFormat="false" ht="240" hidden="false" customHeight="true" outlineLevel="0" collapsed="false">
      <c r="A98" s="11" t="s">
        <v>2524</v>
      </c>
      <c r="B98" s="11" t="s">
        <v>1128</v>
      </c>
      <c r="C98" s="11" t="s">
        <v>1911</v>
      </c>
      <c r="D98" s="11" t="b">
        <f aca="false">TRUE()</f>
        <v>1</v>
      </c>
      <c r="E98" s="11" t="b">
        <f aca="false">FALSE()</f>
        <v>0</v>
      </c>
      <c r="F98" s="11"/>
      <c r="G98" s="11" t="s">
        <v>2525</v>
      </c>
      <c r="H98" s="11" t="s">
        <v>2526</v>
      </c>
      <c r="I98" s="11" t="s">
        <v>2527</v>
      </c>
      <c r="J98" s="11" t="s">
        <v>2198</v>
      </c>
      <c r="K98" s="11" t="s">
        <v>1719</v>
      </c>
      <c r="L98" s="11" t="s">
        <v>2199</v>
      </c>
      <c r="M98" s="11" t="s">
        <v>1917</v>
      </c>
      <c r="N98" s="11" t="s">
        <v>2186</v>
      </c>
      <c r="O98" s="11" t="s">
        <v>2187</v>
      </c>
      <c r="P98" s="11" t="s">
        <v>1920</v>
      </c>
      <c r="Q98" s="11" t="s">
        <v>2528</v>
      </c>
      <c r="R98" s="11" t="s">
        <v>2529</v>
      </c>
      <c r="S98" s="11" t="s">
        <v>1959</v>
      </c>
      <c r="T98" s="11" t="s">
        <v>1960</v>
      </c>
      <c r="U98" s="11" t="s">
        <v>1924</v>
      </c>
      <c r="V98" s="11" t="s">
        <v>1925</v>
      </c>
      <c r="W98" s="11" t="s">
        <v>1926</v>
      </c>
      <c r="X98" s="11" t="s">
        <v>2530</v>
      </c>
      <c r="Y98" s="12" t="n">
        <f aca="false">COUNTIF($A$6:$A$339,A98)</f>
        <v>1</v>
      </c>
    </row>
    <row r="99" customFormat="false" ht="240" hidden="false" customHeight="true" outlineLevel="0" collapsed="false">
      <c r="A99" s="11" t="s">
        <v>2531</v>
      </c>
      <c r="B99" s="11" t="s">
        <v>1128</v>
      </c>
      <c r="C99" s="11" t="s">
        <v>1929</v>
      </c>
      <c r="D99" s="11" t="b">
        <f aca="false">TRUE()</f>
        <v>1</v>
      </c>
      <c r="E99" s="11" t="b">
        <f aca="false">FALSE()</f>
        <v>0</v>
      </c>
      <c r="F99" s="11"/>
      <c r="G99" s="11" t="s">
        <v>2525</v>
      </c>
      <c r="H99" s="11" t="s">
        <v>2526</v>
      </c>
      <c r="I99" s="11" t="s">
        <v>2527</v>
      </c>
      <c r="J99" s="11" t="s">
        <v>2198</v>
      </c>
      <c r="K99" s="11" t="s">
        <v>1720</v>
      </c>
      <c r="L99" s="11" t="s">
        <v>2204</v>
      </c>
      <c r="M99" s="11" t="s">
        <v>1931</v>
      </c>
      <c r="N99" s="11" t="s">
        <v>2186</v>
      </c>
      <c r="O99" s="11" t="s">
        <v>2187</v>
      </c>
      <c r="P99" s="11" t="s">
        <v>1920</v>
      </c>
      <c r="Q99" s="11" t="s">
        <v>2528</v>
      </c>
      <c r="R99" s="11" t="s">
        <v>2529</v>
      </c>
      <c r="S99" s="11" t="s">
        <v>1959</v>
      </c>
      <c r="T99" s="11" t="s">
        <v>1960</v>
      </c>
      <c r="U99" s="11" t="s">
        <v>1932</v>
      </c>
      <c r="V99" s="11" t="s">
        <v>1925</v>
      </c>
      <c r="W99" s="11" t="s">
        <v>1926</v>
      </c>
      <c r="X99" s="11" t="s">
        <v>2532</v>
      </c>
      <c r="Y99" s="12" t="n">
        <f aca="false">COUNTIF($A$6:$A$339,A99)</f>
        <v>1</v>
      </c>
    </row>
    <row r="100" customFormat="false" ht="240" hidden="false" customHeight="true" outlineLevel="0" collapsed="false">
      <c r="A100" s="11" t="s">
        <v>2533</v>
      </c>
      <c r="B100" s="11" t="s">
        <v>1133</v>
      </c>
      <c r="C100" s="11" t="s">
        <v>1911</v>
      </c>
      <c r="D100" s="11" t="b">
        <f aca="false">TRUE()</f>
        <v>1</v>
      </c>
      <c r="E100" s="11" t="b">
        <f aca="false">FALSE()</f>
        <v>0</v>
      </c>
      <c r="F100" s="11"/>
      <c r="G100" s="11" t="s">
        <v>2534</v>
      </c>
      <c r="H100" s="11" t="s">
        <v>2535</v>
      </c>
      <c r="I100" s="11" t="s">
        <v>2536</v>
      </c>
      <c r="J100" s="11" t="s">
        <v>2198</v>
      </c>
      <c r="K100" s="11" t="s">
        <v>1721</v>
      </c>
      <c r="L100" s="11" t="s">
        <v>2199</v>
      </c>
      <c r="M100" s="11" t="s">
        <v>1917</v>
      </c>
      <c r="N100" s="11" t="s">
        <v>2186</v>
      </c>
      <c r="O100" s="11" t="s">
        <v>2187</v>
      </c>
      <c r="P100" s="11" t="s">
        <v>1920</v>
      </c>
      <c r="Q100" s="11" t="s">
        <v>2537</v>
      </c>
      <c r="R100" s="11" t="s">
        <v>2538</v>
      </c>
      <c r="S100" s="11" t="s">
        <v>1959</v>
      </c>
      <c r="T100" s="11" t="s">
        <v>1960</v>
      </c>
      <c r="U100" s="11" t="s">
        <v>1924</v>
      </c>
      <c r="V100" s="11" t="s">
        <v>2539</v>
      </c>
      <c r="W100" s="11" t="s">
        <v>1926</v>
      </c>
      <c r="X100" s="11" t="s">
        <v>2540</v>
      </c>
      <c r="Y100" s="12" t="n">
        <f aca="false">COUNTIF($A$6:$A$339,A100)</f>
        <v>1</v>
      </c>
    </row>
    <row r="101" customFormat="false" ht="240" hidden="false" customHeight="true" outlineLevel="0" collapsed="false">
      <c r="A101" s="11" t="s">
        <v>2541</v>
      </c>
      <c r="B101" s="11" t="s">
        <v>1133</v>
      </c>
      <c r="C101" s="11" t="s">
        <v>1929</v>
      </c>
      <c r="D101" s="11" t="b">
        <f aca="false">TRUE()</f>
        <v>1</v>
      </c>
      <c r="E101" s="11" t="b">
        <f aca="false">FALSE()</f>
        <v>0</v>
      </c>
      <c r="F101" s="11"/>
      <c r="G101" s="11" t="s">
        <v>2534</v>
      </c>
      <c r="H101" s="11" t="s">
        <v>2535</v>
      </c>
      <c r="I101" s="11" t="s">
        <v>2536</v>
      </c>
      <c r="J101" s="11" t="s">
        <v>2198</v>
      </c>
      <c r="K101" s="11" t="s">
        <v>1722</v>
      </c>
      <c r="L101" s="11" t="s">
        <v>2204</v>
      </c>
      <c r="M101" s="11" t="s">
        <v>1931</v>
      </c>
      <c r="N101" s="11" t="s">
        <v>2186</v>
      </c>
      <c r="O101" s="11" t="s">
        <v>2187</v>
      </c>
      <c r="P101" s="11" t="s">
        <v>1920</v>
      </c>
      <c r="Q101" s="11" t="s">
        <v>2537</v>
      </c>
      <c r="R101" s="11" t="s">
        <v>2538</v>
      </c>
      <c r="S101" s="11" t="s">
        <v>1959</v>
      </c>
      <c r="T101" s="11" t="s">
        <v>1960</v>
      </c>
      <c r="U101" s="11" t="s">
        <v>1932</v>
      </c>
      <c r="V101" s="11" t="s">
        <v>2539</v>
      </c>
      <c r="W101" s="11" t="s">
        <v>1926</v>
      </c>
      <c r="X101" s="11" t="s">
        <v>2542</v>
      </c>
      <c r="Y101" s="12" t="n">
        <f aca="false">COUNTIF($A$6:$A$339,A101)</f>
        <v>1</v>
      </c>
    </row>
    <row r="102" customFormat="false" ht="240" hidden="false" customHeight="true" outlineLevel="0" collapsed="false">
      <c r="A102" s="11" t="s">
        <v>2543</v>
      </c>
      <c r="B102" s="11" t="s">
        <v>1138</v>
      </c>
      <c r="C102" s="11" t="s">
        <v>1911</v>
      </c>
      <c r="D102" s="11" t="b">
        <f aca="false">TRUE()</f>
        <v>1</v>
      </c>
      <c r="E102" s="11" t="b">
        <f aca="false">TRUE()</f>
        <v>1</v>
      </c>
      <c r="F102" s="11"/>
      <c r="G102" s="11" t="s">
        <v>2544</v>
      </c>
      <c r="H102" s="11" t="s">
        <v>2545</v>
      </c>
      <c r="I102" s="11" t="s">
        <v>2546</v>
      </c>
      <c r="J102" s="11" t="s">
        <v>2547</v>
      </c>
      <c r="K102" s="11" t="s">
        <v>1723</v>
      </c>
      <c r="L102" s="11" t="s">
        <v>2548</v>
      </c>
      <c r="M102" s="11" t="s">
        <v>1917</v>
      </c>
      <c r="N102" s="11" t="s">
        <v>2549</v>
      </c>
      <c r="O102" s="11" t="s">
        <v>2550</v>
      </c>
      <c r="P102" s="11" t="s">
        <v>1920</v>
      </c>
      <c r="Q102" s="11" t="s">
        <v>2551</v>
      </c>
      <c r="R102" s="11" t="s">
        <v>2552</v>
      </c>
      <c r="S102" s="11" t="s">
        <v>2553</v>
      </c>
      <c r="T102" s="11" t="s">
        <v>2553</v>
      </c>
      <c r="U102" s="11" t="s">
        <v>1924</v>
      </c>
      <c r="V102" s="11" t="s">
        <v>1925</v>
      </c>
      <c r="W102" s="11" t="s">
        <v>1926</v>
      </c>
      <c r="X102" s="11" t="s">
        <v>2554</v>
      </c>
      <c r="Y102" s="12" t="n">
        <f aca="false">COUNTIF($A$6:$A$339,A102)</f>
        <v>1</v>
      </c>
    </row>
    <row r="103" customFormat="false" ht="240" hidden="false" customHeight="true" outlineLevel="0" collapsed="false">
      <c r="A103" s="11" t="s">
        <v>2555</v>
      </c>
      <c r="B103" s="11" t="s">
        <v>1138</v>
      </c>
      <c r="C103" s="11" t="s">
        <v>1929</v>
      </c>
      <c r="D103" s="11" t="b">
        <f aca="false">TRUE()</f>
        <v>1</v>
      </c>
      <c r="E103" s="11" t="b">
        <f aca="false">TRUE()</f>
        <v>1</v>
      </c>
      <c r="F103" s="11"/>
      <c r="G103" s="11" t="s">
        <v>2544</v>
      </c>
      <c r="H103" s="11" t="s">
        <v>2545</v>
      </c>
      <c r="I103" s="11" t="s">
        <v>2546</v>
      </c>
      <c r="J103" s="11" t="s">
        <v>2547</v>
      </c>
      <c r="K103" s="11" t="s">
        <v>1724</v>
      </c>
      <c r="L103" s="11" t="s">
        <v>2556</v>
      </c>
      <c r="M103" s="11" t="s">
        <v>1931</v>
      </c>
      <c r="N103" s="11" t="s">
        <v>2549</v>
      </c>
      <c r="O103" s="11" t="s">
        <v>2550</v>
      </c>
      <c r="P103" s="11" t="s">
        <v>1920</v>
      </c>
      <c r="Q103" s="11" t="s">
        <v>2551</v>
      </c>
      <c r="R103" s="11" t="s">
        <v>2552</v>
      </c>
      <c r="S103" s="11" t="s">
        <v>2553</v>
      </c>
      <c r="T103" s="11" t="s">
        <v>2553</v>
      </c>
      <c r="U103" s="11" t="s">
        <v>1932</v>
      </c>
      <c r="V103" s="11" t="s">
        <v>1925</v>
      </c>
      <c r="W103" s="11" t="s">
        <v>1926</v>
      </c>
      <c r="X103" s="11" t="s">
        <v>2557</v>
      </c>
      <c r="Y103" s="12" t="n">
        <f aca="false">COUNTIF($A$6:$A$339,A103)</f>
        <v>1</v>
      </c>
    </row>
    <row r="104" customFormat="false" ht="240" hidden="false" customHeight="true" outlineLevel="0" collapsed="false">
      <c r="A104" s="11" t="s">
        <v>2558</v>
      </c>
      <c r="B104" s="11" t="s">
        <v>1142</v>
      </c>
      <c r="C104" s="11" t="s">
        <v>1911</v>
      </c>
      <c r="D104" s="11" t="b">
        <f aca="false">TRUE()</f>
        <v>1</v>
      </c>
      <c r="E104" s="11" t="b">
        <f aca="false">TRUE()</f>
        <v>1</v>
      </c>
      <c r="F104" s="11"/>
      <c r="G104" s="11" t="s">
        <v>2559</v>
      </c>
      <c r="H104" s="11" t="s">
        <v>2560</v>
      </c>
      <c r="I104" s="11" t="s">
        <v>2561</v>
      </c>
      <c r="J104" s="11" t="s">
        <v>2562</v>
      </c>
      <c r="K104" s="11" t="s">
        <v>1725</v>
      </c>
      <c r="L104" s="11" t="s">
        <v>2563</v>
      </c>
      <c r="M104" s="11" t="s">
        <v>1917</v>
      </c>
      <c r="N104" s="11" t="s">
        <v>2564</v>
      </c>
      <c r="O104" s="11" t="s">
        <v>2565</v>
      </c>
      <c r="P104" s="11" t="s">
        <v>1920</v>
      </c>
      <c r="Q104" s="11" t="s">
        <v>2566</v>
      </c>
      <c r="R104" s="11" t="s">
        <v>2567</v>
      </c>
      <c r="S104" s="11" t="s">
        <v>2566</v>
      </c>
      <c r="T104" s="11" t="s">
        <v>2566</v>
      </c>
      <c r="U104" s="11" t="s">
        <v>1924</v>
      </c>
      <c r="V104" s="11" t="s">
        <v>1925</v>
      </c>
      <c r="W104" s="11" t="s">
        <v>1926</v>
      </c>
      <c r="X104" s="11" t="s">
        <v>2568</v>
      </c>
      <c r="Y104" s="12" t="n">
        <f aca="false">COUNTIF($A$6:$A$339,A104)</f>
        <v>1</v>
      </c>
    </row>
    <row r="105" customFormat="false" ht="240" hidden="false" customHeight="true" outlineLevel="0" collapsed="false">
      <c r="A105" s="11" t="s">
        <v>2569</v>
      </c>
      <c r="B105" s="11" t="s">
        <v>1142</v>
      </c>
      <c r="C105" s="11" t="s">
        <v>1929</v>
      </c>
      <c r="D105" s="11" t="b">
        <f aca="false">FALSE()</f>
        <v>0</v>
      </c>
      <c r="E105" s="11" t="b">
        <f aca="false">FALSE()</f>
        <v>0</v>
      </c>
      <c r="F105" s="11" t="s">
        <v>1978</v>
      </c>
      <c r="G105" s="11" t="s">
        <v>1979</v>
      </c>
      <c r="H105" s="11" t="s">
        <v>1980</v>
      </c>
      <c r="I105" s="11" t="s">
        <v>1981</v>
      </c>
      <c r="J105" s="11" t="s">
        <v>1982</v>
      </c>
      <c r="K105" s="11" t="s">
        <v>1983</v>
      </c>
      <c r="L105" s="11" t="s">
        <v>1984</v>
      </c>
      <c r="M105" s="11" t="s">
        <v>1984</v>
      </c>
      <c r="N105" s="11" t="s">
        <v>1984</v>
      </c>
      <c r="O105" s="11" t="s">
        <v>1985</v>
      </c>
      <c r="P105" s="11" t="s">
        <v>1986</v>
      </c>
      <c r="Q105" s="11" t="s">
        <v>1987</v>
      </c>
      <c r="R105" s="11" t="s">
        <v>1988</v>
      </c>
      <c r="S105" s="11" t="s">
        <v>1988</v>
      </c>
      <c r="T105" s="11" t="s">
        <v>1988</v>
      </c>
      <c r="U105" s="11" t="s">
        <v>1988</v>
      </c>
      <c r="V105" s="11" t="s">
        <v>1989</v>
      </c>
      <c r="W105" s="11" t="s">
        <v>1990</v>
      </c>
      <c r="X105" s="11" t="s">
        <v>2570</v>
      </c>
      <c r="Y105" s="12" t="n">
        <f aca="false">COUNTIF($A$6:$A$339,A105)</f>
        <v>1</v>
      </c>
    </row>
    <row r="106" customFormat="false" ht="240" hidden="false" customHeight="true" outlineLevel="0" collapsed="false">
      <c r="A106" s="11" t="s">
        <v>2571</v>
      </c>
      <c r="B106" s="11" t="s">
        <v>1146</v>
      </c>
      <c r="C106" s="11" t="s">
        <v>1911</v>
      </c>
      <c r="D106" s="11" t="b">
        <f aca="false">TRUE()</f>
        <v>1</v>
      </c>
      <c r="E106" s="11" t="b">
        <f aca="false">TRUE()</f>
        <v>1</v>
      </c>
      <c r="F106" s="11"/>
      <c r="G106" s="11" t="s">
        <v>2572</v>
      </c>
      <c r="H106" s="11" t="s">
        <v>2573</v>
      </c>
      <c r="I106" s="11" t="s">
        <v>2574</v>
      </c>
      <c r="J106" s="11" t="s">
        <v>2575</v>
      </c>
      <c r="K106" s="11" t="s">
        <v>1726</v>
      </c>
      <c r="L106" s="11" t="s">
        <v>2576</v>
      </c>
      <c r="M106" s="11" t="s">
        <v>1917</v>
      </c>
      <c r="N106" s="11" t="s">
        <v>2577</v>
      </c>
      <c r="O106" s="11" t="s">
        <v>2578</v>
      </c>
      <c r="P106" s="11" t="s">
        <v>1920</v>
      </c>
      <c r="Q106" s="11" t="s">
        <v>2579</v>
      </c>
      <c r="R106" s="11" t="s">
        <v>2580</v>
      </c>
      <c r="S106" s="11" t="s">
        <v>2581</v>
      </c>
      <c r="T106" s="11" t="s">
        <v>2581</v>
      </c>
      <c r="U106" s="11" t="s">
        <v>1924</v>
      </c>
      <c r="V106" s="11" t="s">
        <v>1925</v>
      </c>
      <c r="W106" s="11" t="s">
        <v>1926</v>
      </c>
      <c r="X106" s="11" t="s">
        <v>2582</v>
      </c>
      <c r="Y106" s="12" t="n">
        <f aca="false">COUNTIF($A$6:$A$339,A106)</f>
        <v>1</v>
      </c>
    </row>
    <row r="107" customFormat="false" ht="240" hidden="false" customHeight="true" outlineLevel="0" collapsed="false">
      <c r="A107" s="11" t="s">
        <v>2583</v>
      </c>
      <c r="B107" s="11" t="s">
        <v>1146</v>
      </c>
      <c r="C107" s="11" t="s">
        <v>1929</v>
      </c>
      <c r="D107" s="11" t="b">
        <f aca="false">TRUE()</f>
        <v>1</v>
      </c>
      <c r="E107" s="11" t="b">
        <f aca="false">TRUE()</f>
        <v>1</v>
      </c>
      <c r="F107" s="11"/>
      <c r="G107" s="11" t="s">
        <v>2572</v>
      </c>
      <c r="H107" s="11" t="s">
        <v>2573</v>
      </c>
      <c r="I107" s="11" t="s">
        <v>2574</v>
      </c>
      <c r="J107" s="11" t="s">
        <v>2575</v>
      </c>
      <c r="K107" s="11" t="s">
        <v>1727</v>
      </c>
      <c r="L107" s="11" t="s">
        <v>2584</v>
      </c>
      <c r="M107" s="11" t="s">
        <v>1931</v>
      </c>
      <c r="N107" s="11" t="s">
        <v>2577</v>
      </c>
      <c r="O107" s="11" t="s">
        <v>2578</v>
      </c>
      <c r="P107" s="11" t="s">
        <v>1920</v>
      </c>
      <c r="Q107" s="11" t="s">
        <v>2579</v>
      </c>
      <c r="R107" s="11" t="s">
        <v>2580</v>
      </c>
      <c r="S107" s="11" t="s">
        <v>2581</v>
      </c>
      <c r="T107" s="11" t="s">
        <v>2581</v>
      </c>
      <c r="U107" s="11" t="s">
        <v>1932</v>
      </c>
      <c r="V107" s="11" t="s">
        <v>1925</v>
      </c>
      <c r="W107" s="11" t="s">
        <v>1926</v>
      </c>
      <c r="X107" s="11" t="s">
        <v>2585</v>
      </c>
      <c r="Y107" s="12" t="n">
        <f aca="false">COUNTIF($A$6:$A$339,A107)</f>
        <v>1</v>
      </c>
    </row>
    <row r="108" customFormat="false" ht="240" hidden="false" customHeight="true" outlineLevel="0" collapsed="false">
      <c r="A108" s="11" t="s">
        <v>2586</v>
      </c>
      <c r="B108" s="11" t="s">
        <v>1151</v>
      </c>
      <c r="C108" s="11" t="s">
        <v>1911</v>
      </c>
      <c r="D108" s="11" t="b">
        <f aca="false">TRUE()</f>
        <v>1</v>
      </c>
      <c r="E108" s="11" t="b">
        <f aca="false">FALSE()</f>
        <v>0</v>
      </c>
      <c r="F108" s="11"/>
      <c r="G108" s="11" t="s">
        <v>2587</v>
      </c>
      <c r="H108" s="11" t="s">
        <v>2588</v>
      </c>
      <c r="I108" s="11" t="s">
        <v>2589</v>
      </c>
      <c r="J108" s="11" t="s">
        <v>2198</v>
      </c>
      <c r="K108" s="11" t="s">
        <v>1728</v>
      </c>
      <c r="L108" s="11" t="s">
        <v>2199</v>
      </c>
      <c r="M108" s="11" t="s">
        <v>1917</v>
      </c>
      <c r="N108" s="11" t="s">
        <v>2186</v>
      </c>
      <c r="O108" s="11" t="s">
        <v>2187</v>
      </c>
      <c r="P108" s="11" t="s">
        <v>1920</v>
      </c>
      <c r="Q108" s="11" t="s">
        <v>2590</v>
      </c>
      <c r="R108" s="11" t="s">
        <v>2591</v>
      </c>
      <c r="S108" s="11" t="s">
        <v>1959</v>
      </c>
      <c r="T108" s="11" t="s">
        <v>1960</v>
      </c>
      <c r="U108" s="11" t="s">
        <v>1924</v>
      </c>
      <c r="V108" s="11" t="s">
        <v>1925</v>
      </c>
      <c r="W108" s="11" t="s">
        <v>1926</v>
      </c>
      <c r="X108" s="11" t="s">
        <v>2592</v>
      </c>
      <c r="Y108" s="12" t="n">
        <f aca="false">COUNTIF($A$6:$A$339,A108)</f>
        <v>1</v>
      </c>
    </row>
    <row r="109" customFormat="false" ht="240" hidden="false" customHeight="true" outlineLevel="0" collapsed="false">
      <c r="A109" s="11" t="s">
        <v>2593</v>
      </c>
      <c r="B109" s="11" t="s">
        <v>1151</v>
      </c>
      <c r="C109" s="11" t="s">
        <v>1929</v>
      </c>
      <c r="D109" s="11" t="b">
        <f aca="false">TRUE()</f>
        <v>1</v>
      </c>
      <c r="E109" s="11" t="b">
        <f aca="false">FALSE()</f>
        <v>0</v>
      </c>
      <c r="F109" s="11"/>
      <c r="G109" s="11" t="s">
        <v>2587</v>
      </c>
      <c r="H109" s="11" t="s">
        <v>2588</v>
      </c>
      <c r="I109" s="11" t="s">
        <v>2589</v>
      </c>
      <c r="J109" s="11" t="s">
        <v>2198</v>
      </c>
      <c r="K109" s="11" t="s">
        <v>1729</v>
      </c>
      <c r="L109" s="11" t="s">
        <v>2204</v>
      </c>
      <c r="M109" s="11" t="s">
        <v>1931</v>
      </c>
      <c r="N109" s="11" t="s">
        <v>2186</v>
      </c>
      <c r="O109" s="11" t="s">
        <v>2187</v>
      </c>
      <c r="P109" s="11" t="s">
        <v>1920</v>
      </c>
      <c r="Q109" s="11" t="s">
        <v>2590</v>
      </c>
      <c r="R109" s="11" t="s">
        <v>2591</v>
      </c>
      <c r="S109" s="11" t="s">
        <v>1959</v>
      </c>
      <c r="T109" s="11" t="s">
        <v>1960</v>
      </c>
      <c r="U109" s="11" t="s">
        <v>1932</v>
      </c>
      <c r="V109" s="11" t="s">
        <v>1925</v>
      </c>
      <c r="W109" s="11" t="s">
        <v>1926</v>
      </c>
      <c r="X109" s="11" t="s">
        <v>2594</v>
      </c>
      <c r="Y109" s="12" t="n">
        <f aca="false">COUNTIF($A$6:$A$339,A109)</f>
        <v>1</v>
      </c>
    </row>
    <row r="110" customFormat="false" ht="240" hidden="false" customHeight="true" outlineLevel="0" collapsed="false">
      <c r="A110" s="11" t="s">
        <v>2595</v>
      </c>
      <c r="B110" s="11" t="s">
        <v>1154</v>
      </c>
      <c r="C110" s="11" t="s">
        <v>1911</v>
      </c>
      <c r="D110" s="11" t="b">
        <f aca="false">TRUE()</f>
        <v>1</v>
      </c>
      <c r="E110" s="11" t="b">
        <f aca="false">TRUE()</f>
        <v>1</v>
      </c>
      <c r="F110" s="11"/>
      <c r="G110" s="11" t="s">
        <v>2596</v>
      </c>
      <c r="H110" s="11" t="s">
        <v>2597</v>
      </c>
      <c r="I110" s="11" t="s">
        <v>2598</v>
      </c>
      <c r="J110" s="11" t="s">
        <v>2599</v>
      </c>
      <c r="K110" s="11" t="s">
        <v>1730</v>
      </c>
      <c r="L110" s="11" t="s">
        <v>2600</v>
      </c>
      <c r="M110" s="11" t="s">
        <v>1917</v>
      </c>
      <c r="N110" s="11" t="s">
        <v>2601</v>
      </c>
      <c r="O110" s="11" t="s">
        <v>2602</v>
      </c>
      <c r="P110" s="11" t="s">
        <v>1920</v>
      </c>
      <c r="Q110" s="11" t="s">
        <v>2603</v>
      </c>
      <c r="R110" s="11" t="s">
        <v>2604</v>
      </c>
      <c r="S110" s="11" t="s">
        <v>2605</v>
      </c>
      <c r="T110" s="11" t="s">
        <v>2605</v>
      </c>
      <c r="U110" s="11" t="s">
        <v>1924</v>
      </c>
      <c r="V110" s="11" t="s">
        <v>1925</v>
      </c>
      <c r="W110" s="11" t="s">
        <v>1926</v>
      </c>
      <c r="X110" s="11" t="s">
        <v>2606</v>
      </c>
      <c r="Y110" s="12" t="n">
        <f aca="false">COUNTIF($A$6:$A$339,A110)</f>
        <v>1</v>
      </c>
    </row>
    <row r="111" customFormat="false" ht="240" hidden="false" customHeight="true" outlineLevel="0" collapsed="false">
      <c r="A111" s="11" t="s">
        <v>2607</v>
      </c>
      <c r="B111" s="11" t="s">
        <v>1154</v>
      </c>
      <c r="C111" s="11" t="s">
        <v>1929</v>
      </c>
      <c r="D111" s="11" t="b">
        <f aca="false">TRUE()</f>
        <v>1</v>
      </c>
      <c r="E111" s="11" t="b">
        <f aca="false">TRUE()</f>
        <v>1</v>
      </c>
      <c r="F111" s="11"/>
      <c r="G111" s="11" t="s">
        <v>2596</v>
      </c>
      <c r="H111" s="11" t="s">
        <v>2597</v>
      </c>
      <c r="I111" s="11" t="s">
        <v>2598</v>
      </c>
      <c r="J111" s="11" t="s">
        <v>2599</v>
      </c>
      <c r="K111" s="11" t="s">
        <v>1731</v>
      </c>
      <c r="L111" s="11" t="s">
        <v>2608</v>
      </c>
      <c r="M111" s="11" t="s">
        <v>1931</v>
      </c>
      <c r="N111" s="11" t="s">
        <v>2601</v>
      </c>
      <c r="O111" s="11" t="s">
        <v>2602</v>
      </c>
      <c r="P111" s="11" t="s">
        <v>1920</v>
      </c>
      <c r="Q111" s="11" t="s">
        <v>2603</v>
      </c>
      <c r="R111" s="11" t="s">
        <v>2604</v>
      </c>
      <c r="S111" s="11" t="s">
        <v>2605</v>
      </c>
      <c r="T111" s="11" t="s">
        <v>2605</v>
      </c>
      <c r="U111" s="11" t="s">
        <v>1932</v>
      </c>
      <c r="V111" s="11" t="s">
        <v>1925</v>
      </c>
      <c r="W111" s="11" t="s">
        <v>1926</v>
      </c>
      <c r="X111" s="11" t="s">
        <v>2609</v>
      </c>
      <c r="Y111" s="12" t="n">
        <f aca="false">COUNTIF($A$6:$A$339,A111)</f>
        <v>1</v>
      </c>
    </row>
    <row r="112" customFormat="false" ht="240" hidden="false" customHeight="true" outlineLevel="0" collapsed="false">
      <c r="A112" s="11" t="s">
        <v>2610</v>
      </c>
      <c r="B112" s="11" t="s">
        <v>1157</v>
      </c>
      <c r="C112" s="11" t="s">
        <v>1911</v>
      </c>
      <c r="D112" s="11" t="b">
        <f aca="false">TRUE()</f>
        <v>1</v>
      </c>
      <c r="E112" s="11" t="b">
        <f aca="false">FALSE()</f>
        <v>0</v>
      </c>
      <c r="F112" s="11"/>
      <c r="G112" s="11" t="s">
        <v>2611</v>
      </c>
      <c r="H112" s="11" t="s">
        <v>2612</v>
      </c>
      <c r="I112" s="11" t="s">
        <v>2613</v>
      </c>
      <c r="J112" s="11" t="s">
        <v>2198</v>
      </c>
      <c r="K112" s="11" t="s">
        <v>1732</v>
      </c>
      <c r="L112" s="11" t="s">
        <v>2199</v>
      </c>
      <c r="M112" s="11" t="s">
        <v>1917</v>
      </c>
      <c r="N112" s="11" t="s">
        <v>2614</v>
      </c>
      <c r="O112" s="11" t="s">
        <v>2614</v>
      </c>
      <c r="P112" s="11" t="s">
        <v>1920</v>
      </c>
      <c r="Q112" s="11" t="s">
        <v>2614</v>
      </c>
      <c r="R112" s="11" t="s">
        <v>2615</v>
      </c>
      <c r="S112" s="11" t="s">
        <v>1959</v>
      </c>
      <c r="T112" s="11" t="s">
        <v>1960</v>
      </c>
      <c r="U112" s="11" t="s">
        <v>1924</v>
      </c>
      <c r="V112" s="11" t="s">
        <v>1925</v>
      </c>
      <c r="W112" s="11" t="s">
        <v>1926</v>
      </c>
      <c r="X112" s="11" t="s">
        <v>2616</v>
      </c>
      <c r="Y112" s="12" t="n">
        <f aca="false">COUNTIF($A$6:$A$339,A112)</f>
        <v>1</v>
      </c>
    </row>
    <row r="113" customFormat="false" ht="240" hidden="false" customHeight="true" outlineLevel="0" collapsed="false">
      <c r="A113" s="11" t="s">
        <v>2617</v>
      </c>
      <c r="B113" s="11" t="s">
        <v>1157</v>
      </c>
      <c r="C113" s="11" t="s">
        <v>1929</v>
      </c>
      <c r="D113" s="11" t="b">
        <f aca="false">TRUE()</f>
        <v>1</v>
      </c>
      <c r="E113" s="11" t="b">
        <f aca="false">FALSE()</f>
        <v>0</v>
      </c>
      <c r="F113" s="11"/>
      <c r="G113" s="11" t="s">
        <v>2611</v>
      </c>
      <c r="H113" s="11" t="s">
        <v>2612</v>
      </c>
      <c r="I113" s="11" t="s">
        <v>2613</v>
      </c>
      <c r="J113" s="11" t="s">
        <v>2198</v>
      </c>
      <c r="K113" s="11" t="s">
        <v>1733</v>
      </c>
      <c r="L113" s="11" t="s">
        <v>2204</v>
      </c>
      <c r="M113" s="11" t="s">
        <v>1931</v>
      </c>
      <c r="N113" s="11" t="s">
        <v>2614</v>
      </c>
      <c r="O113" s="11" t="s">
        <v>2614</v>
      </c>
      <c r="P113" s="11" t="s">
        <v>1920</v>
      </c>
      <c r="Q113" s="11" t="s">
        <v>2614</v>
      </c>
      <c r="R113" s="11" t="s">
        <v>2615</v>
      </c>
      <c r="S113" s="11" t="s">
        <v>1959</v>
      </c>
      <c r="T113" s="11" t="s">
        <v>1960</v>
      </c>
      <c r="U113" s="11" t="s">
        <v>1932</v>
      </c>
      <c r="V113" s="11" t="s">
        <v>1925</v>
      </c>
      <c r="W113" s="11" t="s">
        <v>1926</v>
      </c>
      <c r="X113" s="11" t="s">
        <v>2618</v>
      </c>
      <c r="Y113" s="12" t="n">
        <f aca="false">COUNTIF($A$6:$A$339,A113)</f>
        <v>1</v>
      </c>
    </row>
    <row r="114" customFormat="false" ht="240" hidden="false" customHeight="true" outlineLevel="0" collapsed="false">
      <c r="A114" s="11" t="s">
        <v>2619</v>
      </c>
      <c r="B114" s="11" t="s">
        <v>1160</v>
      </c>
      <c r="C114" s="11" t="s">
        <v>1911</v>
      </c>
      <c r="D114" s="11" t="b">
        <f aca="false">TRUE()</f>
        <v>1</v>
      </c>
      <c r="E114" s="11" t="b">
        <f aca="false">TRUE()</f>
        <v>1</v>
      </c>
      <c r="F114" s="11"/>
      <c r="G114" s="11" t="s">
        <v>2620</v>
      </c>
      <c r="H114" s="11" t="s">
        <v>2621</v>
      </c>
      <c r="I114" s="11" t="s">
        <v>2622</v>
      </c>
      <c r="J114" s="11" t="s">
        <v>2198</v>
      </c>
      <c r="K114" s="11" t="s">
        <v>1734</v>
      </c>
      <c r="L114" s="11" t="s">
        <v>2623</v>
      </c>
      <c r="M114" s="11" t="s">
        <v>1917</v>
      </c>
      <c r="N114" s="11" t="s">
        <v>2624</v>
      </c>
      <c r="O114" s="11" t="s">
        <v>2187</v>
      </c>
      <c r="P114" s="11" t="s">
        <v>1920</v>
      </c>
      <c r="Q114" s="11" t="s">
        <v>2625</v>
      </c>
      <c r="R114" s="11" t="s">
        <v>2626</v>
      </c>
      <c r="S114" s="11" t="s">
        <v>2627</v>
      </c>
      <c r="T114" s="11" t="s">
        <v>2627</v>
      </c>
      <c r="U114" s="11" t="s">
        <v>1924</v>
      </c>
      <c r="V114" s="11" t="s">
        <v>1925</v>
      </c>
      <c r="W114" s="11" t="s">
        <v>1926</v>
      </c>
      <c r="X114" s="11" t="s">
        <v>2628</v>
      </c>
      <c r="Y114" s="12" t="n">
        <f aca="false">COUNTIF($A$6:$A$339,A114)</f>
        <v>1</v>
      </c>
    </row>
    <row r="115" customFormat="false" ht="240" hidden="false" customHeight="true" outlineLevel="0" collapsed="false">
      <c r="A115" s="11" t="s">
        <v>2629</v>
      </c>
      <c r="B115" s="11" t="s">
        <v>1160</v>
      </c>
      <c r="C115" s="11" t="s">
        <v>1929</v>
      </c>
      <c r="D115" s="11" t="b">
        <f aca="false">TRUE()</f>
        <v>1</v>
      </c>
      <c r="E115" s="11" t="b">
        <f aca="false">TRUE()</f>
        <v>1</v>
      </c>
      <c r="F115" s="11"/>
      <c r="G115" s="11" t="s">
        <v>2620</v>
      </c>
      <c r="H115" s="11" t="s">
        <v>2621</v>
      </c>
      <c r="I115" s="11" t="s">
        <v>2622</v>
      </c>
      <c r="J115" s="11" t="s">
        <v>2198</v>
      </c>
      <c r="K115" s="11" t="s">
        <v>1735</v>
      </c>
      <c r="L115" s="11" t="s">
        <v>2630</v>
      </c>
      <c r="M115" s="11" t="s">
        <v>1931</v>
      </c>
      <c r="N115" s="11" t="s">
        <v>2624</v>
      </c>
      <c r="O115" s="11" t="s">
        <v>2187</v>
      </c>
      <c r="P115" s="11" t="s">
        <v>1920</v>
      </c>
      <c r="Q115" s="11" t="s">
        <v>2625</v>
      </c>
      <c r="R115" s="11" t="s">
        <v>2626</v>
      </c>
      <c r="S115" s="11" t="s">
        <v>2627</v>
      </c>
      <c r="T115" s="11" t="s">
        <v>2627</v>
      </c>
      <c r="U115" s="11" t="s">
        <v>1932</v>
      </c>
      <c r="V115" s="11" t="s">
        <v>1925</v>
      </c>
      <c r="W115" s="11" t="s">
        <v>1926</v>
      </c>
      <c r="X115" s="11" t="s">
        <v>2631</v>
      </c>
      <c r="Y115" s="12" t="n">
        <f aca="false">COUNTIF($A$6:$A$339,A115)</f>
        <v>1</v>
      </c>
    </row>
    <row r="116" customFormat="false" ht="240" hidden="false" customHeight="true" outlineLevel="0" collapsed="false">
      <c r="A116" s="11" t="s">
        <v>2632</v>
      </c>
      <c r="B116" s="11" t="s">
        <v>1170</v>
      </c>
      <c r="C116" s="11" t="s">
        <v>1911</v>
      </c>
      <c r="D116" s="11" t="b">
        <f aca="false">TRUE()</f>
        <v>1</v>
      </c>
      <c r="E116" s="11" t="b">
        <f aca="false">FALSE()</f>
        <v>0</v>
      </c>
      <c r="F116" s="11"/>
      <c r="G116" s="11" t="s">
        <v>2633</v>
      </c>
      <c r="H116" s="11" t="s">
        <v>2634</v>
      </c>
      <c r="I116" s="11" t="s">
        <v>2635</v>
      </c>
      <c r="J116" s="11" t="s">
        <v>2636</v>
      </c>
      <c r="K116" s="11" t="s">
        <v>1736</v>
      </c>
      <c r="L116" s="11" t="s">
        <v>2637</v>
      </c>
      <c r="M116" s="11" t="s">
        <v>1917</v>
      </c>
      <c r="N116" s="11" t="s">
        <v>2638</v>
      </c>
      <c r="O116" s="11" t="s">
        <v>2187</v>
      </c>
      <c r="P116" s="11" t="s">
        <v>1920</v>
      </c>
      <c r="Q116" s="11" t="s">
        <v>2639</v>
      </c>
      <c r="R116" s="11" t="s">
        <v>2640</v>
      </c>
      <c r="S116" s="11" t="s">
        <v>2637</v>
      </c>
      <c r="T116" s="11" t="s">
        <v>2637</v>
      </c>
      <c r="U116" s="11" t="s">
        <v>1924</v>
      </c>
      <c r="V116" s="11" t="s">
        <v>1925</v>
      </c>
      <c r="W116" s="11" t="s">
        <v>1926</v>
      </c>
      <c r="X116" s="11" t="s">
        <v>2641</v>
      </c>
      <c r="Y116" s="12" t="n">
        <f aca="false">COUNTIF($A$6:$A$339,A116)</f>
        <v>1</v>
      </c>
    </row>
    <row r="117" customFormat="false" ht="240" hidden="false" customHeight="true" outlineLevel="0" collapsed="false">
      <c r="A117" s="11" t="s">
        <v>2642</v>
      </c>
      <c r="B117" s="11" t="s">
        <v>1170</v>
      </c>
      <c r="C117" s="11" t="s">
        <v>1929</v>
      </c>
      <c r="D117" s="11" t="b">
        <f aca="false">FALSE()</f>
        <v>0</v>
      </c>
      <c r="E117" s="11" t="b">
        <f aca="false">FALSE()</f>
        <v>0</v>
      </c>
      <c r="F117" s="11" t="s">
        <v>1978</v>
      </c>
      <c r="G117" s="11" t="s">
        <v>1979</v>
      </c>
      <c r="H117" s="11" t="s">
        <v>1980</v>
      </c>
      <c r="I117" s="11" t="s">
        <v>1981</v>
      </c>
      <c r="J117" s="11" t="s">
        <v>1982</v>
      </c>
      <c r="K117" s="11" t="s">
        <v>1983</v>
      </c>
      <c r="L117" s="11" t="s">
        <v>1984</v>
      </c>
      <c r="M117" s="11" t="s">
        <v>1984</v>
      </c>
      <c r="N117" s="11" t="s">
        <v>1984</v>
      </c>
      <c r="O117" s="11" t="s">
        <v>1985</v>
      </c>
      <c r="P117" s="11" t="s">
        <v>1986</v>
      </c>
      <c r="Q117" s="11" t="s">
        <v>1987</v>
      </c>
      <c r="R117" s="11" t="s">
        <v>1988</v>
      </c>
      <c r="S117" s="11" t="s">
        <v>1988</v>
      </c>
      <c r="T117" s="11" t="s">
        <v>1988</v>
      </c>
      <c r="U117" s="11" t="s">
        <v>1988</v>
      </c>
      <c r="V117" s="11" t="s">
        <v>1989</v>
      </c>
      <c r="W117" s="11" t="s">
        <v>1990</v>
      </c>
      <c r="X117" s="11" t="s">
        <v>2643</v>
      </c>
      <c r="Y117" s="12" t="n">
        <f aca="false">COUNTIF($A$6:$A$339,A117)</f>
        <v>1</v>
      </c>
    </row>
    <row r="118" customFormat="false" ht="240" hidden="false" customHeight="true" outlineLevel="0" collapsed="false">
      <c r="A118" s="11" t="s">
        <v>2644</v>
      </c>
      <c r="B118" s="11" t="s">
        <v>1174</v>
      </c>
      <c r="C118" s="11" t="s">
        <v>1911</v>
      </c>
      <c r="D118" s="11" t="b">
        <f aca="false">TRUE()</f>
        <v>1</v>
      </c>
      <c r="E118" s="11" t="b">
        <f aca="false">TRUE()</f>
        <v>1</v>
      </c>
      <c r="F118" s="11"/>
      <c r="G118" s="11" t="s">
        <v>2645</v>
      </c>
      <c r="H118" s="11" t="s">
        <v>2646</v>
      </c>
      <c r="I118" s="11" t="s">
        <v>2647</v>
      </c>
      <c r="J118" s="11" t="s">
        <v>2648</v>
      </c>
      <c r="K118" s="11" t="s">
        <v>1737</v>
      </c>
      <c r="L118" s="11" t="s">
        <v>2649</v>
      </c>
      <c r="M118" s="11" t="s">
        <v>1917</v>
      </c>
      <c r="N118" s="11" t="s">
        <v>2650</v>
      </c>
      <c r="O118" s="11" t="s">
        <v>2651</v>
      </c>
      <c r="P118" s="11" t="s">
        <v>1920</v>
      </c>
      <c r="Q118" s="11" t="s">
        <v>2652</v>
      </c>
      <c r="R118" s="11" t="s">
        <v>2653</v>
      </c>
      <c r="S118" s="11" t="s">
        <v>2654</v>
      </c>
      <c r="T118" s="11" t="s">
        <v>2654</v>
      </c>
      <c r="U118" s="11" t="s">
        <v>1924</v>
      </c>
      <c r="V118" s="11" t="s">
        <v>1925</v>
      </c>
      <c r="W118" s="11" t="s">
        <v>1926</v>
      </c>
      <c r="X118" s="11" t="s">
        <v>2655</v>
      </c>
      <c r="Y118" s="12" t="n">
        <f aca="false">COUNTIF($A$6:$A$339,A118)</f>
        <v>1</v>
      </c>
    </row>
    <row r="119" customFormat="false" ht="240" hidden="false" customHeight="true" outlineLevel="0" collapsed="false">
      <c r="A119" s="11" t="s">
        <v>2656</v>
      </c>
      <c r="B119" s="11" t="s">
        <v>1174</v>
      </c>
      <c r="C119" s="11" t="s">
        <v>1929</v>
      </c>
      <c r="D119" s="11" t="b">
        <f aca="false">FALSE()</f>
        <v>0</v>
      </c>
      <c r="E119" s="11" t="b">
        <f aca="false">FALSE()</f>
        <v>0</v>
      </c>
      <c r="F119" s="11" t="s">
        <v>1978</v>
      </c>
      <c r="G119" s="11" t="s">
        <v>1979</v>
      </c>
      <c r="H119" s="11" t="s">
        <v>1980</v>
      </c>
      <c r="I119" s="11" t="s">
        <v>1981</v>
      </c>
      <c r="J119" s="11" t="s">
        <v>1982</v>
      </c>
      <c r="K119" s="11" t="s">
        <v>1983</v>
      </c>
      <c r="L119" s="11" t="s">
        <v>1984</v>
      </c>
      <c r="M119" s="11" t="s">
        <v>1984</v>
      </c>
      <c r="N119" s="11" t="s">
        <v>1984</v>
      </c>
      <c r="O119" s="11" t="s">
        <v>1985</v>
      </c>
      <c r="P119" s="11" t="s">
        <v>1986</v>
      </c>
      <c r="Q119" s="11" t="s">
        <v>1987</v>
      </c>
      <c r="R119" s="11" t="s">
        <v>1988</v>
      </c>
      <c r="S119" s="11" t="s">
        <v>1988</v>
      </c>
      <c r="T119" s="11" t="s">
        <v>1988</v>
      </c>
      <c r="U119" s="11" t="s">
        <v>1988</v>
      </c>
      <c r="V119" s="11" t="s">
        <v>1989</v>
      </c>
      <c r="W119" s="11" t="s">
        <v>1990</v>
      </c>
      <c r="X119" s="11" t="s">
        <v>2657</v>
      </c>
      <c r="Y119" s="12" t="n">
        <f aca="false">COUNTIF($A$6:$A$339,A119)</f>
        <v>1</v>
      </c>
    </row>
    <row r="120" customFormat="false" ht="240" hidden="false" customHeight="true" outlineLevel="0" collapsed="false">
      <c r="A120" s="11" t="s">
        <v>2658</v>
      </c>
      <c r="B120" s="11" t="s">
        <v>1178</v>
      </c>
      <c r="C120" s="11" t="s">
        <v>1911</v>
      </c>
      <c r="D120" s="11" t="b">
        <f aca="false">TRUE()</f>
        <v>1</v>
      </c>
      <c r="E120" s="11" t="b">
        <f aca="false">FALSE()</f>
        <v>0</v>
      </c>
      <c r="F120" s="11"/>
      <c r="G120" s="11" t="s">
        <v>2659</v>
      </c>
      <c r="H120" s="11" t="s">
        <v>2660</v>
      </c>
      <c r="I120" s="11" t="s">
        <v>2661</v>
      </c>
      <c r="J120" s="11" t="s">
        <v>2198</v>
      </c>
      <c r="K120" s="11" t="s">
        <v>1738</v>
      </c>
      <c r="L120" s="11" t="s">
        <v>2662</v>
      </c>
      <c r="M120" s="11" t="s">
        <v>1917</v>
      </c>
      <c r="N120" s="11" t="s">
        <v>2663</v>
      </c>
      <c r="O120" s="11" t="s">
        <v>2664</v>
      </c>
      <c r="P120" s="11" t="s">
        <v>1920</v>
      </c>
      <c r="Q120" s="11" t="s">
        <v>2665</v>
      </c>
      <c r="R120" s="11" t="s">
        <v>2666</v>
      </c>
      <c r="S120" s="11" t="s">
        <v>2662</v>
      </c>
      <c r="T120" s="11" t="s">
        <v>2662</v>
      </c>
      <c r="U120" s="11" t="s">
        <v>1924</v>
      </c>
      <c r="V120" s="11" t="s">
        <v>1925</v>
      </c>
      <c r="W120" s="11" t="s">
        <v>1926</v>
      </c>
      <c r="X120" s="11" t="s">
        <v>2667</v>
      </c>
      <c r="Y120" s="12" t="n">
        <f aca="false">COUNTIF($A$6:$A$339,A120)</f>
        <v>1</v>
      </c>
    </row>
    <row r="121" customFormat="false" ht="240" hidden="false" customHeight="true" outlineLevel="0" collapsed="false">
      <c r="A121" s="11" t="s">
        <v>2668</v>
      </c>
      <c r="B121" s="11" t="s">
        <v>1178</v>
      </c>
      <c r="C121" s="11" t="s">
        <v>1929</v>
      </c>
      <c r="D121" s="11" t="b">
        <f aca="false">TRUE()</f>
        <v>1</v>
      </c>
      <c r="E121" s="11" t="b">
        <f aca="false">FALSE()</f>
        <v>0</v>
      </c>
      <c r="F121" s="11"/>
      <c r="G121" s="11" t="s">
        <v>2659</v>
      </c>
      <c r="H121" s="11" t="s">
        <v>2660</v>
      </c>
      <c r="I121" s="11" t="s">
        <v>2661</v>
      </c>
      <c r="J121" s="11" t="s">
        <v>2198</v>
      </c>
      <c r="K121" s="11" t="s">
        <v>1739</v>
      </c>
      <c r="L121" s="11" t="s">
        <v>2669</v>
      </c>
      <c r="M121" s="11" t="s">
        <v>1931</v>
      </c>
      <c r="N121" s="11" t="s">
        <v>2663</v>
      </c>
      <c r="O121" s="11" t="s">
        <v>2664</v>
      </c>
      <c r="P121" s="11" t="s">
        <v>1920</v>
      </c>
      <c r="Q121" s="11" t="s">
        <v>2665</v>
      </c>
      <c r="R121" s="11" t="s">
        <v>2666</v>
      </c>
      <c r="S121" s="11" t="s">
        <v>2662</v>
      </c>
      <c r="T121" s="11" t="s">
        <v>2662</v>
      </c>
      <c r="U121" s="11" t="s">
        <v>1932</v>
      </c>
      <c r="V121" s="11" t="s">
        <v>1925</v>
      </c>
      <c r="W121" s="11" t="s">
        <v>1926</v>
      </c>
      <c r="X121" s="11" t="s">
        <v>2670</v>
      </c>
      <c r="Y121" s="12" t="n">
        <f aca="false">COUNTIF($A$6:$A$339,A121)</f>
        <v>1</v>
      </c>
    </row>
    <row r="122" customFormat="false" ht="240" hidden="false" customHeight="true" outlineLevel="0" collapsed="false">
      <c r="A122" s="11" t="s">
        <v>2671</v>
      </c>
      <c r="B122" s="11" t="s">
        <v>1181</v>
      </c>
      <c r="C122" s="11" t="s">
        <v>1911</v>
      </c>
      <c r="D122" s="11" t="b">
        <f aca="false">TRUE()</f>
        <v>1</v>
      </c>
      <c r="E122" s="11" t="b">
        <f aca="false">FALSE()</f>
        <v>0</v>
      </c>
      <c r="F122" s="11"/>
      <c r="G122" s="11" t="s">
        <v>2672</v>
      </c>
      <c r="H122" s="11" t="s">
        <v>2673</v>
      </c>
      <c r="I122" s="11" t="s">
        <v>2674</v>
      </c>
      <c r="J122" s="11" t="s">
        <v>2198</v>
      </c>
      <c r="K122" s="11" t="s">
        <v>1740</v>
      </c>
      <c r="L122" s="11" t="s">
        <v>2199</v>
      </c>
      <c r="M122" s="11" t="s">
        <v>1917</v>
      </c>
      <c r="N122" s="11" t="s">
        <v>2186</v>
      </c>
      <c r="O122" s="11" t="s">
        <v>2675</v>
      </c>
      <c r="P122" s="11" t="s">
        <v>1920</v>
      </c>
      <c r="Q122" s="11" t="s">
        <v>2675</v>
      </c>
      <c r="R122" s="11" t="s">
        <v>2676</v>
      </c>
      <c r="S122" s="11" t="s">
        <v>1959</v>
      </c>
      <c r="T122" s="11" t="s">
        <v>1960</v>
      </c>
      <c r="U122" s="11" t="s">
        <v>1924</v>
      </c>
      <c r="V122" s="11" t="s">
        <v>1925</v>
      </c>
      <c r="W122" s="11" t="s">
        <v>1926</v>
      </c>
      <c r="X122" s="11" t="s">
        <v>2677</v>
      </c>
      <c r="Y122" s="12" t="n">
        <f aca="false">COUNTIF($A$6:$A$339,A122)</f>
        <v>1</v>
      </c>
    </row>
    <row r="123" customFormat="false" ht="240" hidden="false" customHeight="true" outlineLevel="0" collapsed="false">
      <c r="A123" s="11" t="s">
        <v>2678</v>
      </c>
      <c r="B123" s="11" t="s">
        <v>1181</v>
      </c>
      <c r="C123" s="11" t="s">
        <v>1929</v>
      </c>
      <c r="D123" s="11" t="b">
        <f aca="false">TRUE()</f>
        <v>1</v>
      </c>
      <c r="E123" s="11" t="b">
        <f aca="false">FALSE()</f>
        <v>0</v>
      </c>
      <c r="F123" s="11"/>
      <c r="G123" s="11" t="s">
        <v>2672</v>
      </c>
      <c r="H123" s="11" t="s">
        <v>2673</v>
      </c>
      <c r="I123" s="11" t="s">
        <v>2674</v>
      </c>
      <c r="J123" s="11" t="s">
        <v>2198</v>
      </c>
      <c r="K123" s="11" t="s">
        <v>1741</v>
      </c>
      <c r="L123" s="11" t="s">
        <v>2204</v>
      </c>
      <c r="M123" s="11" t="s">
        <v>1931</v>
      </c>
      <c r="N123" s="11" t="s">
        <v>2186</v>
      </c>
      <c r="O123" s="11" t="s">
        <v>2675</v>
      </c>
      <c r="P123" s="11" t="s">
        <v>1920</v>
      </c>
      <c r="Q123" s="11" t="s">
        <v>2675</v>
      </c>
      <c r="R123" s="11" t="s">
        <v>2676</v>
      </c>
      <c r="S123" s="11" t="s">
        <v>1959</v>
      </c>
      <c r="T123" s="11" t="s">
        <v>1960</v>
      </c>
      <c r="U123" s="11" t="s">
        <v>1932</v>
      </c>
      <c r="V123" s="11" t="s">
        <v>1925</v>
      </c>
      <c r="W123" s="11" t="s">
        <v>1926</v>
      </c>
      <c r="X123" s="11" t="s">
        <v>2679</v>
      </c>
      <c r="Y123" s="12" t="n">
        <f aca="false">COUNTIF($A$6:$A$339,A123)</f>
        <v>1</v>
      </c>
    </row>
    <row r="124" customFormat="false" ht="240" hidden="false" customHeight="true" outlineLevel="0" collapsed="false">
      <c r="A124" s="11" t="s">
        <v>2680</v>
      </c>
      <c r="B124" s="11" t="s">
        <v>1184</v>
      </c>
      <c r="C124" s="11" t="s">
        <v>1911</v>
      </c>
      <c r="D124" s="11" t="b">
        <f aca="false">TRUE()</f>
        <v>1</v>
      </c>
      <c r="E124" s="11" t="b">
        <f aca="false">FALSE()</f>
        <v>0</v>
      </c>
      <c r="F124" s="11"/>
      <c r="G124" s="11" t="s">
        <v>2681</v>
      </c>
      <c r="H124" s="11" t="s">
        <v>2682</v>
      </c>
      <c r="I124" s="11" t="s">
        <v>2683</v>
      </c>
      <c r="J124" s="11" t="s">
        <v>2684</v>
      </c>
      <c r="K124" s="11" t="s">
        <v>1742</v>
      </c>
      <c r="L124" s="11" t="s">
        <v>2199</v>
      </c>
      <c r="M124" s="11" t="s">
        <v>1917</v>
      </c>
      <c r="N124" s="11" t="s">
        <v>2186</v>
      </c>
      <c r="O124" s="11" t="s">
        <v>2187</v>
      </c>
      <c r="P124" s="11" t="s">
        <v>1920</v>
      </c>
      <c r="Q124" s="11" t="s">
        <v>2685</v>
      </c>
      <c r="R124" s="11" t="s">
        <v>2686</v>
      </c>
      <c r="S124" s="11" t="s">
        <v>1959</v>
      </c>
      <c r="T124" s="11" t="s">
        <v>1960</v>
      </c>
      <c r="U124" s="11" t="s">
        <v>1924</v>
      </c>
      <c r="V124" s="11" t="s">
        <v>1925</v>
      </c>
      <c r="W124" s="11" t="s">
        <v>1926</v>
      </c>
      <c r="X124" s="11" t="s">
        <v>2687</v>
      </c>
      <c r="Y124" s="12" t="n">
        <f aca="false">COUNTIF($A$6:$A$339,A124)</f>
        <v>1</v>
      </c>
    </row>
    <row r="125" customFormat="false" ht="240" hidden="false" customHeight="true" outlineLevel="0" collapsed="false">
      <c r="A125" s="11" t="s">
        <v>2688</v>
      </c>
      <c r="B125" s="11" t="s">
        <v>1184</v>
      </c>
      <c r="C125" s="11" t="s">
        <v>1929</v>
      </c>
      <c r="D125" s="11" t="b">
        <f aca="false">TRUE()</f>
        <v>1</v>
      </c>
      <c r="E125" s="11" t="b">
        <f aca="false">FALSE()</f>
        <v>0</v>
      </c>
      <c r="F125" s="11"/>
      <c r="G125" s="11" t="s">
        <v>2681</v>
      </c>
      <c r="H125" s="11" t="s">
        <v>2682</v>
      </c>
      <c r="I125" s="11" t="s">
        <v>2683</v>
      </c>
      <c r="J125" s="11" t="s">
        <v>2684</v>
      </c>
      <c r="K125" s="11" t="s">
        <v>1743</v>
      </c>
      <c r="L125" s="11" t="s">
        <v>2204</v>
      </c>
      <c r="M125" s="11" t="s">
        <v>1931</v>
      </c>
      <c r="N125" s="11" t="s">
        <v>2186</v>
      </c>
      <c r="O125" s="11" t="s">
        <v>2187</v>
      </c>
      <c r="P125" s="11" t="s">
        <v>1920</v>
      </c>
      <c r="Q125" s="11" t="s">
        <v>2685</v>
      </c>
      <c r="R125" s="11" t="s">
        <v>2686</v>
      </c>
      <c r="S125" s="11" t="s">
        <v>1959</v>
      </c>
      <c r="T125" s="11" t="s">
        <v>1960</v>
      </c>
      <c r="U125" s="11" t="s">
        <v>1932</v>
      </c>
      <c r="V125" s="11" t="s">
        <v>1925</v>
      </c>
      <c r="W125" s="11" t="s">
        <v>1926</v>
      </c>
      <c r="X125" s="11" t="s">
        <v>2689</v>
      </c>
      <c r="Y125" s="12" t="n">
        <f aca="false">COUNTIF($A$6:$A$339,A125)</f>
        <v>1</v>
      </c>
    </row>
    <row r="126" customFormat="false" ht="240" hidden="false" customHeight="true" outlineLevel="0" collapsed="false">
      <c r="A126" s="11" t="s">
        <v>2690</v>
      </c>
      <c r="B126" s="11" t="s">
        <v>1187</v>
      </c>
      <c r="C126" s="11" t="s">
        <v>1911</v>
      </c>
      <c r="D126" s="11" t="b">
        <f aca="false">TRUE()</f>
        <v>1</v>
      </c>
      <c r="E126" s="11" t="b">
        <f aca="false">TRUE()</f>
        <v>1</v>
      </c>
      <c r="F126" s="11"/>
      <c r="G126" s="11" t="s">
        <v>2691</v>
      </c>
      <c r="H126" s="11" t="s">
        <v>2692</v>
      </c>
      <c r="I126" s="11" t="s">
        <v>2693</v>
      </c>
      <c r="J126" s="11" t="s">
        <v>2694</v>
      </c>
      <c r="K126" s="11" t="s">
        <v>1744</v>
      </c>
      <c r="L126" s="11" t="s">
        <v>2695</v>
      </c>
      <c r="M126" s="11" t="s">
        <v>1917</v>
      </c>
      <c r="N126" s="11" t="s">
        <v>2696</v>
      </c>
      <c r="O126" s="11" t="s">
        <v>2187</v>
      </c>
      <c r="P126" s="11" t="s">
        <v>1920</v>
      </c>
      <c r="Q126" s="11" t="s">
        <v>2697</v>
      </c>
      <c r="R126" s="11" t="s">
        <v>2698</v>
      </c>
      <c r="S126" s="11" t="s">
        <v>2699</v>
      </c>
      <c r="T126" s="11" t="s">
        <v>2699</v>
      </c>
      <c r="U126" s="11" t="s">
        <v>1924</v>
      </c>
      <c r="V126" s="11" t="s">
        <v>1925</v>
      </c>
      <c r="W126" s="11" t="s">
        <v>1926</v>
      </c>
      <c r="X126" s="11" t="s">
        <v>2700</v>
      </c>
      <c r="Y126" s="12" t="n">
        <f aca="false">COUNTIF($A$6:$A$339,A126)</f>
        <v>1</v>
      </c>
    </row>
    <row r="127" customFormat="false" ht="240" hidden="false" customHeight="true" outlineLevel="0" collapsed="false">
      <c r="A127" s="11" t="s">
        <v>2701</v>
      </c>
      <c r="B127" s="11" t="s">
        <v>1187</v>
      </c>
      <c r="C127" s="11" t="s">
        <v>1929</v>
      </c>
      <c r="D127" s="11" t="b">
        <f aca="false">TRUE()</f>
        <v>1</v>
      </c>
      <c r="E127" s="11" t="b">
        <f aca="false">TRUE()</f>
        <v>1</v>
      </c>
      <c r="F127" s="11"/>
      <c r="G127" s="11" t="s">
        <v>2691</v>
      </c>
      <c r="H127" s="11" t="s">
        <v>2692</v>
      </c>
      <c r="I127" s="11" t="s">
        <v>2693</v>
      </c>
      <c r="J127" s="11" t="s">
        <v>2694</v>
      </c>
      <c r="K127" s="11" t="s">
        <v>1745</v>
      </c>
      <c r="L127" s="11" t="s">
        <v>2702</v>
      </c>
      <c r="M127" s="11" t="s">
        <v>1931</v>
      </c>
      <c r="N127" s="11" t="s">
        <v>2696</v>
      </c>
      <c r="O127" s="11" t="s">
        <v>2187</v>
      </c>
      <c r="P127" s="11" t="s">
        <v>1920</v>
      </c>
      <c r="Q127" s="11" t="s">
        <v>2697</v>
      </c>
      <c r="R127" s="11" t="s">
        <v>2698</v>
      </c>
      <c r="S127" s="11" t="s">
        <v>2699</v>
      </c>
      <c r="T127" s="11" t="s">
        <v>2699</v>
      </c>
      <c r="U127" s="11" t="s">
        <v>1932</v>
      </c>
      <c r="V127" s="11" t="s">
        <v>1925</v>
      </c>
      <c r="W127" s="11" t="s">
        <v>1926</v>
      </c>
      <c r="X127" s="11" t="s">
        <v>2703</v>
      </c>
      <c r="Y127" s="12" t="n">
        <f aca="false">COUNTIF($A$6:$A$339,A127)</f>
        <v>1</v>
      </c>
    </row>
    <row r="128" customFormat="false" ht="240" hidden="false" customHeight="true" outlineLevel="0" collapsed="false">
      <c r="A128" s="11" t="s">
        <v>2704</v>
      </c>
      <c r="B128" s="11" t="s">
        <v>1191</v>
      </c>
      <c r="C128" s="11" t="s">
        <v>1911</v>
      </c>
      <c r="D128" s="11" t="b">
        <f aca="false">TRUE()</f>
        <v>1</v>
      </c>
      <c r="E128" s="11" t="b">
        <f aca="false">FALSE()</f>
        <v>0</v>
      </c>
      <c r="F128" s="11"/>
      <c r="G128" s="11" t="s">
        <v>2705</v>
      </c>
      <c r="H128" s="11" t="s">
        <v>2706</v>
      </c>
      <c r="I128" s="11" t="s">
        <v>2707</v>
      </c>
      <c r="J128" s="11" t="s">
        <v>2708</v>
      </c>
      <c r="K128" s="11" t="s">
        <v>1746</v>
      </c>
      <c r="L128" s="11" t="s">
        <v>2199</v>
      </c>
      <c r="M128" s="11" t="s">
        <v>1917</v>
      </c>
      <c r="N128" s="11" t="s">
        <v>2709</v>
      </c>
      <c r="O128" s="11" t="s">
        <v>2187</v>
      </c>
      <c r="P128" s="11" t="s">
        <v>1920</v>
      </c>
      <c r="Q128" s="11" t="s">
        <v>2709</v>
      </c>
      <c r="R128" s="11" t="s">
        <v>2710</v>
      </c>
      <c r="S128" s="11" t="s">
        <v>1959</v>
      </c>
      <c r="T128" s="11" t="s">
        <v>1960</v>
      </c>
      <c r="U128" s="11" t="s">
        <v>1924</v>
      </c>
      <c r="V128" s="11" t="s">
        <v>1925</v>
      </c>
      <c r="W128" s="11" t="s">
        <v>1926</v>
      </c>
      <c r="X128" s="11" t="s">
        <v>2711</v>
      </c>
      <c r="Y128" s="12" t="n">
        <f aca="false">COUNTIF($A$6:$A$339,A128)</f>
        <v>1</v>
      </c>
    </row>
    <row r="129" customFormat="false" ht="240" hidden="false" customHeight="true" outlineLevel="0" collapsed="false">
      <c r="A129" s="11" t="s">
        <v>2712</v>
      </c>
      <c r="B129" s="11" t="s">
        <v>1191</v>
      </c>
      <c r="C129" s="11" t="s">
        <v>1929</v>
      </c>
      <c r="D129" s="11" t="b">
        <f aca="false">FALSE()</f>
        <v>0</v>
      </c>
      <c r="E129" s="11" t="b">
        <f aca="false">FALSE()</f>
        <v>0</v>
      </c>
      <c r="F129" s="11" t="s">
        <v>1978</v>
      </c>
      <c r="G129" s="11" t="s">
        <v>1979</v>
      </c>
      <c r="H129" s="11" t="s">
        <v>1980</v>
      </c>
      <c r="I129" s="11" t="s">
        <v>1981</v>
      </c>
      <c r="J129" s="11" t="s">
        <v>1982</v>
      </c>
      <c r="K129" s="11" t="s">
        <v>1983</v>
      </c>
      <c r="L129" s="11" t="s">
        <v>1984</v>
      </c>
      <c r="M129" s="11" t="s">
        <v>1984</v>
      </c>
      <c r="N129" s="11" t="s">
        <v>1984</v>
      </c>
      <c r="O129" s="11" t="s">
        <v>1985</v>
      </c>
      <c r="P129" s="11" t="s">
        <v>1986</v>
      </c>
      <c r="Q129" s="11" t="s">
        <v>1987</v>
      </c>
      <c r="R129" s="11" t="s">
        <v>1988</v>
      </c>
      <c r="S129" s="11" t="s">
        <v>1988</v>
      </c>
      <c r="T129" s="11" t="s">
        <v>1988</v>
      </c>
      <c r="U129" s="11" t="s">
        <v>1988</v>
      </c>
      <c r="V129" s="11" t="s">
        <v>1989</v>
      </c>
      <c r="W129" s="11" t="s">
        <v>1990</v>
      </c>
      <c r="X129" s="11" t="s">
        <v>2713</v>
      </c>
      <c r="Y129" s="12" t="n">
        <f aca="false">COUNTIF($A$6:$A$339,A129)</f>
        <v>1</v>
      </c>
    </row>
    <row r="130" customFormat="false" ht="240" hidden="false" customHeight="true" outlineLevel="0" collapsed="false">
      <c r="A130" s="11" t="s">
        <v>2714</v>
      </c>
      <c r="B130" s="11" t="s">
        <v>1194</v>
      </c>
      <c r="C130" s="11" t="s">
        <v>1911</v>
      </c>
      <c r="D130" s="11" t="b">
        <f aca="false">TRUE()</f>
        <v>1</v>
      </c>
      <c r="E130" s="11" t="b">
        <f aca="false">TRUE()</f>
        <v>1</v>
      </c>
      <c r="F130" s="11"/>
      <c r="G130" s="11" t="s">
        <v>2715</v>
      </c>
      <c r="H130" s="11" t="s">
        <v>2716</v>
      </c>
      <c r="I130" s="11" t="s">
        <v>2717</v>
      </c>
      <c r="J130" s="11" t="s">
        <v>2718</v>
      </c>
      <c r="K130" s="11" t="s">
        <v>1747</v>
      </c>
      <c r="L130" s="11" t="s">
        <v>2719</v>
      </c>
      <c r="M130" s="11" t="s">
        <v>1917</v>
      </c>
      <c r="N130" s="11" t="s">
        <v>2720</v>
      </c>
      <c r="O130" s="11" t="s">
        <v>2187</v>
      </c>
      <c r="P130" s="11" t="s">
        <v>1920</v>
      </c>
      <c r="Q130" s="11" t="s">
        <v>2721</v>
      </c>
      <c r="R130" s="11" t="s">
        <v>2722</v>
      </c>
      <c r="S130" s="11" t="s">
        <v>2723</v>
      </c>
      <c r="T130" s="11" t="s">
        <v>2723</v>
      </c>
      <c r="U130" s="11" t="s">
        <v>1924</v>
      </c>
      <c r="V130" s="11" t="s">
        <v>1925</v>
      </c>
      <c r="W130" s="11" t="s">
        <v>1926</v>
      </c>
      <c r="X130" s="11" t="s">
        <v>2724</v>
      </c>
      <c r="Y130" s="12" t="n">
        <f aca="false">COUNTIF($A$6:$A$339,A130)</f>
        <v>1</v>
      </c>
    </row>
    <row r="131" customFormat="false" ht="240" hidden="false" customHeight="true" outlineLevel="0" collapsed="false">
      <c r="A131" s="11" t="s">
        <v>2725</v>
      </c>
      <c r="B131" s="11" t="s">
        <v>1194</v>
      </c>
      <c r="C131" s="11" t="s">
        <v>1929</v>
      </c>
      <c r="D131" s="11" t="b">
        <f aca="false">TRUE()</f>
        <v>1</v>
      </c>
      <c r="E131" s="11" t="b">
        <f aca="false">TRUE()</f>
        <v>1</v>
      </c>
      <c r="F131" s="11"/>
      <c r="G131" s="11" t="s">
        <v>2715</v>
      </c>
      <c r="H131" s="11" t="s">
        <v>2716</v>
      </c>
      <c r="I131" s="11" t="s">
        <v>2717</v>
      </c>
      <c r="J131" s="11" t="s">
        <v>2718</v>
      </c>
      <c r="K131" s="11" t="s">
        <v>1748</v>
      </c>
      <c r="L131" s="11" t="s">
        <v>2726</v>
      </c>
      <c r="M131" s="11" t="s">
        <v>1931</v>
      </c>
      <c r="N131" s="11" t="s">
        <v>2720</v>
      </c>
      <c r="O131" s="11" t="s">
        <v>2187</v>
      </c>
      <c r="P131" s="11" t="s">
        <v>1920</v>
      </c>
      <c r="Q131" s="11" t="s">
        <v>2721</v>
      </c>
      <c r="R131" s="11" t="s">
        <v>2722</v>
      </c>
      <c r="S131" s="11" t="s">
        <v>2723</v>
      </c>
      <c r="T131" s="11" t="s">
        <v>2723</v>
      </c>
      <c r="U131" s="11" t="s">
        <v>1932</v>
      </c>
      <c r="V131" s="11" t="s">
        <v>1925</v>
      </c>
      <c r="W131" s="11" t="s">
        <v>1926</v>
      </c>
      <c r="X131" s="11" t="s">
        <v>2727</v>
      </c>
      <c r="Y131" s="12" t="n">
        <f aca="false">COUNTIF($A$6:$A$339,A131)</f>
        <v>1</v>
      </c>
    </row>
    <row r="132" customFormat="false" ht="240" hidden="false" customHeight="true" outlineLevel="0" collapsed="false">
      <c r="A132" s="11" t="s">
        <v>2728</v>
      </c>
      <c r="B132" s="11" t="s">
        <v>1198</v>
      </c>
      <c r="C132" s="11" t="s">
        <v>1911</v>
      </c>
      <c r="D132" s="11" t="b">
        <f aca="false">TRUE()</f>
        <v>1</v>
      </c>
      <c r="E132" s="11" t="b">
        <f aca="false">FALSE()</f>
        <v>0</v>
      </c>
      <c r="F132" s="11"/>
      <c r="G132" s="11" t="s">
        <v>2729</v>
      </c>
      <c r="H132" s="11" t="s">
        <v>2730</v>
      </c>
      <c r="I132" s="11" t="s">
        <v>2731</v>
      </c>
      <c r="J132" s="11" t="s">
        <v>2732</v>
      </c>
      <c r="K132" s="11" t="s">
        <v>1749</v>
      </c>
      <c r="L132" s="11" t="s">
        <v>2733</v>
      </c>
      <c r="M132" s="11" t="s">
        <v>1917</v>
      </c>
      <c r="N132" s="11" t="s">
        <v>2186</v>
      </c>
      <c r="O132" s="11" t="s">
        <v>2187</v>
      </c>
      <c r="P132" s="11" t="s">
        <v>1920</v>
      </c>
      <c r="Q132" s="11" t="s">
        <v>2734</v>
      </c>
      <c r="R132" s="11" t="s">
        <v>2735</v>
      </c>
      <c r="S132" s="11" t="s">
        <v>2733</v>
      </c>
      <c r="T132" s="11" t="s">
        <v>2733</v>
      </c>
      <c r="U132" s="11" t="s">
        <v>1924</v>
      </c>
      <c r="V132" s="11" t="s">
        <v>1925</v>
      </c>
      <c r="W132" s="11" t="s">
        <v>1926</v>
      </c>
      <c r="X132" s="11" t="s">
        <v>2736</v>
      </c>
      <c r="Y132" s="12" t="n">
        <f aca="false">COUNTIF($A$6:$A$339,A132)</f>
        <v>1</v>
      </c>
    </row>
    <row r="133" customFormat="false" ht="240" hidden="false" customHeight="true" outlineLevel="0" collapsed="false">
      <c r="A133" s="11" t="s">
        <v>2737</v>
      </c>
      <c r="B133" s="11" t="s">
        <v>1198</v>
      </c>
      <c r="C133" s="11" t="s">
        <v>1929</v>
      </c>
      <c r="D133" s="11" t="b">
        <f aca="false">FALSE()</f>
        <v>0</v>
      </c>
      <c r="E133" s="11" t="b">
        <f aca="false">FALSE()</f>
        <v>0</v>
      </c>
      <c r="F133" s="11" t="s">
        <v>1978</v>
      </c>
      <c r="G133" s="11" t="s">
        <v>1979</v>
      </c>
      <c r="H133" s="11" t="s">
        <v>1980</v>
      </c>
      <c r="I133" s="11" t="s">
        <v>1981</v>
      </c>
      <c r="J133" s="11" t="s">
        <v>1982</v>
      </c>
      <c r="K133" s="11" t="s">
        <v>1983</v>
      </c>
      <c r="L133" s="11" t="s">
        <v>1984</v>
      </c>
      <c r="M133" s="11" t="s">
        <v>1984</v>
      </c>
      <c r="N133" s="11" t="s">
        <v>1984</v>
      </c>
      <c r="O133" s="11" t="s">
        <v>1985</v>
      </c>
      <c r="P133" s="11" t="s">
        <v>1986</v>
      </c>
      <c r="Q133" s="11" t="s">
        <v>1987</v>
      </c>
      <c r="R133" s="11" t="s">
        <v>1988</v>
      </c>
      <c r="S133" s="11" t="s">
        <v>1988</v>
      </c>
      <c r="T133" s="11" t="s">
        <v>1988</v>
      </c>
      <c r="U133" s="11" t="s">
        <v>1988</v>
      </c>
      <c r="V133" s="11" t="s">
        <v>1989</v>
      </c>
      <c r="W133" s="11" t="s">
        <v>1990</v>
      </c>
      <c r="X133" s="11" t="s">
        <v>2738</v>
      </c>
      <c r="Y133" s="12" t="n">
        <f aca="false">COUNTIF($A$6:$A$339,A133)</f>
        <v>1</v>
      </c>
    </row>
    <row r="134" customFormat="false" ht="240" hidden="false" customHeight="true" outlineLevel="0" collapsed="false">
      <c r="A134" s="11" t="s">
        <v>2739</v>
      </c>
      <c r="B134" s="11" t="s">
        <v>1201</v>
      </c>
      <c r="C134" s="11" t="s">
        <v>1911</v>
      </c>
      <c r="D134" s="11" t="b">
        <f aca="false">TRUE()</f>
        <v>1</v>
      </c>
      <c r="E134" s="11" t="b">
        <f aca="false">TRUE()</f>
        <v>1</v>
      </c>
      <c r="F134" s="11"/>
      <c r="G134" s="11" t="s">
        <v>2740</v>
      </c>
      <c r="H134" s="11" t="s">
        <v>2741</v>
      </c>
      <c r="I134" s="11" t="s">
        <v>2742</v>
      </c>
      <c r="J134" s="11" t="s">
        <v>2743</v>
      </c>
      <c r="K134" s="11" t="s">
        <v>1750</v>
      </c>
      <c r="L134" s="11" t="s">
        <v>2744</v>
      </c>
      <c r="M134" s="11" t="s">
        <v>1917</v>
      </c>
      <c r="N134" s="11" t="s">
        <v>2745</v>
      </c>
      <c r="O134" s="11" t="s">
        <v>2187</v>
      </c>
      <c r="P134" s="11" t="s">
        <v>1920</v>
      </c>
      <c r="Q134" s="11" t="s">
        <v>2746</v>
      </c>
      <c r="R134" s="11" t="s">
        <v>2747</v>
      </c>
      <c r="S134" s="11" t="s">
        <v>2744</v>
      </c>
      <c r="T134" s="11" t="s">
        <v>2744</v>
      </c>
      <c r="U134" s="11" t="s">
        <v>1924</v>
      </c>
      <c r="V134" s="11" t="s">
        <v>1925</v>
      </c>
      <c r="W134" s="11" t="s">
        <v>1926</v>
      </c>
      <c r="X134" s="11" t="s">
        <v>2748</v>
      </c>
      <c r="Y134" s="12" t="n">
        <f aca="false">COUNTIF($A$6:$A$339,A134)</f>
        <v>1</v>
      </c>
    </row>
    <row r="135" customFormat="false" ht="240" hidden="false" customHeight="true" outlineLevel="0" collapsed="false">
      <c r="A135" s="11" t="s">
        <v>2749</v>
      </c>
      <c r="B135" s="11" t="s">
        <v>1201</v>
      </c>
      <c r="C135" s="11" t="s">
        <v>1929</v>
      </c>
      <c r="D135" s="11" t="b">
        <f aca="false">TRUE()</f>
        <v>1</v>
      </c>
      <c r="E135" s="11" t="b">
        <f aca="false">TRUE()</f>
        <v>1</v>
      </c>
      <c r="F135" s="11"/>
      <c r="G135" s="11" t="s">
        <v>2740</v>
      </c>
      <c r="H135" s="11" t="s">
        <v>2741</v>
      </c>
      <c r="I135" s="11" t="s">
        <v>2742</v>
      </c>
      <c r="J135" s="11" t="s">
        <v>2743</v>
      </c>
      <c r="K135" s="11" t="s">
        <v>1751</v>
      </c>
      <c r="L135" s="11" t="s">
        <v>2750</v>
      </c>
      <c r="M135" s="11" t="s">
        <v>1931</v>
      </c>
      <c r="N135" s="11" t="s">
        <v>2745</v>
      </c>
      <c r="O135" s="11" t="s">
        <v>2187</v>
      </c>
      <c r="P135" s="11" t="s">
        <v>1920</v>
      </c>
      <c r="Q135" s="11" t="s">
        <v>2746</v>
      </c>
      <c r="R135" s="11" t="s">
        <v>2747</v>
      </c>
      <c r="S135" s="11" t="s">
        <v>2744</v>
      </c>
      <c r="T135" s="11" t="s">
        <v>2744</v>
      </c>
      <c r="U135" s="11" t="s">
        <v>1932</v>
      </c>
      <c r="V135" s="11" t="s">
        <v>1925</v>
      </c>
      <c r="W135" s="11" t="s">
        <v>1926</v>
      </c>
      <c r="X135" s="11" t="s">
        <v>2751</v>
      </c>
      <c r="Y135" s="12" t="n">
        <f aca="false">COUNTIF($A$6:$A$339,A135)</f>
        <v>1</v>
      </c>
    </row>
    <row r="136" customFormat="false" ht="240" hidden="false" customHeight="true" outlineLevel="0" collapsed="false">
      <c r="A136" s="11" t="s">
        <v>2752</v>
      </c>
      <c r="B136" s="11" t="s">
        <v>1204</v>
      </c>
      <c r="C136" s="11" t="s">
        <v>1911</v>
      </c>
      <c r="D136" s="11" t="b">
        <f aca="false">TRUE()</f>
        <v>1</v>
      </c>
      <c r="E136" s="11" t="b">
        <f aca="false">TRUE()</f>
        <v>1</v>
      </c>
      <c r="F136" s="11"/>
      <c r="G136" s="11" t="s">
        <v>2753</v>
      </c>
      <c r="H136" s="11" t="s">
        <v>2754</v>
      </c>
      <c r="I136" s="11" t="s">
        <v>2755</v>
      </c>
      <c r="J136" s="11" t="s">
        <v>2756</v>
      </c>
      <c r="K136" s="11" t="s">
        <v>1752</v>
      </c>
      <c r="L136" s="11" t="s">
        <v>2757</v>
      </c>
      <c r="M136" s="11" t="s">
        <v>1917</v>
      </c>
      <c r="N136" s="11" t="s">
        <v>2758</v>
      </c>
      <c r="O136" s="11" t="s">
        <v>2759</v>
      </c>
      <c r="P136" s="11" t="s">
        <v>1920</v>
      </c>
      <c r="Q136" s="11" t="s">
        <v>2760</v>
      </c>
      <c r="R136" s="11" t="s">
        <v>2761</v>
      </c>
      <c r="S136" s="11" t="s">
        <v>2762</v>
      </c>
      <c r="T136" s="11" t="s">
        <v>2762</v>
      </c>
      <c r="U136" s="11" t="s">
        <v>1924</v>
      </c>
      <c r="V136" s="11" t="s">
        <v>1925</v>
      </c>
      <c r="W136" s="11" t="s">
        <v>1926</v>
      </c>
      <c r="X136" s="11" t="s">
        <v>2763</v>
      </c>
      <c r="Y136" s="12" t="n">
        <f aca="false">COUNTIF($A$6:$A$339,A136)</f>
        <v>1</v>
      </c>
    </row>
    <row r="137" customFormat="false" ht="240" hidden="false" customHeight="true" outlineLevel="0" collapsed="false">
      <c r="A137" s="11" t="s">
        <v>2764</v>
      </c>
      <c r="B137" s="11" t="s">
        <v>1204</v>
      </c>
      <c r="C137" s="11" t="s">
        <v>1929</v>
      </c>
      <c r="D137" s="11" t="b">
        <f aca="false">FALSE()</f>
        <v>0</v>
      </c>
      <c r="E137" s="11" t="b">
        <f aca="false">FALSE()</f>
        <v>0</v>
      </c>
      <c r="F137" s="11" t="s">
        <v>1978</v>
      </c>
      <c r="G137" s="11" t="s">
        <v>1979</v>
      </c>
      <c r="H137" s="11" t="s">
        <v>1980</v>
      </c>
      <c r="I137" s="11" t="s">
        <v>1981</v>
      </c>
      <c r="J137" s="11" t="s">
        <v>1982</v>
      </c>
      <c r="K137" s="11" t="s">
        <v>1983</v>
      </c>
      <c r="L137" s="11" t="s">
        <v>1984</v>
      </c>
      <c r="M137" s="11" t="s">
        <v>1984</v>
      </c>
      <c r="N137" s="11" t="s">
        <v>1984</v>
      </c>
      <c r="O137" s="11" t="s">
        <v>1985</v>
      </c>
      <c r="P137" s="11" t="s">
        <v>1986</v>
      </c>
      <c r="Q137" s="11" t="s">
        <v>1987</v>
      </c>
      <c r="R137" s="11" t="s">
        <v>1988</v>
      </c>
      <c r="S137" s="11" t="s">
        <v>1988</v>
      </c>
      <c r="T137" s="11" t="s">
        <v>1988</v>
      </c>
      <c r="U137" s="11" t="s">
        <v>1988</v>
      </c>
      <c r="V137" s="11" t="s">
        <v>1989</v>
      </c>
      <c r="W137" s="11" t="s">
        <v>1990</v>
      </c>
      <c r="X137" s="11" t="s">
        <v>2765</v>
      </c>
      <c r="Y137" s="12" t="n">
        <f aca="false">COUNTIF($A$6:$A$339,A137)</f>
        <v>1</v>
      </c>
    </row>
    <row r="138" customFormat="false" ht="240" hidden="false" customHeight="true" outlineLevel="0" collapsed="false">
      <c r="A138" s="11" t="s">
        <v>2766</v>
      </c>
      <c r="B138" s="11" t="s">
        <v>1207</v>
      </c>
      <c r="C138" s="11" t="s">
        <v>1911</v>
      </c>
      <c r="D138" s="11" t="b">
        <f aca="false">TRUE()</f>
        <v>1</v>
      </c>
      <c r="E138" s="11" t="b">
        <f aca="false">TRUE()</f>
        <v>1</v>
      </c>
      <c r="F138" s="11"/>
      <c r="G138" s="11" t="s">
        <v>2767</v>
      </c>
      <c r="H138" s="11" t="s">
        <v>2768</v>
      </c>
      <c r="I138" s="11" t="s">
        <v>2769</v>
      </c>
      <c r="J138" s="11" t="s">
        <v>2770</v>
      </c>
      <c r="K138" s="11" t="s">
        <v>1753</v>
      </c>
      <c r="L138" s="11" t="s">
        <v>2771</v>
      </c>
      <c r="M138" s="11" t="s">
        <v>1917</v>
      </c>
      <c r="N138" s="11" t="s">
        <v>2772</v>
      </c>
      <c r="O138" s="11" t="s">
        <v>2773</v>
      </c>
      <c r="P138" s="11" t="s">
        <v>1920</v>
      </c>
      <c r="Q138" s="11" t="s">
        <v>2774</v>
      </c>
      <c r="R138" s="11" t="s">
        <v>2775</v>
      </c>
      <c r="S138" s="11" t="s">
        <v>2771</v>
      </c>
      <c r="T138" s="11" t="s">
        <v>2771</v>
      </c>
      <c r="U138" s="11" t="s">
        <v>1924</v>
      </c>
      <c r="V138" s="11" t="s">
        <v>1925</v>
      </c>
      <c r="W138" s="11" t="s">
        <v>1926</v>
      </c>
      <c r="X138" s="11" t="s">
        <v>2776</v>
      </c>
      <c r="Y138" s="12" t="n">
        <f aca="false">COUNTIF($A$6:$A$339,A138)</f>
        <v>1</v>
      </c>
    </row>
    <row r="139" customFormat="false" ht="240" hidden="false" customHeight="true" outlineLevel="0" collapsed="false">
      <c r="A139" s="11" t="s">
        <v>2777</v>
      </c>
      <c r="B139" s="11" t="s">
        <v>1207</v>
      </c>
      <c r="C139" s="11" t="s">
        <v>1929</v>
      </c>
      <c r="D139" s="11" t="b">
        <f aca="false">TRUE()</f>
        <v>1</v>
      </c>
      <c r="E139" s="11" t="b">
        <f aca="false">TRUE()</f>
        <v>1</v>
      </c>
      <c r="F139" s="11"/>
      <c r="G139" s="11" t="s">
        <v>2767</v>
      </c>
      <c r="H139" s="11" t="s">
        <v>2768</v>
      </c>
      <c r="I139" s="11" t="s">
        <v>2769</v>
      </c>
      <c r="J139" s="11" t="s">
        <v>2770</v>
      </c>
      <c r="K139" s="11" t="s">
        <v>1754</v>
      </c>
      <c r="L139" s="11" t="s">
        <v>2778</v>
      </c>
      <c r="M139" s="11" t="s">
        <v>1931</v>
      </c>
      <c r="N139" s="11" t="s">
        <v>2772</v>
      </c>
      <c r="O139" s="11" t="s">
        <v>2773</v>
      </c>
      <c r="P139" s="11" t="s">
        <v>1920</v>
      </c>
      <c r="Q139" s="11" t="s">
        <v>2774</v>
      </c>
      <c r="R139" s="11" t="s">
        <v>2775</v>
      </c>
      <c r="S139" s="11" t="s">
        <v>2771</v>
      </c>
      <c r="T139" s="11" t="s">
        <v>2771</v>
      </c>
      <c r="U139" s="11" t="s">
        <v>1932</v>
      </c>
      <c r="V139" s="11" t="s">
        <v>1925</v>
      </c>
      <c r="W139" s="11" t="s">
        <v>1926</v>
      </c>
      <c r="X139" s="11" t="s">
        <v>2779</v>
      </c>
      <c r="Y139" s="12" t="n">
        <f aca="false">COUNTIF($A$6:$A$339,A139)</f>
        <v>1</v>
      </c>
    </row>
    <row r="140" customFormat="false" ht="240" hidden="false" customHeight="true" outlineLevel="0" collapsed="false">
      <c r="A140" s="11" t="s">
        <v>2780</v>
      </c>
      <c r="B140" s="11" t="s">
        <v>1211</v>
      </c>
      <c r="C140" s="11" t="s">
        <v>1911</v>
      </c>
      <c r="D140" s="11" t="b">
        <f aca="false">TRUE()</f>
        <v>1</v>
      </c>
      <c r="E140" s="11" t="b">
        <f aca="false">FALSE()</f>
        <v>0</v>
      </c>
      <c r="F140" s="11"/>
      <c r="G140" s="11" t="s">
        <v>2781</v>
      </c>
      <c r="H140" s="11" t="s">
        <v>2782</v>
      </c>
      <c r="I140" s="11" t="s">
        <v>2783</v>
      </c>
      <c r="J140" s="11" t="s">
        <v>2784</v>
      </c>
      <c r="K140" s="11" t="s">
        <v>1755</v>
      </c>
      <c r="L140" s="11" t="s">
        <v>2785</v>
      </c>
      <c r="M140" s="11" t="s">
        <v>1917</v>
      </c>
      <c r="N140" s="11" t="s">
        <v>2786</v>
      </c>
      <c r="O140" s="11" t="s">
        <v>2787</v>
      </c>
      <c r="P140" s="11" t="s">
        <v>1920</v>
      </c>
      <c r="Q140" s="11" t="s">
        <v>2788</v>
      </c>
      <c r="R140" s="11" t="s">
        <v>2789</v>
      </c>
      <c r="S140" s="11" t="s">
        <v>2790</v>
      </c>
      <c r="T140" s="11" t="s">
        <v>2790</v>
      </c>
      <c r="U140" s="11" t="s">
        <v>1924</v>
      </c>
      <c r="V140" s="11" t="s">
        <v>1925</v>
      </c>
      <c r="W140" s="11" t="s">
        <v>1926</v>
      </c>
      <c r="X140" s="11" t="s">
        <v>2791</v>
      </c>
      <c r="Y140" s="12" t="n">
        <f aca="false">COUNTIF($A$6:$A$339,A140)</f>
        <v>1</v>
      </c>
    </row>
    <row r="141" customFormat="false" ht="240" hidden="false" customHeight="true" outlineLevel="0" collapsed="false">
      <c r="A141" s="11" t="s">
        <v>2792</v>
      </c>
      <c r="B141" s="11" t="s">
        <v>1211</v>
      </c>
      <c r="C141" s="11" t="s">
        <v>1929</v>
      </c>
      <c r="D141" s="11" t="b">
        <f aca="false">FALSE()</f>
        <v>0</v>
      </c>
      <c r="E141" s="11" t="b">
        <f aca="false">FALSE()</f>
        <v>0</v>
      </c>
      <c r="F141" s="11" t="s">
        <v>1978</v>
      </c>
      <c r="G141" s="11" t="s">
        <v>1979</v>
      </c>
      <c r="H141" s="11" t="s">
        <v>1980</v>
      </c>
      <c r="I141" s="11" t="s">
        <v>1981</v>
      </c>
      <c r="J141" s="11" t="s">
        <v>1982</v>
      </c>
      <c r="K141" s="11" t="s">
        <v>1983</v>
      </c>
      <c r="L141" s="11" t="s">
        <v>1984</v>
      </c>
      <c r="M141" s="11" t="s">
        <v>1984</v>
      </c>
      <c r="N141" s="11" t="s">
        <v>1984</v>
      </c>
      <c r="O141" s="11" t="s">
        <v>1985</v>
      </c>
      <c r="P141" s="11" t="s">
        <v>1986</v>
      </c>
      <c r="Q141" s="11" t="s">
        <v>1987</v>
      </c>
      <c r="R141" s="11" t="s">
        <v>1988</v>
      </c>
      <c r="S141" s="11" t="s">
        <v>1988</v>
      </c>
      <c r="T141" s="11" t="s">
        <v>1988</v>
      </c>
      <c r="U141" s="11" t="s">
        <v>1988</v>
      </c>
      <c r="V141" s="11" t="s">
        <v>1989</v>
      </c>
      <c r="W141" s="11" t="s">
        <v>1990</v>
      </c>
      <c r="X141" s="11" t="s">
        <v>2793</v>
      </c>
      <c r="Y141" s="12" t="n">
        <f aca="false">COUNTIF($A$6:$A$339,A141)</f>
        <v>1</v>
      </c>
    </row>
    <row r="142" customFormat="false" ht="240" hidden="false" customHeight="true" outlineLevel="0" collapsed="false">
      <c r="A142" s="11" t="s">
        <v>2794</v>
      </c>
      <c r="B142" s="11" t="s">
        <v>1215</v>
      </c>
      <c r="C142" s="11" t="s">
        <v>1911</v>
      </c>
      <c r="D142" s="11" t="b">
        <f aca="false">TRUE()</f>
        <v>1</v>
      </c>
      <c r="E142" s="11" t="b">
        <f aca="false">FALSE()</f>
        <v>0</v>
      </c>
      <c r="F142" s="11"/>
      <c r="G142" s="11" t="s">
        <v>2795</v>
      </c>
      <c r="H142" s="11" t="s">
        <v>2796</v>
      </c>
      <c r="I142" s="11" t="s">
        <v>2797</v>
      </c>
      <c r="J142" s="11" t="s">
        <v>2198</v>
      </c>
      <c r="K142" s="11" t="s">
        <v>1756</v>
      </c>
      <c r="L142" s="11" t="s">
        <v>2199</v>
      </c>
      <c r="M142" s="11" t="s">
        <v>1917</v>
      </c>
      <c r="N142" s="11" t="s">
        <v>2186</v>
      </c>
      <c r="O142" s="11" t="s">
        <v>2798</v>
      </c>
      <c r="P142" s="11" t="s">
        <v>1920</v>
      </c>
      <c r="Q142" s="11" t="s">
        <v>2798</v>
      </c>
      <c r="R142" s="11" t="s">
        <v>2799</v>
      </c>
      <c r="S142" s="11" t="s">
        <v>1959</v>
      </c>
      <c r="T142" s="11" t="s">
        <v>1960</v>
      </c>
      <c r="U142" s="11" t="s">
        <v>1924</v>
      </c>
      <c r="V142" s="11" t="s">
        <v>1925</v>
      </c>
      <c r="W142" s="11" t="s">
        <v>1926</v>
      </c>
      <c r="X142" s="11" t="s">
        <v>2800</v>
      </c>
      <c r="Y142" s="12" t="n">
        <f aca="false">COUNTIF($A$6:$A$339,A142)</f>
        <v>1</v>
      </c>
    </row>
    <row r="143" customFormat="false" ht="240" hidden="false" customHeight="true" outlineLevel="0" collapsed="false">
      <c r="A143" s="11" t="s">
        <v>2801</v>
      </c>
      <c r="B143" s="11" t="s">
        <v>1215</v>
      </c>
      <c r="C143" s="11" t="s">
        <v>1929</v>
      </c>
      <c r="D143" s="11" t="b">
        <f aca="false">TRUE()</f>
        <v>1</v>
      </c>
      <c r="E143" s="11" t="b">
        <f aca="false">FALSE()</f>
        <v>0</v>
      </c>
      <c r="F143" s="11"/>
      <c r="G143" s="11" t="s">
        <v>2795</v>
      </c>
      <c r="H143" s="11" t="s">
        <v>2796</v>
      </c>
      <c r="I143" s="11" t="s">
        <v>2797</v>
      </c>
      <c r="J143" s="11" t="s">
        <v>2198</v>
      </c>
      <c r="K143" s="11" t="s">
        <v>1757</v>
      </c>
      <c r="L143" s="11" t="s">
        <v>2204</v>
      </c>
      <c r="M143" s="11" t="s">
        <v>1931</v>
      </c>
      <c r="N143" s="11" t="s">
        <v>2186</v>
      </c>
      <c r="O143" s="11" t="s">
        <v>2798</v>
      </c>
      <c r="P143" s="11" t="s">
        <v>1920</v>
      </c>
      <c r="Q143" s="11" t="s">
        <v>2798</v>
      </c>
      <c r="R143" s="11" t="s">
        <v>2799</v>
      </c>
      <c r="S143" s="11" t="s">
        <v>1959</v>
      </c>
      <c r="T143" s="11" t="s">
        <v>1960</v>
      </c>
      <c r="U143" s="11" t="s">
        <v>1932</v>
      </c>
      <c r="V143" s="11" t="s">
        <v>1925</v>
      </c>
      <c r="W143" s="11" t="s">
        <v>1926</v>
      </c>
      <c r="X143" s="11" t="s">
        <v>2802</v>
      </c>
      <c r="Y143" s="12" t="n">
        <f aca="false">COUNTIF($A$6:$A$339,A143)</f>
        <v>1</v>
      </c>
    </row>
    <row r="144" customFormat="false" ht="240" hidden="false" customHeight="true" outlineLevel="0" collapsed="false">
      <c r="A144" s="11" t="s">
        <v>2803</v>
      </c>
      <c r="B144" s="11" t="s">
        <v>1218</v>
      </c>
      <c r="C144" s="11" t="s">
        <v>1911</v>
      </c>
      <c r="D144" s="11" t="b">
        <f aca="false">TRUE()</f>
        <v>1</v>
      </c>
      <c r="E144" s="11" t="b">
        <f aca="false">FALSE()</f>
        <v>0</v>
      </c>
      <c r="F144" s="11"/>
      <c r="G144" s="11" t="s">
        <v>2804</v>
      </c>
      <c r="H144" s="11" t="s">
        <v>2805</v>
      </c>
      <c r="I144" s="11" t="s">
        <v>2806</v>
      </c>
      <c r="J144" s="11" t="s">
        <v>2198</v>
      </c>
      <c r="K144" s="11" t="s">
        <v>1758</v>
      </c>
      <c r="L144" s="11" t="s">
        <v>2199</v>
      </c>
      <c r="M144" s="11" t="s">
        <v>1917</v>
      </c>
      <c r="N144" s="11" t="s">
        <v>2186</v>
      </c>
      <c r="O144" s="11" t="s">
        <v>2807</v>
      </c>
      <c r="P144" s="11" t="s">
        <v>1920</v>
      </c>
      <c r="Q144" s="11" t="s">
        <v>2808</v>
      </c>
      <c r="R144" s="11" t="s">
        <v>2809</v>
      </c>
      <c r="S144" s="11" t="s">
        <v>1959</v>
      </c>
      <c r="T144" s="11" t="s">
        <v>1960</v>
      </c>
      <c r="U144" s="11" t="s">
        <v>1924</v>
      </c>
      <c r="V144" s="11" t="s">
        <v>1925</v>
      </c>
      <c r="W144" s="11" t="s">
        <v>1926</v>
      </c>
      <c r="X144" s="11" t="s">
        <v>2810</v>
      </c>
      <c r="Y144" s="12" t="n">
        <f aca="false">COUNTIF($A$6:$A$339,A144)</f>
        <v>1</v>
      </c>
    </row>
    <row r="145" customFormat="false" ht="240" hidden="false" customHeight="true" outlineLevel="0" collapsed="false">
      <c r="A145" s="11" t="s">
        <v>2811</v>
      </c>
      <c r="B145" s="11" t="s">
        <v>1218</v>
      </c>
      <c r="C145" s="11" t="s">
        <v>1929</v>
      </c>
      <c r="D145" s="11" t="b">
        <f aca="false">TRUE()</f>
        <v>1</v>
      </c>
      <c r="E145" s="11" t="b">
        <f aca="false">FALSE()</f>
        <v>0</v>
      </c>
      <c r="F145" s="11"/>
      <c r="G145" s="11" t="s">
        <v>2804</v>
      </c>
      <c r="H145" s="11" t="s">
        <v>2805</v>
      </c>
      <c r="I145" s="11" t="s">
        <v>2806</v>
      </c>
      <c r="J145" s="11" t="s">
        <v>2198</v>
      </c>
      <c r="K145" s="11" t="s">
        <v>1759</v>
      </c>
      <c r="L145" s="11" t="s">
        <v>2204</v>
      </c>
      <c r="M145" s="11" t="s">
        <v>1931</v>
      </c>
      <c r="N145" s="11" t="s">
        <v>2186</v>
      </c>
      <c r="O145" s="11" t="s">
        <v>2807</v>
      </c>
      <c r="P145" s="11" t="s">
        <v>1920</v>
      </c>
      <c r="Q145" s="11" t="s">
        <v>2808</v>
      </c>
      <c r="R145" s="11" t="s">
        <v>2809</v>
      </c>
      <c r="S145" s="11" t="s">
        <v>1959</v>
      </c>
      <c r="T145" s="11" t="s">
        <v>1960</v>
      </c>
      <c r="U145" s="11" t="s">
        <v>1932</v>
      </c>
      <c r="V145" s="11" t="s">
        <v>1925</v>
      </c>
      <c r="W145" s="11" t="s">
        <v>1926</v>
      </c>
      <c r="X145" s="11" t="s">
        <v>2812</v>
      </c>
      <c r="Y145" s="12" t="n">
        <f aca="false">COUNTIF($A$6:$A$339,A145)</f>
        <v>1</v>
      </c>
    </row>
    <row r="146" customFormat="false" ht="240" hidden="false" customHeight="true" outlineLevel="0" collapsed="false">
      <c r="A146" s="11" t="s">
        <v>2813</v>
      </c>
      <c r="B146" s="11" t="s">
        <v>1220</v>
      </c>
      <c r="C146" s="11" t="s">
        <v>1911</v>
      </c>
      <c r="D146" s="11" t="b">
        <f aca="false">TRUE()</f>
        <v>1</v>
      </c>
      <c r="E146" s="11" t="b">
        <f aca="false">FALSE()</f>
        <v>0</v>
      </c>
      <c r="F146" s="11"/>
      <c r="G146" s="11" t="s">
        <v>2814</v>
      </c>
      <c r="H146" s="11" t="s">
        <v>2815</v>
      </c>
      <c r="I146" s="11" t="s">
        <v>2816</v>
      </c>
      <c r="J146" s="11" t="s">
        <v>2198</v>
      </c>
      <c r="K146" s="11" t="s">
        <v>1760</v>
      </c>
      <c r="L146" s="11" t="s">
        <v>2199</v>
      </c>
      <c r="M146" s="11" t="s">
        <v>1917</v>
      </c>
      <c r="N146" s="11" t="s">
        <v>2186</v>
      </c>
      <c r="O146" s="11" t="s">
        <v>2187</v>
      </c>
      <c r="P146" s="11" t="s">
        <v>1920</v>
      </c>
      <c r="Q146" s="11" t="s">
        <v>2817</v>
      </c>
      <c r="R146" s="11" t="s">
        <v>2818</v>
      </c>
      <c r="S146" s="11" t="s">
        <v>1959</v>
      </c>
      <c r="T146" s="11" t="s">
        <v>1960</v>
      </c>
      <c r="U146" s="11" t="s">
        <v>1924</v>
      </c>
      <c r="V146" s="11" t="s">
        <v>1925</v>
      </c>
      <c r="W146" s="11" t="s">
        <v>1926</v>
      </c>
      <c r="X146" s="11" t="s">
        <v>2819</v>
      </c>
      <c r="Y146" s="12" t="n">
        <f aca="false">COUNTIF($A$6:$A$339,A146)</f>
        <v>1</v>
      </c>
    </row>
    <row r="147" customFormat="false" ht="240" hidden="false" customHeight="true" outlineLevel="0" collapsed="false">
      <c r="A147" s="11" t="s">
        <v>2820</v>
      </c>
      <c r="B147" s="11" t="s">
        <v>1220</v>
      </c>
      <c r="C147" s="11" t="s">
        <v>1929</v>
      </c>
      <c r="D147" s="11" t="b">
        <f aca="false">FALSE()</f>
        <v>0</v>
      </c>
      <c r="E147" s="11" t="b">
        <f aca="false">FALSE()</f>
        <v>0</v>
      </c>
      <c r="F147" s="11" t="s">
        <v>1978</v>
      </c>
      <c r="G147" s="11" t="s">
        <v>1979</v>
      </c>
      <c r="H147" s="11" t="s">
        <v>1980</v>
      </c>
      <c r="I147" s="11" t="s">
        <v>1981</v>
      </c>
      <c r="J147" s="11" t="s">
        <v>1982</v>
      </c>
      <c r="K147" s="11" t="s">
        <v>1983</v>
      </c>
      <c r="L147" s="11" t="s">
        <v>1984</v>
      </c>
      <c r="M147" s="11" t="s">
        <v>1984</v>
      </c>
      <c r="N147" s="11" t="s">
        <v>1984</v>
      </c>
      <c r="O147" s="11" t="s">
        <v>1985</v>
      </c>
      <c r="P147" s="11" t="s">
        <v>1986</v>
      </c>
      <c r="Q147" s="11" t="s">
        <v>1987</v>
      </c>
      <c r="R147" s="11" t="s">
        <v>1988</v>
      </c>
      <c r="S147" s="11" t="s">
        <v>1988</v>
      </c>
      <c r="T147" s="11" t="s">
        <v>1988</v>
      </c>
      <c r="U147" s="11" t="s">
        <v>1988</v>
      </c>
      <c r="V147" s="11" t="s">
        <v>1989</v>
      </c>
      <c r="W147" s="11" t="s">
        <v>1990</v>
      </c>
      <c r="X147" s="11" t="s">
        <v>2821</v>
      </c>
      <c r="Y147" s="12" t="n">
        <f aca="false">COUNTIF($A$6:$A$339,A147)</f>
        <v>1</v>
      </c>
    </row>
    <row r="148" customFormat="false" ht="240" hidden="false" customHeight="true" outlineLevel="0" collapsed="false">
      <c r="A148" s="11" t="s">
        <v>2822</v>
      </c>
      <c r="B148" s="11" t="s">
        <v>1223</v>
      </c>
      <c r="C148" s="11" t="s">
        <v>1911</v>
      </c>
      <c r="D148" s="11" t="b">
        <f aca="false">TRUE()</f>
        <v>1</v>
      </c>
      <c r="E148" s="11" t="b">
        <f aca="false">TRUE()</f>
        <v>1</v>
      </c>
      <c r="F148" s="11"/>
      <c r="G148" s="11" t="s">
        <v>2823</v>
      </c>
      <c r="H148" s="11" t="s">
        <v>2824</v>
      </c>
      <c r="I148" s="11" t="s">
        <v>2825</v>
      </c>
      <c r="J148" s="11" t="s">
        <v>2198</v>
      </c>
      <c r="K148" s="11" t="s">
        <v>1761</v>
      </c>
      <c r="L148" s="11" t="s">
        <v>2826</v>
      </c>
      <c r="M148" s="11" t="s">
        <v>1917</v>
      </c>
      <c r="N148" s="11" t="s">
        <v>2827</v>
      </c>
      <c r="O148" s="11" t="s">
        <v>2828</v>
      </c>
      <c r="P148" s="11" t="s">
        <v>1920</v>
      </c>
      <c r="Q148" s="11" t="s">
        <v>2829</v>
      </c>
      <c r="R148" s="11" t="s">
        <v>2830</v>
      </c>
      <c r="S148" s="11" t="s">
        <v>2831</v>
      </c>
      <c r="T148" s="11" t="s">
        <v>2831</v>
      </c>
      <c r="U148" s="11" t="s">
        <v>1924</v>
      </c>
      <c r="V148" s="11" t="s">
        <v>2832</v>
      </c>
      <c r="W148" s="11" t="s">
        <v>1926</v>
      </c>
      <c r="X148" s="11" t="s">
        <v>2833</v>
      </c>
      <c r="Y148" s="12" t="n">
        <f aca="false">COUNTIF($A$6:$A$339,A148)</f>
        <v>1</v>
      </c>
    </row>
    <row r="149" customFormat="false" ht="240" hidden="false" customHeight="true" outlineLevel="0" collapsed="false">
      <c r="A149" s="11" t="s">
        <v>2834</v>
      </c>
      <c r="B149" s="11" t="s">
        <v>1223</v>
      </c>
      <c r="C149" s="11" t="s">
        <v>1929</v>
      </c>
      <c r="D149" s="11" t="b">
        <f aca="false">FALSE()</f>
        <v>0</v>
      </c>
      <c r="E149" s="11" t="b">
        <f aca="false">FALSE()</f>
        <v>0</v>
      </c>
      <c r="F149" s="11" t="s">
        <v>1978</v>
      </c>
      <c r="G149" s="11" t="s">
        <v>1979</v>
      </c>
      <c r="H149" s="11" t="s">
        <v>1980</v>
      </c>
      <c r="I149" s="11" t="s">
        <v>1981</v>
      </c>
      <c r="J149" s="11" t="s">
        <v>1982</v>
      </c>
      <c r="K149" s="11" t="s">
        <v>1983</v>
      </c>
      <c r="L149" s="11" t="s">
        <v>1984</v>
      </c>
      <c r="M149" s="11" t="s">
        <v>1984</v>
      </c>
      <c r="N149" s="11" t="s">
        <v>1984</v>
      </c>
      <c r="O149" s="11" t="s">
        <v>1985</v>
      </c>
      <c r="P149" s="11" t="s">
        <v>1986</v>
      </c>
      <c r="Q149" s="11" t="s">
        <v>1987</v>
      </c>
      <c r="R149" s="11" t="s">
        <v>1988</v>
      </c>
      <c r="S149" s="11" t="s">
        <v>1988</v>
      </c>
      <c r="T149" s="11" t="s">
        <v>1988</v>
      </c>
      <c r="U149" s="11" t="s">
        <v>1988</v>
      </c>
      <c r="V149" s="11" t="s">
        <v>1989</v>
      </c>
      <c r="W149" s="11" t="s">
        <v>1990</v>
      </c>
      <c r="X149" s="11" t="s">
        <v>2835</v>
      </c>
      <c r="Y149" s="12" t="n">
        <f aca="false">COUNTIF($A$6:$A$339,A149)</f>
        <v>1</v>
      </c>
    </row>
    <row r="150" customFormat="false" ht="240" hidden="false" customHeight="true" outlineLevel="0" collapsed="false">
      <c r="A150" s="11" t="s">
        <v>2836</v>
      </c>
      <c r="B150" s="11" t="s">
        <v>1227</v>
      </c>
      <c r="C150" s="11" t="s">
        <v>1911</v>
      </c>
      <c r="D150" s="11" t="b">
        <f aca="false">TRUE()</f>
        <v>1</v>
      </c>
      <c r="E150" s="11" t="b">
        <f aca="false">TRUE()</f>
        <v>1</v>
      </c>
      <c r="F150" s="11"/>
      <c r="G150" s="11" t="s">
        <v>2837</v>
      </c>
      <c r="H150" s="11" t="s">
        <v>2838</v>
      </c>
      <c r="I150" s="11" t="s">
        <v>2839</v>
      </c>
      <c r="J150" s="11" t="s">
        <v>2198</v>
      </c>
      <c r="K150" s="11" t="s">
        <v>1762</v>
      </c>
      <c r="L150" s="11" t="s">
        <v>2840</v>
      </c>
      <c r="M150" s="11" t="s">
        <v>1917</v>
      </c>
      <c r="N150" s="11" t="s">
        <v>2837</v>
      </c>
      <c r="O150" s="11" t="s">
        <v>2187</v>
      </c>
      <c r="P150" s="11" t="s">
        <v>1920</v>
      </c>
      <c r="Q150" s="11" t="s">
        <v>2841</v>
      </c>
      <c r="R150" s="11" t="s">
        <v>2842</v>
      </c>
      <c r="S150" s="11" t="s">
        <v>1959</v>
      </c>
      <c r="T150" s="11" t="s">
        <v>1960</v>
      </c>
      <c r="U150" s="11" t="s">
        <v>1924</v>
      </c>
      <c r="V150" s="11" t="s">
        <v>1925</v>
      </c>
      <c r="W150" s="11" t="s">
        <v>1926</v>
      </c>
      <c r="X150" s="11" t="s">
        <v>2843</v>
      </c>
      <c r="Y150" s="12" t="n">
        <f aca="false">COUNTIF($A$6:$A$339,A150)</f>
        <v>1</v>
      </c>
    </row>
    <row r="151" customFormat="false" ht="240" hidden="false" customHeight="true" outlineLevel="0" collapsed="false">
      <c r="A151" s="11" t="s">
        <v>2844</v>
      </c>
      <c r="B151" s="11" t="s">
        <v>1227</v>
      </c>
      <c r="C151" s="11" t="s">
        <v>1929</v>
      </c>
      <c r="D151" s="11" t="b">
        <f aca="false">FALSE()</f>
        <v>0</v>
      </c>
      <c r="E151" s="11" t="b">
        <f aca="false">FALSE()</f>
        <v>0</v>
      </c>
      <c r="F151" s="11" t="s">
        <v>1978</v>
      </c>
      <c r="G151" s="11" t="s">
        <v>1979</v>
      </c>
      <c r="H151" s="11" t="s">
        <v>1980</v>
      </c>
      <c r="I151" s="11" t="s">
        <v>1981</v>
      </c>
      <c r="J151" s="11" t="s">
        <v>1982</v>
      </c>
      <c r="K151" s="11" t="s">
        <v>1983</v>
      </c>
      <c r="L151" s="11" t="s">
        <v>1984</v>
      </c>
      <c r="M151" s="11" t="s">
        <v>1984</v>
      </c>
      <c r="N151" s="11" t="s">
        <v>1984</v>
      </c>
      <c r="O151" s="11" t="s">
        <v>1985</v>
      </c>
      <c r="P151" s="11" t="s">
        <v>1986</v>
      </c>
      <c r="Q151" s="11" t="s">
        <v>1987</v>
      </c>
      <c r="R151" s="11" t="s">
        <v>1988</v>
      </c>
      <c r="S151" s="11" t="s">
        <v>1988</v>
      </c>
      <c r="T151" s="11" t="s">
        <v>1988</v>
      </c>
      <c r="U151" s="11" t="s">
        <v>1988</v>
      </c>
      <c r="V151" s="11" t="s">
        <v>1989</v>
      </c>
      <c r="W151" s="11" t="s">
        <v>1990</v>
      </c>
      <c r="X151" s="11" t="s">
        <v>2845</v>
      </c>
      <c r="Y151" s="12" t="n">
        <f aca="false">COUNTIF($A$6:$A$339,A151)</f>
        <v>1</v>
      </c>
    </row>
    <row r="152" customFormat="false" ht="240" hidden="false" customHeight="true" outlineLevel="0" collapsed="false">
      <c r="A152" s="11" t="s">
        <v>2846</v>
      </c>
      <c r="B152" s="11" t="s">
        <v>1230</v>
      </c>
      <c r="C152" s="11" t="s">
        <v>1911</v>
      </c>
      <c r="D152" s="11" t="b">
        <f aca="false">TRUE()</f>
        <v>1</v>
      </c>
      <c r="E152" s="11" t="b">
        <f aca="false">TRUE()</f>
        <v>1</v>
      </c>
      <c r="F152" s="11"/>
      <c r="G152" s="11" t="s">
        <v>2847</v>
      </c>
      <c r="H152" s="11" t="s">
        <v>2848</v>
      </c>
      <c r="I152" s="11" t="s">
        <v>2849</v>
      </c>
      <c r="J152" s="11" t="s">
        <v>2198</v>
      </c>
      <c r="K152" s="11" t="s">
        <v>1763</v>
      </c>
      <c r="L152" s="11" t="s">
        <v>2850</v>
      </c>
      <c r="M152" s="11" t="s">
        <v>1917</v>
      </c>
      <c r="N152" s="11" t="s">
        <v>2851</v>
      </c>
      <c r="O152" s="11" t="s">
        <v>2852</v>
      </c>
      <c r="P152" s="11" t="s">
        <v>1920</v>
      </c>
      <c r="Q152" s="11" t="s">
        <v>2853</v>
      </c>
      <c r="R152" s="11" t="s">
        <v>2854</v>
      </c>
      <c r="S152" s="11" t="s">
        <v>2855</v>
      </c>
      <c r="T152" s="11" t="s">
        <v>2855</v>
      </c>
      <c r="U152" s="11" t="s">
        <v>1924</v>
      </c>
      <c r="V152" s="11" t="s">
        <v>1925</v>
      </c>
      <c r="W152" s="11" t="s">
        <v>1926</v>
      </c>
      <c r="X152" s="11" t="s">
        <v>2856</v>
      </c>
      <c r="Y152" s="12" t="n">
        <f aca="false">COUNTIF($A$6:$A$339,A152)</f>
        <v>1</v>
      </c>
    </row>
    <row r="153" customFormat="false" ht="240" hidden="false" customHeight="true" outlineLevel="0" collapsed="false">
      <c r="A153" s="11" t="s">
        <v>2857</v>
      </c>
      <c r="B153" s="11" t="s">
        <v>1230</v>
      </c>
      <c r="C153" s="11" t="s">
        <v>1929</v>
      </c>
      <c r="D153" s="11" t="b">
        <f aca="false">FALSE()</f>
        <v>0</v>
      </c>
      <c r="E153" s="11" t="b">
        <f aca="false">FALSE()</f>
        <v>0</v>
      </c>
      <c r="F153" s="11" t="s">
        <v>1978</v>
      </c>
      <c r="G153" s="11" t="s">
        <v>1979</v>
      </c>
      <c r="H153" s="11" t="s">
        <v>1980</v>
      </c>
      <c r="I153" s="11" t="s">
        <v>1981</v>
      </c>
      <c r="J153" s="11" t="s">
        <v>1982</v>
      </c>
      <c r="K153" s="11" t="s">
        <v>1983</v>
      </c>
      <c r="L153" s="11" t="s">
        <v>1984</v>
      </c>
      <c r="M153" s="11" t="s">
        <v>1984</v>
      </c>
      <c r="N153" s="11" t="s">
        <v>1984</v>
      </c>
      <c r="O153" s="11" t="s">
        <v>1985</v>
      </c>
      <c r="P153" s="11" t="s">
        <v>1986</v>
      </c>
      <c r="Q153" s="11" t="s">
        <v>1987</v>
      </c>
      <c r="R153" s="11" t="s">
        <v>1988</v>
      </c>
      <c r="S153" s="11" t="s">
        <v>1988</v>
      </c>
      <c r="T153" s="11" t="s">
        <v>1988</v>
      </c>
      <c r="U153" s="11" t="s">
        <v>1988</v>
      </c>
      <c r="V153" s="11" t="s">
        <v>1989</v>
      </c>
      <c r="W153" s="11" t="s">
        <v>1990</v>
      </c>
      <c r="X153" s="11" t="s">
        <v>2858</v>
      </c>
      <c r="Y153" s="12" t="n">
        <f aca="false">COUNTIF($A$6:$A$339,A153)</f>
        <v>1</v>
      </c>
    </row>
    <row r="154" customFormat="false" ht="240" hidden="false" customHeight="true" outlineLevel="0" collapsed="false">
      <c r="A154" s="11" t="s">
        <v>2859</v>
      </c>
      <c r="B154" s="11" t="s">
        <v>1233</v>
      </c>
      <c r="C154" s="11" t="s">
        <v>1911</v>
      </c>
      <c r="D154" s="11" t="b">
        <f aca="false">TRUE()</f>
        <v>1</v>
      </c>
      <c r="E154" s="11" t="b">
        <f aca="false">FALSE()</f>
        <v>0</v>
      </c>
      <c r="F154" s="11"/>
      <c r="G154" s="11" t="s">
        <v>2860</v>
      </c>
      <c r="H154" s="11" t="s">
        <v>2861</v>
      </c>
      <c r="I154" s="11" t="s">
        <v>2862</v>
      </c>
      <c r="J154" s="11" t="s">
        <v>2863</v>
      </c>
      <c r="K154" s="11" t="s">
        <v>1764</v>
      </c>
      <c r="L154" s="11" t="s">
        <v>2199</v>
      </c>
      <c r="M154" s="11" t="s">
        <v>1917</v>
      </c>
      <c r="N154" s="11" t="s">
        <v>2186</v>
      </c>
      <c r="O154" s="11" t="s">
        <v>2864</v>
      </c>
      <c r="P154" s="11" t="s">
        <v>1920</v>
      </c>
      <c r="Q154" s="11" t="s">
        <v>2865</v>
      </c>
      <c r="R154" s="11" t="s">
        <v>2866</v>
      </c>
      <c r="S154" s="11" t="s">
        <v>1959</v>
      </c>
      <c r="T154" s="11" t="s">
        <v>1960</v>
      </c>
      <c r="U154" s="11" t="s">
        <v>1924</v>
      </c>
      <c r="V154" s="11" t="s">
        <v>1925</v>
      </c>
      <c r="W154" s="11" t="s">
        <v>1926</v>
      </c>
      <c r="X154" s="11" t="s">
        <v>2867</v>
      </c>
      <c r="Y154" s="12" t="n">
        <f aca="false">COUNTIF($A$6:$A$339,A154)</f>
        <v>1</v>
      </c>
    </row>
    <row r="155" customFormat="false" ht="240" hidden="false" customHeight="true" outlineLevel="0" collapsed="false">
      <c r="A155" s="11" t="s">
        <v>2868</v>
      </c>
      <c r="B155" s="11" t="s">
        <v>1233</v>
      </c>
      <c r="C155" s="11" t="s">
        <v>1929</v>
      </c>
      <c r="D155" s="11" t="b">
        <f aca="false">FALSE()</f>
        <v>0</v>
      </c>
      <c r="E155" s="11" t="b">
        <f aca="false">FALSE()</f>
        <v>0</v>
      </c>
      <c r="F155" s="11" t="s">
        <v>1978</v>
      </c>
      <c r="G155" s="11" t="s">
        <v>1979</v>
      </c>
      <c r="H155" s="11" t="s">
        <v>1980</v>
      </c>
      <c r="I155" s="11" t="s">
        <v>1981</v>
      </c>
      <c r="J155" s="11" t="s">
        <v>1982</v>
      </c>
      <c r="K155" s="11" t="s">
        <v>1983</v>
      </c>
      <c r="L155" s="11" t="s">
        <v>1984</v>
      </c>
      <c r="M155" s="11" t="s">
        <v>1984</v>
      </c>
      <c r="N155" s="11" t="s">
        <v>1984</v>
      </c>
      <c r="O155" s="11" t="s">
        <v>1985</v>
      </c>
      <c r="P155" s="11" t="s">
        <v>1986</v>
      </c>
      <c r="Q155" s="11" t="s">
        <v>1987</v>
      </c>
      <c r="R155" s="11" t="s">
        <v>1988</v>
      </c>
      <c r="S155" s="11" t="s">
        <v>1988</v>
      </c>
      <c r="T155" s="11" t="s">
        <v>1988</v>
      </c>
      <c r="U155" s="11" t="s">
        <v>1988</v>
      </c>
      <c r="V155" s="11" t="s">
        <v>1989</v>
      </c>
      <c r="W155" s="11" t="s">
        <v>1990</v>
      </c>
      <c r="X155" s="11" t="s">
        <v>2869</v>
      </c>
      <c r="Y155" s="12" t="n">
        <f aca="false">COUNTIF($A$6:$A$339,A155)</f>
        <v>1</v>
      </c>
    </row>
    <row r="156" customFormat="false" ht="240" hidden="false" customHeight="true" outlineLevel="0" collapsed="false">
      <c r="A156" s="11" t="s">
        <v>2870</v>
      </c>
      <c r="B156" s="11" t="s">
        <v>1236</v>
      </c>
      <c r="C156" s="11" t="s">
        <v>1911</v>
      </c>
      <c r="D156" s="11" t="b">
        <f aca="false">FALSE()</f>
        <v>0</v>
      </c>
      <c r="E156" s="11" t="b">
        <f aca="false">FALSE()</f>
        <v>0</v>
      </c>
      <c r="F156" s="11" t="s">
        <v>2263</v>
      </c>
      <c r="G156" s="11" t="s">
        <v>1979</v>
      </c>
      <c r="H156" s="11" t="s">
        <v>1980</v>
      </c>
      <c r="I156" s="11" t="s">
        <v>1981</v>
      </c>
      <c r="J156" s="11" t="s">
        <v>1982</v>
      </c>
      <c r="K156" s="11" t="s">
        <v>1983</v>
      </c>
      <c r="L156" s="11" t="s">
        <v>1984</v>
      </c>
      <c r="M156" s="11" t="s">
        <v>1984</v>
      </c>
      <c r="N156" s="11" t="s">
        <v>1984</v>
      </c>
      <c r="O156" s="11" t="s">
        <v>1985</v>
      </c>
      <c r="P156" s="11" t="s">
        <v>1986</v>
      </c>
      <c r="Q156" s="11" t="s">
        <v>1987</v>
      </c>
      <c r="R156" s="11" t="s">
        <v>1988</v>
      </c>
      <c r="S156" s="11" t="s">
        <v>1988</v>
      </c>
      <c r="T156" s="11" t="s">
        <v>1988</v>
      </c>
      <c r="U156" s="11" t="s">
        <v>1988</v>
      </c>
      <c r="V156" s="11" t="s">
        <v>1989</v>
      </c>
      <c r="W156" s="11" t="s">
        <v>1990</v>
      </c>
      <c r="X156" s="11" t="s">
        <v>2871</v>
      </c>
      <c r="Y156" s="12" t="n">
        <f aca="false">COUNTIF($A$6:$A$339,A156)</f>
        <v>1</v>
      </c>
    </row>
    <row r="157" customFormat="false" ht="240" hidden="false" customHeight="true" outlineLevel="0" collapsed="false">
      <c r="A157" s="11" t="s">
        <v>2872</v>
      </c>
      <c r="B157" s="11" t="s">
        <v>1236</v>
      </c>
      <c r="C157" s="11" t="s">
        <v>1929</v>
      </c>
      <c r="D157" s="11" t="b">
        <f aca="false">TRUE()</f>
        <v>1</v>
      </c>
      <c r="E157" s="11" t="b">
        <f aca="false">TRUE()</f>
        <v>1</v>
      </c>
      <c r="F157" s="11"/>
      <c r="G157" s="11" t="s">
        <v>2873</v>
      </c>
      <c r="H157" s="11" t="s">
        <v>2874</v>
      </c>
      <c r="I157" s="11" t="s">
        <v>2875</v>
      </c>
      <c r="J157" s="11" t="s">
        <v>2876</v>
      </c>
      <c r="K157" s="11" t="s">
        <v>2877</v>
      </c>
      <c r="L157" s="11" t="s">
        <v>2878</v>
      </c>
      <c r="M157" s="11" t="s">
        <v>2879</v>
      </c>
      <c r="N157" s="11" t="s">
        <v>2880</v>
      </c>
      <c r="O157" s="11" t="s">
        <v>2881</v>
      </c>
      <c r="P157" s="11" t="s">
        <v>1986</v>
      </c>
      <c r="Q157" s="11" t="s">
        <v>2882</v>
      </c>
      <c r="R157" s="11" t="s">
        <v>2883</v>
      </c>
      <c r="S157" s="11" t="s">
        <v>2884</v>
      </c>
      <c r="T157" s="11" t="s">
        <v>1988</v>
      </c>
      <c r="U157" s="11" t="s">
        <v>2885</v>
      </c>
      <c r="V157" s="11" t="s">
        <v>2886</v>
      </c>
      <c r="W157" s="11" t="s">
        <v>2887</v>
      </c>
      <c r="X157" s="11" t="s">
        <v>2888</v>
      </c>
      <c r="Y157" s="12" t="n">
        <f aca="false">COUNTIF($A$6:$A$339,A157)</f>
        <v>1</v>
      </c>
    </row>
    <row r="158" customFormat="false" ht="240" hidden="false" customHeight="true" outlineLevel="0" collapsed="false">
      <c r="A158" s="11" t="s">
        <v>2889</v>
      </c>
      <c r="B158" s="11" t="s">
        <v>1239</v>
      </c>
      <c r="C158" s="11" t="s">
        <v>1911</v>
      </c>
      <c r="D158" s="11" t="b">
        <f aca="false">TRUE()</f>
        <v>1</v>
      </c>
      <c r="E158" s="11" t="b">
        <f aca="false">FALSE()</f>
        <v>0</v>
      </c>
      <c r="F158" s="11"/>
      <c r="G158" s="11" t="s">
        <v>2890</v>
      </c>
      <c r="H158" s="11" t="s">
        <v>2891</v>
      </c>
      <c r="I158" s="11" t="s">
        <v>2892</v>
      </c>
      <c r="J158" s="11" t="s">
        <v>2893</v>
      </c>
      <c r="K158" s="11" t="s">
        <v>1766</v>
      </c>
      <c r="L158" s="11" t="s">
        <v>2199</v>
      </c>
      <c r="M158" s="11" t="s">
        <v>1917</v>
      </c>
      <c r="N158" s="11" t="s">
        <v>2186</v>
      </c>
      <c r="O158" s="11" t="s">
        <v>2187</v>
      </c>
      <c r="P158" s="11" t="s">
        <v>1920</v>
      </c>
      <c r="Q158" s="11" t="s">
        <v>2894</v>
      </c>
      <c r="R158" s="11" t="s">
        <v>2895</v>
      </c>
      <c r="S158" s="11" t="s">
        <v>1959</v>
      </c>
      <c r="T158" s="11" t="s">
        <v>1960</v>
      </c>
      <c r="U158" s="11" t="s">
        <v>1924</v>
      </c>
      <c r="V158" s="11" t="s">
        <v>1925</v>
      </c>
      <c r="W158" s="11" t="s">
        <v>1926</v>
      </c>
      <c r="X158" s="11" t="s">
        <v>2896</v>
      </c>
      <c r="Y158" s="12" t="n">
        <f aca="false">COUNTIF($A$6:$A$339,A158)</f>
        <v>1</v>
      </c>
    </row>
    <row r="159" customFormat="false" ht="240" hidden="false" customHeight="true" outlineLevel="0" collapsed="false">
      <c r="A159" s="11" t="s">
        <v>2897</v>
      </c>
      <c r="B159" s="11" t="s">
        <v>1239</v>
      </c>
      <c r="C159" s="11" t="s">
        <v>1929</v>
      </c>
      <c r="D159" s="11" t="b">
        <f aca="false">FALSE()</f>
        <v>0</v>
      </c>
      <c r="E159" s="11" t="b">
        <f aca="false">FALSE()</f>
        <v>0</v>
      </c>
      <c r="F159" s="11" t="s">
        <v>1978</v>
      </c>
      <c r="G159" s="11" t="s">
        <v>1979</v>
      </c>
      <c r="H159" s="11" t="s">
        <v>1980</v>
      </c>
      <c r="I159" s="11" t="s">
        <v>1981</v>
      </c>
      <c r="J159" s="11" t="s">
        <v>1982</v>
      </c>
      <c r="K159" s="11" t="s">
        <v>1983</v>
      </c>
      <c r="L159" s="11" t="s">
        <v>1984</v>
      </c>
      <c r="M159" s="11" t="s">
        <v>1984</v>
      </c>
      <c r="N159" s="11" t="s">
        <v>1984</v>
      </c>
      <c r="O159" s="11" t="s">
        <v>1985</v>
      </c>
      <c r="P159" s="11" t="s">
        <v>1986</v>
      </c>
      <c r="Q159" s="11" t="s">
        <v>1987</v>
      </c>
      <c r="R159" s="11" t="s">
        <v>1988</v>
      </c>
      <c r="S159" s="11" t="s">
        <v>1988</v>
      </c>
      <c r="T159" s="11" t="s">
        <v>1988</v>
      </c>
      <c r="U159" s="11" t="s">
        <v>1988</v>
      </c>
      <c r="V159" s="11" t="s">
        <v>1989</v>
      </c>
      <c r="W159" s="11" t="s">
        <v>1990</v>
      </c>
      <c r="X159" s="11" t="s">
        <v>2898</v>
      </c>
      <c r="Y159" s="12" t="n">
        <f aca="false">COUNTIF($A$6:$A$339,A159)</f>
        <v>1</v>
      </c>
    </row>
    <row r="160" customFormat="false" ht="240" hidden="false" customHeight="true" outlineLevel="0" collapsed="false">
      <c r="A160" s="11" t="s">
        <v>2899</v>
      </c>
      <c r="B160" s="11" t="s">
        <v>1246</v>
      </c>
      <c r="C160" s="11" t="s">
        <v>1911</v>
      </c>
      <c r="D160" s="11" t="b">
        <f aca="false">TRUE()</f>
        <v>1</v>
      </c>
      <c r="E160" s="11" t="b">
        <f aca="false">TRUE()</f>
        <v>1</v>
      </c>
      <c r="F160" s="11"/>
      <c r="G160" s="11" t="s">
        <v>2900</v>
      </c>
      <c r="H160" s="11" t="s">
        <v>2901</v>
      </c>
      <c r="I160" s="11" t="s">
        <v>2902</v>
      </c>
      <c r="J160" s="11" t="s">
        <v>2903</v>
      </c>
      <c r="K160" s="11" t="s">
        <v>1767</v>
      </c>
      <c r="L160" s="11" t="s">
        <v>2904</v>
      </c>
      <c r="M160" s="11" t="s">
        <v>1917</v>
      </c>
      <c r="N160" s="11" t="s">
        <v>2900</v>
      </c>
      <c r="O160" s="11" t="s">
        <v>2905</v>
      </c>
      <c r="P160" s="11" t="s">
        <v>1920</v>
      </c>
      <c r="Q160" s="11" t="s">
        <v>2906</v>
      </c>
      <c r="R160" s="11" t="s">
        <v>2907</v>
      </c>
      <c r="S160" s="11" t="s">
        <v>2908</v>
      </c>
      <c r="T160" s="11" t="s">
        <v>2908</v>
      </c>
      <c r="U160" s="11" t="s">
        <v>1924</v>
      </c>
      <c r="V160" s="11" t="s">
        <v>1925</v>
      </c>
      <c r="W160" s="11" t="s">
        <v>1926</v>
      </c>
      <c r="X160" s="11" t="s">
        <v>2909</v>
      </c>
      <c r="Y160" s="12" t="n">
        <f aca="false">COUNTIF($A$6:$A$339,A160)</f>
        <v>1</v>
      </c>
    </row>
    <row r="161" customFormat="false" ht="240" hidden="false" customHeight="true" outlineLevel="0" collapsed="false">
      <c r="A161" s="11" t="s">
        <v>2910</v>
      </c>
      <c r="B161" s="11" t="s">
        <v>1246</v>
      </c>
      <c r="C161" s="11" t="s">
        <v>1929</v>
      </c>
      <c r="D161" s="11" t="b">
        <f aca="false">FALSE()</f>
        <v>0</v>
      </c>
      <c r="E161" s="11" t="b">
        <f aca="false">FALSE()</f>
        <v>0</v>
      </c>
      <c r="F161" s="11" t="s">
        <v>1978</v>
      </c>
      <c r="G161" s="11" t="s">
        <v>1979</v>
      </c>
      <c r="H161" s="11" t="s">
        <v>1980</v>
      </c>
      <c r="I161" s="11" t="s">
        <v>1981</v>
      </c>
      <c r="J161" s="11" t="s">
        <v>1982</v>
      </c>
      <c r="K161" s="11" t="s">
        <v>1983</v>
      </c>
      <c r="L161" s="11" t="s">
        <v>1984</v>
      </c>
      <c r="M161" s="11" t="s">
        <v>1984</v>
      </c>
      <c r="N161" s="11" t="s">
        <v>1984</v>
      </c>
      <c r="O161" s="11" t="s">
        <v>1985</v>
      </c>
      <c r="P161" s="11" t="s">
        <v>1986</v>
      </c>
      <c r="Q161" s="11" t="s">
        <v>1987</v>
      </c>
      <c r="R161" s="11" t="s">
        <v>1988</v>
      </c>
      <c r="S161" s="11" t="s">
        <v>1988</v>
      </c>
      <c r="T161" s="11" t="s">
        <v>1988</v>
      </c>
      <c r="U161" s="11" t="s">
        <v>1988</v>
      </c>
      <c r="V161" s="11" t="s">
        <v>1989</v>
      </c>
      <c r="W161" s="11" t="s">
        <v>1990</v>
      </c>
      <c r="X161" s="11" t="s">
        <v>2911</v>
      </c>
      <c r="Y161" s="12" t="n">
        <f aca="false">COUNTIF($A$6:$A$339,A161)</f>
        <v>1</v>
      </c>
    </row>
    <row r="162" customFormat="false" ht="240" hidden="false" customHeight="true" outlineLevel="0" collapsed="false">
      <c r="A162" s="11" t="s">
        <v>2912</v>
      </c>
      <c r="B162" s="11" t="s">
        <v>1250</v>
      </c>
      <c r="C162" s="11" t="s">
        <v>1911</v>
      </c>
      <c r="D162" s="11" t="b">
        <f aca="false">TRUE()</f>
        <v>1</v>
      </c>
      <c r="E162" s="11" t="b">
        <f aca="false">TRUE()</f>
        <v>1</v>
      </c>
      <c r="F162" s="11"/>
      <c r="G162" s="11" t="s">
        <v>2913</v>
      </c>
      <c r="H162" s="11" t="s">
        <v>2914</v>
      </c>
      <c r="I162" s="11" t="s">
        <v>2915</v>
      </c>
      <c r="J162" s="11" t="s">
        <v>2916</v>
      </c>
      <c r="K162" s="11" t="s">
        <v>1768</v>
      </c>
      <c r="L162" s="11" t="s">
        <v>2917</v>
      </c>
      <c r="M162" s="11" t="s">
        <v>1917</v>
      </c>
      <c r="N162" s="11" t="s">
        <v>2918</v>
      </c>
      <c r="O162" s="11" t="s">
        <v>2919</v>
      </c>
      <c r="P162" s="11" t="s">
        <v>1920</v>
      </c>
      <c r="Q162" s="11" t="s">
        <v>2920</v>
      </c>
      <c r="R162" s="11" t="s">
        <v>2921</v>
      </c>
      <c r="S162" s="11" t="s">
        <v>2922</v>
      </c>
      <c r="T162" s="11" t="s">
        <v>2922</v>
      </c>
      <c r="U162" s="11" t="s">
        <v>1924</v>
      </c>
      <c r="V162" s="11" t="s">
        <v>1925</v>
      </c>
      <c r="W162" s="11" t="s">
        <v>1926</v>
      </c>
      <c r="X162" s="11" t="s">
        <v>2923</v>
      </c>
      <c r="Y162" s="12" t="n">
        <f aca="false">COUNTIF($A$6:$A$339,A162)</f>
        <v>1</v>
      </c>
    </row>
    <row r="163" customFormat="false" ht="240" hidden="false" customHeight="true" outlineLevel="0" collapsed="false">
      <c r="A163" s="11" t="s">
        <v>2924</v>
      </c>
      <c r="B163" s="11" t="s">
        <v>1250</v>
      </c>
      <c r="C163" s="11" t="s">
        <v>1929</v>
      </c>
      <c r="D163" s="11" t="b">
        <f aca="false">FALSE()</f>
        <v>0</v>
      </c>
      <c r="E163" s="11" t="b">
        <f aca="false">FALSE()</f>
        <v>0</v>
      </c>
      <c r="F163" s="11" t="s">
        <v>1978</v>
      </c>
      <c r="G163" s="11" t="s">
        <v>1979</v>
      </c>
      <c r="H163" s="11" t="s">
        <v>1980</v>
      </c>
      <c r="I163" s="11" t="s">
        <v>1981</v>
      </c>
      <c r="J163" s="11" t="s">
        <v>1982</v>
      </c>
      <c r="K163" s="11" t="s">
        <v>1983</v>
      </c>
      <c r="L163" s="11" t="s">
        <v>1984</v>
      </c>
      <c r="M163" s="11" t="s">
        <v>1984</v>
      </c>
      <c r="N163" s="11" t="s">
        <v>1984</v>
      </c>
      <c r="O163" s="11" t="s">
        <v>1985</v>
      </c>
      <c r="P163" s="11" t="s">
        <v>1986</v>
      </c>
      <c r="Q163" s="11" t="s">
        <v>1987</v>
      </c>
      <c r="R163" s="11" t="s">
        <v>1988</v>
      </c>
      <c r="S163" s="11" t="s">
        <v>1988</v>
      </c>
      <c r="T163" s="11" t="s">
        <v>1988</v>
      </c>
      <c r="U163" s="11" t="s">
        <v>1988</v>
      </c>
      <c r="V163" s="11" t="s">
        <v>1989</v>
      </c>
      <c r="W163" s="11" t="s">
        <v>1990</v>
      </c>
      <c r="X163" s="11" t="s">
        <v>2925</v>
      </c>
      <c r="Y163" s="12" t="n">
        <f aca="false">COUNTIF($A$6:$A$339,A163)</f>
        <v>1</v>
      </c>
    </row>
    <row r="164" customFormat="false" ht="240" hidden="false" customHeight="true" outlineLevel="0" collapsed="false">
      <c r="A164" s="11" t="s">
        <v>2926</v>
      </c>
      <c r="B164" s="11" t="s">
        <v>1253</v>
      </c>
      <c r="C164" s="11" t="s">
        <v>1911</v>
      </c>
      <c r="D164" s="11" t="b">
        <f aca="false">TRUE()</f>
        <v>1</v>
      </c>
      <c r="E164" s="11" t="b">
        <f aca="false">FALSE()</f>
        <v>0</v>
      </c>
      <c r="F164" s="11"/>
      <c r="G164" s="11" t="s">
        <v>2927</v>
      </c>
      <c r="H164" s="11" t="s">
        <v>2928</v>
      </c>
      <c r="I164" s="11" t="s">
        <v>2929</v>
      </c>
      <c r="J164" s="11" t="s">
        <v>2198</v>
      </c>
      <c r="K164" s="11" t="s">
        <v>1769</v>
      </c>
      <c r="L164" s="11" t="s">
        <v>2199</v>
      </c>
      <c r="M164" s="11" t="s">
        <v>1917</v>
      </c>
      <c r="N164" s="11" t="s">
        <v>2186</v>
      </c>
      <c r="O164" s="11" t="s">
        <v>2930</v>
      </c>
      <c r="P164" s="11" t="s">
        <v>1920</v>
      </c>
      <c r="Q164" s="11" t="s">
        <v>2930</v>
      </c>
      <c r="R164" s="11" t="s">
        <v>2931</v>
      </c>
      <c r="S164" s="11" t="s">
        <v>1959</v>
      </c>
      <c r="T164" s="11" t="s">
        <v>1960</v>
      </c>
      <c r="U164" s="11" t="s">
        <v>1924</v>
      </c>
      <c r="V164" s="11" t="s">
        <v>1925</v>
      </c>
      <c r="W164" s="11" t="s">
        <v>1926</v>
      </c>
      <c r="X164" s="11" t="s">
        <v>2932</v>
      </c>
      <c r="Y164" s="12" t="n">
        <f aca="false">COUNTIF($A$6:$A$339,A164)</f>
        <v>1</v>
      </c>
    </row>
    <row r="165" customFormat="false" ht="240" hidden="false" customHeight="true" outlineLevel="0" collapsed="false">
      <c r="A165" s="11" t="s">
        <v>2933</v>
      </c>
      <c r="B165" s="11" t="s">
        <v>1253</v>
      </c>
      <c r="C165" s="11" t="s">
        <v>1929</v>
      </c>
      <c r="D165" s="11" t="b">
        <f aca="false">TRUE()</f>
        <v>1</v>
      </c>
      <c r="E165" s="11" t="b">
        <f aca="false">FALSE()</f>
        <v>0</v>
      </c>
      <c r="F165" s="11"/>
      <c r="G165" s="11" t="s">
        <v>2927</v>
      </c>
      <c r="H165" s="11" t="s">
        <v>2928</v>
      </c>
      <c r="I165" s="11" t="s">
        <v>2929</v>
      </c>
      <c r="J165" s="11" t="s">
        <v>2198</v>
      </c>
      <c r="K165" s="11" t="s">
        <v>1770</v>
      </c>
      <c r="L165" s="11" t="s">
        <v>2204</v>
      </c>
      <c r="M165" s="11" t="s">
        <v>1931</v>
      </c>
      <c r="N165" s="11" t="s">
        <v>2186</v>
      </c>
      <c r="O165" s="11" t="s">
        <v>2930</v>
      </c>
      <c r="P165" s="11" t="s">
        <v>1920</v>
      </c>
      <c r="Q165" s="11" t="s">
        <v>2930</v>
      </c>
      <c r="R165" s="11" t="s">
        <v>2931</v>
      </c>
      <c r="S165" s="11" t="s">
        <v>1959</v>
      </c>
      <c r="T165" s="11" t="s">
        <v>1960</v>
      </c>
      <c r="U165" s="11" t="s">
        <v>1932</v>
      </c>
      <c r="V165" s="11" t="s">
        <v>1925</v>
      </c>
      <c r="W165" s="11" t="s">
        <v>1926</v>
      </c>
      <c r="X165" s="11" t="s">
        <v>2934</v>
      </c>
      <c r="Y165" s="12" t="n">
        <f aca="false">COUNTIF($A$6:$A$339,A165)</f>
        <v>1</v>
      </c>
    </row>
    <row r="166" customFormat="false" ht="240" hidden="false" customHeight="true" outlineLevel="0" collapsed="false">
      <c r="A166" s="11" t="s">
        <v>2935</v>
      </c>
      <c r="B166" s="11" t="s">
        <v>1256</v>
      </c>
      <c r="C166" s="11" t="s">
        <v>1911</v>
      </c>
      <c r="D166" s="11" t="b">
        <f aca="false">TRUE()</f>
        <v>1</v>
      </c>
      <c r="E166" s="11" t="b">
        <f aca="false">TRUE()</f>
        <v>1</v>
      </c>
      <c r="F166" s="11"/>
      <c r="G166" s="11" t="s">
        <v>2936</v>
      </c>
      <c r="H166" s="11" t="s">
        <v>2937</v>
      </c>
      <c r="I166" s="11" t="s">
        <v>2938</v>
      </c>
      <c r="J166" s="11" t="s">
        <v>2939</v>
      </c>
      <c r="K166" s="11" t="s">
        <v>1771</v>
      </c>
      <c r="L166" s="11" t="s">
        <v>2940</v>
      </c>
      <c r="M166" s="11" t="s">
        <v>1917</v>
      </c>
      <c r="N166" s="11" t="s">
        <v>2936</v>
      </c>
      <c r="O166" s="11" t="s">
        <v>2941</v>
      </c>
      <c r="P166" s="11" t="s">
        <v>1920</v>
      </c>
      <c r="Q166" s="11" t="s">
        <v>2942</v>
      </c>
      <c r="R166" s="11" t="s">
        <v>2943</v>
      </c>
      <c r="S166" s="11" t="s">
        <v>2944</v>
      </c>
      <c r="T166" s="11" t="s">
        <v>2944</v>
      </c>
      <c r="U166" s="11" t="s">
        <v>1924</v>
      </c>
      <c r="V166" s="11" t="s">
        <v>1925</v>
      </c>
      <c r="W166" s="11" t="s">
        <v>1926</v>
      </c>
      <c r="X166" s="11" t="s">
        <v>2945</v>
      </c>
      <c r="Y166" s="12" t="n">
        <f aca="false">COUNTIF($A$6:$A$339,A166)</f>
        <v>1</v>
      </c>
    </row>
    <row r="167" customFormat="false" ht="240" hidden="false" customHeight="true" outlineLevel="0" collapsed="false">
      <c r="A167" s="11" t="s">
        <v>2946</v>
      </c>
      <c r="B167" s="11" t="s">
        <v>1256</v>
      </c>
      <c r="C167" s="11" t="s">
        <v>1929</v>
      </c>
      <c r="D167" s="11" t="b">
        <f aca="false">FALSE()</f>
        <v>0</v>
      </c>
      <c r="E167" s="11" t="b">
        <f aca="false">FALSE()</f>
        <v>0</v>
      </c>
      <c r="F167" s="11" t="s">
        <v>1978</v>
      </c>
      <c r="G167" s="11" t="s">
        <v>1979</v>
      </c>
      <c r="H167" s="11" t="s">
        <v>1980</v>
      </c>
      <c r="I167" s="11" t="s">
        <v>1981</v>
      </c>
      <c r="J167" s="11" t="s">
        <v>1982</v>
      </c>
      <c r="K167" s="11" t="s">
        <v>1983</v>
      </c>
      <c r="L167" s="11" t="s">
        <v>1984</v>
      </c>
      <c r="M167" s="11" t="s">
        <v>1984</v>
      </c>
      <c r="N167" s="11" t="s">
        <v>1984</v>
      </c>
      <c r="O167" s="11" t="s">
        <v>1985</v>
      </c>
      <c r="P167" s="11" t="s">
        <v>1986</v>
      </c>
      <c r="Q167" s="11" t="s">
        <v>1987</v>
      </c>
      <c r="R167" s="11" t="s">
        <v>1988</v>
      </c>
      <c r="S167" s="11" t="s">
        <v>1988</v>
      </c>
      <c r="T167" s="11" t="s">
        <v>1988</v>
      </c>
      <c r="U167" s="11" t="s">
        <v>1988</v>
      </c>
      <c r="V167" s="11" t="s">
        <v>1989</v>
      </c>
      <c r="W167" s="11" t="s">
        <v>1990</v>
      </c>
      <c r="X167" s="11" t="s">
        <v>2947</v>
      </c>
      <c r="Y167" s="12" t="n">
        <f aca="false">COUNTIF($A$6:$A$339,A167)</f>
        <v>1</v>
      </c>
    </row>
    <row r="168" customFormat="false" ht="240" hidden="false" customHeight="true" outlineLevel="0" collapsed="false">
      <c r="A168" s="11" t="s">
        <v>2948</v>
      </c>
      <c r="B168" s="11" t="s">
        <v>1259</v>
      </c>
      <c r="C168" s="11" t="s">
        <v>1911</v>
      </c>
      <c r="D168" s="11" t="b">
        <f aca="false">TRUE()</f>
        <v>1</v>
      </c>
      <c r="E168" s="11" t="b">
        <f aca="false">FALSE()</f>
        <v>0</v>
      </c>
      <c r="F168" s="11"/>
      <c r="G168" s="11" t="s">
        <v>2949</v>
      </c>
      <c r="H168" s="11" t="s">
        <v>2950</v>
      </c>
      <c r="I168" s="11" t="s">
        <v>2951</v>
      </c>
      <c r="J168" s="11" t="s">
        <v>2952</v>
      </c>
      <c r="K168" s="11" t="s">
        <v>1772</v>
      </c>
      <c r="L168" s="11" t="s">
        <v>2953</v>
      </c>
      <c r="M168" s="11" t="s">
        <v>1917</v>
      </c>
      <c r="N168" s="11" t="s">
        <v>2186</v>
      </c>
      <c r="O168" s="11" t="s">
        <v>2187</v>
      </c>
      <c r="P168" s="11" t="s">
        <v>1920</v>
      </c>
      <c r="Q168" s="11" t="s">
        <v>2954</v>
      </c>
      <c r="R168" s="11" t="s">
        <v>2955</v>
      </c>
      <c r="S168" s="11" t="s">
        <v>2953</v>
      </c>
      <c r="T168" s="11" t="s">
        <v>2953</v>
      </c>
      <c r="U168" s="11" t="s">
        <v>1924</v>
      </c>
      <c r="V168" s="11" t="s">
        <v>1925</v>
      </c>
      <c r="W168" s="11" t="s">
        <v>1926</v>
      </c>
      <c r="X168" s="11" t="s">
        <v>2956</v>
      </c>
      <c r="Y168" s="12" t="n">
        <f aca="false">COUNTIF($A$6:$A$339,A168)</f>
        <v>1</v>
      </c>
    </row>
    <row r="169" customFormat="false" ht="240" hidden="false" customHeight="true" outlineLevel="0" collapsed="false">
      <c r="A169" s="11" t="s">
        <v>2957</v>
      </c>
      <c r="B169" s="11" t="s">
        <v>1259</v>
      </c>
      <c r="C169" s="11" t="s">
        <v>1929</v>
      </c>
      <c r="D169" s="11" t="b">
        <f aca="false">FALSE()</f>
        <v>0</v>
      </c>
      <c r="E169" s="11" t="b">
        <f aca="false">FALSE()</f>
        <v>0</v>
      </c>
      <c r="F169" s="11" t="s">
        <v>1978</v>
      </c>
      <c r="G169" s="11" t="s">
        <v>1979</v>
      </c>
      <c r="H169" s="11" t="s">
        <v>1980</v>
      </c>
      <c r="I169" s="11" t="s">
        <v>1981</v>
      </c>
      <c r="J169" s="11" t="s">
        <v>1982</v>
      </c>
      <c r="K169" s="11" t="s">
        <v>1983</v>
      </c>
      <c r="L169" s="11" t="s">
        <v>1984</v>
      </c>
      <c r="M169" s="11" t="s">
        <v>1984</v>
      </c>
      <c r="N169" s="11" t="s">
        <v>1984</v>
      </c>
      <c r="O169" s="11" t="s">
        <v>1985</v>
      </c>
      <c r="P169" s="11" t="s">
        <v>1986</v>
      </c>
      <c r="Q169" s="11" t="s">
        <v>1987</v>
      </c>
      <c r="R169" s="11" t="s">
        <v>1988</v>
      </c>
      <c r="S169" s="11" t="s">
        <v>1988</v>
      </c>
      <c r="T169" s="11" t="s">
        <v>1988</v>
      </c>
      <c r="U169" s="11" t="s">
        <v>1988</v>
      </c>
      <c r="V169" s="11" t="s">
        <v>1989</v>
      </c>
      <c r="W169" s="11" t="s">
        <v>1990</v>
      </c>
      <c r="X169" s="11" t="s">
        <v>2958</v>
      </c>
      <c r="Y169" s="12" t="n">
        <f aca="false">COUNTIF($A$6:$A$339,A169)</f>
        <v>1</v>
      </c>
    </row>
    <row r="170" customFormat="false" ht="240" hidden="false" customHeight="true" outlineLevel="0" collapsed="false">
      <c r="A170" s="11" t="s">
        <v>2959</v>
      </c>
      <c r="B170" s="11" t="s">
        <v>1262</v>
      </c>
      <c r="C170" s="11" t="s">
        <v>1911</v>
      </c>
      <c r="D170" s="11" t="b">
        <f aca="false">TRUE()</f>
        <v>1</v>
      </c>
      <c r="E170" s="11" t="b">
        <f aca="false">FALSE()</f>
        <v>0</v>
      </c>
      <c r="F170" s="11"/>
      <c r="G170" s="11" t="s">
        <v>2960</v>
      </c>
      <c r="H170" s="11" t="s">
        <v>2961</v>
      </c>
      <c r="I170" s="11" t="s">
        <v>2962</v>
      </c>
      <c r="J170" s="11" t="s">
        <v>2198</v>
      </c>
      <c r="K170" s="11" t="s">
        <v>1773</v>
      </c>
      <c r="L170" s="11" t="s">
        <v>2963</v>
      </c>
      <c r="M170" s="11" t="s">
        <v>1917</v>
      </c>
      <c r="N170" s="11" t="s">
        <v>2186</v>
      </c>
      <c r="O170" s="11" t="s">
        <v>2187</v>
      </c>
      <c r="P170" s="11" t="s">
        <v>1920</v>
      </c>
      <c r="Q170" s="11" t="s">
        <v>2964</v>
      </c>
      <c r="R170" s="11" t="s">
        <v>2965</v>
      </c>
      <c r="S170" s="11" t="s">
        <v>2963</v>
      </c>
      <c r="T170" s="11" t="s">
        <v>2963</v>
      </c>
      <c r="U170" s="11" t="s">
        <v>1924</v>
      </c>
      <c r="V170" s="11" t="s">
        <v>1925</v>
      </c>
      <c r="W170" s="11" t="s">
        <v>1926</v>
      </c>
      <c r="X170" s="11" t="s">
        <v>2966</v>
      </c>
      <c r="Y170" s="12" t="n">
        <f aca="false">COUNTIF($A$6:$A$339,A170)</f>
        <v>1</v>
      </c>
    </row>
    <row r="171" customFormat="false" ht="240" hidden="false" customHeight="true" outlineLevel="0" collapsed="false">
      <c r="A171" s="11" t="s">
        <v>2967</v>
      </c>
      <c r="B171" s="11" t="s">
        <v>1262</v>
      </c>
      <c r="C171" s="11" t="s">
        <v>1929</v>
      </c>
      <c r="D171" s="11" t="b">
        <f aca="false">TRUE()</f>
        <v>1</v>
      </c>
      <c r="E171" s="11" t="b">
        <f aca="false">FALSE()</f>
        <v>0</v>
      </c>
      <c r="F171" s="11"/>
      <c r="G171" s="11" t="s">
        <v>2960</v>
      </c>
      <c r="H171" s="11" t="s">
        <v>2961</v>
      </c>
      <c r="I171" s="11" t="s">
        <v>2962</v>
      </c>
      <c r="J171" s="11" t="s">
        <v>2198</v>
      </c>
      <c r="K171" s="11" t="s">
        <v>1774</v>
      </c>
      <c r="L171" s="11" t="s">
        <v>2968</v>
      </c>
      <c r="M171" s="11" t="s">
        <v>1931</v>
      </c>
      <c r="N171" s="11" t="s">
        <v>2186</v>
      </c>
      <c r="O171" s="11" t="s">
        <v>2187</v>
      </c>
      <c r="P171" s="11" t="s">
        <v>1920</v>
      </c>
      <c r="Q171" s="11" t="s">
        <v>2964</v>
      </c>
      <c r="R171" s="11" t="s">
        <v>2965</v>
      </c>
      <c r="S171" s="11" t="s">
        <v>2963</v>
      </c>
      <c r="T171" s="11" t="s">
        <v>2963</v>
      </c>
      <c r="U171" s="11" t="s">
        <v>1932</v>
      </c>
      <c r="V171" s="11" t="s">
        <v>1925</v>
      </c>
      <c r="W171" s="11" t="s">
        <v>1926</v>
      </c>
      <c r="X171" s="11" t="s">
        <v>2969</v>
      </c>
      <c r="Y171" s="12" t="n">
        <f aca="false">COUNTIF($A$6:$A$339,A171)</f>
        <v>1</v>
      </c>
    </row>
    <row r="172" customFormat="false" ht="240" hidden="false" customHeight="true" outlineLevel="0" collapsed="false">
      <c r="A172" s="11" t="s">
        <v>2970</v>
      </c>
      <c r="B172" s="11" t="s">
        <v>1265</v>
      </c>
      <c r="C172" s="11" t="s">
        <v>1911</v>
      </c>
      <c r="D172" s="11" t="b">
        <f aca="false">TRUE()</f>
        <v>1</v>
      </c>
      <c r="E172" s="11" t="b">
        <f aca="false">TRUE()</f>
        <v>1</v>
      </c>
      <c r="F172" s="11"/>
      <c r="G172" s="11" t="s">
        <v>2971</v>
      </c>
      <c r="H172" s="11" t="s">
        <v>2972</v>
      </c>
      <c r="I172" s="11" t="s">
        <v>2973</v>
      </c>
      <c r="J172" s="11" t="s">
        <v>2974</v>
      </c>
      <c r="K172" s="11" t="s">
        <v>1775</v>
      </c>
      <c r="L172" s="11" t="s">
        <v>2975</v>
      </c>
      <c r="M172" s="11" t="s">
        <v>1917</v>
      </c>
      <c r="N172" s="11" t="s">
        <v>2971</v>
      </c>
      <c r="O172" s="11" t="s">
        <v>2976</v>
      </c>
      <c r="P172" s="11" t="s">
        <v>1920</v>
      </c>
      <c r="Q172" s="11" t="s">
        <v>2977</v>
      </c>
      <c r="R172" s="11" t="s">
        <v>2978</v>
      </c>
      <c r="S172" s="11" t="s">
        <v>2979</v>
      </c>
      <c r="T172" s="11" t="s">
        <v>2979</v>
      </c>
      <c r="U172" s="11" t="s">
        <v>1924</v>
      </c>
      <c r="V172" s="11" t="s">
        <v>1925</v>
      </c>
      <c r="W172" s="11" t="s">
        <v>1926</v>
      </c>
      <c r="X172" s="11" t="s">
        <v>2980</v>
      </c>
      <c r="Y172" s="12" t="n">
        <f aca="false">COUNTIF($A$6:$A$339,A172)</f>
        <v>1</v>
      </c>
    </row>
    <row r="173" customFormat="false" ht="240" hidden="false" customHeight="true" outlineLevel="0" collapsed="false">
      <c r="A173" s="11" t="s">
        <v>2981</v>
      </c>
      <c r="B173" s="11" t="s">
        <v>1265</v>
      </c>
      <c r="C173" s="11" t="s">
        <v>1929</v>
      </c>
      <c r="D173" s="11" t="b">
        <f aca="false">FALSE()</f>
        <v>0</v>
      </c>
      <c r="E173" s="11" t="b">
        <f aca="false">FALSE()</f>
        <v>0</v>
      </c>
      <c r="F173" s="11" t="s">
        <v>1978</v>
      </c>
      <c r="G173" s="11" t="s">
        <v>1979</v>
      </c>
      <c r="H173" s="11" t="s">
        <v>1980</v>
      </c>
      <c r="I173" s="11" t="s">
        <v>1981</v>
      </c>
      <c r="J173" s="11" t="s">
        <v>1982</v>
      </c>
      <c r="K173" s="11" t="s">
        <v>1983</v>
      </c>
      <c r="L173" s="11" t="s">
        <v>1984</v>
      </c>
      <c r="M173" s="11" t="s">
        <v>1984</v>
      </c>
      <c r="N173" s="11" t="s">
        <v>1984</v>
      </c>
      <c r="O173" s="11" t="s">
        <v>1985</v>
      </c>
      <c r="P173" s="11" t="s">
        <v>1986</v>
      </c>
      <c r="Q173" s="11" t="s">
        <v>1987</v>
      </c>
      <c r="R173" s="11" t="s">
        <v>1988</v>
      </c>
      <c r="S173" s="11" t="s">
        <v>1988</v>
      </c>
      <c r="T173" s="11" t="s">
        <v>1988</v>
      </c>
      <c r="U173" s="11" t="s">
        <v>1988</v>
      </c>
      <c r="V173" s="11" t="s">
        <v>1989</v>
      </c>
      <c r="W173" s="11" t="s">
        <v>1990</v>
      </c>
      <c r="X173" s="11" t="s">
        <v>2982</v>
      </c>
      <c r="Y173" s="12" t="n">
        <f aca="false">COUNTIF($A$6:$A$339,A173)</f>
        <v>1</v>
      </c>
    </row>
    <row r="174" customFormat="false" ht="240" hidden="false" customHeight="true" outlineLevel="0" collapsed="false">
      <c r="A174" s="11" t="s">
        <v>2983</v>
      </c>
      <c r="B174" s="11" t="s">
        <v>1268</v>
      </c>
      <c r="C174" s="11" t="s">
        <v>1911</v>
      </c>
      <c r="D174" s="11" t="b">
        <f aca="false">TRUE()</f>
        <v>1</v>
      </c>
      <c r="E174" s="11" t="b">
        <f aca="false">FALSE()</f>
        <v>0</v>
      </c>
      <c r="F174" s="11"/>
      <c r="G174" s="11" t="s">
        <v>2984</v>
      </c>
      <c r="H174" s="11" t="s">
        <v>2985</v>
      </c>
      <c r="I174" s="11" t="s">
        <v>2986</v>
      </c>
      <c r="J174" s="11" t="s">
        <v>2987</v>
      </c>
      <c r="K174" s="11" t="s">
        <v>1776</v>
      </c>
      <c r="L174" s="11" t="s">
        <v>2199</v>
      </c>
      <c r="M174" s="11" t="s">
        <v>1917</v>
      </c>
      <c r="N174" s="11" t="s">
        <v>2186</v>
      </c>
      <c r="O174" s="11" t="s">
        <v>2187</v>
      </c>
      <c r="P174" s="11" t="s">
        <v>1920</v>
      </c>
      <c r="Q174" s="11" t="s">
        <v>2988</v>
      </c>
      <c r="R174" s="11" t="s">
        <v>2989</v>
      </c>
      <c r="S174" s="11" t="s">
        <v>1959</v>
      </c>
      <c r="T174" s="11" t="s">
        <v>1960</v>
      </c>
      <c r="U174" s="11" t="s">
        <v>1924</v>
      </c>
      <c r="V174" s="11" t="s">
        <v>1925</v>
      </c>
      <c r="W174" s="11" t="s">
        <v>1926</v>
      </c>
      <c r="X174" s="11" t="s">
        <v>2990</v>
      </c>
      <c r="Y174" s="12" t="n">
        <f aca="false">COUNTIF($A$6:$A$339,A174)</f>
        <v>1</v>
      </c>
    </row>
    <row r="175" customFormat="false" ht="240" hidden="false" customHeight="true" outlineLevel="0" collapsed="false">
      <c r="A175" s="11" t="s">
        <v>2991</v>
      </c>
      <c r="B175" s="11" t="s">
        <v>1268</v>
      </c>
      <c r="C175" s="11" t="s">
        <v>1929</v>
      </c>
      <c r="D175" s="11" t="b">
        <f aca="false">TRUE()</f>
        <v>1</v>
      </c>
      <c r="E175" s="11" t="b">
        <f aca="false">FALSE()</f>
        <v>0</v>
      </c>
      <c r="F175" s="11"/>
      <c r="G175" s="11" t="s">
        <v>2984</v>
      </c>
      <c r="H175" s="11" t="s">
        <v>2985</v>
      </c>
      <c r="I175" s="11" t="s">
        <v>2986</v>
      </c>
      <c r="J175" s="11" t="s">
        <v>2987</v>
      </c>
      <c r="K175" s="11" t="s">
        <v>1777</v>
      </c>
      <c r="L175" s="11" t="s">
        <v>2204</v>
      </c>
      <c r="M175" s="11" t="s">
        <v>1931</v>
      </c>
      <c r="N175" s="11" t="s">
        <v>2186</v>
      </c>
      <c r="O175" s="11" t="s">
        <v>2187</v>
      </c>
      <c r="P175" s="11" t="s">
        <v>1920</v>
      </c>
      <c r="Q175" s="11" t="s">
        <v>2988</v>
      </c>
      <c r="R175" s="11" t="s">
        <v>2989</v>
      </c>
      <c r="S175" s="11" t="s">
        <v>1959</v>
      </c>
      <c r="T175" s="11" t="s">
        <v>1960</v>
      </c>
      <c r="U175" s="11" t="s">
        <v>1932</v>
      </c>
      <c r="V175" s="11" t="s">
        <v>1925</v>
      </c>
      <c r="W175" s="11" t="s">
        <v>1926</v>
      </c>
      <c r="X175" s="11" t="s">
        <v>2992</v>
      </c>
      <c r="Y175" s="12" t="n">
        <f aca="false">COUNTIF($A$6:$A$339,A175)</f>
        <v>1</v>
      </c>
    </row>
    <row r="176" customFormat="false" ht="240" hidden="false" customHeight="true" outlineLevel="0" collapsed="false">
      <c r="A176" s="11" t="s">
        <v>2993</v>
      </c>
      <c r="B176" s="11" t="s">
        <v>1271</v>
      </c>
      <c r="C176" s="11" t="s">
        <v>1911</v>
      </c>
      <c r="D176" s="11" t="b">
        <f aca="false">TRUE()</f>
        <v>1</v>
      </c>
      <c r="E176" s="11" t="b">
        <f aca="false">TRUE()</f>
        <v>1</v>
      </c>
      <c r="F176" s="11"/>
      <c r="G176" s="11" t="s">
        <v>2994</v>
      </c>
      <c r="H176" s="11" t="s">
        <v>2995</v>
      </c>
      <c r="I176" s="11" t="s">
        <v>2996</v>
      </c>
      <c r="J176" s="11" t="s">
        <v>2997</v>
      </c>
      <c r="K176" s="11" t="s">
        <v>1778</v>
      </c>
      <c r="L176" s="11" t="s">
        <v>2998</v>
      </c>
      <c r="M176" s="11" t="s">
        <v>1917</v>
      </c>
      <c r="N176" s="11" t="s">
        <v>2999</v>
      </c>
      <c r="O176" s="11" t="s">
        <v>2187</v>
      </c>
      <c r="P176" s="11" t="s">
        <v>1920</v>
      </c>
      <c r="Q176" s="11" t="s">
        <v>3000</v>
      </c>
      <c r="R176" s="11" t="s">
        <v>3001</v>
      </c>
      <c r="S176" s="11" t="s">
        <v>3002</v>
      </c>
      <c r="T176" s="11" t="s">
        <v>3002</v>
      </c>
      <c r="U176" s="11" t="s">
        <v>1924</v>
      </c>
      <c r="V176" s="11" t="s">
        <v>1925</v>
      </c>
      <c r="W176" s="11" t="s">
        <v>1926</v>
      </c>
      <c r="X176" s="11" t="s">
        <v>3003</v>
      </c>
      <c r="Y176" s="12" t="n">
        <f aca="false">COUNTIF($A$6:$A$339,A176)</f>
        <v>1</v>
      </c>
    </row>
    <row r="177" customFormat="false" ht="240" hidden="false" customHeight="true" outlineLevel="0" collapsed="false">
      <c r="A177" s="11" t="s">
        <v>3004</v>
      </c>
      <c r="B177" s="11" t="s">
        <v>1271</v>
      </c>
      <c r="C177" s="11" t="s">
        <v>1929</v>
      </c>
      <c r="D177" s="11" t="b">
        <f aca="false">FALSE()</f>
        <v>0</v>
      </c>
      <c r="E177" s="11" t="b">
        <f aca="false">FALSE()</f>
        <v>0</v>
      </c>
      <c r="F177" s="11" t="s">
        <v>1978</v>
      </c>
      <c r="G177" s="11" t="s">
        <v>1979</v>
      </c>
      <c r="H177" s="11" t="s">
        <v>1980</v>
      </c>
      <c r="I177" s="11" t="s">
        <v>1981</v>
      </c>
      <c r="J177" s="11" t="s">
        <v>1982</v>
      </c>
      <c r="K177" s="11" t="s">
        <v>1983</v>
      </c>
      <c r="L177" s="11" t="s">
        <v>1984</v>
      </c>
      <c r="M177" s="11" t="s">
        <v>1984</v>
      </c>
      <c r="N177" s="11" t="s">
        <v>1984</v>
      </c>
      <c r="O177" s="11" t="s">
        <v>1985</v>
      </c>
      <c r="P177" s="11" t="s">
        <v>1986</v>
      </c>
      <c r="Q177" s="11" t="s">
        <v>1987</v>
      </c>
      <c r="R177" s="11" t="s">
        <v>1988</v>
      </c>
      <c r="S177" s="11" t="s">
        <v>1988</v>
      </c>
      <c r="T177" s="11" t="s">
        <v>1988</v>
      </c>
      <c r="U177" s="11" t="s">
        <v>1988</v>
      </c>
      <c r="V177" s="11" t="s">
        <v>1989</v>
      </c>
      <c r="W177" s="11" t="s">
        <v>1990</v>
      </c>
      <c r="X177" s="11" t="s">
        <v>3005</v>
      </c>
      <c r="Y177" s="12" t="n">
        <f aca="false">COUNTIF($A$6:$A$339,A177)</f>
        <v>1</v>
      </c>
    </row>
    <row r="178" customFormat="false" ht="240" hidden="false" customHeight="true" outlineLevel="0" collapsed="false">
      <c r="A178" s="11" t="s">
        <v>3006</v>
      </c>
      <c r="B178" s="11" t="s">
        <v>1275</v>
      </c>
      <c r="C178" s="11" t="s">
        <v>1911</v>
      </c>
      <c r="D178" s="11" t="b">
        <f aca="false">TRUE()</f>
        <v>1</v>
      </c>
      <c r="E178" s="11" t="b">
        <f aca="false">TRUE()</f>
        <v>1</v>
      </c>
      <c r="F178" s="11"/>
      <c r="G178" s="11" t="s">
        <v>3007</v>
      </c>
      <c r="H178" s="11" t="s">
        <v>3008</v>
      </c>
      <c r="I178" s="11" t="s">
        <v>3009</v>
      </c>
      <c r="J178" s="11" t="s">
        <v>2198</v>
      </c>
      <c r="K178" s="11" t="s">
        <v>1779</v>
      </c>
      <c r="L178" s="11" t="s">
        <v>3010</v>
      </c>
      <c r="M178" s="11" t="s">
        <v>1917</v>
      </c>
      <c r="N178" s="11" t="s">
        <v>2186</v>
      </c>
      <c r="O178" s="11" t="s">
        <v>2187</v>
      </c>
      <c r="P178" s="11" t="s">
        <v>1920</v>
      </c>
      <c r="Q178" s="11" t="s">
        <v>3011</v>
      </c>
      <c r="R178" s="11" t="s">
        <v>3012</v>
      </c>
      <c r="S178" s="11" t="s">
        <v>3010</v>
      </c>
      <c r="T178" s="11" t="s">
        <v>3010</v>
      </c>
      <c r="U178" s="11" t="s">
        <v>1924</v>
      </c>
      <c r="V178" s="11" t="s">
        <v>1925</v>
      </c>
      <c r="W178" s="11" t="s">
        <v>1926</v>
      </c>
      <c r="X178" s="11" t="s">
        <v>3013</v>
      </c>
      <c r="Y178" s="12" t="n">
        <f aca="false">COUNTIF($A$6:$A$339,A178)</f>
        <v>1</v>
      </c>
    </row>
    <row r="179" customFormat="false" ht="240" hidden="false" customHeight="true" outlineLevel="0" collapsed="false">
      <c r="A179" s="11" t="s">
        <v>3014</v>
      </c>
      <c r="B179" s="11" t="s">
        <v>1275</v>
      </c>
      <c r="C179" s="11" t="s">
        <v>1929</v>
      </c>
      <c r="D179" s="11" t="b">
        <f aca="false">TRUE()</f>
        <v>1</v>
      </c>
      <c r="E179" s="11" t="b">
        <f aca="false">TRUE()</f>
        <v>1</v>
      </c>
      <c r="F179" s="11"/>
      <c r="G179" s="11" t="s">
        <v>3007</v>
      </c>
      <c r="H179" s="11" t="s">
        <v>3008</v>
      </c>
      <c r="I179" s="11" t="s">
        <v>3009</v>
      </c>
      <c r="J179" s="11" t="s">
        <v>2198</v>
      </c>
      <c r="K179" s="11" t="s">
        <v>1780</v>
      </c>
      <c r="L179" s="11" t="s">
        <v>3015</v>
      </c>
      <c r="M179" s="11" t="s">
        <v>1931</v>
      </c>
      <c r="N179" s="11" t="s">
        <v>2186</v>
      </c>
      <c r="O179" s="11" t="s">
        <v>2187</v>
      </c>
      <c r="P179" s="11" t="s">
        <v>1920</v>
      </c>
      <c r="Q179" s="11" t="s">
        <v>3011</v>
      </c>
      <c r="R179" s="11" t="s">
        <v>3012</v>
      </c>
      <c r="S179" s="11" t="s">
        <v>3010</v>
      </c>
      <c r="T179" s="11" t="s">
        <v>3010</v>
      </c>
      <c r="U179" s="11" t="s">
        <v>1932</v>
      </c>
      <c r="V179" s="11" t="s">
        <v>1925</v>
      </c>
      <c r="W179" s="11" t="s">
        <v>1926</v>
      </c>
      <c r="X179" s="11" t="s">
        <v>3016</v>
      </c>
      <c r="Y179" s="12" t="n">
        <f aca="false">COUNTIF($A$6:$A$339,A179)</f>
        <v>1</v>
      </c>
    </row>
    <row r="180" customFormat="false" ht="240" hidden="false" customHeight="true" outlineLevel="0" collapsed="false">
      <c r="A180" s="11" t="s">
        <v>3017</v>
      </c>
      <c r="B180" s="11" t="s">
        <v>1279</v>
      </c>
      <c r="C180" s="11" t="s">
        <v>1911</v>
      </c>
      <c r="D180" s="11" t="b">
        <f aca="false">TRUE()</f>
        <v>1</v>
      </c>
      <c r="E180" s="11" t="b">
        <f aca="false">TRUE()</f>
        <v>1</v>
      </c>
      <c r="F180" s="11"/>
      <c r="G180" s="11" t="s">
        <v>3007</v>
      </c>
      <c r="H180" s="11" t="s">
        <v>3008</v>
      </c>
      <c r="I180" s="11" t="s">
        <v>3009</v>
      </c>
      <c r="J180" s="11" t="s">
        <v>2198</v>
      </c>
      <c r="K180" s="11" t="s">
        <v>1779</v>
      </c>
      <c r="L180" s="11" t="s">
        <v>3010</v>
      </c>
      <c r="M180" s="11" t="s">
        <v>1917</v>
      </c>
      <c r="N180" s="11" t="s">
        <v>2186</v>
      </c>
      <c r="O180" s="11" t="s">
        <v>2187</v>
      </c>
      <c r="P180" s="11" t="s">
        <v>1920</v>
      </c>
      <c r="Q180" s="11" t="s">
        <v>3011</v>
      </c>
      <c r="R180" s="11" t="s">
        <v>3012</v>
      </c>
      <c r="S180" s="11" t="s">
        <v>3010</v>
      </c>
      <c r="T180" s="11" t="s">
        <v>3010</v>
      </c>
      <c r="U180" s="11" t="s">
        <v>1924</v>
      </c>
      <c r="V180" s="11" t="s">
        <v>1925</v>
      </c>
      <c r="W180" s="11" t="s">
        <v>1926</v>
      </c>
      <c r="X180" s="11" t="s">
        <v>3013</v>
      </c>
      <c r="Y180" s="12" t="n">
        <f aca="false">COUNTIF($A$6:$A$339,A180)</f>
        <v>1</v>
      </c>
    </row>
    <row r="181" customFormat="false" ht="240" hidden="false" customHeight="true" outlineLevel="0" collapsed="false">
      <c r="A181" s="11" t="s">
        <v>3018</v>
      </c>
      <c r="B181" s="11" t="s">
        <v>1279</v>
      </c>
      <c r="C181" s="11" t="s">
        <v>1929</v>
      </c>
      <c r="D181" s="11" t="b">
        <f aca="false">TRUE()</f>
        <v>1</v>
      </c>
      <c r="E181" s="11" t="b">
        <f aca="false">TRUE()</f>
        <v>1</v>
      </c>
      <c r="F181" s="11"/>
      <c r="G181" s="11" t="s">
        <v>3007</v>
      </c>
      <c r="H181" s="11" t="s">
        <v>3008</v>
      </c>
      <c r="I181" s="11" t="s">
        <v>3009</v>
      </c>
      <c r="J181" s="11" t="s">
        <v>2198</v>
      </c>
      <c r="K181" s="11" t="s">
        <v>1780</v>
      </c>
      <c r="L181" s="11" t="s">
        <v>3015</v>
      </c>
      <c r="M181" s="11" t="s">
        <v>1931</v>
      </c>
      <c r="N181" s="11" t="s">
        <v>2186</v>
      </c>
      <c r="O181" s="11" t="s">
        <v>2187</v>
      </c>
      <c r="P181" s="11" t="s">
        <v>1920</v>
      </c>
      <c r="Q181" s="11" t="s">
        <v>3011</v>
      </c>
      <c r="R181" s="11" t="s">
        <v>3012</v>
      </c>
      <c r="S181" s="11" t="s">
        <v>3010</v>
      </c>
      <c r="T181" s="11" t="s">
        <v>3010</v>
      </c>
      <c r="U181" s="11" t="s">
        <v>1932</v>
      </c>
      <c r="V181" s="11" t="s">
        <v>1925</v>
      </c>
      <c r="W181" s="11" t="s">
        <v>1926</v>
      </c>
      <c r="X181" s="11" t="s">
        <v>3016</v>
      </c>
      <c r="Y181" s="12" t="n">
        <f aca="false">COUNTIF($A$6:$A$339,A181)</f>
        <v>1</v>
      </c>
    </row>
    <row r="182" customFormat="false" ht="240" hidden="false" customHeight="true" outlineLevel="0" collapsed="false">
      <c r="A182" s="11" t="s">
        <v>3019</v>
      </c>
      <c r="B182" s="11" t="s">
        <v>1282</v>
      </c>
      <c r="C182" s="11" t="s">
        <v>1911</v>
      </c>
      <c r="D182" s="11" t="b">
        <f aca="false">TRUE()</f>
        <v>1</v>
      </c>
      <c r="E182" s="11" t="b">
        <f aca="false">TRUE()</f>
        <v>1</v>
      </c>
      <c r="F182" s="11"/>
      <c r="G182" s="11" t="s">
        <v>3007</v>
      </c>
      <c r="H182" s="11" t="s">
        <v>3008</v>
      </c>
      <c r="I182" s="11" t="s">
        <v>3009</v>
      </c>
      <c r="J182" s="11" t="s">
        <v>2198</v>
      </c>
      <c r="K182" s="11" t="s">
        <v>1779</v>
      </c>
      <c r="L182" s="11" t="s">
        <v>3010</v>
      </c>
      <c r="M182" s="11" t="s">
        <v>1917</v>
      </c>
      <c r="N182" s="11" t="s">
        <v>2186</v>
      </c>
      <c r="O182" s="11" t="s">
        <v>2187</v>
      </c>
      <c r="P182" s="11" t="s">
        <v>1920</v>
      </c>
      <c r="Q182" s="11" t="s">
        <v>3011</v>
      </c>
      <c r="R182" s="11" t="s">
        <v>3012</v>
      </c>
      <c r="S182" s="11" t="s">
        <v>3010</v>
      </c>
      <c r="T182" s="11" t="s">
        <v>3010</v>
      </c>
      <c r="U182" s="11" t="s">
        <v>1924</v>
      </c>
      <c r="V182" s="11" t="s">
        <v>1925</v>
      </c>
      <c r="W182" s="11" t="s">
        <v>1926</v>
      </c>
      <c r="X182" s="11" t="s">
        <v>3013</v>
      </c>
      <c r="Y182" s="12" t="n">
        <f aca="false">COUNTIF($A$6:$A$339,A182)</f>
        <v>1</v>
      </c>
    </row>
    <row r="183" customFormat="false" ht="240" hidden="false" customHeight="true" outlineLevel="0" collapsed="false">
      <c r="A183" s="11" t="s">
        <v>3020</v>
      </c>
      <c r="B183" s="11" t="s">
        <v>1282</v>
      </c>
      <c r="C183" s="11" t="s">
        <v>1929</v>
      </c>
      <c r="D183" s="11" t="b">
        <f aca="false">TRUE()</f>
        <v>1</v>
      </c>
      <c r="E183" s="11" t="b">
        <f aca="false">TRUE()</f>
        <v>1</v>
      </c>
      <c r="F183" s="11"/>
      <c r="G183" s="11" t="s">
        <v>3007</v>
      </c>
      <c r="H183" s="11" t="s">
        <v>3008</v>
      </c>
      <c r="I183" s="11" t="s">
        <v>3009</v>
      </c>
      <c r="J183" s="11" t="s">
        <v>2198</v>
      </c>
      <c r="K183" s="11" t="s">
        <v>1780</v>
      </c>
      <c r="L183" s="11" t="s">
        <v>3015</v>
      </c>
      <c r="M183" s="11" t="s">
        <v>1931</v>
      </c>
      <c r="N183" s="11" t="s">
        <v>2186</v>
      </c>
      <c r="O183" s="11" t="s">
        <v>2187</v>
      </c>
      <c r="P183" s="11" t="s">
        <v>1920</v>
      </c>
      <c r="Q183" s="11" t="s">
        <v>3011</v>
      </c>
      <c r="R183" s="11" t="s">
        <v>3012</v>
      </c>
      <c r="S183" s="11" t="s">
        <v>3010</v>
      </c>
      <c r="T183" s="11" t="s">
        <v>3010</v>
      </c>
      <c r="U183" s="11" t="s">
        <v>1932</v>
      </c>
      <c r="V183" s="11" t="s">
        <v>1925</v>
      </c>
      <c r="W183" s="11" t="s">
        <v>1926</v>
      </c>
      <c r="X183" s="11" t="s">
        <v>3016</v>
      </c>
      <c r="Y183" s="12" t="n">
        <f aca="false">COUNTIF($A$6:$A$339,A183)</f>
        <v>1</v>
      </c>
    </row>
    <row r="184" customFormat="false" ht="240" hidden="false" customHeight="true" outlineLevel="0" collapsed="false">
      <c r="A184" s="11" t="s">
        <v>3021</v>
      </c>
      <c r="B184" s="11" t="s">
        <v>1285</v>
      </c>
      <c r="C184" s="11" t="s">
        <v>1911</v>
      </c>
      <c r="D184" s="11" t="b">
        <f aca="false">TRUE()</f>
        <v>1</v>
      </c>
      <c r="E184" s="11" t="b">
        <f aca="false">TRUE()</f>
        <v>1</v>
      </c>
      <c r="F184" s="11"/>
      <c r="G184" s="11" t="s">
        <v>3022</v>
      </c>
      <c r="H184" s="11" t="s">
        <v>3023</v>
      </c>
      <c r="I184" s="11" t="s">
        <v>3024</v>
      </c>
      <c r="J184" s="11" t="s">
        <v>3025</v>
      </c>
      <c r="K184" s="11" t="s">
        <v>1781</v>
      </c>
      <c r="L184" s="11" t="s">
        <v>3026</v>
      </c>
      <c r="M184" s="11" t="s">
        <v>1917</v>
      </c>
      <c r="N184" s="11" t="s">
        <v>3022</v>
      </c>
      <c r="O184" s="11" t="s">
        <v>3027</v>
      </c>
      <c r="P184" s="11" t="s">
        <v>1920</v>
      </c>
      <c r="Q184" s="11" t="s">
        <v>3028</v>
      </c>
      <c r="R184" s="11" t="s">
        <v>3029</v>
      </c>
      <c r="S184" s="11" t="s">
        <v>3030</v>
      </c>
      <c r="T184" s="11" t="s">
        <v>3030</v>
      </c>
      <c r="U184" s="11" t="s">
        <v>1924</v>
      </c>
      <c r="V184" s="11" t="s">
        <v>1925</v>
      </c>
      <c r="W184" s="11" t="s">
        <v>1926</v>
      </c>
      <c r="X184" s="11" t="s">
        <v>3031</v>
      </c>
      <c r="Y184" s="12" t="n">
        <f aca="false">COUNTIF($A$6:$A$339,A184)</f>
        <v>1</v>
      </c>
    </row>
    <row r="185" customFormat="false" ht="240" hidden="false" customHeight="true" outlineLevel="0" collapsed="false">
      <c r="A185" s="11" t="s">
        <v>3032</v>
      </c>
      <c r="B185" s="11" t="s">
        <v>1285</v>
      </c>
      <c r="C185" s="11" t="s">
        <v>1929</v>
      </c>
      <c r="D185" s="11" t="b">
        <f aca="false">FALSE()</f>
        <v>0</v>
      </c>
      <c r="E185" s="11" t="b">
        <f aca="false">FALSE()</f>
        <v>0</v>
      </c>
      <c r="F185" s="11" t="s">
        <v>1978</v>
      </c>
      <c r="G185" s="11" t="s">
        <v>1979</v>
      </c>
      <c r="H185" s="11" t="s">
        <v>1980</v>
      </c>
      <c r="I185" s="11" t="s">
        <v>1981</v>
      </c>
      <c r="J185" s="11" t="s">
        <v>1982</v>
      </c>
      <c r="K185" s="11" t="s">
        <v>1983</v>
      </c>
      <c r="L185" s="11" t="s">
        <v>1984</v>
      </c>
      <c r="M185" s="11" t="s">
        <v>1984</v>
      </c>
      <c r="N185" s="11" t="s">
        <v>1984</v>
      </c>
      <c r="O185" s="11" t="s">
        <v>1985</v>
      </c>
      <c r="P185" s="11" t="s">
        <v>1986</v>
      </c>
      <c r="Q185" s="11" t="s">
        <v>1987</v>
      </c>
      <c r="R185" s="11" t="s">
        <v>1988</v>
      </c>
      <c r="S185" s="11" t="s">
        <v>1988</v>
      </c>
      <c r="T185" s="11" t="s">
        <v>1988</v>
      </c>
      <c r="U185" s="11" t="s">
        <v>1988</v>
      </c>
      <c r="V185" s="11" t="s">
        <v>1989</v>
      </c>
      <c r="W185" s="11" t="s">
        <v>1990</v>
      </c>
      <c r="X185" s="11" t="s">
        <v>3033</v>
      </c>
      <c r="Y185" s="12" t="n">
        <f aca="false">COUNTIF($A$6:$A$339,A185)</f>
        <v>1</v>
      </c>
    </row>
    <row r="186" customFormat="false" ht="240" hidden="false" customHeight="true" outlineLevel="0" collapsed="false">
      <c r="A186" s="11" t="s">
        <v>3034</v>
      </c>
      <c r="B186" s="11" t="s">
        <v>1289</v>
      </c>
      <c r="C186" s="11" t="s">
        <v>1911</v>
      </c>
      <c r="D186" s="11" t="b">
        <f aca="false">TRUE()</f>
        <v>1</v>
      </c>
      <c r="E186" s="11" t="b">
        <f aca="false">TRUE()</f>
        <v>1</v>
      </c>
      <c r="F186" s="11"/>
      <c r="G186" s="11" t="s">
        <v>3035</v>
      </c>
      <c r="H186" s="11" t="s">
        <v>3036</v>
      </c>
      <c r="I186" s="11" t="s">
        <v>3037</v>
      </c>
      <c r="J186" s="11" t="s">
        <v>2198</v>
      </c>
      <c r="K186" s="11" t="s">
        <v>1782</v>
      </c>
      <c r="L186" s="11" t="s">
        <v>3038</v>
      </c>
      <c r="M186" s="11" t="s">
        <v>1917</v>
      </c>
      <c r="N186" s="11" t="s">
        <v>2186</v>
      </c>
      <c r="O186" s="11" t="s">
        <v>2187</v>
      </c>
      <c r="P186" s="11" t="s">
        <v>1920</v>
      </c>
      <c r="Q186" s="11" t="s">
        <v>3039</v>
      </c>
      <c r="R186" s="11" t="s">
        <v>3040</v>
      </c>
      <c r="S186" s="11" t="s">
        <v>3038</v>
      </c>
      <c r="T186" s="11" t="s">
        <v>3038</v>
      </c>
      <c r="U186" s="11" t="s">
        <v>1924</v>
      </c>
      <c r="V186" s="11" t="s">
        <v>1925</v>
      </c>
      <c r="W186" s="11" t="s">
        <v>1926</v>
      </c>
      <c r="X186" s="11" t="s">
        <v>3041</v>
      </c>
      <c r="Y186" s="12" t="n">
        <f aca="false">COUNTIF($A$6:$A$339,A186)</f>
        <v>1</v>
      </c>
    </row>
    <row r="187" customFormat="false" ht="240" hidden="false" customHeight="true" outlineLevel="0" collapsed="false">
      <c r="A187" s="11" t="s">
        <v>3042</v>
      </c>
      <c r="B187" s="11" t="s">
        <v>1289</v>
      </c>
      <c r="C187" s="11" t="s">
        <v>1929</v>
      </c>
      <c r="D187" s="11" t="b">
        <f aca="false">TRUE()</f>
        <v>1</v>
      </c>
      <c r="E187" s="11" t="b">
        <f aca="false">TRUE()</f>
        <v>1</v>
      </c>
      <c r="F187" s="11"/>
      <c r="G187" s="11" t="s">
        <v>3035</v>
      </c>
      <c r="H187" s="11" t="s">
        <v>3036</v>
      </c>
      <c r="I187" s="11" t="s">
        <v>3037</v>
      </c>
      <c r="J187" s="11" t="s">
        <v>2198</v>
      </c>
      <c r="K187" s="11" t="s">
        <v>1783</v>
      </c>
      <c r="L187" s="11" t="s">
        <v>3043</v>
      </c>
      <c r="M187" s="11" t="s">
        <v>1931</v>
      </c>
      <c r="N187" s="11" t="s">
        <v>2186</v>
      </c>
      <c r="O187" s="11" t="s">
        <v>2187</v>
      </c>
      <c r="P187" s="11" t="s">
        <v>1920</v>
      </c>
      <c r="Q187" s="11" t="s">
        <v>3039</v>
      </c>
      <c r="R187" s="11" t="s">
        <v>3040</v>
      </c>
      <c r="S187" s="11" t="s">
        <v>3038</v>
      </c>
      <c r="T187" s="11" t="s">
        <v>3038</v>
      </c>
      <c r="U187" s="11" t="s">
        <v>1932</v>
      </c>
      <c r="V187" s="11" t="s">
        <v>1925</v>
      </c>
      <c r="W187" s="11" t="s">
        <v>1926</v>
      </c>
      <c r="X187" s="11" t="s">
        <v>3044</v>
      </c>
      <c r="Y187" s="12" t="n">
        <f aca="false">COUNTIF($A$6:$A$339,A187)</f>
        <v>1</v>
      </c>
    </row>
    <row r="188" customFormat="false" ht="240" hidden="false" customHeight="true" outlineLevel="0" collapsed="false">
      <c r="A188" s="11" t="s">
        <v>3045</v>
      </c>
      <c r="B188" s="11" t="s">
        <v>1292</v>
      </c>
      <c r="C188" s="11" t="s">
        <v>1911</v>
      </c>
      <c r="D188" s="11" t="b">
        <f aca="false">TRUE()</f>
        <v>1</v>
      </c>
      <c r="E188" s="11" t="b">
        <f aca="false">TRUE()</f>
        <v>1</v>
      </c>
      <c r="F188" s="11"/>
      <c r="G188" s="11" t="s">
        <v>3046</v>
      </c>
      <c r="H188" s="11" t="s">
        <v>3047</v>
      </c>
      <c r="I188" s="11" t="s">
        <v>3048</v>
      </c>
      <c r="J188" s="11" t="s">
        <v>3049</v>
      </c>
      <c r="K188" s="11" t="s">
        <v>1784</v>
      </c>
      <c r="L188" s="11" t="s">
        <v>3050</v>
      </c>
      <c r="M188" s="11" t="s">
        <v>1917</v>
      </c>
      <c r="N188" s="11" t="s">
        <v>3046</v>
      </c>
      <c r="O188" s="11" t="s">
        <v>3051</v>
      </c>
      <c r="P188" s="11" t="s">
        <v>1920</v>
      </c>
      <c r="Q188" s="11" t="s">
        <v>3052</v>
      </c>
      <c r="R188" s="11" t="s">
        <v>3053</v>
      </c>
      <c r="S188" s="11" t="s">
        <v>3054</v>
      </c>
      <c r="T188" s="11" t="s">
        <v>3054</v>
      </c>
      <c r="U188" s="11" t="s">
        <v>1924</v>
      </c>
      <c r="V188" s="11" t="s">
        <v>1925</v>
      </c>
      <c r="W188" s="11" t="s">
        <v>1926</v>
      </c>
      <c r="X188" s="11" t="s">
        <v>3055</v>
      </c>
      <c r="Y188" s="12" t="n">
        <f aca="false">COUNTIF($A$6:$A$339,A188)</f>
        <v>1</v>
      </c>
    </row>
    <row r="189" customFormat="false" ht="240" hidden="false" customHeight="true" outlineLevel="0" collapsed="false">
      <c r="A189" s="11" t="s">
        <v>3056</v>
      </c>
      <c r="B189" s="11" t="s">
        <v>1292</v>
      </c>
      <c r="C189" s="11" t="s">
        <v>1929</v>
      </c>
      <c r="D189" s="11" t="b">
        <f aca="false">FALSE()</f>
        <v>0</v>
      </c>
      <c r="E189" s="11" t="b">
        <f aca="false">FALSE()</f>
        <v>0</v>
      </c>
      <c r="F189" s="11" t="s">
        <v>1978</v>
      </c>
      <c r="G189" s="11" t="s">
        <v>1979</v>
      </c>
      <c r="H189" s="11" t="s">
        <v>1980</v>
      </c>
      <c r="I189" s="11" t="s">
        <v>1981</v>
      </c>
      <c r="J189" s="11" t="s">
        <v>1982</v>
      </c>
      <c r="K189" s="11" t="s">
        <v>1983</v>
      </c>
      <c r="L189" s="11" t="s">
        <v>1984</v>
      </c>
      <c r="M189" s="11" t="s">
        <v>1984</v>
      </c>
      <c r="N189" s="11" t="s">
        <v>1984</v>
      </c>
      <c r="O189" s="11" t="s">
        <v>1985</v>
      </c>
      <c r="P189" s="11" t="s">
        <v>1986</v>
      </c>
      <c r="Q189" s="11" t="s">
        <v>1987</v>
      </c>
      <c r="R189" s="11" t="s">
        <v>1988</v>
      </c>
      <c r="S189" s="11" t="s">
        <v>1988</v>
      </c>
      <c r="T189" s="11" t="s">
        <v>1988</v>
      </c>
      <c r="U189" s="11" t="s">
        <v>1988</v>
      </c>
      <c r="V189" s="11" t="s">
        <v>1989</v>
      </c>
      <c r="W189" s="11" t="s">
        <v>1990</v>
      </c>
      <c r="X189" s="11" t="s">
        <v>3057</v>
      </c>
      <c r="Y189" s="12" t="n">
        <f aca="false">COUNTIF($A$6:$A$339,A189)</f>
        <v>1</v>
      </c>
    </row>
    <row r="190" customFormat="false" ht="240" hidden="false" customHeight="true" outlineLevel="0" collapsed="false">
      <c r="A190" s="11" t="s">
        <v>3058</v>
      </c>
      <c r="B190" s="11" t="s">
        <v>1296</v>
      </c>
      <c r="C190" s="11" t="s">
        <v>1911</v>
      </c>
      <c r="D190" s="11" t="b">
        <f aca="false">TRUE()</f>
        <v>1</v>
      </c>
      <c r="E190" s="11" t="b">
        <f aca="false">TRUE()</f>
        <v>1</v>
      </c>
      <c r="F190" s="11"/>
      <c r="G190" s="11" t="s">
        <v>3059</v>
      </c>
      <c r="H190" s="11" t="s">
        <v>3060</v>
      </c>
      <c r="I190" s="11" t="s">
        <v>3061</v>
      </c>
      <c r="J190" s="11" t="s">
        <v>3062</v>
      </c>
      <c r="K190" s="11" t="s">
        <v>1785</v>
      </c>
      <c r="L190" s="11" t="s">
        <v>3063</v>
      </c>
      <c r="M190" s="11" t="s">
        <v>1917</v>
      </c>
      <c r="N190" s="11" t="s">
        <v>3064</v>
      </c>
      <c r="O190" s="11" t="s">
        <v>3065</v>
      </c>
      <c r="P190" s="11" t="s">
        <v>1920</v>
      </c>
      <c r="Q190" s="11" t="s">
        <v>3066</v>
      </c>
      <c r="R190" s="11" t="s">
        <v>3067</v>
      </c>
      <c r="S190" s="11" t="s">
        <v>3068</v>
      </c>
      <c r="T190" s="11" t="s">
        <v>3068</v>
      </c>
      <c r="U190" s="11" t="s">
        <v>1924</v>
      </c>
      <c r="V190" s="11" t="s">
        <v>1925</v>
      </c>
      <c r="W190" s="11" t="s">
        <v>1926</v>
      </c>
      <c r="X190" s="11" t="s">
        <v>3069</v>
      </c>
      <c r="Y190" s="12" t="n">
        <f aca="false">COUNTIF($A$6:$A$339,A190)</f>
        <v>1</v>
      </c>
    </row>
    <row r="191" customFormat="false" ht="240" hidden="false" customHeight="true" outlineLevel="0" collapsed="false">
      <c r="A191" s="11" t="s">
        <v>3070</v>
      </c>
      <c r="B191" s="11" t="s">
        <v>1296</v>
      </c>
      <c r="C191" s="11" t="s">
        <v>1929</v>
      </c>
      <c r="D191" s="11" t="b">
        <f aca="false">TRUE()</f>
        <v>1</v>
      </c>
      <c r="E191" s="11" t="b">
        <f aca="false">TRUE()</f>
        <v>1</v>
      </c>
      <c r="F191" s="11"/>
      <c r="G191" s="11" t="s">
        <v>3059</v>
      </c>
      <c r="H191" s="11" t="s">
        <v>3060</v>
      </c>
      <c r="I191" s="11" t="s">
        <v>3061</v>
      </c>
      <c r="J191" s="11" t="s">
        <v>3062</v>
      </c>
      <c r="K191" s="11" t="s">
        <v>1786</v>
      </c>
      <c r="L191" s="11" t="s">
        <v>3071</v>
      </c>
      <c r="M191" s="11" t="s">
        <v>1931</v>
      </c>
      <c r="N191" s="11" t="s">
        <v>3064</v>
      </c>
      <c r="O191" s="11" t="s">
        <v>3065</v>
      </c>
      <c r="P191" s="11" t="s">
        <v>1920</v>
      </c>
      <c r="Q191" s="11" t="s">
        <v>3066</v>
      </c>
      <c r="R191" s="11" t="s">
        <v>3067</v>
      </c>
      <c r="S191" s="11" t="s">
        <v>3068</v>
      </c>
      <c r="T191" s="11" t="s">
        <v>3068</v>
      </c>
      <c r="U191" s="11" t="s">
        <v>1932</v>
      </c>
      <c r="V191" s="11" t="s">
        <v>1925</v>
      </c>
      <c r="W191" s="11" t="s">
        <v>1926</v>
      </c>
      <c r="X191" s="11" t="s">
        <v>3072</v>
      </c>
      <c r="Y191" s="12" t="n">
        <f aca="false">COUNTIF($A$6:$A$339,A191)</f>
        <v>1</v>
      </c>
    </row>
    <row r="192" customFormat="false" ht="240" hidden="false" customHeight="true" outlineLevel="0" collapsed="false">
      <c r="A192" s="11" t="s">
        <v>3073</v>
      </c>
      <c r="B192" s="11" t="s">
        <v>1300</v>
      </c>
      <c r="C192" s="11" t="s">
        <v>1911</v>
      </c>
      <c r="D192" s="11" t="b">
        <f aca="false">TRUE()</f>
        <v>1</v>
      </c>
      <c r="E192" s="11" t="b">
        <f aca="false">TRUE()</f>
        <v>1</v>
      </c>
      <c r="F192" s="11"/>
      <c r="G192" s="11" t="s">
        <v>3074</v>
      </c>
      <c r="H192" s="11" t="s">
        <v>3075</v>
      </c>
      <c r="I192" s="11" t="s">
        <v>3076</v>
      </c>
      <c r="J192" s="11" t="s">
        <v>3077</v>
      </c>
      <c r="K192" s="11" t="s">
        <v>1787</v>
      </c>
      <c r="L192" s="11" t="s">
        <v>3078</v>
      </c>
      <c r="M192" s="11" t="s">
        <v>1917</v>
      </c>
      <c r="N192" s="11" t="s">
        <v>3079</v>
      </c>
      <c r="O192" s="11" t="s">
        <v>3080</v>
      </c>
      <c r="P192" s="11" t="s">
        <v>1920</v>
      </c>
      <c r="Q192" s="11" t="s">
        <v>3081</v>
      </c>
      <c r="R192" s="11" t="s">
        <v>3082</v>
      </c>
      <c r="S192" s="11" t="s">
        <v>3083</v>
      </c>
      <c r="T192" s="11" t="s">
        <v>3083</v>
      </c>
      <c r="U192" s="11" t="s">
        <v>1924</v>
      </c>
      <c r="V192" s="11" t="s">
        <v>1925</v>
      </c>
      <c r="W192" s="11" t="s">
        <v>1926</v>
      </c>
      <c r="X192" s="11" t="s">
        <v>3084</v>
      </c>
      <c r="Y192" s="12" t="n">
        <f aca="false">COUNTIF($A$6:$A$339,A192)</f>
        <v>1</v>
      </c>
    </row>
    <row r="193" customFormat="false" ht="240" hidden="false" customHeight="true" outlineLevel="0" collapsed="false">
      <c r="A193" s="11" t="s">
        <v>3085</v>
      </c>
      <c r="B193" s="11" t="s">
        <v>1300</v>
      </c>
      <c r="C193" s="11" t="s">
        <v>1929</v>
      </c>
      <c r="D193" s="11" t="b">
        <f aca="false">FALSE()</f>
        <v>0</v>
      </c>
      <c r="E193" s="11" t="b">
        <f aca="false">FALSE()</f>
        <v>0</v>
      </c>
      <c r="F193" s="11" t="s">
        <v>1978</v>
      </c>
      <c r="G193" s="11" t="s">
        <v>1979</v>
      </c>
      <c r="H193" s="11" t="s">
        <v>1980</v>
      </c>
      <c r="I193" s="11" t="s">
        <v>1981</v>
      </c>
      <c r="J193" s="11" t="s">
        <v>1982</v>
      </c>
      <c r="K193" s="11" t="s">
        <v>1983</v>
      </c>
      <c r="L193" s="11" t="s">
        <v>1984</v>
      </c>
      <c r="M193" s="11" t="s">
        <v>1984</v>
      </c>
      <c r="N193" s="11" t="s">
        <v>1984</v>
      </c>
      <c r="O193" s="11" t="s">
        <v>1985</v>
      </c>
      <c r="P193" s="11" t="s">
        <v>1986</v>
      </c>
      <c r="Q193" s="11" t="s">
        <v>1987</v>
      </c>
      <c r="R193" s="11" t="s">
        <v>1988</v>
      </c>
      <c r="S193" s="11" t="s">
        <v>1988</v>
      </c>
      <c r="T193" s="11" t="s">
        <v>1988</v>
      </c>
      <c r="U193" s="11" t="s">
        <v>1988</v>
      </c>
      <c r="V193" s="11" t="s">
        <v>1989</v>
      </c>
      <c r="W193" s="11" t="s">
        <v>1990</v>
      </c>
      <c r="X193" s="11" t="s">
        <v>3086</v>
      </c>
      <c r="Y193" s="12" t="n">
        <f aca="false">COUNTIF($A$6:$A$339,A193)</f>
        <v>1</v>
      </c>
    </row>
    <row r="194" customFormat="false" ht="240" hidden="false" customHeight="true" outlineLevel="0" collapsed="false">
      <c r="A194" s="11" t="s">
        <v>3087</v>
      </c>
      <c r="B194" s="11" t="s">
        <v>1303</v>
      </c>
      <c r="C194" s="11" t="s">
        <v>1911</v>
      </c>
      <c r="D194" s="11" t="b">
        <f aca="false">TRUE()</f>
        <v>1</v>
      </c>
      <c r="E194" s="11" t="b">
        <f aca="false">FALSE()</f>
        <v>0</v>
      </c>
      <c r="F194" s="11"/>
      <c r="G194" s="11" t="s">
        <v>3088</v>
      </c>
      <c r="H194" s="11" t="s">
        <v>3089</v>
      </c>
      <c r="I194" s="11" t="s">
        <v>3090</v>
      </c>
      <c r="J194" s="11" t="s">
        <v>3091</v>
      </c>
      <c r="K194" s="11" t="s">
        <v>1788</v>
      </c>
      <c r="L194" s="11" t="s">
        <v>3092</v>
      </c>
      <c r="M194" s="11" t="s">
        <v>1917</v>
      </c>
      <c r="N194" s="11" t="s">
        <v>2186</v>
      </c>
      <c r="O194" s="11" t="s">
        <v>2187</v>
      </c>
      <c r="P194" s="11" t="s">
        <v>1920</v>
      </c>
      <c r="Q194" s="11" t="s">
        <v>3093</v>
      </c>
      <c r="R194" s="11" t="s">
        <v>3094</v>
      </c>
      <c r="S194" s="11" t="s">
        <v>3092</v>
      </c>
      <c r="T194" s="11" t="s">
        <v>3092</v>
      </c>
      <c r="U194" s="11" t="s">
        <v>1924</v>
      </c>
      <c r="V194" s="11" t="s">
        <v>1925</v>
      </c>
      <c r="W194" s="11" t="s">
        <v>1926</v>
      </c>
      <c r="X194" s="11" t="s">
        <v>3095</v>
      </c>
      <c r="Y194" s="12" t="n">
        <f aca="false">COUNTIF($A$6:$A$339,A194)</f>
        <v>1</v>
      </c>
    </row>
    <row r="195" customFormat="false" ht="240" hidden="false" customHeight="true" outlineLevel="0" collapsed="false">
      <c r="A195" s="11" t="s">
        <v>3096</v>
      </c>
      <c r="B195" s="11" t="s">
        <v>1303</v>
      </c>
      <c r="C195" s="11" t="s">
        <v>1929</v>
      </c>
      <c r="D195" s="11" t="b">
        <f aca="false">FALSE()</f>
        <v>0</v>
      </c>
      <c r="E195" s="11" t="b">
        <f aca="false">FALSE()</f>
        <v>0</v>
      </c>
      <c r="F195" s="11" t="s">
        <v>1978</v>
      </c>
      <c r="G195" s="11" t="s">
        <v>1979</v>
      </c>
      <c r="H195" s="11" t="s">
        <v>1980</v>
      </c>
      <c r="I195" s="11" t="s">
        <v>1981</v>
      </c>
      <c r="J195" s="11" t="s">
        <v>1982</v>
      </c>
      <c r="K195" s="11" t="s">
        <v>1983</v>
      </c>
      <c r="L195" s="11" t="s">
        <v>1984</v>
      </c>
      <c r="M195" s="11" t="s">
        <v>1984</v>
      </c>
      <c r="N195" s="11" t="s">
        <v>1984</v>
      </c>
      <c r="O195" s="11" t="s">
        <v>1985</v>
      </c>
      <c r="P195" s="11" t="s">
        <v>1986</v>
      </c>
      <c r="Q195" s="11" t="s">
        <v>1987</v>
      </c>
      <c r="R195" s="11" t="s">
        <v>1988</v>
      </c>
      <c r="S195" s="11" t="s">
        <v>1988</v>
      </c>
      <c r="T195" s="11" t="s">
        <v>1988</v>
      </c>
      <c r="U195" s="11" t="s">
        <v>1988</v>
      </c>
      <c r="V195" s="11" t="s">
        <v>1989</v>
      </c>
      <c r="W195" s="11" t="s">
        <v>1990</v>
      </c>
      <c r="X195" s="11" t="s">
        <v>3097</v>
      </c>
      <c r="Y195" s="12" t="n">
        <f aca="false">COUNTIF($A$6:$A$339,A195)</f>
        <v>1</v>
      </c>
    </row>
    <row r="196" customFormat="false" ht="240" hidden="false" customHeight="true" outlineLevel="0" collapsed="false">
      <c r="A196" s="11" t="s">
        <v>3098</v>
      </c>
      <c r="B196" s="11" t="s">
        <v>1306</v>
      </c>
      <c r="C196" s="11" t="s">
        <v>1911</v>
      </c>
      <c r="D196" s="11" t="b">
        <f aca="false">TRUE()</f>
        <v>1</v>
      </c>
      <c r="E196" s="11" t="b">
        <f aca="false">TRUE()</f>
        <v>1</v>
      </c>
      <c r="F196" s="11"/>
      <c r="G196" s="11" t="s">
        <v>3099</v>
      </c>
      <c r="H196" s="11" t="s">
        <v>3100</v>
      </c>
      <c r="I196" s="11" t="s">
        <v>3101</v>
      </c>
      <c r="J196" s="11" t="s">
        <v>3102</v>
      </c>
      <c r="K196" s="11" t="s">
        <v>1789</v>
      </c>
      <c r="L196" s="11" t="s">
        <v>3103</v>
      </c>
      <c r="M196" s="11" t="s">
        <v>1917</v>
      </c>
      <c r="N196" s="11" t="s">
        <v>3104</v>
      </c>
      <c r="O196" s="11" t="s">
        <v>3105</v>
      </c>
      <c r="P196" s="11" t="s">
        <v>1920</v>
      </c>
      <c r="Q196" s="11" t="s">
        <v>3106</v>
      </c>
      <c r="R196" s="11" t="s">
        <v>3107</v>
      </c>
      <c r="S196" s="11" t="s">
        <v>3108</v>
      </c>
      <c r="T196" s="11" t="s">
        <v>3108</v>
      </c>
      <c r="U196" s="11" t="s">
        <v>1924</v>
      </c>
      <c r="V196" s="11" t="s">
        <v>3109</v>
      </c>
      <c r="W196" s="11" t="s">
        <v>1926</v>
      </c>
      <c r="X196" s="11" t="s">
        <v>3110</v>
      </c>
      <c r="Y196" s="12" t="n">
        <f aca="false">COUNTIF($A$6:$A$339,A196)</f>
        <v>1</v>
      </c>
    </row>
    <row r="197" customFormat="false" ht="240" hidden="false" customHeight="true" outlineLevel="0" collapsed="false">
      <c r="A197" s="11" t="s">
        <v>3111</v>
      </c>
      <c r="B197" s="11" t="s">
        <v>1306</v>
      </c>
      <c r="C197" s="11" t="s">
        <v>1929</v>
      </c>
      <c r="D197" s="11" t="b">
        <f aca="false">FALSE()</f>
        <v>0</v>
      </c>
      <c r="E197" s="11" t="b">
        <f aca="false">FALSE()</f>
        <v>0</v>
      </c>
      <c r="F197" s="11" t="s">
        <v>1978</v>
      </c>
      <c r="G197" s="11" t="s">
        <v>1979</v>
      </c>
      <c r="H197" s="11" t="s">
        <v>1980</v>
      </c>
      <c r="I197" s="11" t="s">
        <v>1981</v>
      </c>
      <c r="J197" s="11" t="s">
        <v>1982</v>
      </c>
      <c r="K197" s="11" t="s">
        <v>1983</v>
      </c>
      <c r="L197" s="11" t="s">
        <v>1984</v>
      </c>
      <c r="M197" s="11" t="s">
        <v>1984</v>
      </c>
      <c r="N197" s="11" t="s">
        <v>1984</v>
      </c>
      <c r="O197" s="11" t="s">
        <v>1985</v>
      </c>
      <c r="P197" s="11" t="s">
        <v>1986</v>
      </c>
      <c r="Q197" s="11" t="s">
        <v>1987</v>
      </c>
      <c r="R197" s="11" t="s">
        <v>1988</v>
      </c>
      <c r="S197" s="11" t="s">
        <v>1988</v>
      </c>
      <c r="T197" s="11" t="s">
        <v>1988</v>
      </c>
      <c r="U197" s="11" t="s">
        <v>1988</v>
      </c>
      <c r="V197" s="11" t="s">
        <v>1989</v>
      </c>
      <c r="W197" s="11" t="s">
        <v>1990</v>
      </c>
      <c r="X197" s="11" t="s">
        <v>3112</v>
      </c>
      <c r="Y197" s="12" t="n">
        <f aca="false">COUNTIF($A$6:$A$339,A197)</f>
        <v>1</v>
      </c>
    </row>
    <row r="198" customFormat="false" ht="240" hidden="false" customHeight="true" outlineLevel="0" collapsed="false">
      <c r="A198" s="11" t="s">
        <v>3113</v>
      </c>
      <c r="B198" s="11" t="s">
        <v>1310</v>
      </c>
      <c r="C198" s="11" t="s">
        <v>1911</v>
      </c>
      <c r="D198" s="11" t="b">
        <f aca="false">TRUE()</f>
        <v>1</v>
      </c>
      <c r="E198" s="11" t="b">
        <f aca="false">FALSE()</f>
        <v>0</v>
      </c>
      <c r="F198" s="11"/>
      <c r="G198" s="11" t="s">
        <v>3114</v>
      </c>
      <c r="H198" s="11" t="s">
        <v>3115</v>
      </c>
      <c r="I198" s="11" t="s">
        <v>3116</v>
      </c>
      <c r="J198" s="11" t="s">
        <v>3117</v>
      </c>
      <c r="K198" s="11" t="s">
        <v>1790</v>
      </c>
      <c r="L198" s="11" t="s">
        <v>3118</v>
      </c>
      <c r="M198" s="11" t="s">
        <v>1917</v>
      </c>
      <c r="N198" s="11" t="s">
        <v>3119</v>
      </c>
      <c r="O198" s="11" t="s">
        <v>3120</v>
      </c>
      <c r="P198" s="11" t="s">
        <v>1920</v>
      </c>
      <c r="Q198" s="11" t="s">
        <v>3121</v>
      </c>
      <c r="R198" s="11" t="s">
        <v>3122</v>
      </c>
      <c r="S198" s="11" t="s">
        <v>3123</v>
      </c>
      <c r="T198" s="11" t="s">
        <v>3123</v>
      </c>
      <c r="U198" s="11" t="s">
        <v>1924</v>
      </c>
      <c r="V198" s="11" t="s">
        <v>1925</v>
      </c>
      <c r="W198" s="11" t="s">
        <v>1926</v>
      </c>
      <c r="X198" s="11" t="s">
        <v>3124</v>
      </c>
      <c r="Y198" s="12" t="n">
        <f aca="false">COUNTIF($A$6:$A$339,A198)</f>
        <v>1</v>
      </c>
    </row>
    <row r="199" customFormat="false" ht="240" hidden="false" customHeight="true" outlineLevel="0" collapsed="false">
      <c r="A199" s="11" t="s">
        <v>3125</v>
      </c>
      <c r="B199" s="11" t="s">
        <v>1310</v>
      </c>
      <c r="C199" s="11" t="s">
        <v>1929</v>
      </c>
      <c r="D199" s="11" t="b">
        <f aca="false">FALSE()</f>
        <v>0</v>
      </c>
      <c r="E199" s="11" t="b">
        <f aca="false">FALSE()</f>
        <v>0</v>
      </c>
      <c r="F199" s="11" t="s">
        <v>1978</v>
      </c>
      <c r="G199" s="11" t="s">
        <v>1979</v>
      </c>
      <c r="H199" s="11" t="s">
        <v>1980</v>
      </c>
      <c r="I199" s="11" t="s">
        <v>1981</v>
      </c>
      <c r="J199" s="11" t="s">
        <v>1982</v>
      </c>
      <c r="K199" s="11" t="s">
        <v>1983</v>
      </c>
      <c r="L199" s="11" t="s">
        <v>1984</v>
      </c>
      <c r="M199" s="11" t="s">
        <v>1984</v>
      </c>
      <c r="N199" s="11" t="s">
        <v>1984</v>
      </c>
      <c r="O199" s="11" t="s">
        <v>1985</v>
      </c>
      <c r="P199" s="11" t="s">
        <v>1986</v>
      </c>
      <c r="Q199" s="11" t="s">
        <v>1987</v>
      </c>
      <c r="R199" s="11" t="s">
        <v>1988</v>
      </c>
      <c r="S199" s="11" t="s">
        <v>1988</v>
      </c>
      <c r="T199" s="11" t="s">
        <v>1988</v>
      </c>
      <c r="U199" s="11" t="s">
        <v>1988</v>
      </c>
      <c r="V199" s="11" t="s">
        <v>1989</v>
      </c>
      <c r="W199" s="11" t="s">
        <v>1990</v>
      </c>
      <c r="X199" s="11" t="s">
        <v>3126</v>
      </c>
      <c r="Y199" s="12" t="n">
        <f aca="false">COUNTIF($A$6:$A$339,A199)</f>
        <v>1</v>
      </c>
    </row>
    <row r="200" customFormat="false" ht="240" hidden="false" customHeight="true" outlineLevel="0" collapsed="false">
      <c r="A200" s="11" t="s">
        <v>3127</v>
      </c>
      <c r="B200" s="11" t="s">
        <v>1313</v>
      </c>
      <c r="C200" s="11" t="s">
        <v>1911</v>
      </c>
      <c r="D200" s="11" t="b">
        <f aca="false">TRUE()</f>
        <v>1</v>
      </c>
      <c r="E200" s="11" t="b">
        <f aca="false">FALSE()</f>
        <v>0</v>
      </c>
      <c r="F200" s="11"/>
      <c r="G200" s="11" t="s">
        <v>3128</v>
      </c>
      <c r="H200" s="11" t="s">
        <v>3129</v>
      </c>
      <c r="I200" s="11" t="s">
        <v>3130</v>
      </c>
      <c r="J200" s="11" t="s">
        <v>3131</v>
      </c>
      <c r="K200" s="11" t="s">
        <v>1791</v>
      </c>
      <c r="L200" s="11" t="s">
        <v>3132</v>
      </c>
      <c r="M200" s="11" t="s">
        <v>1917</v>
      </c>
      <c r="N200" s="11" t="s">
        <v>3133</v>
      </c>
      <c r="O200" s="11" t="s">
        <v>3134</v>
      </c>
      <c r="P200" s="11" t="s">
        <v>1920</v>
      </c>
      <c r="Q200" s="11" t="s">
        <v>3135</v>
      </c>
      <c r="R200" s="11" t="s">
        <v>3136</v>
      </c>
      <c r="S200" s="11" t="s">
        <v>3137</v>
      </c>
      <c r="T200" s="11" t="s">
        <v>3137</v>
      </c>
      <c r="U200" s="11" t="s">
        <v>1924</v>
      </c>
      <c r="V200" s="11" t="s">
        <v>1925</v>
      </c>
      <c r="W200" s="11" t="s">
        <v>1926</v>
      </c>
      <c r="X200" s="11" t="s">
        <v>3138</v>
      </c>
      <c r="Y200" s="12" t="n">
        <f aca="false">COUNTIF($A$6:$A$339,A200)</f>
        <v>1</v>
      </c>
    </row>
    <row r="201" customFormat="false" ht="240" hidden="false" customHeight="true" outlineLevel="0" collapsed="false">
      <c r="A201" s="11" t="s">
        <v>3139</v>
      </c>
      <c r="B201" s="11" t="s">
        <v>1313</v>
      </c>
      <c r="C201" s="11" t="s">
        <v>1929</v>
      </c>
      <c r="D201" s="11" t="b">
        <f aca="false">FALSE()</f>
        <v>0</v>
      </c>
      <c r="E201" s="11" t="b">
        <f aca="false">FALSE()</f>
        <v>0</v>
      </c>
      <c r="F201" s="11" t="s">
        <v>1978</v>
      </c>
      <c r="G201" s="11" t="s">
        <v>1979</v>
      </c>
      <c r="H201" s="11" t="s">
        <v>1980</v>
      </c>
      <c r="I201" s="11" t="s">
        <v>1981</v>
      </c>
      <c r="J201" s="11" t="s">
        <v>1982</v>
      </c>
      <c r="K201" s="11" t="s">
        <v>1983</v>
      </c>
      <c r="L201" s="11" t="s">
        <v>1984</v>
      </c>
      <c r="M201" s="11" t="s">
        <v>1984</v>
      </c>
      <c r="N201" s="11" t="s">
        <v>1984</v>
      </c>
      <c r="O201" s="11" t="s">
        <v>1985</v>
      </c>
      <c r="P201" s="11" t="s">
        <v>1986</v>
      </c>
      <c r="Q201" s="11" t="s">
        <v>1987</v>
      </c>
      <c r="R201" s="11" t="s">
        <v>1988</v>
      </c>
      <c r="S201" s="11" t="s">
        <v>1988</v>
      </c>
      <c r="T201" s="11" t="s">
        <v>1988</v>
      </c>
      <c r="U201" s="11" t="s">
        <v>1988</v>
      </c>
      <c r="V201" s="11" t="s">
        <v>1989</v>
      </c>
      <c r="W201" s="11" t="s">
        <v>1990</v>
      </c>
      <c r="X201" s="11" t="s">
        <v>3140</v>
      </c>
      <c r="Y201" s="12" t="n">
        <f aca="false">COUNTIF($A$6:$A$339,A201)</f>
        <v>1</v>
      </c>
    </row>
    <row r="202" customFormat="false" ht="240" hidden="false" customHeight="true" outlineLevel="0" collapsed="false">
      <c r="A202" s="11" t="s">
        <v>3141</v>
      </c>
      <c r="B202" s="11" t="s">
        <v>1316</v>
      </c>
      <c r="C202" s="11" t="s">
        <v>1911</v>
      </c>
      <c r="D202" s="11" t="b">
        <f aca="false">TRUE()</f>
        <v>1</v>
      </c>
      <c r="E202" s="11" t="b">
        <f aca="false">TRUE()</f>
        <v>1</v>
      </c>
      <c r="F202" s="11"/>
      <c r="G202" s="11" t="s">
        <v>3142</v>
      </c>
      <c r="H202" s="11" t="s">
        <v>3143</v>
      </c>
      <c r="I202" s="11" t="s">
        <v>3144</v>
      </c>
      <c r="J202" s="11" t="s">
        <v>3145</v>
      </c>
      <c r="K202" s="11" t="s">
        <v>1792</v>
      </c>
      <c r="L202" s="11" t="s">
        <v>3146</v>
      </c>
      <c r="M202" s="11" t="s">
        <v>1917</v>
      </c>
      <c r="N202" s="11" t="s">
        <v>3147</v>
      </c>
      <c r="O202" s="11" t="s">
        <v>3148</v>
      </c>
      <c r="P202" s="11" t="s">
        <v>1920</v>
      </c>
      <c r="Q202" s="11" t="s">
        <v>3149</v>
      </c>
      <c r="R202" s="11" t="s">
        <v>3150</v>
      </c>
      <c r="S202" s="11" t="s">
        <v>3151</v>
      </c>
      <c r="T202" s="11" t="s">
        <v>3151</v>
      </c>
      <c r="U202" s="11" t="s">
        <v>1924</v>
      </c>
      <c r="V202" s="11" t="s">
        <v>1925</v>
      </c>
      <c r="W202" s="11" t="s">
        <v>1926</v>
      </c>
      <c r="X202" s="11" t="s">
        <v>3152</v>
      </c>
      <c r="Y202" s="12" t="n">
        <f aca="false">COUNTIF($A$6:$A$339,A202)</f>
        <v>1</v>
      </c>
    </row>
    <row r="203" customFormat="false" ht="240" hidden="false" customHeight="true" outlineLevel="0" collapsed="false">
      <c r="A203" s="11" t="s">
        <v>3153</v>
      </c>
      <c r="B203" s="11" t="s">
        <v>1316</v>
      </c>
      <c r="C203" s="11" t="s">
        <v>1929</v>
      </c>
      <c r="D203" s="11" t="b">
        <f aca="false">FALSE()</f>
        <v>0</v>
      </c>
      <c r="E203" s="11" t="b">
        <f aca="false">FALSE()</f>
        <v>0</v>
      </c>
      <c r="F203" s="11" t="s">
        <v>1978</v>
      </c>
      <c r="G203" s="11" t="s">
        <v>1979</v>
      </c>
      <c r="H203" s="11" t="s">
        <v>1980</v>
      </c>
      <c r="I203" s="11" t="s">
        <v>1981</v>
      </c>
      <c r="J203" s="11" t="s">
        <v>1982</v>
      </c>
      <c r="K203" s="11" t="s">
        <v>1983</v>
      </c>
      <c r="L203" s="11" t="s">
        <v>1984</v>
      </c>
      <c r="M203" s="11" t="s">
        <v>1984</v>
      </c>
      <c r="N203" s="11" t="s">
        <v>1984</v>
      </c>
      <c r="O203" s="11" t="s">
        <v>1985</v>
      </c>
      <c r="P203" s="11" t="s">
        <v>1986</v>
      </c>
      <c r="Q203" s="11" t="s">
        <v>1987</v>
      </c>
      <c r="R203" s="11" t="s">
        <v>1988</v>
      </c>
      <c r="S203" s="11" t="s">
        <v>1988</v>
      </c>
      <c r="T203" s="11" t="s">
        <v>1988</v>
      </c>
      <c r="U203" s="11" t="s">
        <v>1988</v>
      </c>
      <c r="V203" s="11" t="s">
        <v>1989</v>
      </c>
      <c r="W203" s="11" t="s">
        <v>1990</v>
      </c>
      <c r="X203" s="11" t="s">
        <v>3154</v>
      </c>
      <c r="Y203" s="12" t="n">
        <f aca="false">COUNTIF($A$6:$A$339,A203)</f>
        <v>1</v>
      </c>
    </row>
    <row r="204" customFormat="false" ht="240" hidden="false" customHeight="true" outlineLevel="0" collapsed="false">
      <c r="A204" s="11" t="s">
        <v>3155</v>
      </c>
      <c r="B204" s="11" t="s">
        <v>1320</v>
      </c>
      <c r="C204" s="11" t="s">
        <v>1911</v>
      </c>
      <c r="D204" s="11" t="b">
        <f aca="false">TRUE()</f>
        <v>1</v>
      </c>
      <c r="E204" s="11" t="b">
        <f aca="false">TRUE()</f>
        <v>1</v>
      </c>
      <c r="F204" s="11"/>
      <c r="G204" s="11" t="s">
        <v>3156</v>
      </c>
      <c r="H204" s="11" t="s">
        <v>3157</v>
      </c>
      <c r="I204" s="11" t="s">
        <v>3158</v>
      </c>
      <c r="J204" s="11" t="s">
        <v>2198</v>
      </c>
      <c r="K204" s="11" t="s">
        <v>1793</v>
      </c>
      <c r="L204" s="11" t="s">
        <v>2199</v>
      </c>
      <c r="M204" s="11" t="s">
        <v>1917</v>
      </c>
      <c r="N204" s="11" t="s">
        <v>2186</v>
      </c>
      <c r="O204" s="11" t="s">
        <v>2187</v>
      </c>
      <c r="P204" s="11" t="s">
        <v>1920</v>
      </c>
      <c r="Q204" s="11" t="s">
        <v>3159</v>
      </c>
      <c r="R204" s="11" t="s">
        <v>3160</v>
      </c>
      <c r="S204" s="11" t="s">
        <v>1959</v>
      </c>
      <c r="T204" s="11" t="s">
        <v>1960</v>
      </c>
      <c r="U204" s="11" t="s">
        <v>1924</v>
      </c>
      <c r="V204" s="11" t="s">
        <v>1925</v>
      </c>
      <c r="W204" s="11" t="s">
        <v>1926</v>
      </c>
      <c r="X204" s="11" t="s">
        <v>3161</v>
      </c>
      <c r="Y204" s="12" t="n">
        <f aca="false">COUNTIF($A$6:$A$339,A204)</f>
        <v>1</v>
      </c>
    </row>
    <row r="205" customFormat="false" ht="240" hidden="false" customHeight="true" outlineLevel="0" collapsed="false">
      <c r="A205" s="11" t="s">
        <v>3162</v>
      </c>
      <c r="B205" s="11" t="s">
        <v>1320</v>
      </c>
      <c r="C205" s="11" t="s">
        <v>1929</v>
      </c>
      <c r="D205" s="11" t="b">
        <f aca="false">TRUE()</f>
        <v>1</v>
      </c>
      <c r="E205" s="11" t="b">
        <f aca="false">FALSE()</f>
        <v>0</v>
      </c>
      <c r="F205" s="11"/>
      <c r="G205" s="11" t="s">
        <v>3156</v>
      </c>
      <c r="H205" s="11" t="s">
        <v>3157</v>
      </c>
      <c r="I205" s="11" t="s">
        <v>3158</v>
      </c>
      <c r="J205" s="11" t="s">
        <v>2198</v>
      </c>
      <c r="K205" s="11" t="s">
        <v>1794</v>
      </c>
      <c r="L205" s="11" t="s">
        <v>2204</v>
      </c>
      <c r="M205" s="11" t="s">
        <v>1931</v>
      </c>
      <c r="N205" s="11" t="s">
        <v>2186</v>
      </c>
      <c r="O205" s="11" t="s">
        <v>2187</v>
      </c>
      <c r="P205" s="11" t="s">
        <v>1920</v>
      </c>
      <c r="Q205" s="11" t="s">
        <v>3159</v>
      </c>
      <c r="R205" s="11" t="s">
        <v>3160</v>
      </c>
      <c r="S205" s="11" t="s">
        <v>1959</v>
      </c>
      <c r="T205" s="11" t="s">
        <v>1960</v>
      </c>
      <c r="U205" s="11" t="s">
        <v>1932</v>
      </c>
      <c r="V205" s="11" t="s">
        <v>1925</v>
      </c>
      <c r="W205" s="11" t="s">
        <v>1926</v>
      </c>
      <c r="X205" s="11" t="s">
        <v>3163</v>
      </c>
      <c r="Y205" s="12" t="n">
        <f aca="false">COUNTIF($A$6:$A$339,A205)</f>
        <v>1</v>
      </c>
    </row>
    <row r="206" customFormat="false" ht="240" hidden="false" customHeight="true" outlineLevel="0" collapsed="false">
      <c r="A206" s="11" t="s">
        <v>3164</v>
      </c>
      <c r="B206" s="11" t="s">
        <v>1322</v>
      </c>
      <c r="C206" s="11" t="s">
        <v>1911</v>
      </c>
      <c r="D206" s="11" t="b">
        <f aca="false">TRUE()</f>
        <v>1</v>
      </c>
      <c r="E206" s="11" t="b">
        <f aca="false">TRUE()</f>
        <v>1</v>
      </c>
      <c r="F206" s="11"/>
      <c r="G206" s="11" t="s">
        <v>3165</v>
      </c>
      <c r="H206" s="11" t="s">
        <v>3166</v>
      </c>
      <c r="I206" s="11" t="s">
        <v>3167</v>
      </c>
      <c r="J206" s="11" t="s">
        <v>2198</v>
      </c>
      <c r="K206" s="11" t="s">
        <v>1795</v>
      </c>
      <c r="L206" s="11" t="s">
        <v>3168</v>
      </c>
      <c r="M206" s="11" t="s">
        <v>1917</v>
      </c>
      <c r="N206" s="11" t="s">
        <v>3169</v>
      </c>
      <c r="O206" s="11" t="s">
        <v>2187</v>
      </c>
      <c r="P206" s="11" t="s">
        <v>1920</v>
      </c>
      <c r="Q206" s="11" t="s">
        <v>3170</v>
      </c>
      <c r="R206" s="11" t="s">
        <v>3171</v>
      </c>
      <c r="S206" s="11" t="s">
        <v>3172</v>
      </c>
      <c r="T206" s="11" t="s">
        <v>3172</v>
      </c>
      <c r="U206" s="11" t="s">
        <v>1924</v>
      </c>
      <c r="V206" s="11" t="s">
        <v>3171</v>
      </c>
      <c r="W206" s="11" t="s">
        <v>1926</v>
      </c>
      <c r="X206" s="11" t="s">
        <v>3173</v>
      </c>
      <c r="Y206" s="12" t="n">
        <f aca="false">COUNTIF($A$6:$A$339,A206)</f>
        <v>1</v>
      </c>
    </row>
    <row r="207" customFormat="false" ht="240" hidden="false" customHeight="true" outlineLevel="0" collapsed="false">
      <c r="A207" s="11" t="s">
        <v>3174</v>
      </c>
      <c r="B207" s="11" t="s">
        <v>1322</v>
      </c>
      <c r="C207" s="11" t="s">
        <v>1929</v>
      </c>
      <c r="D207" s="11" t="b">
        <f aca="false">FALSE()</f>
        <v>0</v>
      </c>
      <c r="E207" s="11" t="b">
        <f aca="false">FALSE()</f>
        <v>0</v>
      </c>
      <c r="F207" s="11" t="s">
        <v>1978</v>
      </c>
      <c r="G207" s="11" t="s">
        <v>1979</v>
      </c>
      <c r="H207" s="11" t="s">
        <v>1980</v>
      </c>
      <c r="I207" s="11" t="s">
        <v>1981</v>
      </c>
      <c r="J207" s="11" t="s">
        <v>1982</v>
      </c>
      <c r="K207" s="11" t="s">
        <v>1983</v>
      </c>
      <c r="L207" s="11" t="s">
        <v>1984</v>
      </c>
      <c r="M207" s="11" t="s">
        <v>1984</v>
      </c>
      <c r="N207" s="11" t="s">
        <v>1984</v>
      </c>
      <c r="O207" s="11" t="s">
        <v>1985</v>
      </c>
      <c r="P207" s="11" t="s">
        <v>1986</v>
      </c>
      <c r="Q207" s="11" t="s">
        <v>1987</v>
      </c>
      <c r="R207" s="11" t="s">
        <v>1988</v>
      </c>
      <c r="S207" s="11" t="s">
        <v>1988</v>
      </c>
      <c r="T207" s="11" t="s">
        <v>1988</v>
      </c>
      <c r="U207" s="11" t="s">
        <v>1988</v>
      </c>
      <c r="V207" s="11" t="s">
        <v>1989</v>
      </c>
      <c r="W207" s="11" t="s">
        <v>1990</v>
      </c>
      <c r="X207" s="11" t="s">
        <v>3175</v>
      </c>
      <c r="Y207" s="12" t="n">
        <f aca="false">COUNTIF($A$6:$A$339,A207)</f>
        <v>1</v>
      </c>
    </row>
    <row r="208" customFormat="false" ht="240" hidden="false" customHeight="true" outlineLevel="0" collapsed="false">
      <c r="A208" s="11" t="s">
        <v>3176</v>
      </c>
      <c r="B208" s="11" t="s">
        <v>1329</v>
      </c>
      <c r="C208" s="11" t="s">
        <v>1911</v>
      </c>
      <c r="D208" s="11" t="b">
        <f aca="false">TRUE()</f>
        <v>1</v>
      </c>
      <c r="E208" s="11" t="b">
        <f aca="false">FALSE()</f>
        <v>0</v>
      </c>
      <c r="F208" s="11"/>
      <c r="G208" s="11" t="s">
        <v>3177</v>
      </c>
      <c r="H208" s="11" t="s">
        <v>3178</v>
      </c>
      <c r="I208" s="11" t="s">
        <v>3179</v>
      </c>
      <c r="J208" s="11" t="s">
        <v>3180</v>
      </c>
      <c r="K208" s="11" t="s">
        <v>1796</v>
      </c>
      <c r="L208" s="11" t="s">
        <v>3181</v>
      </c>
      <c r="M208" s="11" t="s">
        <v>1917</v>
      </c>
      <c r="N208" s="11" t="s">
        <v>2186</v>
      </c>
      <c r="O208" s="11" t="s">
        <v>2187</v>
      </c>
      <c r="P208" s="11" t="s">
        <v>1920</v>
      </c>
      <c r="Q208" s="11" t="s">
        <v>3182</v>
      </c>
      <c r="R208" s="11" t="s">
        <v>3183</v>
      </c>
      <c r="S208" s="11" t="s">
        <v>3181</v>
      </c>
      <c r="T208" s="11" t="s">
        <v>3181</v>
      </c>
      <c r="U208" s="11" t="s">
        <v>1924</v>
      </c>
      <c r="V208" s="11" t="s">
        <v>1925</v>
      </c>
      <c r="W208" s="11" t="s">
        <v>1926</v>
      </c>
      <c r="X208" s="11" t="s">
        <v>3184</v>
      </c>
      <c r="Y208" s="12" t="n">
        <f aca="false">COUNTIF($A$6:$A$339,A208)</f>
        <v>1</v>
      </c>
    </row>
    <row r="209" customFormat="false" ht="240" hidden="false" customHeight="true" outlineLevel="0" collapsed="false">
      <c r="A209" s="11" t="s">
        <v>3185</v>
      </c>
      <c r="B209" s="11" t="s">
        <v>1329</v>
      </c>
      <c r="C209" s="11" t="s">
        <v>1929</v>
      </c>
      <c r="D209" s="11" t="b">
        <f aca="false">FALSE()</f>
        <v>0</v>
      </c>
      <c r="E209" s="11" t="b">
        <f aca="false">FALSE()</f>
        <v>0</v>
      </c>
      <c r="F209" s="11" t="s">
        <v>1978</v>
      </c>
      <c r="G209" s="11" t="s">
        <v>1979</v>
      </c>
      <c r="H209" s="11" t="s">
        <v>1980</v>
      </c>
      <c r="I209" s="11" t="s">
        <v>1981</v>
      </c>
      <c r="J209" s="11" t="s">
        <v>1982</v>
      </c>
      <c r="K209" s="11" t="s">
        <v>1983</v>
      </c>
      <c r="L209" s="11" t="s">
        <v>1984</v>
      </c>
      <c r="M209" s="11" t="s">
        <v>1984</v>
      </c>
      <c r="N209" s="11" t="s">
        <v>1984</v>
      </c>
      <c r="O209" s="11" t="s">
        <v>1985</v>
      </c>
      <c r="P209" s="11" t="s">
        <v>1986</v>
      </c>
      <c r="Q209" s="11" t="s">
        <v>1987</v>
      </c>
      <c r="R209" s="11" t="s">
        <v>1988</v>
      </c>
      <c r="S209" s="11" t="s">
        <v>1988</v>
      </c>
      <c r="T209" s="11" t="s">
        <v>1988</v>
      </c>
      <c r="U209" s="11" t="s">
        <v>1988</v>
      </c>
      <c r="V209" s="11" t="s">
        <v>1989</v>
      </c>
      <c r="W209" s="11" t="s">
        <v>1990</v>
      </c>
      <c r="X209" s="11" t="s">
        <v>3186</v>
      </c>
      <c r="Y209" s="12" t="n">
        <f aca="false">COUNTIF($A$6:$A$339,A209)</f>
        <v>1</v>
      </c>
    </row>
    <row r="210" customFormat="false" ht="240" hidden="false" customHeight="true" outlineLevel="0" collapsed="false">
      <c r="A210" s="11" t="s">
        <v>3187</v>
      </c>
      <c r="B210" s="11" t="s">
        <v>1332</v>
      </c>
      <c r="C210" s="11" t="s">
        <v>1911</v>
      </c>
      <c r="D210" s="11" t="b">
        <f aca="false">TRUE()</f>
        <v>1</v>
      </c>
      <c r="E210" s="11" t="b">
        <f aca="false">TRUE()</f>
        <v>1</v>
      </c>
      <c r="F210" s="11"/>
      <c r="G210" s="11" t="s">
        <v>3188</v>
      </c>
      <c r="H210" s="11" t="s">
        <v>3189</v>
      </c>
      <c r="I210" s="11" t="s">
        <v>3190</v>
      </c>
      <c r="J210" s="11" t="s">
        <v>3191</v>
      </c>
      <c r="K210" s="11" t="s">
        <v>1797</v>
      </c>
      <c r="L210" s="11" t="s">
        <v>3192</v>
      </c>
      <c r="M210" s="11" t="s">
        <v>1917</v>
      </c>
      <c r="N210" s="11" t="s">
        <v>3193</v>
      </c>
      <c r="O210" s="11" t="s">
        <v>2187</v>
      </c>
      <c r="P210" s="11" t="s">
        <v>1920</v>
      </c>
      <c r="Q210" s="11" t="s">
        <v>3194</v>
      </c>
      <c r="R210" s="11" t="s">
        <v>3195</v>
      </c>
      <c r="S210" s="11" t="s">
        <v>3194</v>
      </c>
      <c r="T210" s="11" t="s">
        <v>3194</v>
      </c>
      <c r="U210" s="11" t="s">
        <v>1924</v>
      </c>
      <c r="V210" s="11" t="s">
        <v>1925</v>
      </c>
      <c r="W210" s="11" t="s">
        <v>1926</v>
      </c>
      <c r="X210" s="11" t="s">
        <v>3196</v>
      </c>
      <c r="Y210" s="12" t="n">
        <f aca="false">COUNTIF($A$6:$A$339,A210)</f>
        <v>1</v>
      </c>
    </row>
    <row r="211" customFormat="false" ht="240" hidden="false" customHeight="true" outlineLevel="0" collapsed="false">
      <c r="A211" s="11" t="s">
        <v>3197</v>
      </c>
      <c r="B211" s="11" t="s">
        <v>1332</v>
      </c>
      <c r="C211" s="11" t="s">
        <v>1929</v>
      </c>
      <c r="D211" s="11" t="b">
        <f aca="false">FALSE()</f>
        <v>0</v>
      </c>
      <c r="E211" s="11" t="b">
        <f aca="false">FALSE()</f>
        <v>0</v>
      </c>
      <c r="F211" s="11" t="s">
        <v>1978</v>
      </c>
      <c r="G211" s="11" t="s">
        <v>1979</v>
      </c>
      <c r="H211" s="11" t="s">
        <v>1980</v>
      </c>
      <c r="I211" s="11" t="s">
        <v>1981</v>
      </c>
      <c r="J211" s="11" t="s">
        <v>1982</v>
      </c>
      <c r="K211" s="11" t="s">
        <v>1983</v>
      </c>
      <c r="L211" s="11" t="s">
        <v>1984</v>
      </c>
      <c r="M211" s="11" t="s">
        <v>1984</v>
      </c>
      <c r="N211" s="11" t="s">
        <v>1984</v>
      </c>
      <c r="O211" s="11" t="s">
        <v>1985</v>
      </c>
      <c r="P211" s="11" t="s">
        <v>1986</v>
      </c>
      <c r="Q211" s="11" t="s">
        <v>1987</v>
      </c>
      <c r="R211" s="11" t="s">
        <v>1988</v>
      </c>
      <c r="S211" s="11" t="s">
        <v>1988</v>
      </c>
      <c r="T211" s="11" t="s">
        <v>1988</v>
      </c>
      <c r="U211" s="11" t="s">
        <v>1988</v>
      </c>
      <c r="V211" s="11" t="s">
        <v>1989</v>
      </c>
      <c r="W211" s="11" t="s">
        <v>1990</v>
      </c>
      <c r="X211" s="11" t="s">
        <v>3198</v>
      </c>
      <c r="Y211" s="12" t="n">
        <f aca="false">COUNTIF($A$6:$A$339,A211)</f>
        <v>1</v>
      </c>
    </row>
    <row r="212" customFormat="false" ht="240" hidden="false" customHeight="true" outlineLevel="0" collapsed="false">
      <c r="A212" s="11" t="s">
        <v>3199</v>
      </c>
      <c r="B212" s="11" t="s">
        <v>1335</v>
      </c>
      <c r="C212" s="11" t="s">
        <v>1911</v>
      </c>
      <c r="D212" s="11" t="b">
        <f aca="false">TRUE()</f>
        <v>1</v>
      </c>
      <c r="E212" s="11" t="b">
        <f aca="false">FALSE()</f>
        <v>0</v>
      </c>
      <c r="F212" s="11"/>
      <c r="G212" s="11" t="s">
        <v>3200</v>
      </c>
      <c r="H212" s="11" t="s">
        <v>3201</v>
      </c>
      <c r="I212" s="11" t="s">
        <v>3202</v>
      </c>
      <c r="J212" s="11" t="s">
        <v>2198</v>
      </c>
      <c r="K212" s="11" t="s">
        <v>1798</v>
      </c>
      <c r="L212" s="11" t="s">
        <v>2199</v>
      </c>
      <c r="M212" s="11" t="s">
        <v>1917</v>
      </c>
      <c r="N212" s="11" t="s">
        <v>3203</v>
      </c>
      <c r="O212" s="11" t="s">
        <v>3203</v>
      </c>
      <c r="P212" s="11" t="s">
        <v>1920</v>
      </c>
      <c r="Q212" s="11" t="s">
        <v>3203</v>
      </c>
      <c r="R212" s="11" t="s">
        <v>3204</v>
      </c>
      <c r="S212" s="11" t="s">
        <v>1959</v>
      </c>
      <c r="T212" s="11" t="s">
        <v>1960</v>
      </c>
      <c r="U212" s="11" t="s">
        <v>1924</v>
      </c>
      <c r="V212" s="11" t="s">
        <v>1925</v>
      </c>
      <c r="W212" s="11" t="s">
        <v>1926</v>
      </c>
      <c r="X212" s="11" t="s">
        <v>3205</v>
      </c>
      <c r="Y212" s="12" t="n">
        <f aca="false">COUNTIF($A$6:$A$339,A212)</f>
        <v>1</v>
      </c>
    </row>
    <row r="213" customFormat="false" ht="240" hidden="false" customHeight="true" outlineLevel="0" collapsed="false">
      <c r="A213" s="11" t="s">
        <v>3206</v>
      </c>
      <c r="B213" s="11" t="s">
        <v>1335</v>
      </c>
      <c r="C213" s="11" t="s">
        <v>1929</v>
      </c>
      <c r="D213" s="11" t="b">
        <f aca="false">TRUE()</f>
        <v>1</v>
      </c>
      <c r="E213" s="11" t="b">
        <f aca="false">FALSE()</f>
        <v>0</v>
      </c>
      <c r="F213" s="11"/>
      <c r="G213" s="11" t="s">
        <v>3200</v>
      </c>
      <c r="H213" s="11" t="s">
        <v>3201</v>
      </c>
      <c r="I213" s="11" t="s">
        <v>3202</v>
      </c>
      <c r="J213" s="11" t="s">
        <v>2198</v>
      </c>
      <c r="K213" s="11" t="s">
        <v>1799</v>
      </c>
      <c r="L213" s="11" t="s">
        <v>2204</v>
      </c>
      <c r="M213" s="11" t="s">
        <v>1931</v>
      </c>
      <c r="N213" s="11" t="s">
        <v>3203</v>
      </c>
      <c r="O213" s="11" t="s">
        <v>3203</v>
      </c>
      <c r="P213" s="11" t="s">
        <v>1920</v>
      </c>
      <c r="Q213" s="11" t="s">
        <v>3203</v>
      </c>
      <c r="R213" s="11" t="s">
        <v>3204</v>
      </c>
      <c r="S213" s="11" t="s">
        <v>1959</v>
      </c>
      <c r="T213" s="11" t="s">
        <v>1960</v>
      </c>
      <c r="U213" s="11" t="s">
        <v>1932</v>
      </c>
      <c r="V213" s="11" t="s">
        <v>1925</v>
      </c>
      <c r="W213" s="11" t="s">
        <v>1926</v>
      </c>
      <c r="X213" s="11" t="s">
        <v>3207</v>
      </c>
      <c r="Y213" s="12" t="n">
        <f aca="false">COUNTIF($A$6:$A$339,A213)</f>
        <v>1</v>
      </c>
    </row>
    <row r="214" customFormat="false" ht="240" hidden="false" customHeight="true" outlineLevel="0" collapsed="false">
      <c r="A214" s="11" t="s">
        <v>3208</v>
      </c>
      <c r="B214" s="11" t="s">
        <v>1338</v>
      </c>
      <c r="C214" s="11" t="s">
        <v>1911</v>
      </c>
      <c r="D214" s="11" t="b">
        <f aca="false">TRUE()</f>
        <v>1</v>
      </c>
      <c r="E214" s="11" t="b">
        <f aca="false">FALSE()</f>
        <v>0</v>
      </c>
      <c r="F214" s="11"/>
      <c r="G214" s="11" t="s">
        <v>3209</v>
      </c>
      <c r="H214" s="11" t="s">
        <v>3210</v>
      </c>
      <c r="I214" s="11" t="s">
        <v>3211</v>
      </c>
      <c r="J214" s="11" t="s">
        <v>3212</v>
      </c>
      <c r="K214" s="11" t="s">
        <v>1800</v>
      </c>
      <c r="L214" s="11" t="s">
        <v>3213</v>
      </c>
      <c r="M214" s="11" t="s">
        <v>1917</v>
      </c>
      <c r="N214" s="11" t="s">
        <v>3214</v>
      </c>
      <c r="O214" s="11" t="s">
        <v>3215</v>
      </c>
      <c r="P214" s="11" t="s">
        <v>1920</v>
      </c>
      <c r="Q214" s="11" t="s">
        <v>3216</v>
      </c>
      <c r="R214" s="11" t="s">
        <v>3217</v>
      </c>
      <c r="S214" s="11" t="s">
        <v>3215</v>
      </c>
      <c r="T214" s="11" t="s">
        <v>3215</v>
      </c>
      <c r="U214" s="11" t="s">
        <v>1924</v>
      </c>
      <c r="V214" s="11" t="s">
        <v>1925</v>
      </c>
      <c r="W214" s="11" t="s">
        <v>1926</v>
      </c>
      <c r="X214" s="11" t="s">
        <v>3218</v>
      </c>
      <c r="Y214" s="12" t="n">
        <f aca="false">COUNTIF($A$6:$A$339,A214)</f>
        <v>1</v>
      </c>
    </row>
    <row r="215" customFormat="false" ht="240" hidden="false" customHeight="true" outlineLevel="0" collapsed="false">
      <c r="A215" s="11" t="s">
        <v>3219</v>
      </c>
      <c r="B215" s="11" t="s">
        <v>1338</v>
      </c>
      <c r="C215" s="11" t="s">
        <v>1929</v>
      </c>
      <c r="D215" s="11" t="b">
        <f aca="false">FALSE()</f>
        <v>0</v>
      </c>
      <c r="E215" s="11" t="b">
        <f aca="false">FALSE()</f>
        <v>0</v>
      </c>
      <c r="F215" s="11" t="s">
        <v>1978</v>
      </c>
      <c r="G215" s="11" t="s">
        <v>1979</v>
      </c>
      <c r="H215" s="11" t="s">
        <v>1980</v>
      </c>
      <c r="I215" s="11" t="s">
        <v>1981</v>
      </c>
      <c r="J215" s="11" t="s">
        <v>1982</v>
      </c>
      <c r="K215" s="11" t="s">
        <v>1983</v>
      </c>
      <c r="L215" s="11" t="s">
        <v>1984</v>
      </c>
      <c r="M215" s="11" t="s">
        <v>1984</v>
      </c>
      <c r="N215" s="11" t="s">
        <v>1984</v>
      </c>
      <c r="O215" s="11" t="s">
        <v>1985</v>
      </c>
      <c r="P215" s="11" t="s">
        <v>1986</v>
      </c>
      <c r="Q215" s="11" t="s">
        <v>1987</v>
      </c>
      <c r="R215" s="11" t="s">
        <v>1988</v>
      </c>
      <c r="S215" s="11" t="s">
        <v>1988</v>
      </c>
      <c r="T215" s="11" t="s">
        <v>1988</v>
      </c>
      <c r="U215" s="11" t="s">
        <v>1988</v>
      </c>
      <c r="V215" s="11" t="s">
        <v>1989</v>
      </c>
      <c r="W215" s="11" t="s">
        <v>1990</v>
      </c>
      <c r="X215" s="11" t="s">
        <v>3220</v>
      </c>
      <c r="Y215" s="12" t="n">
        <f aca="false">COUNTIF($A$6:$A$339,A215)</f>
        <v>1</v>
      </c>
    </row>
    <row r="216" customFormat="false" ht="240" hidden="false" customHeight="true" outlineLevel="0" collapsed="false">
      <c r="A216" s="11" t="s">
        <v>3221</v>
      </c>
      <c r="B216" s="11" t="s">
        <v>1341</v>
      </c>
      <c r="C216" s="11" t="s">
        <v>1911</v>
      </c>
      <c r="D216" s="11" t="b">
        <f aca="false">TRUE()</f>
        <v>1</v>
      </c>
      <c r="E216" s="11" t="b">
        <f aca="false">TRUE()</f>
        <v>1</v>
      </c>
      <c r="F216" s="11"/>
      <c r="G216" s="11" t="s">
        <v>3222</v>
      </c>
      <c r="H216" s="11" t="s">
        <v>3223</v>
      </c>
      <c r="I216" s="11" t="s">
        <v>3224</v>
      </c>
      <c r="J216" s="11" t="s">
        <v>3225</v>
      </c>
      <c r="K216" s="11" t="s">
        <v>1801</v>
      </c>
      <c r="L216" s="11" t="s">
        <v>3226</v>
      </c>
      <c r="M216" s="11" t="s">
        <v>1917</v>
      </c>
      <c r="N216" s="11" t="s">
        <v>3227</v>
      </c>
      <c r="O216" s="11" t="s">
        <v>3228</v>
      </c>
      <c r="P216" s="11" t="s">
        <v>1920</v>
      </c>
      <c r="Q216" s="11" t="s">
        <v>3229</v>
      </c>
      <c r="R216" s="11" t="s">
        <v>3230</v>
      </c>
      <c r="S216" s="11" t="s">
        <v>3231</v>
      </c>
      <c r="T216" s="11" t="s">
        <v>3231</v>
      </c>
      <c r="U216" s="11" t="s">
        <v>1924</v>
      </c>
      <c r="V216" s="11" t="s">
        <v>1925</v>
      </c>
      <c r="W216" s="11" t="s">
        <v>1926</v>
      </c>
      <c r="X216" s="11" t="s">
        <v>3232</v>
      </c>
      <c r="Y216" s="12" t="n">
        <f aca="false">COUNTIF($A$6:$A$339,A216)</f>
        <v>1</v>
      </c>
    </row>
    <row r="217" customFormat="false" ht="240" hidden="false" customHeight="true" outlineLevel="0" collapsed="false">
      <c r="A217" s="11" t="s">
        <v>3233</v>
      </c>
      <c r="B217" s="11" t="s">
        <v>1341</v>
      </c>
      <c r="C217" s="11" t="s">
        <v>1929</v>
      </c>
      <c r="D217" s="11" t="b">
        <f aca="false">TRUE()</f>
        <v>1</v>
      </c>
      <c r="E217" s="11" t="b">
        <f aca="false">TRUE()</f>
        <v>1</v>
      </c>
      <c r="F217" s="11"/>
      <c r="G217" s="11" t="s">
        <v>3222</v>
      </c>
      <c r="H217" s="11" t="s">
        <v>3223</v>
      </c>
      <c r="I217" s="11" t="s">
        <v>3224</v>
      </c>
      <c r="J217" s="11" t="s">
        <v>3225</v>
      </c>
      <c r="K217" s="11" t="s">
        <v>1802</v>
      </c>
      <c r="L217" s="11" t="s">
        <v>3234</v>
      </c>
      <c r="M217" s="11" t="s">
        <v>1931</v>
      </c>
      <c r="N217" s="11" t="s">
        <v>3227</v>
      </c>
      <c r="O217" s="11" t="s">
        <v>3228</v>
      </c>
      <c r="P217" s="11" t="s">
        <v>1920</v>
      </c>
      <c r="Q217" s="11" t="s">
        <v>3229</v>
      </c>
      <c r="R217" s="11" t="s">
        <v>3230</v>
      </c>
      <c r="S217" s="11" t="s">
        <v>3231</v>
      </c>
      <c r="T217" s="11" t="s">
        <v>3231</v>
      </c>
      <c r="U217" s="11" t="s">
        <v>1932</v>
      </c>
      <c r="V217" s="11" t="s">
        <v>1925</v>
      </c>
      <c r="W217" s="11" t="s">
        <v>1926</v>
      </c>
      <c r="X217" s="11" t="s">
        <v>3235</v>
      </c>
      <c r="Y217" s="12" t="n">
        <f aca="false">COUNTIF($A$6:$A$339,A217)</f>
        <v>1</v>
      </c>
    </row>
    <row r="218" customFormat="false" ht="240" hidden="false" customHeight="true" outlineLevel="0" collapsed="false">
      <c r="A218" s="11" t="s">
        <v>3236</v>
      </c>
      <c r="B218" s="11" t="s">
        <v>1345</v>
      </c>
      <c r="C218" s="11" t="s">
        <v>1911</v>
      </c>
      <c r="D218" s="11" t="b">
        <f aca="false">TRUE()</f>
        <v>1</v>
      </c>
      <c r="E218" s="11" t="b">
        <f aca="false">FALSE()</f>
        <v>0</v>
      </c>
      <c r="F218" s="11"/>
      <c r="G218" s="11" t="s">
        <v>3237</v>
      </c>
      <c r="H218" s="11" t="s">
        <v>3238</v>
      </c>
      <c r="I218" s="11" t="s">
        <v>3239</v>
      </c>
      <c r="J218" s="11" t="s">
        <v>3240</v>
      </c>
      <c r="K218" s="11" t="s">
        <v>1803</v>
      </c>
      <c r="L218" s="11" t="s">
        <v>3241</v>
      </c>
      <c r="M218" s="11" t="s">
        <v>1917</v>
      </c>
      <c r="N218" s="11" t="s">
        <v>2186</v>
      </c>
      <c r="O218" s="11" t="s">
        <v>2187</v>
      </c>
      <c r="P218" s="11" t="s">
        <v>1920</v>
      </c>
      <c r="Q218" s="11" t="s">
        <v>3242</v>
      </c>
      <c r="R218" s="11" t="s">
        <v>3243</v>
      </c>
      <c r="S218" s="11" t="s">
        <v>3244</v>
      </c>
      <c r="T218" s="11" t="s">
        <v>3244</v>
      </c>
      <c r="U218" s="11" t="s">
        <v>1924</v>
      </c>
      <c r="V218" s="11" t="s">
        <v>1925</v>
      </c>
      <c r="W218" s="11" t="s">
        <v>1926</v>
      </c>
      <c r="X218" s="11" t="s">
        <v>3245</v>
      </c>
      <c r="Y218" s="12" t="n">
        <f aca="false">COUNTIF($A$6:$A$339,A218)</f>
        <v>1</v>
      </c>
    </row>
    <row r="219" customFormat="false" ht="240" hidden="false" customHeight="true" outlineLevel="0" collapsed="false">
      <c r="A219" s="11" t="s">
        <v>3246</v>
      </c>
      <c r="B219" s="11" t="s">
        <v>1345</v>
      </c>
      <c r="C219" s="11" t="s">
        <v>1929</v>
      </c>
      <c r="D219" s="11" t="b">
        <f aca="false">FALSE()</f>
        <v>0</v>
      </c>
      <c r="E219" s="11" t="b">
        <f aca="false">FALSE()</f>
        <v>0</v>
      </c>
      <c r="F219" s="11" t="s">
        <v>1978</v>
      </c>
      <c r="G219" s="11" t="s">
        <v>1979</v>
      </c>
      <c r="H219" s="11" t="s">
        <v>1980</v>
      </c>
      <c r="I219" s="11" t="s">
        <v>1981</v>
      </c>
      <c r="J219" s="11" t="s">
        <v>1982</v>
      </c>
      <c r="K219" s="11" t="s">
        <v>1983</v>
      </c>
      <c r="L219" s="11" t="s">
        <v>1984</v>
      </c>
      <c r="M219" s="11" t="s">
        <v>1984</v>
      </c>
      <c r="N219" s="11" t="s">
        <v>1984</v>
      </c>
      <c r="O219" s="11" t="s">
        <v>1985</v>
      </c>
      <c r="P219" s="11" t="s">
        <v>1986</v>
      </c>
      <c r="Q219" s="11" t="s">
        <v>1987</v>
      </c>
      <c r="R219" s="11" t="s">
        <v>1988</v>
      </c>
      <c r="S219" s="11" t="s">
        <v>1988</v>
      </c>
      <c r="T219" s="11" t="s">
        <v>1988</v>
      </c>
      <c r="U219" s="11" t="s">
        <v>1988</v>
      </c>
      <c r="V219" s="11" t="s">
        <v>1989</v>
      </c>
      <c r="W219" s="11" t="s">
        <v>1990</v>
      </c>
      <c r="X219" s="11" t="s">
        <v>3247</v>
      </c>
      <c r="Y219" s="12" t="n">
        <f aca="false">COUNTIF($A$6:$A$339,A219)</f>
        <v>1</v>
      </c>
    </row>
    <row r="220" customFormat="false" ht="240" hidden="false" customHeight="true" outlineLevel="0" collapsed="false">
      <c r="A220" s="11" t="s">
        <v>3248</v>
      </c>
      <c r="B220" s="11" t="s">
        <v>1349</v>
      </c>
      <c r="C220" s="11" t="s">
        <v>1911</v>
      </c>
      <c r="D220" s="11" t="b">
        <f aca="false">TRUE()</f>
        <v>1</v>
      </c>
      <c r="E220" s="11" t="b">
        <f aca="false">FALSE()</f>
        <v>0</v>
      </c>
      <c r="F220" s="11"/>
      <c r="G220" s="11" t="s">
        <v>3249</v>
      </c>
      <c r="H220" s="11" t="s">
        <v>3250</v>
      </c>
      <c r="I220" s="11" t="s">
        <v>3251</v>
      </c>
      <c r="J220" s="11" t="s">
        <v>2198</v>
      </c>
      <c r="K220" s="11" t="s">
        <v>1804</v>
      </c>
      <c r="L220" s="11" t="s">
        <v>2199</v>
      </c>
      <c r="M220" s="11" t="s">
        <v>1917</v>
      </c>
      <c r="N220" s="11" t="s">
        <v>2186</v>
      </c>
      <c r="O220" s="11" t="s">
        <v>3252</v>
      </c>
      <c r="P220" s="11" t="s">
        <v>1920</v>
      </c>
      <c r="Q220" s="11" t="s">
        <v>3253</v>
      </c>
      <c r="R220" s="11" t="s">
        <v>3254</v>
      </c>
      <c r="S220" s="11" t="s">
        <v>1959</v>
      </c>
      <c r="T220" s="11" t="s">
        <v>1960</v>
      </c>
      <c r="U220" s="11" t="s">
        <v>1924</v>
      </c>
      <c r="V220" s="11" t="s">
        <v>1925</v>
      </c>
      <c r="W220" s="11" t="s">
        <v>1926</v>
      </c>
      <c r="X220" s="11" t="s">
        <v>3255</v>
      </c>
      <c r="Y220" s="12" t="n">
        <f aca="false">COUNTIF($A$6:$A$339,A220)</f>
        <v>1</v>
      </c>
    </row>
    <row r="221" customFormat="false" ht="240" hidden="false" customHeight="true" outlineLevel="0" collapsed="false">
      <c r="A221" s="11" t="s">
        <v>3256</v>
      </c>
      <c r="B221" s="11" t="s">
        <v>1349</v>
      </c>
      <c r="C221" s="11" t="s">
        <v>1929</v>
      </c>
      <c r="D221" s="11" t="b">
        <f aca="false">TRUE()</f>
        <v>1</v>
      </c>
      <c r="E221" s="11" t="b">
        <f aca="false">FALSE()</f>
        <v>0</v>
      </c>
      <c r="F221" s="11"/>
      <c r="G221" s="11" t="s">
        <v>3249</v>
      </c>
      <c r="H221" s="11" t="s">
        <v>3250</v>
      </c>
      <c r="I221" s="11" t="s">
        <v>3251</v>
      </c>
      <c r="J221" s="11" t="s">
        <v>2198</v>
      </c>
      <c r="K221" s="11" t="s">
        <v>1805</v>
      </c>
      <c r="L221" s="11" t="s">
        <v>2204</v>
      </c>
      <c r="M221" s="11" t="s">
        <v>1931</v>
      </c>
      <c r="N221" s="11" t="s">
        <v>2186</v>
      </c>
      <c r="O221" s="11" t="s">
        <v>3252</v>
      </c>
      <c r="P221" s="11" t="s">
        <v>1920</v>
      </c>
      <c r="Q221" s="11" t="s">
        <v>3253</v>
      </c>
      <c r="R221" s="11" t="s">
        <v>3254</v>
      </c>
      <c r="S221" s="11" t="s">
        <v>1959</v>
      </c>
      <c r="T221" s="11" t="s">
        <v>1960</v>
      </c>
      <c r="U221" s="11" t="s">
        <v>1932</v>
      </c>
      <c r="V221" s="11" t="s">
        <v>1925</v>
      </c>
      <c r="W221" s="11" t="s">
        <v>1926</v>
      </c>
      <c r="X221" s="11" t="s">
        <v>3257</v>
      </c>
      <c r="Y221" s="12" t="n">
        <f aca="false">COUNTIF($A$6:$A$339,A221)</f>
        <v>1</v>
      </c>
    </row>
    <row r="222" customFormat="false" ht="240" hidden="false" customHeight="true" outlineLevel="0" collapsed="false">
      <c r="A222" s="11" t="s">
        <v>3258</v>
      </c>
      <c r="B222" s="11" t="s">
        <v>1353</v>
      </c>
      <c r="C222" s="11" t="s">
        <v>1911</v>
      </c>
      <c r="D222" s="11" t="b">
        <f aca="false">TRUE()</f>
        <v>1</v>
      </c>
      <c r="E222" s="11" t="b">
        <f aca="false">FALSE()</f>
        <v>0</v>
      </c>
      <c r="F222" s="11"/>
      <c r="G222" s="11" t="s">
        <v>3259</v>
      </c>
      <c r="H222" s="11" t="s">
        <v>3260</v>
      </c>
      <c r="I222" s="11" t="s">
        <v>3261</v>
      </c>
      <c r="J222" s="11" t="s">
        <v>2198</v>
      </c>
      <c r="K222" s="11" t="s">
        <v>1806</v>
      </c>
      <c r="L222" s="11" t="s">
        <v>2199</v>
      </c>
      <c r="M222" s="11" t="s">
        <v>1917</v>
      </c>
      <c r="N222" s="11" t="s">
        <v>2186</v>
      </c>
      <c r="O222" s="11" t="s">
        <v>2187</v>
      </c>
      <c r="P222" s="11" t="s">
        <v>1920</v>
      </c>
      <c r="Q222" s="11" t="s">
        <v>3262</v>
      </c>
      <c r="R222" s="11" t="s">
        <v>3263</v>
      </c>
      <c r="S222" s="11" t="s">
        <v>1959</v>
      </c>
      <c r="T222" s="11" t="s">
        <v>1960</v>
      </c>
      <c r="U222" s="11" t="s">
        <v>1924</v>
      </c>
      <c r="V222" s="11" t="s">
        <v>1925</v>
      </c>
      <c r="W222" s="11" t="s">
        <v>1926</v>
      </c>
      <c r="X222" s="11" t="s">
        <v>3264</v>
      </c>
      <c r="Y222" s="12" t="n">
        <f aca="false">COUNTIF($A$6:$A$339,A222)</f>
        <v>1</v>
      </c>
    </row>
    <row r="223" customFormat="false" ht="240" hidden="false" customHeight="true" outlineLevel="0" collapsed="false">
      <c r="A223" s="11" t="s">
        <v>3265</v>
      </c>
      <c r="B223" s="11" t="s">
        <v>1353</v>
      </c>
      <c r="C223" s="11" t="s">
        <v>1929</v>
      </c>
      <c r="D223" s="11" t="b">
        <f aca="false">FALSE()</f>
        <v>0</v>
      </c>
      <c r="E223" s="11" t="b">
        <f aca="false">FALSE()</f>
        <v>0</v>
      </c>
      <c r="F223" s="11" t="s">
        <v>1978</v>
      </c>
      <c r="G223" s="11" t="s">
        <v>1979</v>
      </c>
      <c r="H223" s="11" t="s">
        <v>1980</v>
      </c>
      <c r="I223" s="11" t="s">
        <v>1981</v>
      </c>
      <c r="J223" s="11" t="s">
        <v>1982</v>
      </c>
      <c r="K223" s="11" t="s">
        <v>1983</v>
      </c>
      <c r="L223" s="11" t="s">
        <v>1984</v>
      </c>
      <c r="M223" s="11" t="s">
        <v>1984</v>
      </c>
      <c r="N223" s="11" t="s">
        <v>1984</v>
      </c>
      <c r="O223" s="11" t="s">
        <v>1985</v>
      </c>
      <c r="P223" s="11" t="s">
        <v>1986</v>
      </c>
      <c r="Q223" s="11" t="s">
        <v>1987</v>
      </c>
      <c r="R223" s="11" t="s">
        <v>1988</v>
      </c>
      <c r="S223" s="11" t="s">
        <v>1988</v>
      </c>
      <c r="T223" s="11" t="s">
        <v>1988</v>
      </c>
      <c r="U223" s="11" t="s">
        <v>1988</v>
      </c>
      <c r="V223" s="11" t="s">
        <v>1989</v>
      </c>
      <c r="W223" s="11" t="s">
        <v>1990</v>
      </c>
      <c r="X223" s="11" t="s">
        <v>3266</v>
      </c>
      <c r="Y223" s="12" t="n">
        <f aca="false">COUNTIF($A$6:$A$339,A223)</f>
        <v>1</v>
      </c>
    </row>
    <row r="224" customFormat="false" ht="240" hidden="false" customHeight="true" outlineLevel="0" collapsed="false">
      <c r="A224" s="11" t="s">
        <v>3267</v>
      </c>
      <c r="B224" s="11" t="s">
        <v>1357</v>
      </c>
      <c r="C224" s="11" t="s">
        <v>1911</v>
      </c>
      <c r="D224" s="11" t="b">
        <f aca="false">TRUE()</f>
        <v>1</v>
      </c>
      <c r="E224" s="11" t="b">
        <f aca="false">FALSE()</f>
        <v>0</v>
      </c>
      <c r="F224" s="11"/>
      <c r="G224" s="11" t="s">
        <v>3268</v>
      </c>
      <c r="H224" s="11" t="s">
        <v>3269</v>
      </c>
      <c r="I224" s="11" t="s">
        <v>3270</v>
      </c>
      <c r="J224" s="11" t="s">
        <v>3271</v>
      </c>
      <c r="K224" s="11" t="s">
        <v>1807</v>
      </c>
      <c r="L224" s="11" t="s">
        <v>3272</v>
      </c>
      <c r="M224" s="11" t="s">
        <v>1917</v>
      </c>
      <c r="N224" s="11" t="s">
        <v>3273</v>
      </c>
      <c r="O224" s="11" t="s">
        <v>3274</v>
      </c>
      <c r="P224" s="11" t="s">
        <v>1920</v>
      </c>
      <c r="Q224" s="11" t="s">
        <v>3275</v>
      </c>
      <c r="R224" s="11" t="s">
        <v>3276</v>
      </c>
      <c r="S224" s="11" t="s">
        <v>3277</v>
      </c>
      <c r="T224" s="11" t="s">
        <v>3277</v>
      </c>
      <c r="U224" s="11" t="s">
        <v>1924</v>
      </c>
      <c r="V224" s="11" t="s">
        <v>1925</v>
      </c>
      <c r="W224" s="11" t="s">
        <v>1926</v>
      </c>
      <c r="X224" s="11" t="s">
        <v>3278</v>
      </c>
      <c r="Y224" s="12" t="n">
        <f aca="false">COUNTIF($A$6:$A$339,A224)</f>
        <v>1</v>
      </c>
    </row>
    <row r="225" customFormat="false" ht="240" hidden="false" customHeight="true" outlineLevel="0" collapsed="false">
      <c r="A225" s="11" t="s">
        <v>3279</v>
      </c>
      <c r="B225" s="11" t="s">
        <v>1357</v>
      </c>
      <c r="C225" s="11" t="s">
        <v>1929</v>
      </c>
      <c r="D225" s="11" t="b">
        <f aca="false">FALSE()</f>
        <v>0</v>
      </c>
      <c r="E225" s="11" t="b">
        <f aca="false">FALSE()</f>
        <v>0</v>
      </c>
      <c r="F225" s="11" t="s">
        <v>1978</v>
      </c>
      <c r="G225" s="11" t="s">
        <v>1979</v>
      </c>
      <c r="H225" s="11" t="s">
        <v>1980</v>
      </c>
      <c r="I225" s="11" t="s">
        <v>1981</v>
      </c>
      <c r="J225" s="11" t="s">
        <v>1982</v>
      </c>
      <c r="K225" s="11" t="s">
        <v>1983</v>
      </c>
      <c r="L225" s="11" t="s">
        <v>1984</v>
      </c>
      <c r="M225" s="11" t="s">
        <v>1984</v>
      </c>
      <c r="N225" s="11" t="s">
        <v>1984</v>
      </c>
      <c r="O225" s="11" t="s">
        <v>1985</v>
      </c>
      <c r="P225" s="11" t="s">
        <v>1986</v>
      </c>
      <c r="Q225" s="11" t="s">
        <v>1987</v>
      </c>
      <c r="R225" s="11" t="s">
        <v>1988</v>
      </c>
      <c r="S225" s="11" t="s">
        <v>1988</v>
      </c>
      <c r="T225" s="11" t="s">
        <v>1988</v>
      </c>
      <c r="U225" s="11" t="s">
        <v>1988</v>
      </c>
      <c r="V225" s="11" t="s">
        <v>1989</v>
      </c>
      <c r="W225" s="11" t="s">
        <v>1990</v>
      </c>
      <c r="X225" s="11" t="s">
        <v>3280</v>
      </c>
      <c r="Y225" s="12" t="n">
        <f aca="false">COUNTIF($A$6:$A$339,A225)</f>
        <v>1</v>
      </c>
    </row>
    <row r="226" customFormat="false" ht="240" hidden="false" customHeight="true" outlineLevel="0" collapsed="false">
      <c r="A226" s="11" t="s">
        <v>3281</v>
      </c>
      <c r="B226" s="11" t="s">
        <v>1362</v>
      </c>
      <c r="C226" s="11" t="s">
        <v>1911</v>
      </c>
      <c r="D226" s="11" t="b">
        <f aca="false">TRUE()</f>
        <v>1</v>
      </c>
      <c r="E226" s="11" t="b">
        <f aca="false">FALSE()</f>
        <v>0</v>
      </c>
      <c r="F226" s="11"/>
      <c r="G226" s="11" t="s">
        <v>3282</v>
      </c>
      <c r="H226" s="11" t="s">
        <v>3283</v>
      </c>
      <c r="I226" s="11" t="s">
        <v>3284</v>
      </c>
      <c r="J226" s="11" t="s">
        <v>3285</v>
      </c>
      <c r="K226" s="11" t="s">
        <v>1808</v>
      </c>
      <c r="L226" s="11" t="s">
        <v>2199</v>
      </c>
      <c r="M226" s="11" t="s">
        <v>1917</v>
      </c>
      <c r="N226" s="11" t="s">
        <v>2186</v>
      </c>
      <c r="O226" s="11" t="s">
        <v>3286</v>
      </c>
      <c r="P226" s="11" t="s">
        <v>1920</v>
      </c>
      <c r="Q226" s="11" t="s">
        <v>3287</v>
      </c>
      <c r="R226" s="11" t="s">
        <v>3288</v>
      </c>
      <c r="S226" s="11" t="s">
        <v>1959</v>
      </c>
      <c r="T226" s="11" t="s">
        <v>1960</v>
      </c>
      <c r="U226" s="11" t="s">
        <v>1924</v>
      </c>
      <c r="V226" s="11" t="s">
        <v>1925</v>
      </c>
      <c r="W226" s="11" t="s">
        <v>1926</v>
      </c>
      <c r="X226" s="11" t="s">
        <v>3289</v>
      </c>
      <c r="Y226" s="12" t="n">
        <f aca="false">COUNTIF($A$6:$A$339,A226)</f>
        <v>1</v>
      </c>
    </row>
    <row r="227" customFormat="false" ht="240" hidden="false" customHeight="true" outlineLevel="0" collapsed="false">
      <c r="A227" s="11" t="s">
        <v>3290</v>
      </c>
      <c r="B227" s="11" t="s">
        <v>1362</v>
      </c>
      <c r="C227" s="11" t="s">
        <v>1929</v>
      </c>
      <c r="D227" s="11" t="b">
        <f aca="false">FALSE()</f>
        <v>0</v>
      </c>
      <c r="E227" s="11" t="b">
        <f aca="false">FALSE()</f>
        <v>0</v>
      </c>
      <c r="F227" s="11" t="s">
        <v>1978</v>
      </c>
      <c r="G227" s="11" t="s">
        <v>1979</v>
      </c>
      <c r="H227" s="11" t="s">
        <v>1980</v>
      </c>
      <c r="I227" s="11" t="s">
        <v>1981</v>
      </c>
      <c r="J227" s="11" t="s">
        <v>1982</v>
      </c>
      <c r="K227" s="11" t="s">
        <v>1983</v>
      </c>
      <c r="L227" s="11" t="s">
        <v>1984</v>
      </c>
      <c r="M227" s="11" t="s">
        <v>1984</v>
      </c>
      <c r="N227" s="11" t="s">
        <v>1984</v>
      </c>
      <c r="O227" s="11" t="s">
        <v>1985</v>
      </c>
      <c r="P227" s="11" t="s">
        <v>1986</v>
      </c>
      <c r="Q227" s="11" t="s">
        <v>1987</v>
      </c>
      <c r="R227" s="11" t="s">
        <v>1988</v>
      </c>
      <c r="S227" s="11" t="s">
        <v>1988</v>
      </c>
      <c r="T227" s="11" t="s">
        <v>1988</v>
      </c>
      <c r="U227" s="11" t="s">
        <v>1988</v>
      </c>
      <c r="V227" s="11" t="s">
        <v>1989</v>
      </c>
      <c r="W227" s="11" t="s">
        <v>1990</v>
      </c>
      <c r="X227" s="11" t="s">
        <v>3291</v>
      </c>
      <c r="Y227" s="12" t="n">
        <f aca="false">COUNTIF($A$6:$A$339,A227)</f>
        <v>1</v>
      </c>
    </row>
    <row r="228" customFormat="false" ht="240" hidden="false" customHeight="true" outlineLevel="0" collapsed="false">
      <c r="A228" s="11" t="s">
        <v>3292</v>
      </c>
      <c r="B228" s="11" t="s">
        <v>1365</v>
      </c>
      <c r="C228" s="11" t="s">
        <v>1911</v>
      </c>
      <c r="D228" s="11" t="b">
        <f aca="false">TRUE()</f>
        <v>1</v>
      </c>
      <c r="E228" s="11" t="b">
        <f aca="false">FALSE()</f>
        <v>0</v>
      </c>
      <c r="F228" s="11"/>
      <c r="G228" s="11" t="s">
        <v>3293</v>
      </c>
      <c r="H228" s="11" t="s">
        <v>3294</v>
      </c>
      <c r="I228" s="11" t="s">
        <v>3295</v>
      </c>
      <c r="J228" s="11" t="s">
        <v>3296</v>
      </c>
      <c r="K228" s="11" t="s">
        <v>1809</v>
      </c>
      <c r="L228" s="11" t="s">
        <v>3297</v>
      </c>
      <c r="M228" s="11" t="s">
        <v>1917</v>
      </c>
      <c r="N228" s="11" t="s">
        <v>3298</v>
      </c>
      <c r="O228" s="11" t="s">
        <v>3299</v>
      </c>
      <c r="P228" s="11" t="s">
        <v>1920</v>
      </c>
      <c r="Q228" s="11" t="s">
        <v>3300</v>
      </c>
      <c r="R228" s="11" t="s">
        <v>3301</v>
      </c>
      <c r="S228" s="11" t="s">
        <v>3302</v>
      </c>
      <c r="T228" s="11" t="s">
        <v>3302</v>
      </c>
      <c r="U228" s="11" t="s">
        <v>1924</v>
      </c>
      <c r="V228" s="11" t="s">
        <v>1925</v>
      </c>
      <c r="W228" s="11" t="s">
        <v>1926</v>
      </c>
      <c r="X228" s="11" t="s">
        <v>3303</v>
      </c>
      <c r="Y228" s="12" t="n">
        <f aca="false">COUNTIF($A$6:$A$339,A228)</f>
        <v>1</v>
      </c>
    </row>
    <row r="229" customFormat="false" ht="240" hidden="false" customHeight="true" outlineLevel="0" collapsed="false">
      <c r="A229" s="11" t="s">
        <v>3304</v>
      </c>
      <c r="B229" s="11" t="s">
        <v>1365</v>
      </c>
      <c r="C229" s="11" t="s">
        <v>1929</v>
      </c>
      <c r="D229" s="11" t="b">
        <f aca="false">FALSE()</f>
        <v>0</v>
      </c>
      <c r="E229" s="11" t="b">
        <f aca="false">FALSE()</f>
        <v>0</v>
      </c>
      <c r="F229" s="11" t="s">
        <v>1978</v>
      </c>
      <c r="G229" s="11" t="s">
        <v>1979</v>
      </c>
      <c r="H229" s="11" t="s">
        <v>1980</v>
      </c>
      <c r="I229" s="11" t="s">
        <v>1981</v>
      </c>
      <c r="J229" s="11" t="s">
        <v>1982</v>
      </c>
      <c r="K229" s="11" t="s">
        <v>1983</v>
      </c>
      <c r="L229" s="11" t="s">
        <v>1984</v>
      </c>
      <c r="M229" s="11" t="s">
        <v>1984</v>
      </c>
      <c r="N229" s="11" t="s">
        <v>1984</v>
      </c>
      <c r="O229" s="11" t="s">
        <v>1985</v>
      </c>
      <c r="P229" s="11" t="s">
        <v>1986</v>
      </c>
      <c r="Q229" s="11" t="s">
        <v>1987</v>
      </c>
      <c r="R229" s="11" t="s">
        <v>1988</v>
      </c>
      <c r="S229" s="11" t="s">
        <v>1988</v>
      </c>
      <c r="T229" s="11" t="s">
        <v>1988</v>
      </c>
      <c r="U229" s="11" t="s">
        <v>1988</v>
      </c>
      <c r="V229" s="11" t="s">
        <v>1989</v>
      </c>
      <c r="W229" s="11" t="s">
        <v>1990</v>
      </c>
      <c r="X229" s="11" t="s">
        <v>3305</v>
      </c>
      <c r="Y229" s="12" t="n">
        <f aca="false">COUNTIF($A$6:$A$339,A229)</f>
        <v>1</v>
      </c>
    </row>
    <row r="230" customFormat="false" ht="240" hidden="false" customHeight="true" outlineLevel="0" collapsed="false">
      <c r="A230" s="11" t="s">
        <v>3306</v>
      </c>
      <c r="B230" s="11" t="s">
        <v>1371</v>
      </c>
      <c r="C230" s="11" t="s">
        <v>1911</v>
      </c>
      <c r="D230" s="11" t="b">
        <f aca="false">TRUE()</f>
        <v>1</v>
      </c>
      <c r="E230" s="11" t="b">
        <f aca="false">TRUE()</f>
        <v>1</v>
      </c>
      <c r="F230" s="11"/>
      <c r="G230" s="11" t="s">
        <v>3307</v>
      </c>
      <c r="H230" s="11" t="s">
        <v>3308</v>
      </c>
      <c r="I230" s="11" t="s">
        <v>3309</v>
      </c>
      <c r="J230" s="11" t="s">
        <v>3310</v>
      </c>
      <c r="K230" s="11" t="s">
        <v>1810</v>
      </c>
      <c r="L230" s="11" t="s">
        <v>3311</v>
      </c>
      <c r="M230" s="11" t="s">
        <v>1917</v>
      </c>
      <c r="N230" s="11" t="s">
        <v>2186</v>
      </c>
      <c r="O230" s="11" t="s">
        <v>2187</v>
      </c>
      <c r="P230" s="11" t="s">
        <v>1920</v>
      </c>
      <c r="Q230" s="11" t="s">
        <v>3312</v>
      </c>
      <c r="R230" s="11" t="s">
        <v>3313</v>
      </c>
      <c r="S230" s="11" t="s">
        <v>3314</v>
      </c>
      <c r="T230" s="11" t="s">
        <v>3314</v>
      </c>
      <c r="U230" s="11" t="s">
        <v>1924</v>
      </c>
      <c r="V230" s="11" t="s">
        <v>1925</v>
      </c>
      <c r="W230" s="11" t="s">
        <v>1926</v>
      </c>
      <c r="X230" s="11" t="s">
        <v>3315</v>
      </c>
      <c r="Y230" s="12" t="n">
        <f aca="false">COUNTIF($A$6:$A$339,A230)</f>
        <v>1</v>
      </c>
    </row>
    <row r="231" customFormat="false" ht="240" hidden="false" customHeight="true" outlineLevel="0" collapsed="false">
      <c r="A231" s="11" t="s">
        <v>3316</v>
      </c>
      <c r="B231" s="11" t="s">
        <v>1371</v>
      </c>
      <c r="C231" s="11" t="s">
        <v>1929</v>
      </c>
      <c r="D231" s="11" t="b">
        <f aca="false">TRUE()</f>
        <v>1</v>
      </c>
      <c r="E231" s="11" t="b">
        <f aca="false">FALSE()</f>
        <v>0</v>
      </c>
      <c r="F231" s="11"/>
      <c r="G231" s="11" t="s">
        <v>3307</v>
      </c>
      <c r="H231" s="11" t="s">
        <v>3308</v>
      </c>
      <c r="I231" s="11" t="s">
        <v>3309</v>
      </c>
      <c r="J231" s="11" t="s">
        <v>3310</v>
      </c>
      <c r="K231" s="11" t="s">
        <v>1811</v>
      </c>
      <c r="L231" s="11" t="s">
        <v>3317</v>
      </c>
      <c r="M231" s="11" t="s">
        <v>1931</v>
      </c>
      <c r="N231" s="11" t="s">
        <v>2186</v>
      </c>
      <c r="O231" s="11" t="s">
        <v>2187</v>
      </c>
      <c r="P231" s="11" t="s">
        <v>1920</v>
      </c>
      <c r="Q231" s="11" t="s">
        <v>3312</v>
      </c>
      <c r="R231" s="11" t="s">
        <v>3313</v>
      </c>
      <c r="S231" s="11" t="s">
        <v>3314</v>
      </c>
      <c r="T231" s="11" t="s">
        <v>3314</v>
      </c>
      <c r="U231" s="11" t="s">
        <v>1932</v>
      </c>
      <c r="V231" s="11" t="s">
        <v>1925</v>
      </c>
      <c r="W231" s="11" t="s">
        <v>1926</v>
      </c>
      <c r="X231" s="11" t="s">
        <v>3318</v>
      </c>
      <c r="Y231" s="12" t="n">
        <f aca="false">COUNTIF($A$6:$A$339,A231)</f>
        <v>1</v>
      </c>
    </row>
    <row r="232" customFormat="false" ht="240" hidden="false" customHeight="true" outlineLevel="0" collapsed="false">
      <c r="A232" s="11" t="s">
        <v>3319</v>
      </c>
      <c r="B232" s="11" t="s">
        <v>1378</v>
      </c>
      <c r="C232" s="11" t="s">
        <v>1911</v>
      </c>
      <c r="D232" s="11" t="b">
        <f aca="false">TRUE()</f>
        <v>1</v>
      </c>
      <c r="E232" s="11" t="b">
        <f aca="false">FALSE()</f>
        <v>0</v>
      </c>
      <c r="F232" s="11"/>
      <c r="G232" s="11" t="s">
        <v>3320</v>
      </c>
      <c r="H232" s="11" t="s">
        <v>3321</v>
      </c>
      <c r="I232" s="11" t="s">
        <v>3322</v>
      </c>
      <c r="J232" s="11" t="s">
        <v>2198</v>
      </c>
      <c r="K232" s="11" t="s">
        <v>1812</v>
      </c>
      <c r="L232" s="11" t="s">
        <v>2199</v>
      </c>
      <c r="M232" s="11" t="s">
        <v>1917</v>
      </c>
      <c r="N232" s="11" t="s">
        <v>2186</v>
      </c>
      <c r="O232" s="11" t="s">
        <v>2187</v>
      </c>
      <c r="P232" s="11" t="s">
        <v>1920</v>
      </c>
      <c r="Q232" s="11" t="s">
        <v>3323</v>
      </c>
      <c r="R232" s="11" t="s">
        <v>3324</v>
      </c>
      <c r="S232" s="11" t="s">
        <v>1959</v>
      </c>
      <c r="T232" s="11" t="s">
        <v>1960</v>
      </c>
      <c r="U232" s="11" t="s">
        <v>1924</v>
      </c>
      <c r="V232" s="11" t="s">
        <v>1925</v>
      </c>
      <c r="W232" s="11" t="s">
        <v>1926</v>
      </c>
      <c r="X232" s="11" t="s">
        <v>3325</v>
      </c>
      <c r="Y232" s="12" t="n">
        <f aca="false">COUNTIF($A$6:$A$339,A232)</f>
        <v>1</v>
      </c>
    </row>
    <row r="233" customFormat="false" ht="240" hidden="false" customHeight="true" outlineLevel="0" collapsed="false">
      <c r="A233" s="11" t="s">
        <v>3326</v>
      </c>
      <c r="B233" s="11" t="s">
        <v>1378</v>
      </c>
      <c r="C233" s="11" t="s">
        <v>1929</v>
      </c>
      <c r="D233" s="11" t="b">
        <f aca="false">TRUE()</f>
        <v>1</v>
      </c>
      <c r="E233" s="11" t="b">
        <f aca="false">FALSE()</f>
        <v>0</v>
      </c>
      <c r="F233" s="11"/>
      <c r="G233" s="11" t="s">
        <v>3320</v>
      </c>
      <c r="H233" s="11" t="s">
        <v>3321</v>
      </c>
      <c r="I233" s="11" t="s">
        <v>3322</v>
      </c>
      <c r="J233" s="11" t="s">
        <v>2198</v>
      </c>
      <c r="K233" s="11" t="s">
        <v>1813</v>
      </c>
      <c r="L233" s="11" t="s">
        <v>2204</v>
      </c>
      <c r="M233" s="11" t="s">
        <v>1931</v>
      </c>
      <c r="N233" s="11" t="s">
        <v>2186</v>
      </c>
      <c r="O233" s="11" t="s">
        <v>2187</v>
      </c>
      <c r="P233" s="11" t="s">
        <v>1920</v>
      </c>
      <c r="Q233" s="11" t="s">
        <v>3323</v>
      </c>
      <c r="R233" s="11" t="s">
        <v>3324</v>
      </c>
      <c r="S233" s="11" t="s">
        <v>1959</v>
      </c>
      <c r="T233" s="11" t="s">
        <v>1960</v>
      </c>
      <c r="U233" s="11" t="s">
        <v>1932</v>
      </c>
      <c r="V233" s="11" t="s">
        <v>1925</v>
      </c>
      <c r="W233" s="11" t="s">
        <v>1926</v>
      </c>
      <c r="X233" s="11" t="s">
        <v>3327</v>
      </c>
      <c r="Y233" s="12" t="n">
        <f aca="false">COUNTIF($A$6:$A$339,A233)</f>
        <v>1</v>
      </c>
    </row>
    <row r="234" customFormat="false" ht="240" hidden="false" customHeight="true" outlineLevel="0" collapsed="false">
      <c r="A234" s="11" t="s">
        <v>3328</v>
      </c>
      <c r="B234" s="11" t="s">
        <v>1380</v>
      </c>
      <c r="C234" s="11" t="s">
        <v>1911</v>
      </c>
      <c r="D234" s="11" t="b">
        <f aca="false">TRUE()</f>
        <v>1</v>
      </c>
      <c r="E234" s="11" t="b">
        <f aca="false">TRUE()</f>
        <v>1</v>
      </c>
      <c r="F234" s="11"/>
      <c r="G234" s="11" t="s">
        <v>3329</v>
      </c>
      <c r="H234" s="11" t="s">
        <v>3330</v>
      </c>
      <c r="I234" s="11" t="s">
        <v>3331</v>
      </c>
      <c r="J234" s="11" t="s">
        <v>3332</v>
      </c>
      <c r="K234" s="11" t="s">
        <v>1814</v>
      </c>
      <c r="L234" s="11" t="s">
        <v>3333</v>
      </c>
      <c r="M234" s="11" t="s">
        <v>1917</v>
      </c>
      <c r="N234" s="11" t="s">
        <v>3329</v>
      </c>
      <c r="O234" s="11" t="s">
        <v>3334</v>
      </c>
      <c r="P234" s="11" t="s">
        <v>1920</v>
      </c>
      <c r="Q234" s="11" t="s">
        <v>3335</v>
      </c>
      <c r="R234" s="11" t="s">
        <v>3336</v>
      </c>
      <c r="S234" s="11" t="s">
        <v>3337</v>
      </c>
      <c r="T234" s="11" t="s">
        <v>3337</v>
      </c>
      <c r="U234" s="11" t="s">
        <v>1924</v>
      </c>
      <c r="V234" s="11" t="s">
        <v>1925</v>
      </c>
      <c r="W234" s="11" t="s">
        <v>1926</v>
      </c>
      <c r="X234" s="11" t="s">
        <v>3338</v>
      </c>
      <c r="Y234" s="12" t="n">
        <f aca="false">COUNTIF($A$6:$A$339,A234)</f>
        <v>1</v>
      </c>
    </row>
    <row r="235" customFormat="false" ht="240" hidden="false" customHeight="true" outlineLevel="0" collapsed="false">
      <c r="A235" s="11" t="s">
        <v>3339</v>
      </c>
      <c r="B235" s="11" t="s">
        <v>1380</v>
      </c>
      <c r="C235" s="11" t="s">
        <v>1929</v>
      </c>
      <c r="D235" s="11" t="b">
        <f aca="false">FALSE()</f>
        <v>0</v>
      </c>
      <c r="E235" s="11" t="b">
        <f aca="false">FALSE()</f>
        <v>0</v>
      </c>
      <c r="F235" s="11" t="s">
        <v>1978</v>
      </c>
      <c r="G235" s="11" t="s">
        <v>1979</v>
      </c>
      <c r="H235" s="11" t="s">
        <v>1980</v>
      </c>
      <c r="I235" s="11" t="s">
        <v>1981</v>
      </c>
      <c r="J235" s="11" t="s">
        <v>1982</v>
      </c>
      <c r="K235" s="11" t="s">
        <v>1983</v>
      </c>
      <c r="L235" s="11" t="s">
        <v>1984</v>
      </c>
      <c r="M235" s="11" t="s">
        <v>1984</v>
      </c>
      <c r="N235" s="11" t="s">
        <v>1984</v>
      </c>
      <c r="O235" s="11" t="s">
        <v>1985</v>
      </c>
      <c r="P235" s="11" t="s">
        <v>1986</v>
      </c>
      <c r="Q235" s="11" t="s">
        <v>1987</v>
      </c>
      <c r="R235" s="11" t="s">
        <v>1988</v>
      </c>
      <c r="S235" s="11" t="s">
        <v>1988</v>
      </c>
      <c r="T235" s="11" t="s">
        <v>1988</v>
      </c>
      <c r="U235" s="11" t="s">
        <v>1988</v>
      </c>
      <c r="V235" s="11" t="s">
        <v>1989</v>
      </c>
      <c r="W235" s="11" t="s">
        <v>1990</v>
      </c>
      <c r="X235" s="11" t="s">
        <v>3340</v>
      </c>
      <c r="Y235" s="12" t="n">
        <f aca="false">COUNTIF($A$6:$A$339,A235)</f>
        <v>1</v>
      </c>
    </row>
    <row r="236" customFormat="false" ht="240" hidden="false" customHeight="true" outlineLevel="0" collapsed="false">
      <c r="A236" s="11" t="s">
        <v>3341</v>
      </c>
      <c r="B236" s="11" t="s">
        <v>1384</v>
      </c>
      <c r="C236" s="11" t="s">
        <v>1911</v>
      </c>
      <c r="D236" s="11" t="b">
        <f aca="false">TRUE()</f>
        <v>1</v>
      </c>
      <c r="E236" s="11" t="b">
        <f aca="false">FALSE()</f>
        <v>0</v>
      </c>
      <c r="F236" s="11"/>
      <c r="G236" s="11" t="s">
        <v>3342</v>
      </c>
      <c r="H236" s="11" t="s">
        <v>3343</v>
      </c>
      <c r="I236" s="11" t="s">
        <v>3344</v>
      </c>
      <c r="J236" s="11" t="s">
        <v>2198</v>
      </c>
      <c r="K236" s="11" t="s">
        <v>1815</v>
      </c>
      <c r="L236" s="11" t="s">
        <v>3345</v>
      </c>
      <c r="M236" s="11" t="s">
        <v>1917</v>
      </c>
      <c r="N236" s="11" t="s">
        <v>2186</v>
      </c>
      <c r="O236" s="11" t="s">
        <v>2187</v>
      </c>
      <c r="P236" s="11" t="s">
        <v>1920</v>
      </c>
      <c r="Q236" s="11" t="s">
        <v>3345</v>
      </c>
      <c r="R236" s="11" t="s">
        <v>3346</v>
      </c>
      <c r="S236" s="11" t="s">
        <v>3345</v>
      </c>
      <c r="T236" s="11" t="s">
        <v>3345</v>
      </c>
      <c r="U236" s="11" t="s">
        <v>1924</v>
      </c>
      <c r="V236" s="11" t="s">
        <v>1925</v>
      </c>
      <c r="W236" s="11" t="s">
        <v>1926</v>
      </c>
      <c r="X236" s="11" t="s">
        <v>3347</v>
      </c>
      <c r="Y236" s="12" t="n">
        <f aca="false">COUNTIF($A$6:$A$339,A236)</f>
        <v>1</v>
      </c>
    </row>
    <row r="237" customFormat="false" ht="240" hidden="false" customHeight="true" outlineLevel="0" collapsed="false">
      <c r="A237" s="11" t="s">
        <v>3348</v>
      </c>
      <c r="B237" s="11" t="s">
        <v>1384</v>
      </c>
      <c r="C237" s="11" t="s">
        <v>1929</v>
      </c>
      <c r="D237" s="11" t="b">
        <f aca="false">TRUE()</f>
        <v>1</v>
      </c>
      <c r="E237" s="11" t="b">
        <f aca="false">FALSE()</f>
        <v>0</v>
      </c>
      <c r="F237" s="11"/>
      <c r="G237" s="11" t="s">
        <v>3342</v>
      </c>
      <c r="H237" s="11" t="s">
        <v>3343</v>
      </c>
      <c r="I237" s="11" t="s">
        <v>3344</v>
      </c>
      <c r="J237" s="11" t="s">
        <v>2198</v>
      </c>
      <c r="K237" s="11" t="s">
        <v>1816</v>
      </c>
      <c r="L237" s="11" t="s">
        <v>3349</v>
      </c>
      <c r="M237" s="11" t="s">
        <v>1931</v>
      </c>
      <c r="N237" s="11" t="s">
        <v>2186</v>
      </c>
      <c r="O237" s="11" t="s">
        <v>2187</v>
      </c>
      <c r="P237" s="11" t="s">
        <v>1920</v>
      </c>
      <c r="Q237" s="11" t="s">
        <v>3345</v>
      </c>
      <c r="R237" s="11" t="s">
        <v>3346</v>
      </c>
      <c r="S237" s="11" t="s">
        <v>3345</v>
      </c>
      <c r="T237" s="11" t="s">
        <v>3345</v>
      </c>
      <c r="U237" s="11" t="s">
        <v>1932</v>
      </c>
      <c r="V237" s="11" t="s">
        <v>1925</v>
      </c>
      <c r="W237" s="11" t="s">
        <v>1926</v>
      </c>
      <c r="X237" s="11" t="s">
        <v>3350</v>
      </c>
      <c r="Y237" s="12" t="n">
        <f aca="false">COUNTIF($A$6:$A$339,A237)</f>
        <v>1</v>
      </c>
    </row>
    <row r="238" customFormat="false" ht="240" hidden="false" customHeight="true" outlineLevel="0" collapsed="false">
      <c r="A238" s="11" t="s">
        <v>3351</v>
      </c>
      <c r="B238" s="11" t="s">
        <v>1387</v>
      </c>
      <c r="C238" s="11" t="s">
        <v>1911</v>
      </c>
      <c r="D238" s="11" t="b">
        <f aca="false">TRUE()</f>
        <v>1</v>
      </c>
      <c r="E238" s="11" t="b">
        <f aca="false">FALSE()</f>
        <v>0</v>
      </c>
      <c r="F238" s="11"/>
      <c r="G238" s="11" t="s">
        <v>3352</v>
      </c>
      <c r="H238" s="11" t="s">
        <v>3353</v>
      </c>
      <c r="I238" s="11" t="s">
        <v>3354</v>
      </c>
      <c r="J238" s="11" t="s">
        <v>3355</v>
      </c>
      <c r="K238" s="11" t="s">
        <v>1817</v>
      </c>
      <c r="L238" s="11" t="s">
        <v>2199</v>
      </c>
      <c r="M238" s="11" t="s">
        <v>1917</v>
      </c>
      <c r="N238" s="11" t="s">
        <v>2186</v>
      </c>
      <c r="O238" s="11" t="s">
        <v>2187</v>
      </c>
      <c r="P238" s="11" t="s">
        <v>1920</v>
      </c>
      <c r="Q238" s="11" t="s">
        <v>3356</v>
      </c>
      <c r="R238" s="11" t="s">
        <v>3357</v>
      </c>
      <c r="S238" s="11" t="s">
        <v>1959</v>
      </c>
      <c r="T238" s="11" t="s">
        <v>1960</v>
      </c>
      <c r="U238" s="11" t="s">
        <v>1924</v>
      </c>
      <c r="V238" s="11" t="s">
        <v>1925</v>
      </c>
      <c r="W238" s="11" t="s">
        <v>1926</v>
      </c>
      <c r="X238" s="11" t="s">
        <v>3358</v>
      </c>
      <c r="Y238" s="12" t="n">
        <f aca="false">COUNTIF($A$6:$A$339,A238)</f>
        <v>1</v>
      </c>
    </row>
    <row r="239" customFormat="false" ht="240" hidden="false" customHeight="true" outlineLevel="0" collapsed="false">
      <c r="A239" s="11" t="s">
        <v>3359</v>
      </c>
      <c r="B239" s="11" t="s">
        <v>1387</v>
      </c>
      <c r="C239" s="11" t="s">
        <v>1929</v>
      </c>
      <c r="D239" s="11" t="b">
        <f aca="false">FALSE()</f>
        <v>0</v>
      </c>
      <c r="E239" s="11" t="b">
        <f aca="false">FALSE()</f>
        <v>0</v>
      </c>
      <c r="F239" s="11" t="s">
        <v>1978</v>
      </c>
      <c r="G239" s="11" t="s">
        <v>1979</v>
      </c>
      <c r="H239" s="11" t="s">
        <v>1980</v>
      </c>
      <c r="I239" s="11" t="s">
        <v>1981</v>
      </c>
      <c r="J239" s="11" t="s">
        <v>1982</v>
      </c>
      <c r="K239" s="11" t="s">
        <v>1983</v>
      </c>
      <c r="L239" s="11" t="s">
        <v>1984</v>
      </c>
      <c r="M239" s="11" t="s">
        <v>1984</v>
      </c>
      <c r="N239" s="11" t="s">
        <v>1984</v>
      </c>
      <c r="O239" s="11" t="s">
        <v>1985</v>
      </c>
      <c r="P239" s="11" t="s">
        <v>1986</v>
      </c>
      <c r="Q239" s="11" t="s">
        <v>1987</v>
      </c>
      <c r="R239" s="11" t="s">
        <v>1988</v>
      </c>
      <c r="S239" s="11" t="s">
        <v>1988</v>
      </c>
      <c r="T239" s="11" t="s">
        <v>1988</v>
      </c>
      <c r="U239" s="11" t="s">
        <v>1988</v>
      </c>
      <c r="V239" s="11" t="s">
        <v>1989</v>
      </c>
      <c r="W239" s="11" t="s">
        <v>1990</v>
      </c>
      <c r="X239" s="11" t="s">
        <v>3360</v>
      </c>
      <c r="Y239" s="12" t="n">
        <f aca="false">COUNTIF($A$6:$A$339,A239)</f>
        <v>1</v>
      </c>
    </row>
    <row r="240" customFormat="false" ht="240" hidden="false" customHeight="true" outlineLevel="0" collapsed="false">
      <c r="A240" s="11" t="s">
        <v>3361</v>
      </c>
      <c r="B240" s="11" t="s">
        <v>1393</v>
      </c>
      <c r="C240" s="11" t="s">
        <v>1911</v>
      </c>
      <c r="D240" s="11" t="b">
        <f aca="false">TRUE()</f>
        <v>1</v>
      </c>
      <c r="E240" s="11" t="b">
        <f aca="false">FALSE()</f>
        <v>0</v>
      </c>
      <c r="F240" s="11"/>
      <c r="G240" s="11" t="s">
        <v>3362</v>
      </c>
      <c r="H240" s="11" t="s">
        <v>3363</v>
      </c>
      <c r="I240" s="11" t="s">
        <v>3364</v>
      </c>
      <c r="J240" s="11" t="s">
        <v>2198</v>
      </c>
      <c r="K240" s="11" t="s">
        <v>1818</v>
      </c>
      <c r="L240" s="11" t="s">
        <v>2199</v>
      </c>
      <c r="M240" s="11" t="s">
        <v>1917</v>
      </c>
      <c r="N240" s="11" t="s">
        <v>2186</v>
      </c>
      <c r="O240" s="11" t="s">
        <v>2187</v>
      </c>
      <c r="P240" s="11" t="s">
        <v>1920</v>
      </c>
      <c r="Q240" s="11" t="s">
        <v>3365</v>
      </c>
      <c r="R240" s="11" t="s">
        <v>3366</v>
      </c>
      <c r="S240" s="11" t="s">
        <v>1959</v>
      </c>
      <c r="T240" s="11" t="s">
        <v>1960</v>
      </c>
      <c r="U240" s="11" t="s">
        <v>1924</v>
      </c>
      <c r="V240" s="11" t="s">
        <v>1925</v>
      </c>
      <c r="W240" s="11" t="s">
        <v>1926</v>
      </c>
      <c r="X240" s="11" t="s">
        <v>3367</v>
      </c>
      <c r="Y240" s="12" t="n">
        <f aca="false">COUNTIF($A$6:$A$339,A240)</f>
        <v>1</v>
      </c>
    </row>
    <row r="241" customFormat="false" ht="240" hidden="false" customHeight="true" outlineLevel="0" collapsed="false">
      <c r="A241" s="11" t="s">
        <v>3368</v>
      </c>
      <c r="B241" s="11" t="s">
        <v>1393</v>
      </c>
      <c r="C241" s="11" t="s">
        <v>1929</v>
      </c>
      <c r="D241" s="11" t="b">
        <f aca="false">TRUE()</f>
        <v>1</v>
      </c>
      <c r="E241" s="11" t="b">
        <f aca="false">FALSE()</f>
        <v>0</v>
      </c>
      <c r="F241" s="11"/>
      <c r="G241" s="11" t="s">
        <v>3362</v>
      </c>
      <c r="H241" s="11" t="s">
        <v>3363</v>
      </c>
      <c r="I241" s="11" t="s">
        <v>3364</v>
      </c>
      <c r="J241" s="11" t="s">
        <v>2198</v>
      </c>
      <c r="K241" s="11" t="s">
        <v>1819</v>
      </c>
      <c r="L241" s="11" t="s">
        <v>2204</v>
      </c>
      <c r="M241" s="11" t="s">
        <v>1931</v>
      </c>
      <c r="N241" s="11" t="s">
        <v>2186</v>
      </c>
      <c r="O241" s="11" t="s">
        <v>2187</v>
      </c>
      <c r="P241" s="11" t="s">
        <v>1920</v>
      </c>
      <c r="Q241" s="11" t="s">
        <v>3365</v>
      </c>
      <c r="R241" s="11" t="s">
        <v>3366</v>
      </c>
      <c r="S241" s="11" t="s">
        <v>1959</v>
      </c>
      <c r="T241" s="11" t="s">
        <v>1960</v>
      </c>
      <c r="U241" s="11" t="s">
        <v>1932</v>
      </c>
      <c r="V241" s="11" t="s">
        <v>1925</v>
      </c>
      <c r="W241" s="11" t="s">
        <v>1926</v>
      </c>
      <c r="X241" s="11" t="s">
        <v>3369</v>
      </c>
      <c r="Y241" s="12" t="n">
        <f aca="false">COUNTIF($A$6:$A$339,A241)</f>
        <v>1</v>
      </c>
    </row>
    <row r="242" customFormat="false" ht="240" hidden="false" customHeight="true" outlineLevel="0" collapsed="false">
      <c r="A242" s="11" t="s">
        <v>3370</v>
      </c>
      <c r="B242" s="11" t="s">
        <v>1396</v>
      </c>
      <c r="C242" s="11" t="s">
        <v>1911</v>
      </c>
      <c r="D242" s="11" t="b">
        <f aca="false">TRUE()</f>
        <v>1</v>
      </c>
      <c r="E242" s="11" t="b">
        <f aca="false">TRUE()</f>
        <v>1</v>
      </c>
      <c r="F242" s="11"/>
      <c r="G242" s="11" t="s">
        <v>3371</v>
      </c>
      <c r="H242" s="11" t="s">
        <v>3372</v>
      </c>
      <c r="I242" s="11" t="s">
        <v>3373</v>
      </c>
      <c r="J242" s="11" t="s">
        <v>3374</v>
      </c>
      <c r="K242" s="11" t="s">
        <v>1820</v>
      </c>
      <c r="L242" s="11" t="s">
        <v>3375</v>
      </c>
      <c r="M242" s="11" t="s">
        <v>1917</v>
      </c>
      <c r="N242" s="11" t="s">
        <v>2186</v>
      </c>
      <c r="O242" s="11" t="s">
        <v>3376</v>
      </c>
      <c r="P242" s="11" t="s">
        <v>1920</v>
      </c>
      <c r="Q242" s="11" t="s">
        <v>3377</v>
      </c>
      <c r="R242" s="11" t="s">
        <v>3378</v>
      </c>
      <c r="S242" s="11" t="s">
        <v>3379</v>
      </c>
      <c r="T242" s="11" t="s">
        <v>3379</v>
      </c>
      <c r="U242" s="11" t="s">
        <v>1924</v>
      </c>
      <c r="V242" s="11" t="s">
        <v>1925</v>
      </c>
      <c r="W242" s="11" t="s">
        <v>1926</v>
      </c>
      <c r="X242" s="11" t="s">
        <v>3380</v>
      </c>
      <c r="Y242" s="12" t="n">
        <f aca="false">COUNTIF($A$6:$A$339,A242)</f>
        <v>1</v>
      </c>
    </row>
    <row r="243" customFormat="false" ht="240" hidden="false" customHeight="true" outlineLevel="0" collapsed="false">
      <c r="A243" s="11" t="s">
        <v>3381</v>
      </c>
      <c r="B243" s="11" t="s">
        <v>1396</v>
      </c>
      <c r="C243" s="11" t="s">
        <v>1929</v>
      </c>
      <c r="D243" s="11" t="b">
        <f aca="false">TRUE()</f>
        <v>1</v>
      </c>
      <c r="E243" s="11" t="b">
        <f aca="false">TRUE()</f>
        <v>1</v>
      </c>
      <c r="F243" s="11"/>
      <c r="G243" s="11" t="s">
        <v>3371</v>
      </c>
      <c r="H243" s="11" t="s">
        <v>3372</v>
      </c>
      <c r="I243" s="11" t="s">
        <v>3373</v>
      </c>
      <c r="J243" s="11" t="s">
        <v>3374</v>
      </c>
      <c r="K243" s="11" t="s">
        <v>1821</v>
      </c>
      <c r="L243" s="11" t="s">
        <v>3382</v>
      </c>
      <c r="M243" s="11" t="s">
        <v>1931</v>
      </c>
      <c r="N243" s="11" t="s">
        <v>2186</v>
      </c>
      <c r="O243" s="11" t="s">
        <v>3376</v>
      </c>
      <c r="P243" s="11" t="s">
        <v>1920</v>
      </c>
      <c r="Q243" s="11" t="s">
        <v>3377</v>
      </c>
      <c r="R243" s="11" t="s">
        <v>3378</v>
      </c>
      <c r="S243" s="11" t="s">
        <v>3379</v>
      </c>
      <c r="T243" s="11" t="s">
        <v>3379</v>
      </c>
      <c r="U243" s="11" t="s">
        <v>1932</v>
      </c>
      <c r="V243" s="11" t="s">
        <v>1925</v>
      </c>
      <c r="W243" s="11" t="s">
        <v>1926</v>
      </c>
      <c r="X243" s="11" t="s">
        <v>3383</v>
      </c>
      <c r="Y243" s="12" t="n">
        <f aca="false">COUNTIF($A$6:$A$339,A243)</f>
        <v>1</v>
      </c>
    </row>
    <row r="244" customFormat="false" ht="240" hidden="false" customHeight="true" outlineLevel="0" collapsed="false">
      <c r="A244" s="11" t="s">
        <v>3384</v>
      </c>
      <c r="B244" s="11" t="s">
        <v>1399</v>
      </c>
      <c r="C244" s="11" t="s">
        <v>1911</v>
      </c>
      <c r="D244" s="11" t="b">
        <f aca="false">TRUE()</f>
        <v>1</v>
      </c>
      <c r="E244" s="11" t="b">
        <f aca="false">TRUE()</f>
        <v>1</v>
      </c>
      <c r="F244" s="11"/>
      <c r="G244" s="11" t="s">
        <v>3385</v>
      </c>
      <c r="H244" s="11" t="s">
        <v>3386</v>
      </c>
      <c r="I244" s="11" t="s">
        <v>3387</v>
      </c>
      <c r="J244" s="11" t="s">
        <v>2198</v>
      </c>
      <c r="K244" s="11" t="s">
        <v>1822</v>
      </c>
      <c r="L244" s="11" t="s">
        <v>3388</v>
      </c>
      <c r="M244" s="11" t="s">
        <v>1917</v>
      </c>
      <c r="N244" s="11" t="s">
        <v>3389</v>
      </c>
      <c r="O244" s="11" t="s">
        <v>2187</v>
      </c>
      <c r="P244" s="11" t="s">
        <v>1920</v>
      </c>
      <c r="Q244" s="11" t="s">
        <v>3390</v>
      </c>
      <c r="R244" s="11" t="s">
        <v>3391</v>
      </c>
      <c r="S244" s="11" t="s">
        <v>3392</v>
      </c>
      <c r="T244" s="11" t="s">
        <v>3392</v>
      </c>
      <c r="U244" s="11" t="s">
        <v>1924</v>
      </c>
      <c r="V244" s="11" t="s">
        <v>1925</v>
      </c>
      <c r="W244" s="11" t="s">
        <v>1926</v>
      </c>
      <c r="X244" s="11" t="s">
        <v>3393</v>
      </c>
      <c r="Y244" s="12" t="n">
        <f aca="false">COUNTIF($A$6:$A$339,A244)</f>
        <v>1</v>
      </c>
    </row>
    <row r="245" customFormat="false" ht="240" hidden="false" customHeight="true" outlineLevel="0" collapsed="false">
      <c r="A245" s="11" t="s">
        <v>3394</v>
      </c>
      <c r="B245" s="11" t="s">
        <v>1399</v>
      </c>
      <c r="C245" s="11" t="s">
        <v>1929</v>
      </c>
      <c r="D245" s="11" t="b">
        <f aca="false">TRUE()</f>
        <v>1</v>
      </c>
      <c r="E245" s="11" t="b">
        <f aca="false">TRUE()</f>
        <v>1</v>
      </c>
      <c r="F245" s="11"/>
      <c r="G245" s="11" t="s">
        <v>3385</v>
      </c>
      <c r="H245" s="11" t="s">
        <v>3386</v>
      </c>
      <c r="I245" s="11" t="s">
        <v>3387</v>
      </c>
      <c r="J245" s="11" t="s">
        <v>2198</v>
      </c>
      <c r="K245" s="11" t="s">
        <v>1823</v>
      </c>
      <c r="L245" s="11" t="s">
        <v>3395</v>
      </c>
      <c r="M245" s="11" t="s">
        <v>1931</v>
      </c>
      <c r="N245" s="11" t="s">
        <v>3389</v>
      </c>
      <c r="O245" s="11" t="s">
        <v>2187</v>
      </c>
      <c r="P245" s="11" t="s">
        <v>1920</v>
      </c>
      <c r="Q245" s="11" t="s">
        <v>3390</v>
      </c>
      <c r="R245" s="11" t="s">
        <v>3391</v>
      </c>
      <c r="S245" s="11" t="s">
        <v>3392</v>
      </c>
      <c r="T245" s="11" t="s">
        <v>3392</v>
      </c>
      <c r="U245" s="11" t="s">
        <v>1932</v>
      </c>
      <c r="V245" s="11" t="s">
        <v>1925</v>
      </c>
      <c r="W245" s="11" t="s">
        <v>1926</v>
      </c>
      <c r="X245" s="11" t="s">
        <v>3396</v>
      </c>
      <c r="Y245" s="12" t="n">
        <f aca="false">COUNTIF($A$6:$A$339,A245)</f>
        <v>1</v>
      </c>
    </row>
    <row r="246" customFormat="false" ht="240" hidden="false" customHeight="true" outlineLevel="0" collapsed="false">
      <c r="A246" s="11" t="s">
        <v>3397</v>
      </c>
      <c r="B246" s="11" t="s">
        <v>1403</v>
      </c>
      <c r="C246" s="11" t="s">
        <v>1911</v>
      </c>
      <c r="D246" s="11" t="b">
        <f aca="false">TRUE()</f>
        <v>1</v>
      </c>
      <c r="E246" s="11" t="b">
        <f aca="false">FALSE()</f>
        <v>0</v>
      </c>
      <c r="F246" s="11"/>
      <c r="G246" s="11" t="s">
        <v>3398</v>
      </c>
      <c r="H246" s="11" t="s">
        <v>3399</v>
      </c>
      <c r="I246" s="11" t="s">
        <v>3400</v>
      </c>
      <c r="J246" s="11" t="s">
        <v>2198</v>
      </c>
      <c r="K246" s="11" t="s">
        <v>1824</v>
      </c>
      <c r="L246" s="11" t="s">
        <v>3401</v>
      </c>
      <c r="M246" s="11" t="s">
        <v>1917</v>
      </c>
      <c r="N246" s="11" t="s">
        <v>2186</v>
      </c>
      <c r="O246" s="11" t="s">
        <v>2187</v>
      </c>
      <c r="P246" s="11" t="s">
        <v>1920</v>
      </c>
      <c r="Q246" s="11" t="s">
        <v>3402</v>
      </c>
      <c r="R246" s="11" t="s">
        <v>3403</v>
      </c>
      <c r="S246" s="11" t="s">
        <v>1959</v>
      </c>
      <c r="T246" s="11" t="s">
        <v>1960</v>
      </c>
      <c r="U246" s="11" t="s">
        <v>1924</v>
      </c>
      <c r="V246" s="11" t="s">
        <v>1925</v>
      </c>
      <c r="W246" s="11" t="s">
        <v>1926</v>
      </c>
      <c r="X246" s="11" t="s">
        <v>3404</v>
      </c>
      <c r="Y246" s="12" t="n">
        <f aca="false">COUNTIF($A$6:$A$339,A246)</f>
        <v>1</v>
      </c>
    </row>
    <row r="247" customFormat="false" ht="240" hidden="false" customHeight="true" outlineLevel="0" collapsed="false">
      <c r="A247" s="11" t="s">
        <v>3405</v>
      </c>
      <c r="B247" s="11" t="s">
        <v>1403</v>
      </c>
      <c r="C247" s="11" t="s">
        <v>1929</v>
      </c>
      <c r="D247" s="11" t="b">
        <f aca="false">FALSE()</f>
        <v>0</v>
      </c>
      <c r="E247" s="11" t="b">
        <f aca="false">FALSE()</f>
        <v>0</v>
      </c>
      <c r="F247" s="11" t="s">
        <v>1978</v>
      </c>
      <c r="G247" s="11" t="s">
        <v>1979</v>
      </c>
      <c r="H247" s="11" t="s">
        <v>1980</v>
      </c>
      <c r="I247" s="11" t="s">
        <v>1981</v>
      </c>
      <c r="J247" s="11" t="s">
        <v>1982</v>
      </c>
      <c r="K247" s="11" t="s">
        <v>1983</v>
      </c>
      <c r="L247" s="11" t="s">
        <v>1984</v>
      </c>
      <c r="M247" s="11" t="s">
        <v>1984</v>
      </c>
      <c r="N247" s="11" t="s">
        <v>1984</v>
      </c>
      <c r="O247" s="11" t="s">
        <v>1985</v>
      </c>
      <c r="P247" s="11" t="s">
        <v>1986</v>
      </c>
      <c r="Q247" s="11" t="s">
        <v>1987</v>
      </c>
      <c r="R247" s="11" t="s">
        <v>1988</v>
      </c>
      <c r="S247" s="11" t="s">
        <v>1988</v>
      </c>
      <c r="T247" s="11" t="s">
        <v>1988</v>
      </c>
      <c r="U247" s="11" t="s">
        <v>1988</v>
      </c>
      <c r="V247" s="11" t="s">
        <v>1989</v>
      </c>
      <c r="W247" s="11" t="s">
        <v>1990</v>
      </c>
      <c r="X247" s="11" t="s">
        <v>3406</v>
      </c>
      <c r="Y247" s="12" t="n">
        <f aca="false">COUNTIF($A$6:$A$339,A247)</f>
        <v>1</v>
      </c>
    </row>
    <row r="248" customFormat="false" ht="240" hidden="false" customHeight="true" outlineLevel="0" collapsed="false">
      <c r="A248" s="11" t="s">
        <v>3407</v>
      </c>
      <c r="B248" s="11" t="s">
        <v>1405</v>
      </c>
      <c r="C248" s="11" t="s">
        <v>1911</v>
      </c>
      <c r="D248" s="11" t="b">
        <f aca="false">TRUE()</f>
        <v>1</v>
      </c>
      <c r="E248" s="11" t="b">
        <f aca="false">FALSE()</f>
        <v>0</v>
      </c>
      <c r="F248" s="11"/>
      <c r="G248" s="11" t="s">
        <v>3408</v>
      </c>
      <c r="H248" s="11" t="s">
        <v>3409</v>
      </c>
      <c r="I248" s="11" t="s">
        <v>3410</v>
      </c>
      <c r="J248" s="11" t="s">
        <v>3411</v>
      </c>
      <c r="K248" s="11" t="s">
        <v>1825</v>
      </c>
      <c r="L248" s="11" t="s">
        <v>3412</v>
      </c>
      <c r="M248" s="11" t="s">
        <v>1917</v>
      </c>
      <c r="N248" s="11" t="s">
        <v>3413</v>
      </c>
      <c r="O248" s="11" t="s">
        <v>3414</v>
      </c>
      <c r="P248" s="11" t="s">
        <v>1920</v>
      </c>
      <c r="Q248" s="11" t="s">
        <v>3415</v>
      </c>
      <c r="R248" s="11" t="s">
        <v>3416</v>
      </c>
      <c r="S248" s="11" t="s">
        <v>3417</v>
      </c>
      <c r="T248" s="11" t="s">
        <v>3417</v>
      </c>
      <c r="U248" s="11" t="s">
        <v>1924</v>
      </c>
      <c r="V248" s="11" t="s">
        <v>1925</v>
      </c>
      <c r="W248" s="11" t="s">
        <v>1926</v>
      </c>
      <c r="X248" s="11" t="s">
        <v>3418</v>
      </c>
      <c r="Y248" s="12" t="n">
        <f aca="false">COUNTIF($A$6:$A$339,A248)</f>
        <v>1</v>
      </c>
    </row>
    <row r="249" customFormat="false" ht="240" hidden="false" customHeight="true" outlineLevel="0" collapsed="false">
      <c r="A249" s="11" t="s">
        <v>3419</v>
      </c>
      <c r="B249" s="11" t="s">
        <v>1405</v>
      </c>
      <c r="C249" s="11" t="s">
        <v>1929</v>
      </c>
      <c r="D249" s="11" t="b">
        <f aca="false">FALSE()</f>
        <v>0</v>
      </c>
      <c r="E249" s="11" t="b">
        <f aca="false">FALSE()</f>
        <v>0</v>
      </c>
      <c r="F249" s="11" t="s">
        <v>1978</v>
      </c>
      <c r="G249" s="11" t="s">
        <v>1979</v>
      </c>
      <c r="H249" s="11" t="s">
        <v>1980</v>
      </c>
      <c r="I249" s="11" t="s">
        <v>1981</v>
      </c>
      <c r="J249" s="11" t="s">
        <v>1982</v>
      </c>
      <c r="K249" s="11" t="s">
        <v>1983</v>
      </c>
      <c r="L249" s="11" t="s">
        <v>1984</v>
      </c>
      <c r="M249" s="11" t="s">
        <v>1984</v>
      </c>
      <c r="N249" s="11" t="s">
        <v>1984</v>
      </c>
      <c r="O249" s="11" t="s">
        <v>1985</v>
      </c>
      <c r="P249" s="11" t="s">
        <v>1986</v>
      </c>
      <c r="Q249" s="11" t="s">
        <v>1987</v>
      </c>
      <c r="R249" s="11" t="s">
        <v>1988</v>
      </c>
      <c r="S249" s="11" t="s">
        <v>1988</v>
      </c>
      <c r="T249" s="11" t="s">
        <v>1988</v>
      </c>
      <c r="U249" s="11" t="s">
        <v>1988</v>
      </c>
      <c r="V249" s="11" t="s">
        <v>1989</v>
      </c>
      <c r="W249" s="11" t="s">
        <v>1990</v>
      </c>
      <c r="X249" s="11" t="s">
        <v>3420</v>
      </c>
      <c r="Y249" s="12" t="n">
        <f aca="false">COUNTIF($A$6:$A$339,A249)</f>
        <v>1</v>
      </c>
    </row>
    <row r="250" customFormat="false" ht="240" hidden="false" customHeight="true" outlineLevel="0" collapsed="false">
      <c r="A250" s="11" t="s">
        <v>3421</v>
      </c>
      <c r="B250" s="11" t="s">
        <v>1409</v>
      </c>
      <c r="C250" s="11" t="s">
        <v>1911</v>
      </c>
      <c r="D250" s="11" t="b">
        <f aca="false">TRUE()</f>
        <v>1</v>
      </c>
      <c r="E250" s="11" t="b">
        <f aca="false">FALSE()</f>
        <v>0</v>
      </c>
      <c r="F250" s="11"/>
      <c r="G250" s="11" t="s">
        <v>3422</v>
      </c>
      <c r="H250" s="11" t="s">
        <v>3423</v>
      </c>
      <c r="I250" s="11" t="s">
        <v>3424</v>
      </c>
      <c r="J250" s="11" t="s">
        <v>2198</v>
      </c>
      <c r="K250" s="11" t="s">
        <v>1826</v>
      </c>
      <c r="L250" s="11" t="s">
        <v>3425</v>
      </c>
      <c r="M250" s="11" t="s">
        <v>1917</v>
      </c>
      <c r="N250" s="11" t="s">
        <v>2186</v>
      </c>
      <c r="O250" s="11" t="s">
        <v>2187</v>
      </c>
      <c r="P250" s="11" t="s">
        <v>1920</v>
      </c>
      <c r="Q250" s="11" t="s">
        <v>3426</v>
      </c>
      <c r="R250" s="11" t="s">
        <v>3427</v>
      </c>
      <c r="S250" s="11" t="s">
        <v>3428</v>
      </c>
      <c r="T250" s="11" t="s">
        <v>3428</v>
      </c>
      <c r="U250" s="11" t="s">
        <v>1924</v>
      </c>
      <c r="V250" s="11" t="s">
        <v>1925</v>
      </c>
      <c r="W250" s="11" t="s">
        <v>1926</v>
      </c>
      <c r="X250" s="11" t="s">
        <v>3429</v>
      </c>
      <c r="Y250" s="12" t="n">
        <f aca="false">COUNTIF($A$6:$A$339,A250)</f>
        <v>1</v>
      </c>
    </row>
    <row r="251" customFormat="false" ht="240" hidden="false" customHeight="true" outlineLevel="0" collapsed="false">
      <c r="A251" s="11" t="s">
        <v>3430</v>
      </c>
      <c r="B251" s="11" t="s">
        <v>1409</v>
      </c>
      <c r="C251" s="11" t="s">
        <v>1929</v>
      </c>
      <c r="D251" s="11" t="b">
        <f aca="false">FALSE()</f>
        <v>0</v>
      </c>
      <c r="E251" s="11" t="b">
        <f aca="false">FALSE()</f>
        <v>0</v>
      </c>
      <c r="F251" s="11" t="s">
        <v>1978</v>
      </c>
      <c r="G251" s="11" t="s">
        <v>1979</v>
      </c>
      <c r="H251" s="11" t="s">
        <v>1980</v>
      </c>
      <c r="I251" s="11" t="s">
        <v>1981</v>
      </c>
      <c r="J251" s="11" t="s">
        <v>1982</v>
      </c>
      <c r="K251" s="11" t="s">
        <v>1983</v>
      </c>
      <c r="L251" s="11" t="s">
        <v>1984</v>
      </c>
      <c r="M251" s="11" t="s">
        <v>1984</v>
      </c>
      <c r="N251" s="11" t="s">
        <v>1984</v>
      </c>
      <c r="O251" s="11" t="s">
        <v>1985</v>
      </c>
      <c r="P251" s="11" t="s">
        <v>1986</v>
      </c>
      <c r="Q251" s="11" t="s">
        <v>1987</v>
      </c>
      <c r="R251" s="11" t="s">
        <v>1988</v>
      </c>
      <c r="S251" s="11" t="s">
        <v>1988</v>
      </c>
      <c r="T251" s="11" t="s">
        <v>1988</v>
      </c>
      <c r="U251" s="11" t="s">
        <v>1988</v>
      </c>
      <c r="V251" s="11" t="s">
        <v>1989</v>
      </c>
      <c r="W251" s="11" t="s">
        <v>1990</v>
      </c>
      <c r="X251" s="11" t="s">
        <v>3431</v>
      </c>
      <c r="Y251" s="12" t="n">
        <f aca="false">COUNTIF($A$6:$A$339,A251)</f>
        <v>1</v>
      </c>
    </row>
    <row r="252" customFormat="false" ht="240" hidden="false" customHeight="true" outlineLevel="0" collapsed="false">
      <c r="A252" s="11" t="s">
        <v>3432</v>
      </c>
      <c r="B252" s="11" t="s">
        <v>1412</v>
      </c>
      <c r="C252" s="11" t="s">
        <v>1911</v>
      </c>
      <c r="D252" s="11" t="b">
        <f aca="false">TRUE()</f>
        <v>1</v>
      </c>
      <c r="E252" s="11" t="b">
        <f aca="false">TRUE()</f>
        <v>1</v>
      </c>
      <c r="F252" s="11"/>
      <c r="G252" s="11" t="s">
        <v>3433</v>
      </c>
      <c r="H252" s="11" t="s">
        <v>3434</v>
      </c>
      <c r="I252" s="11" t="s">
        <v>3435</v>
      </c>
      <c r="J252" s="11" t="s">
        <v>3436</v>
      </c>
      <c r="K252" s="11" t="s">
        <v>1827</v>
      </c>
      <c r="L252" s="11" t="s">
        <v>3437</v>
      </c>
      <c r="M252" s="11" t="s">
        <v>1917</v>
      </c>
      <c r="N252" s="11" t="s">
        <v>3433</v>
      </c>
      <c r="O252" s="11" t="s">
        <v>2187</v>
      </c>
      <c r="P252" s="11" t="s">
        <v>1920</v>
      </c>
      <c r="Q252" s="11" t="s">
        <v>3438</v>
      </c>
      <c r="R252" s="11" t="s">
        <v>3439</v>
      </c>
      <c r="S252" s="11" t="s">
        <v>3440</v>
      </c>
      <c r="T252" s="11" t="s">
        <v>3440</v>
      </c>
      <c r="U252" s="11" t="s">
        <v>1924</v>
      </c>
      <c r="V252" s="11" t="s">
        <v>3441</v>
      </c>
      <c r="W252" s="11" t="s">
        <v>1926</v>
      </c>
      <c r="X252" s="11" t="s">
        <v>3442</v>
      </c>
      <c r="Y252" s="12" t="n">
        <f aca="false">COUNTIF($A$6:$A$339,A252)</f>
        <v>1</v>
      </c>
    </row>
    <row r="253" customFormat="false" ht="240" hidden="false" customHeight="true" outlineLevel="0" collapsed="false">
      <c r="A253" s="11" t="s">
        <v>3443</v>
      </c>
      <c r="B253" s="11" t="s">
        <v>1412</v>
      </c>
      <c r="C253" s="11" t="s">
        <v>1929</v>
      </c>
      <c r="D253" s="11" t="b">
        <f aca="false">FALSE()</f>
        <v>0</v>
      </c>
      <c r="E253" s="11" t="b">
        <f aca="false">FALSE()</f>
        <v>0</v>
      </c>
      <c r="F253" s="11" t="s">
        <v>1978</v>
      </c>
      <c r="G253" s="11" t="s">
        <v>1979</v>
      </c>
      <c r="H253" s="11" t="s">
        <v>1980</v>
      </c>
      <c r="I253" s="11" t="s">
        <v>1981</v>
      </c>
      <c r="J253" s="11" t="s">
        <v>1982</v>
      </c>
      <c r="K253" s="11" t="s">
        <v>1983</v>
      </c>
      <c r="L253" s="11" t="s">
        <v>1984</v>
      </c>
      <c r="M253" s="11" t="s">
        <v>1984</v>
      </c>
      <c r="N253" s="11" t="s">
        <v>1984</v>
      </c>
      <c r="O253" s="11" t="s">
        <v>1985</v>
      </c>
      <c r="P253" s="11" t="s">
        <v>1986</v>
      </c>
      <c r="Q253" s="11" t="s">
        <v>1987</v>
      </c>
      <c r="R253" s="11" t="s">
        <v>1988</v>
      </c>
      <c r="S253" s="11" t="s">
        <v>1988</v>
      </c>
      <c r="T253" s="11" t="s">
        <v>1988</v>
      </c>
      <c r="U253" s="11" t="s">
        <v>1988</v>
      </c>
      <c r="V253" s="11" t="s">
        <v>1989</v>
      </c>
      <c r="W253" s="11" t="s">
        <v>1990</v>
      </c>
      <c r="X253" s="11" t="s">
        <v>3444</v>
      </c>
      <c r="Y253" s="12" t="n">
        <f aca="false">COUNTIF($A$6:$A$339,A253)</f>
        <v>1</v>
      </c>
    </row>
    <row r="254" customFormat="false" ht="240" hidden="false" customHeight="true" outlineLevel="0" collapsed="false">
      <c r="A254" s="11" t="s">
        <v>3445</v>
      </c>
      <c r="B254" s="11" t="s">
        <v>1415</v>
      </c>
      <c r="C254" s="11" t="s">
        <v>1911</v>
      </c>
      <c r="D254" s="11" t="b">
        <f aca="false">TRUE()</f>
        <v>1</v>
      </c>
      <c r="E254" s="11" t="b">
        <f aca="false">TRUE()</f>
        <v>1</v>
      </c>
      <c r="F254" s="11"/>
      <c r="G254" s="11" t="s">
        <v>3446</v>
      </c>
      <c r="H254" s="11" t="s">
        <v>3447</v>
      </c>
      <c r="I254" s="11" t="s">
        <v>3448</v>
      </c>
      <c r="J254" s="11" t="s">
        <v>3449</v>
      </c>
      <c r="K254" s="11" t="s">
        <v>1828</v>
      </c>
      <c r="L254" s="11" t="s">
        <v>3450</v>
      </c>
      <c r="M254" s="11" t="s">
        <v>1917</v>
      </c>
      <c r="N254" s="11" t="s">
        <v>3446</v>
      </c>
      <c r="O254" s="11" t="s">
        <v>3451</v>
      </c>
      <c r="P254" s="11" t="s">
        <v>1920</v>
      </c>
      <c r="Q254" s="11" t="s">
        <v>3452</v>
      </c>
      <c r="R254" s="11" t="s">
        <v>3453</v>
      </c>
      <c r="S254" s="11" t="s">
        <v>3454</v>
      </c>
      <c r="T254" s="11" t="s">
        <v>3454</v>
      </c>
      <c r="U254" s="11" t="s">
        <v>1924</v>
      </c>
      <c r="V254" s="11" t="s">
        <v>1925</v>
      </c>
      <c r="W254" s="11" t="s">
        <v>1926</v>
      </c>
      <c r="X254" s="11" t="s">
        <v>3455</v>
      </c>
      <c r="Y254" s="12" t="n">
        <f aca="false">COUNTIF($A$6:$A$339,A254)</f>
        <v>1</v>
      </c>
    </row>
    <row r="255" customFormat="false" ht="240" hidden="false" customHeight="true" outlineLevel="0" collapsed="false">
      <c r="A255" s="11" t="s">
        <v>3456</v>
      </c>
      <c r="B255" s="11" t="s">
        <v>1415</v>
      </c>
      <c r="C255" s="11" t="s">
        <v>1929</v>
      </c>
      <c r="D255" s="11" t="b">
        <f aca="false">FALSE()</f>
        <v>0</v>
      </c>
      <c r="E255" s="11" t="b">
        <f aca="false">FALSE()</f>
        <v>0</v>
      </c>
      <c r="F255" s="11" t="s">
        <v>1978</v>
      </c>
      <c r="G255" s="11" t="s">
        <v>1979</v>
      </c>
      <c r="H255" s="11" t="s">
        <v>1980</v>
      </c>
      <c r="I255" s="11" t="s">
        <v>1981</v>
      </c>
      <c r="J255" s="11" t="s">
        <v>1982</v>
      </c>
      <c r="K255" s="11" t="s">
        <v>1983</v>
      </c>
      <c r="L255" s="11" t="s">
        <v>1984</v>
      </c>
      <c r="M255" s="11" t="s">
        <v>1984</v>
      </c>
      <c r="N255" s="11" t="s">
        <v>1984</v>
      </c>
      <c r="O255" s="11" t="s">
        <v>1985</v>
      </c>
      <c r="P255" s="11" t="s">
        <v>1986</v>
      </c>
      <c r="Q255" s="11" t="s">
        <v>1987</v>
      </c>
      <c r="R255" s="11" t="s">
        <v>1988</v>
      </c>
      <c r="S255" s="11" t="s">
        <v>1988</v>
      </c>
      <c r="T255" s="11" t="s">
        <v>1988</v>
      </c>
      <c r="U255" s="11" t="s">
        <v>1988</v>
      </c>
      <c r="V255" s="11" t="s">
        <v>1989</v>
      </c>
      <c r="W255" s="11" t="s">
        <v>1990</v>
      </c>
      <c r="X255" s="11" t="s">
        <v>3457</v>
      </c>
      <c r="Y255" s="12" t="n">
        <f aca="false">COUNTIF($A$6:$A$339,A255)</f>
        <v>1</v>
      </c>
    </row>
    <row r="256" customFormat="false" ht="240" hidden="false" customHeight="true" outlineLevel="0" collapsed="false">
      <c r="A256" s="11" t="s">
        <v>3458</v>
      </c>
      <c r="B256" s="11" t="s">
        <v>1418</v>
      </c>
      <c r="C256" s="11" t="s">
        <v>1911</v>
      </c>
      <c r="D256" s="11" t="b">
        <f aca="false">TRUE()</f>
        <v>1</v>
      </c>
      <c r="E256" s="11" t="b">
        <f aca="false">TRUE()</f>
        <v>1</v>
      </c>
      <c r="F256" s="11"/>
      <c r="G256" s="11" t="s">
        <v>3459</v>
      </c>
      <c r="H256" s="11" t="s">
        <v>3460</v>
      </c>
      <c r="I256" s="11" t="s">
        <v>3461</v>
      </c>
      <c r="J256" s="11" t="s">
        <v>3462</v>
      </c>
      <c r="K256" s="11" t="s">
        <v>1829</v>
      </c>
      <c r="L256" s="11" t="s">
        <v>3463</v>
      </c>
      <c r="M256" s="11" t="s">
        <v>1917</v>
      </c>
      <c r="N256" s="11" t="s">
        <v>3464</v>
      </c>
      <c r="O256" s="11" t="s">
        <v>3465</v>
      </c>
      <c r="P256" s="11" t="s">
        <v>1920</v>
      </c>
      <c r="Q256" s="11" t="s">
        <v>3466</v>
      </c>
      <c r="R256" s="11" t="s">
        <v>3467</v>
      </c>
      <c r="S256" s="11" t="s">
        <v>3468</v>
      </c>
      <c r="T256" s="11" t="s">
        <v>3468</v>
      </c>
      <c r="U256" s="11" t="s">
        <v>1924</v>
      </c>
      <c r="V256" s="11" t="s">
        <v>1925</v>
      </c>
      <c r="W256" s="11" t="s">
        <v>1926</v>
      </c>
      <c r="X256" s="11" t="s">
        <v>3469</v>
      </c>
      <c r="Y256" s="12" t="n">
        <f aca="false">COUNTIF($A$6:$A$339,A256)</f>
        <v>1</v>
      </c>
    </row>
    <row r="257" customFormat="false" ht="240" hidden="false" customHeight="true" outlineLevel="0" collapsed="false">
      <c r="A257" s="11" t="s">
        <v>3470</v>
      </c>
      <c r="B257" s="11" t="s">
        <v>1418</v>
      </c>
      <c r="C257" s="11" t="s">
        <v>1929</v>
      </c>
      <c r="D257" s="11" t="b">
        <f aca="false">FALSE()</f>
        <v>0</v>
      </c>
      <c r="E257" s="11" t="b">
        <f aca="false">FALSE()</f>
        <v>0</v>
      </c>
      <c r="F257" s="11" t="s">
        <v>1978</v>
      </c>
      <c r="G257" s="11" t="s">
        <v>1979</v>
      </c>
      <c r="H257" s="11" t="s">
        <v>1980</v>
      </c>
      <c r="I257" s="11" t="s">
        <v>1981</v>
      </c>
      <c r="J257" s="11" t="s">
        <v>1982</v>
      </c>
      <c r="K257" s="11" t="s">
        <v>1983</v>
      </c>
      <c r="L257" s="11" t="s">
        <v>1984</v>
      </c>
      <c r="M257" s="11" t="s">
        <v>1984</v>
      </c>
      <c r="N257" s="11" t="s">
        <v>1984</v>
      </c>
      <c r="O257" s="11" t="s">
        <v>1985</v>
      </c>
      <c r="P257" s="11" t="s">
        <v>1986</v>
      </c>
      <c r="Q257" s="11" t="s">
        <v>1987</v>
      </c>
      <c r="R257" s="11" t="s">
        <v>1988</v>
      </c>
      <c r="S257" s="11" t="s">
        <v>1988</v>
      </c>
      <c r="T257" s="11" t="s">
        <v>1988</v>
      </c>
      <c r="U257" s="11" t="s">
        <v>1988</v>
      </c>
      <c r="V257" s="11" t="s">
        <v>1989</v>
      </c>
      <c r="W257" s="11" t="s">
        <v>1990</v>
      </c>
      <c r="X257" s="11" t="s">
        <v>3471</v>
      </c>
      <c r="Y257" s="12" t="n">
        <f aca="false">COUNTIF($A$6:$A$339,A257)</f>
        <v>1</v>
      </c>
    </row>
    <row r="258" customFormat="false" ht="240" hidden="false" customHeight="true" outlineLevel="0" collapsed="false">
      <c r="A258" s="11" t="s">
        <v>3472</v>
      </c>
      <c r="B258" s="11" t="s">
        <v>1422</v>
      </c>
      <c r="C258" s="11" t="s">
        <v>1911</v>
      </c>
      <c r="D258" s="11" t="b">
        <f aca="false">TRUE()</f>
        <v>1</v>
      </c>
      <c r="E258" s="11" t="b">
        <f aca="false">TRUE()</f>
        <v>1</v>
      </c>
      <c r="F258" s="11"/>
      <c r="G258" s="11" t="s">
        <v>3473</v>
      </c>
      <c r="H258" s="11" t="s">
        <v>3474</v>
      </c>
      <c r="I258" s="11" t="s">
        <v>3475</v>
      </c>
      <c r="J258" s="11" t="s">
        <v>3476</v>
      </c>
      <c r="K258" s="11" t="s">
        <v>1830</v>
      </c>
      <c r="L258" s="11" t="s">
        <v>3477</v>
      </c>
      <c r="M258" s="11" t="s">
        <v>1917</v>
      </c>
      <c r="N258" s="11" t="s">
        <v>3478</v>
      </c>
      <c r="O258" s="11" t="s">
        <v>3479</v>
      </c>
      <c r="P258" s="11" t="s">
        <v>1920</v>
      </c>
      <c r="Q258" s="11" t="s">
        <v>3480</v>
      </c>
      <c r="R258" s="11" t="s">
        <v>3481</v>
      </c>
      <c r="S258" s="11" t="s">
        <v>3482</v>
      </c>
      <c r="T258" s="11" t="s">
        <v>3482</v>
      </c>
      <c r="U258" s="11" t="s">
        <v>1924</v>
      </c>
      <c r="V258" s="11" t="s">
        <v>1925</v>
      </c>
      <c r="W258" s="11" t="s">
        <v>1926</v>
      </c>
      <c r="X258" s="11" t="s">
        <v>3483</v>
      </c>
      <c r="Y258" s="12" t="n">
        <f aca="false">COUNTIF($A$6:$A$339,A258)</f>
        <v>1</v>
      </c>
    </row>
    <row r="259" customFormat="false" ht="240" hidden="false" customHeight="true" outlineLevel="0" collapsed="false">
      <c r="A259" s="11" t="s">
        <v>3484</v>
      </c>
      <c r="B259" s="11" t="s">
        <v>1422</v>
      </c>
      <c r="C259" s="11" t="s">
        <v>1929</v>
      </c>
      <c r="D259" s="11" t="b">
        <f aca="false">FALSE()</f>
        <v>0</v>
      </c>
      <c r="E259" s="11" t="b">
        <f aca="false">FALSE()</f>
        <v>0</v>
      </c>
      <c r="F259" s="11" t="s">
        <v>1978</v>
      </c>
      <c r="G259" s="11" t="s">
        <v>1979</v>
      </c>
      <c r="H259" s="11" t="s">
        <v>1980</v>
      </c>
      <c r="I259" s="11" t="s">
        <v>1981</v>
      </c>
      <c r="J259" s="11" t="s">
        <v>1982</v>
      </c>
      <c r="K259" s="11" t="s">
        <v>1983</v>
      </c>
      <c r="L259" s="11" t="s">
        <v>1984</v>
      </c>
      <c r="M259" s="11" t="s">
        <v>1984</v>
      </c>
      <c r="N259" s="11" t="s">
        <v>1984</v>
      </c>
      <c r="O259" s="11" t="s">
        <v>1985</v>
      </c>
      <c r="P259" s="11" t="s">
        <v>1986</v>
      </c>
      <c r="Q259" s="11" t="s">
        <v>1987</v>
      </c>
      <c r="R259" s="11" t="s">
        <v>1988</v>
      </c>
      <c r="S259" s="11" t="s">
        <v>1988</v>
      </c>
      <c r="T259" s="11" t="s">
        <v>1988</v>
      </c>
      <c r="U259" s="11" t="s">
        <v>1988</v>
      </c>
      <c r="V259" s="11" t="s">
        <v>1989</v>
      </c>
      <c r="W259" s="11" t="s">
        <v>1990</v>
      </c>
      <c r="X259" s="11" t="s">
        <v>3485</v>
      </c>
      <c r="Y259" s="12" t="n">
        <f aca="false">COUNTIF($A$6:$A$339,A259)</f>
        <v>1</v>
      </c>
    </row>
    <row r="260" customFormat="false" ht="240" hidden="false" customHeight="true" outlineLevel="0" collapsed="false">
      <c r="A260" s="11" t="s">
        <v>3486</v>
      </c>
      <c r="B260" s="11" t="s">
        <v>1426</v>
      </c>
      <c r="C260" s="11" t="s">
        <v>1911</v>
      </c>
      <c r="D260" s="11" t="b">
        <f aca="false">TRUE()</f>
        <v>1</v>
      </c>
      <c r="E260" s="11" t="b">
        <f aca="false">TRUE()</f>
        <v>1</v>
      </c>
      <c r="F260" s="11"/>
      <c r="G260" s="11" t="s">
        <v>3487</v>
      </c>
      <c r="H260" s="11" t="s">
        <v>3488</v>
      </c>
      <c r="I260" s="11" t="s">
        <v>3489</v>
      </c>
      <c r="J260" s="11" t="s">
        <v>3490</v>
      </c>
      <c r="K260" s="11" t="s">
        <v>1831</v>
      </c>
      <c r="L260" s="11" t="s">
        <v>3491</v>
      </c>
      <c r="M260" s="11" t="s">
        <v>1917</v>
      </c>
      <c r="N260" s="11" t="s">
        <v>3492</v>
      </c>
      <c r="O260" s="11" t="s">
        <v>3493</v>
      </c>
      <c r="P260" s="11" t="s">
        <v>1920</v>
      </c>
      <c r="Q260" s="11" t="s">
        <v>3494</v>
      </c>
      <c r="R260" s="11" t="s">
        <v>3495</v>
      </c>
      <c r="S260" s="11" t="s">
        <v>3496</v>
      </c>
      <c r="T260" s="11" t="s">
        <v>3496</v>
      </c>
      <c r="U260" s="11" t="s">
        <v>1924</v>
      </c>
      <c r="V260" s="11" t="s">
        <v>1925</v>
      </c>
      <c r="W260" s="11" t="s">
        <v>1926</v>
      </c>
      <c r="X260" s="11" t="s">
        <v>3497</v>
      </c>
      <c r="Y260" s="12" t="n">
        <f aca="false">COUNTIF($A$6:$A$339,A260)</f>
        <v>1</v>
      </c>
    </row>
    <row r="261" customFormat="false" ht="240" hidden="false" customHeight="true" outlineLevel="0" collapsed="false">
      <c r="A261" s="11" t="s">
        <v>3498</v>
      </c>
      <c r="B261" s="11" t="s">
        <v>1426</v>
      </c>
      <c r="C261" s="11" t="s">
        <v>1929</v>
      </c>
      <c r="D261" s="11" t="b">
        <f aca="false">FALSE()</f>
        <v>0</v>
      </c>
      <c r="E261" s="11" t="b">
        <f aca="false">FALSE()</f>
        <v>0</v>
      </c>
      <c r="F261" s="11" t="s">
        <v>1978</v>
      </c>
      <c r="G261" s="11" t="s">
        <v>1979</v>
      </c>
      <c r="H261" s="11" t="s">
        <v>1980</v>
      </c>
      <c r="I261" s="11" t="s">
        <v>1981</v>
      </c>
      <c r="J261" s="11" t="s">
        <v>1982</v>
      </c>
      <c r="K261" s="11" t="s">
        <v>1983</v>
      </c>
      <c r="L261" s="11" t="s">
        <v>1984</v>
      </c>
      <c r="M261" s="11" t="s">
        <v>1984</v>
      </c>
      <c r="N261" s="11" t="s">
        <v>1984</v>
      </c>
      <c r="O261" s="11" t="s">
        <v>1985</v>
      </c>
      <c r="P261" s="11" t="s">
        <v>1986</v>
      </c>
      <c r="Q261" s="11" t="s">
        <v>1987</v>
      </c>
      <c r="R261" s="11" t="s">
        <v>1988</v>
      </c>
      <c r="S261" s="11" t="s">
        <v>1988</v>
      </c>
      <c r="T261" s="11" t="s">
        <v>1988</v>
      </c>
      <c r="U261" s="11" t="s">
        <v>1988</v>
      </c>
      <c r="V261" s="11" t="s">
        <v>1989</v>
      </c>
      <c r="W261" s="11" t="s">
        <v>1990</v>
      </c>
      <c r="X261" s="11" t="s">
        <v>3499</v>
      </c>
      <c r="Y261" s="12" t="n">
        <f aca="false">COUNTIF($A$6:$A$339,A261)</f>
        <v>1</v>
      </c>
    </row>
    <row r="262" customFormat="false" ht="240" hidden="false" customHeight="true" outlineLevel="0" collapsed="false">
      <c r="A262" s="11" t="s">
        <v>3500</v>
      </c>
      <c r="B262" s="11" t="s">
        <v>1430</v>
      </c>
      <c r="C262" s="11" t="s">
        <v>1911</v>
      </c>
      <c r="D262" s="11" t="b">
        <f aca="false">TRUE()</f>
        <v>1</v>
      </c>
      <c r="E262" s="11" t="b">
        <f aca="false">TRUE()</f>
        <v>1</v>
      </c>
      <c r="F262" s="11"/>
      <c r="G262" s="11" t="s">
        <v>3501</v>
      </c>
      <c r="H262" s="11" t="s">
        <v>3502</v>
      </c>
      <c r="I262" s="11" t="s">
        <v>3503</v>
      </c>
      <c r="J262" s="11" t="s">
        <v>3504</v>
      </c>
      <c r="K262" s="11" t="s">
        <v>1832</v>
      </c>
      <c r="L262" s="11" t="s">
        <v>3505</v>
      </c>
      <c r="M262" s="11" t="s">
        <v>1917</v>
      </c>
      <c r="N262" s="11" t="s">
        <v>3506</v>
      </c>
      <c r="O262" s="11" t="s">
        <v>3507</v>
      </c>
      <c r="P262" s="11" t="s">
        <v>1920</v>
      </c>
      <c r="Q262" s="11" t="s">
        <v>3508</v>
      </c>
      <c r="R262" s="11" t="s">
        <v>3509</v>
      </c>
      <c r="S262" s="11" t="s">
        <v>3510</v>
      </c>
      <c r="T262" s="11" t="s">
        <v>3510</v>
      </c>
      <c r="U262" s="11" t="s">
        <v>1924</v>
      </c>
      <c r="V262" s="11" t="s">
        <v>1925</v>
      </c>
      <c r="W262" s="11" t="s">
        <v>1926</v>
      </c>
      <c r="X262" s="11" t="s">
        <v>3511</v>
      </c>
      <c r="Y262" s="12" t="n">
        <f aca="false">COUNTIF($A$6:$A$339,A262)</f>
        <v>1</v>
      </c>
    </row>
    <row r="263" customFormat="false" ht="240" hidden="false" customHeight="true" outlineLevel="0" collapsed="false">
      <c r="A263" s="11" t="s">
        <v>3512</v>
      </c>
      <c r="B263" s="11" t="s">
        <v>1430</v>
      </c>
      <c r="C263" s="11" t="s">
        <v>1929</v>
      </c>
      <c r="D263" s="11" t="b">
        <f aca="false">FALSE()</f>
        <v>0</v>
      </c>
      <c r="E263" s="11" t="b">
        <f aca="false">FALSE()</f>
        <v>0</v>
      </c>
      <c r="F263" s="11" t="s">
        <v>1978</v>
      </c>
      <c r="G263" s="11" t="s">
        <v>1979</v>
      </c>
      <c r="H263" s="11" t="s">
        <v>1980</v>
      </c>
      <c r="I263" s="11" t="s">
        <v>1981</v>
      </c>
      <c r="J263" s="11" t="s">
        <v>1982</v>
      </c>
      <c r="K263" s="11" t="s">
        <v>1983</v>
      </c>
      <c r="L263" s="11" t="s">
        <v>1984</v>
      </c>
      <c r="M263" s="11" t="s">
        <v>1984</v>
      </c>
      <c r="N263" s="11" t="s">
        <v>1984</v>
      </c>
      <c r="O263" s="11" t="s">
        <v>1985</v>
      </c>
      <c r="P263" s="11" t="s">
        <v>1986</v>
      </c>
      <c r="Q263" s="11" t="s">
        <v>1987</v>
      </c>
      <c r="R263" s="11" t="s">
        <v>1988</v>
      </c>
      <c r="S263" s="11" t="s">
        <v>1988</v>
      </c>
      <c r="T263" s="11" t="s">
        <v>1988</v>
      </c>
      <c r="U263" s="11" t="s">
        <v>1988</v>
      </c>
      <c r="V263" s="11" t="s">
        <v>1989</v>
      </c>
      <c r="W263" s="11" t="s">
        <v>1990</v>
      </c>
      <c r="X263" s="11" t="s">
        <v>3513</v>
      </c>
      <c r="Y263" s="12" t="n">
        <f aca="false">COUNTIF($A$6:$A$339,A263)</f>
        <v>1</v>
      </c>
    </row>
    <row r="264" customFormat="false" ht="240" hidden="false" customHeight="true" outlineLevel="0" collapsed="false">
      <c r="A264" s="11" t="s">
        <v>3514</v>
      </c>
      <c r="B264" s="11" t="s">
        <v>1434</v>
      </c>
      <c r="C264" s="11" t="s">
        <v>1911</v>
      </c>
      <c r="D264" s="11" t="b">
        <f aca="false">TRUE()</f>
        <v>1</v>
      </c>
      <c r="E264" s="11" t="b">
        <f aca="false">TRUE()</f>
        <v>1</v>
      </c>
      <c r="F264" s="11"/>
      <c r="G264" s="11" t="s">
        <v>3515</v>
      </c>
      <c r="H264" s="11" t="s">
        <v>3516</v>
      </c>
      <c r="I264" s="11" t="s">
        <v>3517</v>
      </c>
      <c r="J264" s="11" t="s">
        <v>3518</v>
      </c>
      <c r="K264" s="11" t="s">
        <v>1833</v>
      </c>
      <c r="L264" s="11" t="s">
        <v>3519</v>
      </c>
      <c r="M264" s="11" t="s">
        <v>1917</v>
      </c>
      <c r="N264" s="11" t="s">
        <v>3520</v>
      </c>
      <c r="O264" s="11" t="s">
        <v>3521</v>
      </c>
      <c r="P264" s="11" t="s">
        <v>1920</v>
      </c>
      <c r="Q264" s="11" t="s">
        <v>3522</v>
      </c>
      <c r="R264" s="11" t="s">
        <v>3523</v>
      </c>
      <c r="S264" s="11" t="s">
        <v>3524</v>
      </c>
      <c r="T264" s="11" t="s">
        <v>3524</v>
      </c>
      <c r="U264" s="11" t="s">
        <v>1924</v>
      </c>
      <c r="V264" s="11" t="s">
        <v>3525</v>
      </c>
      <c r="W264" s="11" t="s">
        <v>1926</v>
      </c>
      <c r="X264" s="11" t="s">
        <v>3526</v>
      </c>
      <c r="Y264" s="12" t="n">
        <f aca="false">COUNTIF($A$6:$A$339,A264)</f>
        <v>1</v>
      </c>
    </row>
    <row r="265" customFormat="false" ht="240" hidden="false" customHeight="true" outlineLevel="0" collapsed="false">
      <c r="A265" s="11" t="s">
        <v>3527</v>
      </c>
      <c r="B265" s="11" t="s">
        <v>1434</v>
      </c>
      <c r="C265" s="11" t="s">
        <v>1929</v>
      </c>
      <c r="D265" s="11" t="b">
        <f aca="false">FALSE()</f>
        <v>0</v>
      </c>
      <c r="E265" s="11" t="b">
        <f aca="false">FALSE()</f>
        <v>0</v>
      </c>
      <c r="F265" s="11" t="s">
        <v>1978</v>
      </c>
      <c r="G265" s="11" t="s">
        <v>1979</v>
      </c>
      <c r="H265" s="11" t="s">
        <v>1980</v>
      </c>
      <c r="I265" s="11" t="s">
        <v>1981</v>
      </c>
      <c r="J265" s="11" t="s">
        <v>1982</v>
      </c>
      <c r="K265" s="11" t="s">
        <v>1983</v>
      </c>
      <c r="L265" s="11" t="s">
        <v>1984</v>
      </c>
      <c r="M265" s="11" t="s">
        <v>1984</v>
      </c>
      <c r="N265" s="11" t="s">
        <v>1984</v>
      </c>
      <c r="O265" s="11" t="s">
        <v>1985</v>
      </c>
      <c r="P265" s="11" t="s">
        <v>1986</v>
      </c>
      <c r="Q265" s="11" t="s">
        <v>1987</v>
      </c>
      <c r="R265" s="11" t="s">
        <v>1988</v>
      </c>
      <c r="S265" s="11" t="s">
        <v>1988</v>
      </c>
      <c r="T265" s="11" t="s">
        <v>1988</v>
      </c>
      <c r="U265" s="11" t="s">
        <v>1988</v>
      </c>
      <c r="V265" s="11" t="s">
        <v>1989</v>
      </c>
      <c r="W265" s="11" t="s">
        <v>1990</v>
      </c>
      <c r="X265" s="11" t="s">
        <v>3528</v>
      </c>
      <c r="Y265" s="12" t="n">
        <f aca="false">COUNTIF($A$6:$A$339,A265)</f>
        <v>1</v>
      </c>
    </row>
    <row r="266" customFormat="false" ht="240" hidden="false" customHeight="true" outlineLevel="0" collapsed="false">
      <c r="A266" s="11" t="s">
        <v>3529</v>
      </c>
      <c r="B266" s="11" t="s">
        <v>1438</v>
      </c>
      <c r="C266" s="11" t="s">
        <v>1911</v>
      </c>
      <c r="D266" s="11" t="b">
        <f aca="false">TRUE()</f>
        <v>1</v>
      </c>
      <c r="E266" s="11" t="b">
        <f aca="false">TRUE()</f>
        <v>1</v>
      </c>
      <c r="F266" s="11"/>
      <c r="G266" s="11" t="s">
        <v>3530</v>
      </c>
      <c r="H266" s="11" t="s">
        <v>3531</v>
      </c>
      <c r="I266" s="11" t="s">
        <v>3532</v>
      </c>
      <c r="J266" s="11" t="s">
        <v>3533</v>
      </c>
      <c r="K266" s="11" t="s">
        <v>1834</v>
      </c>
      <c r="L266" s="11" t="s">
        <v>3534</v>
      </c>
      <c r="M266" s="11" t="s">
        <v>1917</v>
      </c>
      <c r="N266" s="11" t="s">
        <v>3535</v>
      </c>
      <c r="O266" s="11" t="s">
        <v>2187</v>
      </c>
      <c r="P266" s="11" t="s">
        <v>1920</v>
      </c>
      <c r="Q266" s="11" t="s">
        <v>3536</v>
      </c>
      <c r="R266" s="11" t="s">
        <v>3537</v>
      </c>
      <c r="S266" s="11" t="s">
        <v>3538</v>
      </c>
      <c r="T266" s="11" t="s">
        <v>3538</v>
      </c>
      <c r="U266" s="11" t="s">
        <v>1924</v>
      </c>
      <c r="V266" s="11" t="s">
        <v>1925</v>
      </c>
      <c r="W266" s="11" t="s">
        <v>1926</v>
      </c>
      <c r="X266" s="11" t="s">
        <v>3539</v>
      </c>
      <c r="Y266" s="12" t="n">
        <f aca="false">COUNTIF($A$6:$A$339,A266)</f>
        <v>1</v>
      </c>
    </row>
    <row r="267" customFormat="false" ht="240" hidden="false" customHeight="true" outlineLevel="0" collapsed="false">
      <c r="A267" s="11" t="s">
        <v>3540</v>
      </c>
      <c r="B267" s="11" t="s">
        <v>1438</v>
      </c>
      <c r="C267" s="11" t="s">
        <v>1929</v>
      </c>
      <c r="D267" s="11" t="b">
        <f aca="false">TRUE()</f>
        <v>1</v>
      </c>
      <c r="E267" s="11" t="b">
        <f aca="false">TRUE()</f>
        <v>1</v>
      </c>
      <c r="F267" s="11"/>
      <c r="G267" s="11" t="s">
        <v>3530</v>
      </c>
      <c r="H267" s="11" t="s">
        <v>3531</v>
      </c>
      <c r="I267" s="11" t="s">
        <v>3532</v>
      </c>
      <c r="J267" s="11" t="s">
        <v>3533</v>
      </c>
      <c r="K267" s="11" t="s">
        <v>1835</v>
      </c>
      <c r="L267" s="11" t="s">
        <v>3541</v>
      </c>
      <c r="M267" s="11" t="s">
        <v>1931</v>
      </c>
      <c r="N267" s="11" t="s">
        <v>3535</v>
      </c>
      <c r="O267" s="11" t="s">
        <v>2187</v>
      </c>
      <c r="P267" s="11" t="s">
        <v>1920</v>
      </c>
      <c r="Q267" s="11" t="s">
        <v>3536</v>
      </c>
      <c r="R267" s="11" t="s">
        <v>3537</v>
      </c>
      <c r="S267" s="11" t="s">
        <v>3538</v>
      </c>
      <c r="T267" s="11" t="s">
        <v>3538</v>
      </c>
      <c r="U267" s="11" t="s">
        <v>1932</v>
      </c>
      <c r="V267" s="11" t="s">
        <v>1925</v>
      </c>
      <c r="W267" s="11" t="s">
        <v>1926</v>
      </c>
      <c r="X267" s="11" t="s">
        <v>3542</v>
      </c>
      <c r="Y267" s="12" t="n">
        <f aca="false">COUNTIF($A$6:$A$339,A267)</f>
        <v>1</v>
      </c>
    </row>
    <row r="268" customFormat="false" ht="240" hidden="false" customHeight="true" outlineLevel="0" collapsed="false">
      <c r="A268" s="11" t="s">
        <v>3543</v>
      </c>
      <c r="B268" s="11" t="s">
        <v>1442</v>
      </c>
      <c r="C268" s="11" t="s">
        <v>1911</v>
      </c>
      <c r="D268" s="11" t="b">
        <f aca="false">TRUE()</f>
        <v>1</v>
      </c>
      <c r="E268" s="11" t="b">
        <f aca="false">FALSE()</f>
        <v>0</v>
      </c>
      <c r="F268" s="11"/>
      <c r="G268" s="11" t="s">
        <v>3544</v>
      </c>
      <c r="H268" s="11" t="s">
        <v>3545</v>
      </c>
      <c r="I268" s="11" t="s">
        <v>3546</v>
      </c>
      <c r="J268" s="11" t="s">
        <v>3547</v>
      </c>
      <c r="K268" s="11" t="s">
        <v>1836</v>
      </c>
      <c r="L268" s="11" t="s">
        <v>2199</v>
      </c>
      <c r="M268" s="11" t="s">
        <v>1917</v>
      </c>
      <c r="N268" s="11" t="s">
        <v>3548</v>
      </c>
      <c r="O268" s="11" t="s">
        <v>3549</v>
      </c>
      <c r="P268" s="11" t="s">
        <v>1920</v>
      </c>
      <c r="Q268" s="11" t="s">
        <v>3550</v>
      </c>
      <c r="R268" s="11" t="s">
        <v>3551</v>
      </c>
      <c r="S268" s="11" t="s">
        <v>1959</v>
      </c>
      <c r="T268" s="11" t="s">
        <v>1960</v>
      </c>
      <c r="U268" s="11" t="s">
        <v>1924</v>
      </c>
      <c r="V268" s="11" t="s">
        <v>1925</v>
      </c>
      <c r="W268" s="11" t="s">
        <v>1926</v>
      </c>
      <c r="X268" s="11" t="s">
        <v>3552</v>
      </c>
      <c r="Y268" s="12" t="n">
        <f aca="false">COUNTIF($A$6:$A$339,A268)</f>
        <v>1</v>
      </c>
    </row>
    <row r="269" customFormat="false" ht="240" hidden="false" customHeight="true" outlineLevel="0" collapsed="false">
      <c r="A269" s="11" t="s">
        <v>3553</v>
      </c>
      <c r="B269" s="11" t="s">
        <v>1442</v>
      </c>
      <c r="C269" s="11" t="s">
        <v>1929</v>
      </c>
      <c r="D269" s="11" t="b">
        <f aca="false">TRUE()</f>
        <v>1</v>
      </c>
      <c r="E269" s="11" t="b">
        <f aca="false">FALSE()</f>
        <v>0</v>
      </c>
      <c r="F269" s="11"/>
      <c r="G269" s="11" t="s">
        <v>3544</v>
      </c>
      <c r="H269" s="11" t="s">
        <v>3545</v>
      </c>
      <c r="I269" s="11" t="s">
        <v>3546</v>
      </c>
      <c r="J269" s="11" t="s">
        <v>3547</v>
      </c>
      <c r="K269" s="11" t="s">
        <v>1837</v>
      </c>
      <c r="L269" s="11" t="s">
        <v>2204</v>
      </c>
      <c r="M269" s="11" t="s">
        <v>1931</v>
      </c>
      <c r="N269" s="11" t="s">
        <v>3548</v>
      </c>
      <c r="O269" s="11" t="s">
        <v>3549</v>
      </c>
      <c r="P269" s="11" t="s">
        <v>1920</v>
      </c>
      <c r="Q269" s="11" t="s">
        <v>3550</v>
      </c>
      <c r="R269" s="11" t="s">
        <v>3551</v>
      </c>
      <c r="S269" s="11" t="s">
        <v>1959</v>
      </c>
      <c r="T269" s="11" t="s">
        <v>1960</v>
      </c>
      <c r="U269" s="11" t="s">
        <v>1932</v>
      </c>
      <c r="V269" s="11" t="s">
        <v>1925</v>
      </c>
      <c r="W269" s="11" t="s">
        <v>1926</v>
      </c>
      <c r="X269" s="11" t="s">
        <v>3554</v>
      </c>
      <c r="Y269" s="12" t="n">
        <f aca="false">COUNTIF($A$6:$A$339,A269)</f>
        <v>1</v>
      </c>
    </row>
    <row r="270" customFormat="false" ht="240" hidden="false" customHeight="true" outlineLevel="0" collapsed="false">
      <c r="A270" s="11" t="s">
        <v>3555</v>
      </c>
      <c r="B270" s="11" t="s">
        <v>1446</v>
      </c>
      <c r="C270" s="11" t="s">
        <v>1911</v>
      </c>
      <c r="D270" s="11" t="b">
        <f aca="false">TRUE()</f>
        <v>1</v>
      </c>
      <c r="E270" s="11" t="b">
        <f aca="false">TRUE()</f>
        <v>1</v>
      </c>
      <c r="F270" s="11"/>
      <c r="G270" s="11" t="s">
        <v>3556</v>
      </c>
      <c r="H270" s="11" t="s">
        <v>3557</v>
      </c>
      <c r="I270" s="11" t="s">
        <v>3558</v>
      </c>
      <c r="J270" s="11" t="s">
        <v>3559</v>
      </c>
      <c r="K270" s="11" t="s">
        <v>1838</v>
      </c>
      <c r="L270" s="11" t="s">
        <v>3560</v>
      </c>
      <c r="M270" s="11" t="s">
        <v>1917</v>
      </c>
      <c r="N270" s="11" t="s">
        <v>3561</v>
      </c>
      <c r="O270" s="11" t="s">
        <v>3558</v>
      </c>
      <c r="P270" s="11" t="s">
        <v>1920</v>
      </c>
      <c r="Q270" s="11" t="s">
        <v>3562</v>
      </c>
      <c r="R270" s="11" t="s">
        <v>3563</v>
      </c>
      <c r="S270" s="11" t="s">
        <v>3564</v>
      </c>
      <c r="T270" s="11" t="s">
        <v>3564</v>
      </c>
      <c r="U270" s="11" t="s">
        <v>1924</v>
      </c>
      <c r="V270" s="11" t="s">
        <v>1925</v>
      </c>
      <c r="W270" s="11" t="s">
        <v>1926</v>
      </c>
      <c r="X270" s="11" t="s">
        <v>3565</v>
      </c>
      <c r="Y270" s="12" t="n">
        <f aca="false">COUNTIF($A$6:$A$339,A270)</f>
        <v>1</v>
      </c>
    </row>
    <row r="271" customFormat="false" ht="240" hidden="false" customHeight="true" outlineLevel="0" collapsed="false">
      <c r="A271" s="11" t="s">
        <v>3566</v>
      </c>
      <c r="B271" s="11" t="s">
        <v>1446</v>
      </c>
      <c r="C271" s="11" t="s">
        <v>1929</v>
      </c>
      <c r="D271" s="11" t="b">
        <f aca="false">TRUE()</f>
        <v>1</v>
      </c>
      <c r="E271" s="11" t="b">
        <f aca="false">TRUE()</f>
        <v>1</v>
      </c>
      <c r="F271" s="11"/>
      <c r="G271" s="11" t="s">
        <v>3556</v>
      </c>
      <c r="H271" s="11" t="s">
        <v>3557</v>
      </c>
      <c r="I271" s="11" t="s">
        <v>3558</v>
      </c>
      <c r="J271" s="11" t="s">
        <v>3559</v>
      </c>
      <c r="K271" s="11" t="s">
        <v>1839</v>
      </c>
      <c r="L271" s="11" t="s">
        <v>3567</v>
      </c>
      <c r="M271" s="11" t="s">
        <v>1931</v>
      </c>
      <c r="N271" s="11" t="s">
        <v>3561</v>
      </c>
      <c r="O271" s="11" t="s">
        <v>3558</v>
      </c>
      <c r="P271" s="11" t="s">
        <v>1920</v>
      </c>
      <c r="Q271" s="11" t="s">
        <v>3562</v>
      </c>
      <c r="R271" s="11" t="s">
        <v>3563</v>
      </c>
      <c r="S271" s="11" t="s">
        <v>3564</v>
      </c>
      <c r="T271" s="11" t="s">
        <v>3564</v>
      </c>
      <c r="U271" s="11" t="s">
        <v>1932</v>
      </c>
      <c r="V271" s="11" t="s">
        <v>1925</v>
      </c>
      <c r="W271" s="11" t="s">
        <v>1926</v>
      </c>
      <c r="X271" s="11" t="s">
        <v>3568</v>
      </c>
      <c r="Y271" s="12" t="n">
        <f aca="false">COUNTIF($A$6:$A$339,A271)</f>
        <v>1</v>
      </c>
    </row>
    <row r="272" customFormat="false" ht="240" hidden="false" customHeight="true" outlineLevel="0" collapsed="false">
      <c r="A272" s="11" t="s">
        <v>3569</v>
      </c>
      <c r="B272" s="11" t="s">
        <v>1451</v>
      </c>
      <c r="C272" s="11" t="s">
        <v>1911</v>
      </c>
      <c r="D272" s="11" t="b">
        <f aca="false">TRUE()</f>
        <v>1</v>
      </c>
      <c r="E272" s="11" t="b">
        <f aca="false">FALSE()</f>
        <v>0</v>
      </c>
      <c r="F272" s="11"/>
      <c r="G272" s="11" t="s">
        <v>3570</v>
      </c>
      <c r="H272" s="11" t="s">
        <v>3571</v>
      </c>
      <c r="I272" s="11" t="s">
        <v>3572</v>
      </c>
      <c r="J272" s="11" t="s">
        <v>3573</v>
      </c>
      <c r="K272" s="11" t="s">
        <v>1840</v>
      </c>
      <c r="L272" s="11" t="s">
        <v>2199</v>
      </c>
      <c r="M272" s="11" t="s">
        <v>1917</v>
      </c>
      <c r="N272" s="11" t="s">
        <v>2186</v>
      </c>
      <c r="O272" s="11" t="s">
        <v>2187</v>
      </c>
      <c r="P272" s="11" t="s">
        <v>1920</v>
      </c>
      <c r="Q272" s="11" t="s">
        <v>3574</v>
      </c>
      <c r="R272" s="11" t="s">
        <v>3575</v>
      </c>
      <c r="S272" s="11" t="s">
        <v>1959</v>
      </c>
      <c r="T272" s="11" t="s">
        <v>1960</v>
      </c>
      <c r="U272" s="11" t="s">
        <v>1924</v>
      </c>
      <c r="V272" s="11" t="s">
        <v>1925</v>
      </c>
      <c r="W272" s="11" t="s">
        <v>1926</v>
      </c>
      <c r="X272" s="11" t="s">
        <v>3576</v>
      </c>
      <c r="Y272" s="12" t="n">
        <f aca="false">COUNTIF($A$6:$A$339,A272)</f>
        <v>1</v>
      </c>
    </row>
    <row r="273" customFormat="false" ht="240" hidden="false" customHeight="true" outlineLevel="0" collapsed="false">
      <c r="A273" s="11" t="s">
        <v>3577</v>
      </c>
      <c r="B273" s="11" t="s">
        <v>1451</v>
      </c>
      <c r="C273" s="11" t="s">
        <v>1929</v>
      </c>
      <c r="D273" s="11" t="b">
        <f aca="false">FALSE()</f>
        <v>0</v>
      </c>
      <c r="E273" s="11" t="b">
        <f aca="false">FALSE()</f>
        <v>0</v>
      </c>
      <c r="F273" s="11" t="s">
        <v>1978</v>
      </c>
      <c r="G273" s="11" t="s">
        <v>1979</v>
      </c>
      <c r="H273" s="11" t="s">
        <v>1980</v>
      </c>
      <c r="I273" s="11" t="s">
        <v>1981</v>
      </c>
      <c r="J273" s="11" t="s">
        <v>1982</v>
      </c>
      <c r="K273" s="11" t="s">
        <v>1983</v>
      </c>
      <c r="L273" s="11" t="s">
        <v>1984</v>
      </c>
      <c r="M273" s="11" t="s">
        <v>1984</v>
      </c>
      <c r="N273" s="11" t="s">
        <v>1984</v>
      </c>
      <c r="O273" s="11" t="s">
        <v>1985</v>
      </c>
      <c r="P273" s="11" t="s">
        <v>1986</v>
      </c>
      <c r="Q273" s="11" t="s">
        <v>1987</v>
      </c>
      <c r="R273" s="11" t="s">
        <v>1988</v>
      </c>
      <c r="S273" s="11" t="s">
        <v>1988</v>
      </c>
      <c r="T273" s="11" t="s">
        <v>1988</v>
      </c>
      <c r="U273" s="11" t="s">
        <v>1988</v>
      </c>
      <c r="V273" s="11" t="s">
        <v>1989</v>
      </c>
      <c r="W273" s="11" t="s">
        <v>1990</v>
      </c>
      <c r="X273" s="11" t="s">
        <v>3578</v>
      </c>
      <c r="Y273" s="12" t="n">
        <f aca="false">COUNTIF($A$6:$A$339,A273)</f>
        <v>1</v>
      </c>
    </row>
    <row r="274" customFormat="false" ht="240" hidden="false" customHeight="true" outlineLevel="0" collapsed="false">
      <c r="A274" s="11" t="s">
        <v>3579</v>
      </c>
      <c r="B274" s="11" t="s">
        <v>1455</v>
      </c>
      <c r="C274" s="11" t="s">
        <v>1911</v>
      </c>
      <c r="D274" s="11" t="b">
        <f aca="false">TRUE()</f>
        <v>1</v>
      </c>
      <c r="E274" s="11" t="b">
        <f aca="false">TRUE()</f>
        <v>1</v>
      </c>
      <c r="F274" s="11"/>
      <c r="G274" s="11" t="s">
        <v>3580</v>
      </c>
      <c r="H274" s="11" t="s">
        <v>3581</v>
      </c>
      <c r="I274" s="11" t="s">
        <v>3582</v>
      </c>
      <c r="J274" s="11" t="s">
        <v>2198</v>
      </c>
      <c r="K274" s="11" t="s">
        <v>1841</v>
      </c>
      <c r="L274" s="11" t="s">
        <v>2199</v>
      </c>
      <c r="M274" s="11" t="s">
        <v>1917</v>
      </c>
      <c r="N274" s="11" t="s">
        <v>3583</v>
      </c>
      <c r="O274" s="11" t="s">
        <v>3584</v>
      </c>
      <c r="P274" s="11" t="s">
        <v>1920</v>
      </c>
      <c r="Q274" s="11" t="s">
        <v>3584</v>
      </c>
      <c r="R274" s="11" t="s">
        <v>3585</v>
      </c>
      <c r="S274" s="11" t="s">
        <v>1959</v>
      </c>
      <c r="T274" s="11" t="s">
        <v>1960</v>
      </c>
      <c r="U274" s="11" t="s">
        <v>1924</v>
      </c>
      <c r="V274" s="11" t="s">
        <v>1925</v>
      </c>
      <c r="W274" s="11" t="s">
        <v>1926</v>
      </c>
      <c r="X274" s="11" t="s">
        <v>3586</v>
      </c>
      <c r="Y274" s="12" t="n">
        <f aca="false">COUNTIF($A$6:$A$339,A274)</f>
        <v>1</v>
      </c>
    </row>
    <row r="275" customFormat="false" ht="240" hidden="false" customHeight="true" outlineLevel="0" collapsed="false">
      <c r="A275" s="11" t="s">
        <v>3587</v>
      </c>
      <c r="B275" s="11" t="s">
        <v>1455</v>
      </c>
      <c r="C275" s="11" t="s">
        <v>1929</v>
      </c>
      <c r="D275" s="11" t="b">
        <f aca="false">TRUE()</f>
        <v>1</v>
      </c>
      <c r="E275" s="11" t="b">
        <f aca="false">FALSE()</f>
        <v>0</v>
      </c>
      <c r="F275" s="11"/>
      <c r="G275" s="11" t="s">
        <v>3580</v>
      </c>
      <c r="H275" s="11" t="s">
        <v>3581</v>
      </c>
      <c r="I275" s="11" t="s">
        <v>3582</v>
      </c>
      <c r="J275" s="11" t="s">
        <v>2198</v>
      </c>
      <c r="K275" s="11" t="s">
        <v>1842</v>
      </c>
      <c r="L275" s="11" t="s">
        <v>2204</v>
      </c>
      <c r="M275" s="11" t="s">
        <v>1931</v>
      </c>
      <c r="N275" s="11" t="s">
        <v>3583</v>
      </c>
      <c r="O275" s="11" t="s">
        <v>3584</v>
      </c>
      <c r="P275" s="11" t="s">
        <v>1920</v>
      </c>
      <c r="Q275" s="11" t="s">
        <v>3584</v>
      </c>
      <c r="R275" s="11" t="s">
        <v>3585</v>
      </c>
      <c r="S275" s="11" t="s">
        <v>1959</v>
      </c>
      <c r="T275" s="11" t="s">
        <v>1960</v>
      </c>
      <c r="U275" s="11" t="s">
        <v>1932</v>
      </c>
      <c r="V275" s="11" t="s">
        <v>1925</v>
      </c>
      <c r="W275" s="11" t="s">
        <v>1926</v>
      </c>
      <c r="X275" s="11" t="s">
        <v>3588</v>
      </c>
      <c r="Y275" s="12" t="n">
        <f aca="false">COUNTIF($A$6:$A$339,A275)</f>
        <v>1</v>
      </c>
    </row>
    <row r="276" customFormat="false" ht="240" hidden="false" customHeight="true" outlineLevel="0" collapsed="false">
      <c r="A276" s="11" t="s">
        <v>3589</v>
      </c>
      <c r="B276" s="11" t="s">
        <v>1458</v>
      </c>
      <c r="C276" s="11" t="s">
        <v>1911</v>
      </c>
      <c r="D276" s="11" t="b">
        <f aca="false">TRUE()</f>
        <v>1</v>
      </c>
      <c r="E276" s="11" t="b">
        <f aca="false">TRUE()</f>
        <v>1</v>
      </c>
      <c r="F276" s="11"/>
      <c r="G276" s="11" t="s">
        <v>3590</v>
      </c>
      <c r="H276" s="11" t="s">
        <v>3591</v>
      </c>
      <c r="I276" s="11" t="s">
        <v>3592</v>
      </c>
      <c r="J276" s="11" t="s">
        <v>3593</v>
      </c>
      <c r="K276" s="11" t="s">
        <v>1843</v>
      </c>
      <c r="L276" s="11" t="s">
        <v>3594</v>
      </c>
      <c r="M276" s="11" t="s">
        <v>1917</v>
      </c>
      <c r="N276" s="11" t="s">
        <v>3592</v>
      </c>
      <c r="O276" s="11" t="s">
        <v>3595</v>
      </c>
      <c r="P276" s="11" t="s">
        <v>1920</v>
      </c>
      <c r="Q276" s="11" t="s">
        <v>3594</v>
      </c>
      <c r="R276" s="11" t="s">
        <v>3596</v>
      </c>
      <c r="S276" s="11" t="s">
        <v>3594</v>
      </c>
      <c r="T276" s="11" t="s">
        <v>3594</v>
      </c>
      <c r="U276" s="11" t="s">
        <v>1924</v>
      </c>
      <c r="V276" s="11" t="s">
        <v>1925</v>
      </c>
      <c r="W276" s="11" t="s">
        <v>1926</v>
      </c>
      <c r="X276" s="11" t="s">
        <v>3597</v>
      </c>
      <c r="Y276" s="12" t="n">
        <f aca="false">COUNTIF($A$6:$A$339,A276)</f>
        <v>1</v>
      </c>
    </row>
    <row r="277" customFormat="false" ht="240" hidden="false" customHeight="true" outlineLevel="0" collapsed="false">
      <c r="A277" s="11" t="s">
        <v>3598</v>
      </c>
      <c r="B277" s="11" t="s">
        <v>1458</v>
      </c>
      <c r="C277" s="11" t="s">
        <v>1929</v>
      </c>
      <c r="D277" s="11" t="b">
        <f aca="false">FALSE()</f>
        <v>0</v>
      </c>
      <c r="E277" s="11" t="b">
        <f aca="false">FALSE()</f>
        <v>0</v>
      </c>
      <c r="F277" s="11" t="s">
        <v>1978</v>
      </c>
      <c r="G277" s="11" t="s">
        <v>1979</v>
      </c>
      <c r="H277" s="11" t="s">
        <v>1980</v>
      </c>
      <c r="I277" s="11" t="s">
        <v>1981</v>
      </c>
      <c r="J277" s="11" t="s">
        <v>1982</v>
      </c>
      <c r="K277" s="11" t="s">
        <v>1983</v>
      </c>
      <c r="L277" s="11" t="s">
        <v>1984</v>
      </c>
      <c r="M277" s="11" t="s">
        <v>1984</v>
      </c>
      <c r="N277" s="11" t="s">
        <v>1984</v>
      </c>
      <c r="O277" s="11" t="s">
        <v>1985</v>
      </c>
      <c r="P277" s="11" t="s">
        <v>1986</v>
      </c>
      <c r="Q277" s="11" t="s">
        <v>1987</v>
      </c>
      <c r="R277" s="11" t="s">
        <v>1988</v>
      </c>
      <c r="S277" s="11" t="s">
        <v>1988</v>
      </c>
      <c r="T277" s="11" t="s">
        <v>1988</v>
      </c>
      <c r="U277" s="11" t="s">
        <v>1988</v>
      </c>
      <c r="V277" s="11" t="s">
        <v>1989</v>
      </c>
      <c r="W277" s="11" t="s">
        <v>1990</v>
      </c>
      <c r="X277" s="11" t="s">
        <v>3599</v>
      </c>
      <c r="Y277" s="12" t="n">
        <f aca="false">COUNTIF($A$6:$A$339,A277)</f>
        <v>1</v>
      </c>
    </row>
    <row r="278" customFormat="false" ht="240" hidden="false" customHeight="true" outlineLevel="0" collapsed="false">
      <c r="A278" s="11" t="s">
        <v>3600</v>
      </c>
      <c r="B278" s="11" t="s">
        <v>1461</v>
      </c>
      <c r="C278" s="11" t="s">
        <v>1911</v>
      </c>
      <c r="D278" s="11" t="b">
        <f aca="false">TRUE()</f>
        <v>1</v>
      </c>
      <c r="E278" s="11" t="b">
        <f aca="false">FALSE()</f>
        <v>0</v>
      </c>
      <c r="F278" s="11"/>
      <c r="G278" s="11" t="s">
        <v>3601</v>
      </c>
      <c r="H278" s="11" t="s">
        <v>3602</v>
      </c>
      <c r="I278" s="11" t="s">
        <v>3603</v>
      </c>
      <c r="J278" s="11" t="s">
        <v>3604</v>
      </c>
      <c r="K278" s="11" t="s">
        <v>1844</v>
      </c>
      <c r="L278" s="11" t="s">
        <v>3605</v>
      </c>
      <c r="M278" s="11" t="s">
        <v>1917</v>
      </c>
      <c r="N278" s="11" t="s">
        <v>2186</v>
      </c>
      <c r="O278" s="11" t="s">
        <v>3606</v>
      </c>
      <c r="P278" s="11" t="s">
        <v>1920</v>
      </c>
      <c r="Q278" s="11" t="s">
        <v>3607</v>
      </c>
      <c r="R278" s="11" t="s">
        <v>3608</v>
      </c>
      <c r="S278" s="11" t="s">
        <v>3605</v>
      </c>
      <c r="T278" s="11" t="s">
        <v>3605</v>
      </c>
      <c r="U278" s="11" t="s">
        <v>1924</v>
      </c>
      <c r="V278" s="11" t="s">
        <v>1925</v>
      </c>
      <c r="W278" s="11" t="s">
        <v>1926</v>
      </c>
      <c r="X278" s="11" t="s">
        <v>3609</v>
      </c>
      <c r="Y278" s="12" t="n">
        <f aca="false">COUNTIF($A$6:$A$339,A278)</f>
        <v>1</v>
      </c>
    </row>
    <row r="279" customFormat="false" ht="240" hidden="false" customHeight="true" outlineLevel="0" collapsed="false">
      <c r="A279" s="11" t="s">
        <v>3610</v>
      </c>
      <c r="B279" s="11" t="s">
        <v>1461</v>
      </c>
      <c r="C279" s="11" t="s">
        <v>1929</v>
      </c>
      <c r="D279" s="11" t="b">
        <f aca="false">FALSE()</f>
        <v>0</v>
      </c>
      <c r="E279" s="11" t="b">
        <f aca="false">FALSE()</f>
        <v>0</v>
      </c>
      <c r="F279" s="11" t="s">
        <v>1978</v>
      </c>
      <c r="G279" s="11" t="s">
        <v>1979</v>
      </c>
      <c r="H279" s="11" t="s">
        <v>1980</v>
      </c>
      <c r="I279" s="11" t="s">
        <v>1981</v>
      </c>
      <c r="J279" s="11" t="s">
        <v>1982</v>
      </c>
      <c r="K279" s="11" t="s">
        <v>1983</v>
      </c>
      <c r="L279" s="11" t="s">
        <v>1984</v>
      </c>
      <c r="M279" s="11" t="s">
        <v>1984</v>
      </c>
      <c r="N279" s="11" t="s">
        <v>1984</v>
      </c>
      <c r="O279" s="11" t="s">
        <v>1985</v>
      </c>
      <c r="P279" s="11" t="s">
        <v>1986</v>
      </c>
      <c r="Q279" s="11" t="s">
        <v>1987</v>
      </c>
      <c r="R279" s="11" t="s">
        <v>1988</v>
      </c>
      <c r="S279" s="11" t="s">
        <v>1988</v>
      </c>
      <c r="T279" s="11" t="s">
        <v>1988</v>
      </c>
      <c r="U279" s="11" t="s">
        <v>1988</v>
      </c>
      <c r="V279" s="11" t="s">
        <v>1989</v>
      </c>
      <c r="W279" s="11" t="s">
        <v>1990</v>
      </c>
      <c r="X279" s="11" t="s">
        <v>3611</v>
      </c>
      <c r="Y279" s="12" t="n">
        <f aca="false">COUNTIF($A$6:$A$339,A279)</f>
        <v>1</v>
      </c>
    </row>
    <row r="280" customFormat="false" ht="240" hidden="false" customHeight="true" outlineLevel="0" collapsed="false">
      <c r="A280" s="11" t="s">
        <v>3612</v>
      </c>
      <c r="B280" s="11" t="s">
        <v>1466</v>
      </c>
      <c r="C280" s="11" t="s">
        <v>1911</v>
      </c>
      <c r="D280" s="11" t="b">
        <f aca="false">TRUE()</f>
        <v>1</v>
      </c>
      <c r="E280" s="11" t="b">
        <f aca="false">FALSE()</f>
        <v>0</v>
      </c>
      <c r="F280" s="11"/>
      <c r="G280" s="11" t="s">
        <v>3613</v>
      </c>
      <c r="H280" s="11" t="s">
        <v>3614</v>
      </c>
      <c r="I280" s="11" t="s">
        <v>3615</v>
      </c>
      <c r="J280" s="11" t="s">
        <v>2198</v>
      </c>
      <c r="K280" s="11" t="s">
        <v>1845</v>
      </c>
      <c r="L280" s="11" t="s">
        <v>2199</v>
      </c>
      <c r="M280" s="11" t="s">
        <v>1917</v>
      </c>
      <c r="N280" s="11" t="s">
        <v>2186</v>
      </c>
      <c r="O280" s="11" t="s">
        <v>3616</v>
      </c>
      <c r="P280" s="11" t="s">
        <v>1920</v>
      </c>
      <c r="Q280" s="11" t="s">
        <v>3616</v>
      </c>
      <c r="R280" s="11" t="s">
        <v>3617</v>
      </c>
      <c r="S280" s="11" t="s">
        <v>1959</v>
      </c>
      <c r="T280" s="11" t="s">
        <v>1960</v>
      </c>
      <c r="U280" s="11" t="s">
        <v>1924</v>
      </c>
      <c r="V280" s="11" t="s">
        <v>1925</v>
      </c>
      <c r="W280" s="11" t="s">
        <v>1926</v>
      </c>
      <c r="X280" s="11" t="s">
        <v>3618</v>
      </c>
      <c r="Y280" s="12" t="n">
        <f aca="false">COUNTIF($A$6:$A$339,A280)</f>
        <v>1</v>
      </c>
    </row>
    <row r="281" customFormat="false" ht="240" hidden="false" customHeight="true" outlineLevel="0" collapsed="false">
      <c r="A281" s="11" t="s">
        <v>3619</v>
      </c>
      <c r="B281" s="11" t="s">
        <v>1466</v>
      </c>
      <c r="C281" s="11" t="s">
        <v>1929</v>
      </c>
      <c r="D281" s="11" t="b">
        <f aca="false">TRUE()</f>
        <v>1</v>
      </c>
      <c r="E281" s="11" t="b">
        <f aca="false">FALSE()</f>
        <v>0</v>
      </c>
      <c r="F281" s="11"/>
      <c r="G281" s="11" t="s">
        <v>3613</v>
      </c>
      <c r="H281" s="11" t="s">
        <v>3614</v>
      </c>
      <c r="I281" s="11" t="s">
        <v>3615</v>
      </c>
      <c r="J281" s="11" t="s">
        <v>2198</v>
      </c>
      <c r="K281" s="11" t="s">
        <v>1846</v>
      </c>
      <c r="L281" s="11" t="s">
        <v>2204</v>
      </c>
      <c r="M281" s="11" t="s">
        <v>1931</v>
      </c>
      <c r="N281" s="11" t="s">
        <v>2186</v>
      </c>
      <c r="O281" s="11" t="s">
        <v>3616</v>
      </c>
      <c r="P281" s="11" t="s">
        <v>1920</v>
      </c>
      <c r="Q281" s="11" t="s">
        <v>3616</v>
      </c>
      <c r="R281" s="11" t="s">
        <v>3617</v>
      </c>
      <c r="S281" s="11" t="s">
        <v>1959</v>
      </c>
      <c r="T281" s="11" t="s">
        <v>1960</v>
      </c>
      <c r="U281" s="11" t="s">
        <v>1932</v>
      </c>
      <c r="V281" s="11" t="s">
        <v>1925</v>
      </c>
      <c r="W281" s="11" t="s">
        <v>1926</v>
      </c>
      <c r="X281" s="11" t="s">
        <v>3620</v>
      </c>
      <c r="Y281" s="12" t="n">
        <f aca="false">COUNTIF($A$6:$A$339,A281)</f>
        <v>1</v>
      </c>
    </row>
    <row r="282" customFormat="false" ht="240" hidden="false" customHeight="true" outlineLevel="0" collapsed="false">
      <c r="A282" s="11" t="s">
        <v>3621</v>
      </c>
      <c r="B282" s="11" t="s">
        <v>1469</v>
      </c>
      <c r="C282" s="11" t="s">
        <v>1911</v>
      </c>
      <c r="D282" s="11" t="b">
        <f aca="false">TRUE()</f>
        <v>1</v>
      </c>
      <c r="E282" s="11" t="b">
        <f aca="false">FALSE()</f>
        <v>0</v>
      </c>
      <c r="F282" s="11"/>
      <c r="G282" s="11" t="s">
        <v>3622</v>
      </c>
      <c r="H282" s="11" t="s">
        <v>3623</v>
      </c>
      <c r="I282" s="11" t="s">
        <v>3624</v>
      </c>
      <c r="J282" s="11" t="s">
        <v>3625</v>
      </c>
      <c r="K282" s="11" t="s">
        <v>1847</v>
      </c>
      <c r="L282" s="11" t="s">
        <v>2199</v>
      </c>
      <c r="M282" s="11" t="s">
        <v>1917</v>
      </c>
      <c r="N282" s="11" t="s">
        <v>2186</v>
      </c>
      <c r="O282" s="11" t="s">
        <v>2187</v>
      </c>
      <c r="P282" s="11" t="s">
        <v>1920</v>
      </c>
      <c r="Q282" s="11" t="s">
        <v>3626</v>
      </c>
      <c r="R282" s="11" t="s">
        <v>3627</v>
      </c>
      <c r="S282" s="11" t="s">
        <v>1959</v>
      </c>
      <c r="T282" s="11" t="s">
        <v>1960</v>
      </c>
      <c r="U282" s="11" t="s">
        <v>1924</v>
      </c>
      <c r="V282" s="11" t="s">
        <v>1925</v>
      </c>
      <c r="W282" s="11" t="s">
        <v>1926</v>
      </c>
      <c r="X282" s="11" t="s">
        <v>3628</v>
      </c>
      <c r="Y282" s="12" t="n">
        <f aca="false">COUNTIF($A$6:$A$339,A282)</f>
        <v>1</v>
      </c>
    </row>
    <row r="283" customFormat="false" ht="240" hidden="false" customHeight="true" outlineLevel="0" collapsed="false">
      <c r="A283" s="11" t="s">
        <v>3629</v>
      </c>
      <c r="B283" s="11" t="s">
        <v>1469</v>
      </c>
      <c r="C283" s="11" t="s">
        <v>1929</v>
      </c>
      <c r="D283" s="11" t="b">
        <f aca="false">FALSE()</f>
        <v>0</v>
      </c>
      <c r="E283" s="11" t="b">
        <f aca="false">FALSE()</f>
        <v>0</v>
      </c>
      <c r="F283" s="11" t="s">
        <v>1978</v>
      </c>
      <c r="G283" s="11" t="s">
        <v>1979</v>
      </c>
      <c r="H283" s="11" t="s">
        <v>1980</v>
      </c>
      <c r="I283" s="11" t="s">
        <v>1981</v>
      </c>
      <c r="J283" s="11" t="s">
        <v>1982</v>
      </c>
      <c r="K283" s="11" t="s">
        <v>1983</v>
      </c>
      <c r="L283" s="11" t="s">
        <v>1984</v>
      </c>
      <c r="M283" s="11" t="s">
        <v>1984</v>
      </c>
      <c r="N283" s="11" t="s">
        <v>1984</v>
      </c>
      <c r="O283" s="11" t="s">
        <v>1985</v>
      </c>
      <c r="P283" s="11" t="s">
        <v>1986</v>
      </c>
      <c r="Q283" s="11" t="s">
        <v>1987</v>
      </c>
      <c r="R283" s="11" t="s">
        <v>1988</v>
      </c>
      <c r="S283" s="11" t="s">
        <v>1988</v>
      </c>
      <c r="T283" s="11" t="s">
        <v>1988</v>
      </c>
      <c r="U283" s="11" t="s">
        <v>1988</v>
      </c>
      <c r="V283" s="11" t="s">
        <v>1989</v>
      </c>
      <c r="W283" s="11" t="s">
        <v>1990</v>
      </c>
      <c r="X283" s="11" t="s">
        <v>3630</v>
      </c>
      <c r="Y283" s="12" t="n">
        <f aca="false">COUNTIF($A$6:$A$339,A283)</f>
        <v>1</v>
      </c>
    </row>
    <row r="284" customFormat="false" ht="240" hidden="false" customHeight="true" outlineLevel="0" collapsed="false">
      <c r="A284" s="11" t="s">
        <v>3631</v>
      </c>
      <c r="B284" s="11" t="s">
        <v>1472</v>
      </c>
      <c r="C284" s="11" t="s">
        <v>1911</v>
      </c>
      <c r="D284" s="11" t="b">
        <f aca="false">TRUE()</f>
        <v>1</v>
      </c>
      <c r="E284" s="11" t="b">
        <f aca="false">FALSE()</f>
        <v>0</v>
      </c>
      <c r="F284" s="11"/>
      <c r="G284" s="11" t="s">
        <v>3632</v>
      </c>
      <c r="H284" s="11" t="s">
        <v>3633</v>
      </c>
      <c r="I284" s="11" t="s">
        <v>3634</v>
      </c>
      <c r="J284" s="11" t="s">
        <v>3635</v>
      </c>
      <c r="K284" s="11" t="s">
        <v>1848</v>
      </c>
      <c r="L284" s="11" t="s">
        <v>3636</v>
      </c>
      <c r="M284" s="11" t="s">
        <v>1917</v>
      </c>
      <c r="N284" s="11" t="s">
        <v>2186</v>
      </c>
      <c r="O284" s="11" t="s">
        <v>3637</v>
      </c>
      <c r="P284" s="11" t="s">
        <v>1920</v>
      </c>
      <c r="Q284" s="11" t="s">
        <v>3638</v>
      </c>
      <c r="R284" s="11" t="s">
        <v>3639</v>
      </c>
      <c r="S284" s="11" t="s">
        <v>3636</v>
      </c>
      <c r="T284" s="11" t="s">
        <v>3636</v>
      </c>
      <c r="U284" s="11" t="s">
        <v>1924</v>
      </c>
      <c r="V284" s="11" t="s">
        <v>1925</v>
      </c>
      <c r="W284" s="11" t="s">
        <v>1926</v>
      </c>
      <c r="X284" s="11" t="s">
        <v>3640</v>
      </c>
      <c r="Y284" s="12" t="n">
        <f aca="false">COUNTIF($A$6:$A$339,A284)</f>
        <v>1</v>
      </c>
    </row>
    <row r="285" customFormat="false" ht="240" hidden="false" customHeight="true" outlineLevel="0" collapsed="false">
      <c r="A285" s="11" t="s">
        <v>3641</v>
      </c>
      <c r="B285" s="11" t="s">
        <v>1472</v>
      </c>
      <c r="C285" s="11" t="s">
        <v>1929</v>
      </c>
      <c r="D285" s="11" t="b">
        <f aca="false">FALSE()</f>
        <v>0</v>
      </c>
      <c r="E285" s="11" t="b">
        <f aca="false">FALSE()</f>
        <v>0</v>
      </c>
      <c r="F285" s="11" t="s">
        <v>1978</v>
      </c>
      <c r="G285" s="11" t="s">
        <v>1979</v>
      </c>
      <c r="H285" s="11" t="s">
        <v>1980</v>
      </c>
      <c r="I285" s="11" t="s">
        <v>1981</v>
      </c>
      <c r="J285" s="11" t="s">
        <v>1982</v>
      </c>
      <c r="K285" s="11" t="s">
        <v>1983</v>
      </c>
      <c r="L285" s="11" t="s">
        <v>1984</v>
      </c>
      <c r="M285" s="11" t="s">
        <v>1984</v>
      </c>
      <c r="N285" s="11" t="s">
        <v>1984</v>
      </c>
      <c r="O285" s="11" t="s">
        <v>1985</v>
      </c>
      <c r="P285" s="11" t="s">
        <v>1986</v>
      </c>
      <c r="Q285" s="11" t="s">
        <v>1987</v>
      </c>
      <c r="R285" s="11" t="s">
        <v>1988</v>
      </c>
      <c r="S285" s="11" t="s">
        <v>1988</v>
      </c>
      <c r="T285" s="11" t="s">
        <v>1988</v>
      </c>
      <c r="U285" s="11" t="s">
        <v>1988</v>
      </c>
      <c r="V285" s="11" t="s">
        <v>1989</v>
      </c>
      <c r="W285" s="11" t="s">
        <v>1990</v>
      </c>
      <c r="X285" s="11" t="s">
        <v>3642</v>
      </c>
      <c r="Y285" s="12" t="n">
        <f aca="false">COUNTIF($A$6:$A$339,A285)</f>
        <v>1</v>
      </c>
    </row>
    <row r="286" customFormat="false" ht="240" hidden="false" customHeight="true" outlineLevel="0" collapsed="false">
      <c r="A286" s="11" t="s">
        <v>3643</v>
      </c>
      <c r="B286" s="11" t="s">
        <v>1476</v>
      </c>
      <c r="C286" s="11" t="s">
        <v>1911</v>
      </c>
      <c r="D286" s="11" t="b">
        <f aca="false">TRUE()</f>
        <v>1</v>
      </c>
      <c r="E286" s="11" t="b">
        <f aca="false">TRUE()</f>
        <v>1</v>
      </c>
      <c r="F286" s="11"/>
      <c r="G286" s="11" t="s">
        <v>3644</v>
      </c>
      <c r="H286" s="11" t="s">
        <v>3645</v>
      </c>
      <c r="I286" s="11" t="s">
        <v>3646</v>
      </c>
      <c r="J286" s="11" t="s">
        <v>2198</v>
      </c>
      <c r="K286" s="11" t="s">
        <v>1849</v>
      </c>
      <c r="L286" s="11" t="s">
        <v>3647</v>
      </c>
      <c r="M286" s="11" t="s">
        <v>1917</v>
      </c>
      <c r="N286" s="11" t="s">
        <v>3648</v>
      </c>
      <c r="O286" s="11" t="s">
        <v>3649</v>
      </c>
      <c r="P286" s="11" t="s">
        <v>1920</v>
      </c>
      <c r="Q286" s="11" t="s">
        <v>3650</v>
      </c>
      <c r="R286" s="11" t="s">
        <v>3651</v>
      </c>
      <c r="S286" s="11" t="s">
        <v>3652</v>
      </c>
      <c r="T286" s="11" t="s">
        <v>3652</v>
      </c>
      <c r="U286" s="11" t="s">
        <v>1924</v>
      </c>
      <c r="V286" s="11" t="s">
        <v>1925</v>
      </c>
      <c r="W286" s="11" t="s">
        <v>1926</v>
      </c>
      <c r="X286" s="11" t="s">
        <v>3653</v>
      </c>
      <c r="Y286" s="12" t="n">
        <f aca="false">COUNTIF($A$6:$A$339,A286)</f>
        <v>1</v>
      </c>
    </row>
    <row r="287" customFormat="false" ht="240" hidden="false" customHeight="true" outlineLevel="0" collapsed="false">
      <c r="A287" s="11" t="s">
        <v>3654</v>
      </c>
      <c r="B287" s="11" t="s">
        <v>1476</v>
      </c>
      <c r="C287" s="11" t="s">
        <v>1929</v>
      </c>
      <c r="D287" s="11" t="b">
        <f aca="false">FALSE()</f>
        <v>0</v>
      </c>
      <c r="E287" s="11" t="b">
        <f aca="false">FALSE()</f>
        <v>0</v>
      </c>
      <c r="F287" s="11" t="s">
        <v>1978</v>
      </c>
      <c r="G287" s="11" t="s">
        <v>1979</v>
      </c>
      <c r="H287" s="11" t="s">
        <v>1980</v>
      </c>
      <c r="I287" s="11" t="s">
        <v>1981</v>
      </c>
      <c r="J287" s="11" t="s">
        <v>1982</v>
      </c>
      <c r="K287" s="11" t="s">
        <v>1983</v>
      </c>
      <c r="L287" s="11" t="s">
        <v>1984</v>
      </c>
      <c r="M287" s="11" t="s">
        <v>1984</v>
      </c>
      <c r="N287" s="11" t="s">
        <v>1984</v>
      </c>
      <c r="O287" s="11" t="s">
        <v>1985</v>
      </c>
      <c r="P287" s="11" t="s">
        <v>1986</v>
      </c>
      <c r="Q287" s="11" t="s">
        <v>1987</v>
      </c>
      <c r="R287" s="11" t="s">
        <v>1988</v>
      </c>
      <c r="S287" s="11" t="s">
        <v>1988</v>
      </c>
      <c r="T287" s="11" t="s">
        <v>1988</v>
      </c>
      <c r="U287" s="11" t="s">
        <v>1988</v>
      </c>
      <c r="V287" s="11" t="s">
        <v>1989</v>
      </c>
      <c r="W287" s="11" t="s">
        <v>1990</v>
      </c>
      <c r="X287" s="11" t="s">
        <v>3655</v>
      </c>
      <c r="Y287" s="12" t="n">
        <f aca="false">COUNTIF($A$6:$A$339,A287)</f>
        <v>1</v>
      </c>
    </row>
    <row r="288" customFormat="false" ht="240" hidden="false" customHeight="true" outlineLevel="0" collapsed="false">
      <c r="A288" s="11" t="s">
        <v>3656</v>
      </c>
      <c r="B288" s="11" t="s">
        <v>1480</v>
      </c>
      <c r="C288" s="11" t="s">
        <v>1911</v>
      </c>
      <c r="D288" s="11" t="b">
        <f aca="false">TRUE()</f>
        <v>1</v>
      </c>
      <c r="E288" s="11" t="b">
        <f aca="false">FALSE()</f>
        <v>0</v>
      </c>
      <c r="F288" s="11"/>
      <c r="G288" s="11" t="s">
        <v>3657</v>
      </c>
      <c r="H288" s="11" t="s">
        <v>3658</v>
      </c>
      <c r="I288" s="11" t="s">
        <v>3659</v>
      </c>
      <c r="J288" s="11" t="s">
        <v>3660</v>
      </c>
      <c r="K288" s="11" t="s">
        <v>1850</v>
      </c>
      <c r="L288" s="11" t="s">
        <v>3661</v>
      </c>
      <c r="M288" s="11" t="s">
        <v>1917</v>
      </c>
      <c r="N288" s="11" t="s">
        <v>3662</v>
      </c>
      <c r="O288" s="11" t="s">
        <v>3662</v>
      </c>
      <c r="P288" s="11" t="s">
        <v>1920</v>
      </c>
      <c r="Q288" s="11" t="s">
        <v>3662</v>
      </c>
      <c r="R288" s="11" t="s">
        <v>3663</v>
      </c>
      <c r="S288" s="11" t="s">
        <v>1959</v>
      </c>
      <c r="T288" s="11" t="s">
        <v>1960</v>
      </c>
      <c r="U288" s="11" t="s">
        <v>1924</v>
      </c>
      <c r="V288" s="11" t="s">
        <v>1925</v>
      </c>
      <c r="W288" s="11" t="s">
        <v>1926</v>
      </c>
      <c r="X288" s="11" t="s">
        <v>3664</v>
      </c>
      <c r="Y288" s="12" t="n">
        <f aca="false">COUNTIF($A$6:$A$339,A288)</f>
        <v>1</v>
      </c>
    </row>
    <row r="289" customFormat="false" ht="240" hidden="false" customHeight="true" outlineLevel="0" collapsed="false">
      <c r="A289" s="11" t="s">
        <v>3665</v>
      </c>
      <c r="B289" s="11" t="s">
        <v>1480</v>
      </c>
      <c r="C289" s="11" t="s">
        <v>1929</v>
      </c>
      <c r="D289" s="11" t="b">
        <f aca="false">FALSE()</f>
        <v>0</v>
      </c>
      <c r="E289" s="11" t="b">
        <f aca="false">FALSE()</f>
        <v>0</v>
      </c>
      <c r="F289" s="11" t="s">
        <v>1978</v>
      </c>
      <c r="G289" s="11" t="s">
        <v>1979</v>
      </c>
      <c r="H289" s="11" t="s">
        <v>1980</v>
      </c>
      <c r="I289" s="11" t="s">
        <v>1981</v>
      </c>
      <c r="J289" s="11" t="s">
        <v>1982</v>
      </c>
      <c r="K289" s="11" t="s">
        <v>1983</v>
      </c>
      <c r="L289" s="11" t="s">
        <v>1984</v>
      </c>
      <c r="M289" s="11" t="s">
        <v>1984</v>
      </c>
      <c r="N289" s="11" t="s">
        <v>1984</v>
      </c>
      <c r="O289" s="11" t="s">
        <v>1985</v>
      </c>
      <c r="P289" s="11" t="s">
        <v>1986</v>
      </c>
      <c r="Q289" s="11" t="s">
        <v>1987</v>
      </c>
      <c r="R289" s="11" t="s">
        <v>1988</v>
      </c>
      <c r="S289" s="11" t="s">
        <v>1988</v>
      </c>
      <c r="T289" s="11" t="s">
        <v>1988</v>
      </c>
      <c r="U289" s="11" t="s">
        <v>1988</v>
      </c>
      <c r="V289" s="11" t="s">
        <v>1989</v>
      </c>
      <c r="W289" s="11" t="s">
        <v>1990</v>
      </c>
      <c r="X289" s="11" t="s">
        <v>3666</v>
      </c>
      <c r="Y289" s="12" t="n">
        <f aca="false">COUNTIF($A$6:$A$339,A289)</f>
        <v>1</v>
      </c>
    </row>
    <row r="290" customFormat="false" ht="240" hidden="false" customHeight="true" outlineLevel="0" collapsed="false">
      <c r="A290" s="11" t="s">
        <v>3667</v>
      </c>
      <c r="B290" s="11" t="s">
        <v>1483</v>
      </c>
      <c r="C290" s="11" t="s">
        <v>1911</v>
      </c>
      <c r="D290" s="11" t="b">
        <f aca="false">TRUE()</f>
        <v>1</v>
      </c>
      <c r="E290" s="11" t="b">
        <f aca="false">TRUE()</f>
        <v>1</v>
      </c>
      <c r="F290" s="11"/>
      <c r="G290" s="11" t="s">
        <v>3668</v>
      </c>
      <c r="H290" s="11" t="s">
        <v>3669</v>
      </c>
      <c r="I290" s="11" t="s">
        <v>3670</v>
      </c>
      <c r="J290" s="11" t="s">
        <v>3671</v>
      </c>
      <c r="K290" s="11" t="s">
        <v>1851</v>
      </c>
      <c r="L290" s="11" t="s">
        <v>3672</v>
      </c>
      <c r="M290" s="11" t="s">
        <v>1917</v>
      </c>
      <c r="N290" s="11" t="s">
        <v>3673</v>
      </c>
      <c r="O290" s="11" t="s">
        <v>3674</v>
      </c>
      <c r="P290" s="11" t="s">
        <v>1920</v>
      </c>
      <c r="Q290" s="11" t="s">
        <v>3675</v>
      </c>
      <c r="R290" s="11" t="s">
        <v>3676</v>
      </c>
      <c r="S290" s="11" t="s">
        <v>3677</v>
      </c>
      <c r="T290" s="11" t="s">
        <v>3677</v>
      </c>
      <c r="U290" s="11" t="s">
        <v>1924</v>
      </c>
      <c r="V290" s="11" t="s">
        <v>1925</v>
      </c>
      <c r="W290" s="11" t="s">
        <v>1926</v>
      </c>
      <c r="X290" s="11" t="s">
        <v>3678</v>
      </c>
      <c r="Y290" s="12" t="n">
        <f aca="false">COUNTIF($A$6:$A$339,A290)</f>
        <v>1</v>
      </c>
    </row>
    <row r="291" customFormat="false" ht="240" hidden="false" customHeight="true" outlineLevel="0" collapsed="false">
      <c r="A291" s="11" t="s">
        <v>3679</v>
      </c>
      <c r="B291" s="11" t="s">
        <v>1483</v>
      </c>
      <c r="C291" s="11" t="s">
        <v>1929</v>
      </c>
      <c r="D291" s="11" t="b">
        <f aca="false">FALSE()</f>
        <v>0</v>
      </c>
      <c r="E291" s="11" t="b">
        <f aca="false">FALSE()</f>
        <v>0</v>
      </c>
      <c r="F291" s="11" t="s">
        <v>1978</v>
      </c>
      <c r="G291" s="11" t="s">
        <v>1979</v>
      </c>
      <c r="H291" s="11" t="s">
        <v>1980</v>
      </c>
      <c r="I291" s="11" t="s">
        <v>1981</v>
      </c>
      <c r="J291" s="11" t="s">
        <v>1982</v>
      </c>
      <c r="K291" s="11" t="s">
        <v>1983</v>
      </c>
      <c r="L291" s="11" t="s">
        <v>1984</v>
      </c>
      <c r="M291" s="11" t="s">
        <v>1984</v>
      </c>
      <c r="N291" s="11" t="s">
        <v>1984</v>
      </c>
      <c r="O291" s="11" t="s">
        <v>1985</v>
      </c>
      <c r="P291" s="11" t="s">
        <v>1986</v>
      </c>
      <c r="Q291" s="11" t="s">
        <v>1987</v>
      </c>
      <c r="R291" s="11" t="s">
        <v>1988</v>
      </c>
      <c r="S291" s="11" t="s">
        <v>1988</v>
      </c>
      <c r="T291" s="11" t="s">
        <v>1988</v>
      </c>
      <c r="U291" s="11" t="s">
        <v>1988</v>
      </c>
      <c r="V291" s="11" t="s">
        <v>1989</v>
      </c>
      <c r="W291" s="11" t="s">
        <v>1990</v>
      </c>
      <c r="X291" s="11" t="s">
        <v>3680</v>
      </c>
      <c r="Y291" s="12" t="n">
        <f aca="false">COUNTIF($A$6:$A$339,A291)</f>
        <v>1</v>
      </c>
    </row>
    <row r="292" customFormat="false" ht="240" hidden="false" customHeight="true" outlineLevel="0" collapsed="false">
      <c r="A292" s="11" t="s">
        <v>3681</v>
      </c>
      <c r="B292" s="11" t="s">
        <v>1487</v>
      </c>
      <c r="C292" s="11" t="s">
        <v>1911</v>
      </c>
      <c r="D292" s="11" t="b">
        <f aca="false">TRUE()</f>
        <v>1</v>
      </c>
      <c r="E292" s="11" t="b">
        <f aca="false">TRUE()</f>
        <v>1</v>
      </c>
      <c r="F292" s="11"/>
      <c r="G292" s="11" t="s">
        <v>3682</v>
      </c>
      <c r="H292" s="11" t="s">
        <v>3683</v>
      </c>
      <c r="I292" s="11" t="s">
        <v>3684</v>
      </c>
      <c r="J292" s="11" t="s">
        <v>2198</v>
      </c>
      <c r="K292" s="11" t="s">
        <v>1852</v>
      </c>
      <c r="L292" s="11" t="s">
        <v>3685</v>
      </c>
      <c r="M292" s="11" t="s">
        <v>1917</v>
      </c>
      <c r="N292" s="11" t="s">
        <v>3686</v>
      </c>
      <c r="O292" s="11" t="s">
        <v>3687</v>
      </c>
      <c r="P292" s="11" t="s">
        <v>1920</v>
      </c>
      <c r="Q292" s="11" t="s">
        <v>3688</v>
      </c>
      <c r="R292" s="11" t="s">
        <v>3689</v>
      </c>
      <c r="S292" s="11" t="s">
        <v>3690</v>
      </c>
      <c r="T292" s="11" t="s">
        <v>3690</v>
      </c>
      <c r="U292" s="11" t="s">
        <v>1924</v>
      </c>
      <c r="V292" s="11" t="s">
        <v>1925</v>
      </c>
      <c r="W292" s="11" t="s">
        <v>1926</v>
      </c>
      <c r="X292" s="11" t="s">
        <v>3691</v>
      </c>
      <c r="Y292" s="12" t="n">
        <f aca="false">COUNTIF($A$6:$A$339,A292)</f>
        <v>1</v>
      </c>
    </row>
    <row r="293" customFormat="false" ht="240" hidden="false" customHeight="true" outlineLevel="0" collapsed="false">
      <c r="A293" s="11" t="s">
        <v>3692</v>
      </c>
      <c r="B293" s="11" t="s">
        <v>1487</v>
      </c>
      <c r="C293" s="11" t="s">
        <v>1929</v>
      </c>
      <c r="D293" s="11" t="b">
        <f aca="false">FALSE()</f>
        <v>0</v>
      </c>
      <c r="E293" s="11" t="b">
        <f aca="false">FALSE()</f>
        <v>0</v>
      </c>
      <c r="F293" s="11" t="s">
        <v>1978</v>
      </c>
      <c r="G293" s="11" t="s">
        <v>1979</v>
      </c>
      <c r="H293" s="11" t="s">
        <v>1980</v>
      </c>
      <c r="I293" s="11" t="s">
        <v>1981</v>
      </c>
      <c r="J293" s="11" t="s">
        <v>1982</v>
      </c>
      <c r="K293" s="11" t="s">
        <v>1983</v>
      </c>
      <c r="L293" s="11" t="s">
        <v>1984</v>
      </c>
      <c r="M293" s="11" t="s">
        <v>1984</v>
      </c>
      <c r="N293" s="11" t="s">
        <v>1984</v>
      </c>
      <c r="O293" s="11" t="s">
        <v>1985</v>
      </c>
      <c r="P293" s="11" t="s">
        <v>1986</v>
      </c>
      <c r="Q293" s="11" t="s">
        <v>1987</v>
      </c>
      <c r="R293" s="11" t="s">
        <v>1988</v>
      </c>
      <c r="S293" s="11" t="s">
        <v>1988</v>
      </c>
      <c r="T293" s="11" t="s">
        <v>1988</v>
      </c>
      <c r="U293" s="11" t="s">
        <v>1988</v>
      </c>
      <c r="V293" s="11" t="s">
        <v>1989</v>
      </c>
      <c r="W293" s="11" t="s">
        <v>1990</v>
      </c>
      <c r="X293" s="11" t="s">
        <v>3693</v>
      </c>
      <c r="Y293" s="12" t="n">
        <f aca="false">COUNTIF($A$6:$A$339,A293)</f>
        <v>1</v>
      </c>
    </row>
    <row r="294" customFormat="false" ht="240" hidden="false" customHeight="true" outlineLevel="0" collapsed="false">
      <c r="A294" s="11" t="s">
        <v>3694</v>
      </c>
      <c r="B294" s="11" t="s">
        <v>1493</v>
      </c>
      <c r="C294" s="11" t="s">
        <v>1911</v>
      </c>
      <c r="D294" s="11" t="b">
        <f aca="false">TRUE()</f>
        <v>1</v>
      </c>
      <c r="E294" s="11" t="b">
        <f aca="false">FALSE()</f>
        <v>0</v>
      </c>
      <c r="F294" s="11"/>
      <c r="G294" s="11" t="s">
        <v>3695</v>
      </c>
      <c r="H294" s="11" t="s">
        <v>3696</v>
      </c>
      <c r="I294" s="11" t="s">
        <v>3697</v>
      </c>
      <c r="J294" s="11" t="s">
        <v>3698</v>
      </c>
      <c r="K294" s="11" t="s">
        <v>1853</v>
      </c>
      <c r="L294" s="11" t="s">
        <v>3699</v>
      </c>
      <c r="M294" s="11" t="s">
        <v>1917</v>
      </c>
      <c r="N294" s="11" t="s">
        <v>2186</v>
      </c>
      <c r="O294" s="11" t="s">
        <v>3700</v>
      </c>
      <c r="P294" s="11" t="s">
        <v>1920</v>
      </c>
      <c r="Q294" s="11" t="s">
        <v>3701</v>
      </c>
      <c r="R294" s="11" t="s">
        <v>3702</v>
      </c>
      <c r="S294" s="11" t="s">
        <v>1959</v>
      </c>
      <c r="T294" s="11" t="s">
        <v>1960</v>
      </c>
      <c r="U294" s="11" t="s">
        <v>1924</v>
      </c>
      <c r="V294" s="11" t="s">
        <v>1925</v>
      </c>
      <c r="W294" s="11" t="s">
        <v>1926</v>
      </c>
      <c r="X294" s="11" t="s">
        <v>3703</v>
      </c>
      <c r="Y294" s="12" t="n">
        <f aca="false">COUNTIF($A$6:$A$339,A294)</f>
        <v>1</v>
      </c>
    </row>
    <row r="295" customFormat="false" ht="240" hidden="false" customHeight="true" outlineLevel="0" collapsed="false">
      <c r="A295" s="11" t="s">
        <v>3704</v>
      </c>
      <c r="B295" s="11" t="s">
        <v>1493</v>
      </c>
      <c r="C295" s="11" t="s">
        <v>1929</v>
      </c>
      <c r="D295" s="11" t="b">
        <f aca="false">TRUE()</f>
        <v>1</v>
      </c>
      <c r="E295" s="11" t="b">
        <f aca="false">FALSE()</f>
        <v>0</v>
      </c>
      <c r="F295" s="11"/>
      <c r="G295" s="11" t="s">
        <v>3695</v>
      </c>
      <c r="H295" s="11" t="s">
        <v>3696</v>
      </c>
      <c r="I295" s="11" t="s">
        <v>3697</v>
      </c>
      <c r="J295" s="11" t="s">
        <v>3698</v>
      </c>
      <c r="K295" s="11" t="s">
        <v>1854</v>
      </c>
      <c r="L295" s="11" t="s">
        <v>3705</v>
      </c>
      <c r="M295" s="11" t="s">
        <v>1931</v>
      </c>
      <c r="N295" s="11" t="s">
        <v>2186</v>
      </c>
      <c r="O295" s="11" t="s">
        <v>3700</v>
      </c>
      <c r="P295" s="11" t="s">
        <v>1920</v>
      </c>
      <c r="Q295" s="11" t="s">
        <v>3701</v>
      </c>
      <c r="R295" s="11" t="s">
        <v>3702</v>
      </c>
      <c r="S295" s="11" t="s">
        <v>1959</v>
      </c>
      <c r="T295" s="11" t="s">
        <v>1960</v>
      </c>
      <c r="U295" s="11" t="s">
        <v>1932</v>
      </c>
      <c r="V295" s="11" t="s">
        <v>1925</v>
      </c>
      <c r="W295" s="11" t="s">
        <v>1926</v>
      </c>
      <c r="X295" s="11" t="s">
        <v>3706</v>
      </c>
      <c r="Y295" s="12" t="n">
        <f aca="false">COUNTIF($A$6:$A$339,A295)</f>
        <v>1</v>
      </c>
    </row>
    <row r="296" customFormat="false" ht="240" hidden="false" customHeight="true" outlineLevel="0" collapsed="false">
      <c r="A296" s="11" t="s">
        <v>3707</v>
      </c>
      <c r="B296" s="11" t="s">
        <v>1496</v>
      </c>
      <c r="C296" s="11" t="s">
        <v>1911</v>
      </c>
      <c r="D296" s="11" t="b">
        <f aca="false">TRUE()</f>
        <v>1</v>
      </c>
      <c r="E296" s="11" t="b">
        <f aca="false">FALSE()</f>
        <v>0</v>
      </c>
      <c r="F296" s="11"/>
      <c r="G296" s="11" t="s">
        <v>3708</v>
      </c>
      <c r="H296" s="11" t="s">
        <v>3709</v>
      </c>
      <c r="I296" s="11" t="s">
        <v>3710</v>
      </c>
      <c r="J296" s="11" t="s">
        <v>2198</v>
      </c>
      <c r="K296" s="11" t="s">
        <v>1855</v>
      </c>
      <c r="L296" s="11" t="s">
        <v>2199</v>
      </c>
      <c r="M296" s="11" t="s">
        <v>1917</v>
      </c>
      <c r="N296" s="11" t="s">
        <v>2186</v>
      </c>
      <c r="O296" s="11" t="s">
        <v>3711</v>
      </c>
      <c r="P296" s="11" t="s">
        <v>1920</v>
      </c>
      <c r="Q296" s="11" t="s">
        <v>3711</v>
      </c>
      <c r="R296" s="11" t="s">
        <v>3712</v>
      </c>
      <c r="S296" s="11" t="s">
        <v>1959</v>
      </c>
      <c r="T296" s="11" t="s">
        <v>1960</v>
      </c>
      <c r="U296" s="11" t="s">
        <v>1924</v>
      </c>
      <c r="V296" s="11" t="s">
        <v>1925</v>
      </c>
      <c r="W296" s="11" t="s">
        <v>1926</v>
      </c>
      <c r="X296" s="11" t="s">
        <v>3713</v>
      </c>
      <c r="Y296" s="12" t="n">
        <f aca="false">COUNTIF($A$6:$A$339,A296)</f>
        <v>1</v>
      </c>
    </row>
    <row r="297" customFormat="false" ht="240" hidden="false" customHeight="true" outlineLevel="0" collapsed="false">
      <c r="A297" s="11" t="s">
        <v>3714</v>
      </c>
      <c r="B297" s="11" t="s">
        <v>1496</v>
      </c>
      <c r="C297" s="11" t="s">
        <v>1929</v>
      </c>
      <c r="D297" s="11" t="b">
        <f aca="false">TRUE()</f>
        <v>1</v>
      </c>
      <c r="E297" s="11" t="b">
        <f aca="false">FALSE()</f>
        <v>0</v>
      </c>
      <c r="F297" s="11"/>
      <c r="G297" s="11" t="s">
        <v>3708</v>
      </c>
      <c r="H297" s="11" t="s">
        <v>3709</v>
      </c>
      <c r="I297" s="11" t="s">
        <v>3710</v>
      </c>
      <c r="J297" s="11" t="s">
        <v>2198</v>
      </c>
      <c r="K297" s="11" t="s">
        <v>1856</v>
      </c>
      <c r="L297" s="11" t="s">
        <v>2204</v>
      </c>
      <c r="M297" s="11" t="s">
        <v>1931</v>
      </c>
      <c r="N297" s="11" t="s">
        <v>2186</v>
      </c>
      <c r="O297" s="11" t="s">
        <v>3711</v>
      </c>
      <c r="P297" s="11" t="s">
        <v>1920</v>
      </c>
      <c r="Q297" s="11" t="s">
        <v>3711</v>
      </c>
      <c r="R297" s="11" t="s">
        <v>3712</v>
      </c>
      <c r="S297" s="11" t="s">
        <v>1959</v>
      </c>
      <c r="T297" s="11" t="s">
        <v>1960</v>
      </c>
      <c r="U297" s="11" t="s">
        <v>1932</v>
      </c>
      <c r="V297" s="11" t="s">
        <v>1925</v>
      </c>
      <c r="W297" s="11" t="s">
        <v>1926</v>
      </c>
      <c r="X297" s="11" t="s">
        <v>3715</v>
      </c>
      <c r="Y297" s="12" t="n">
        <f aca="false">COUNTIF($A$6:$A$339,A297)</f>
        <v>1</v>
      </c>
    </row>
    <row r="298" customFormat="false" ht="240" hidden="false" customHeight="true" outlineLevel="0" collapsed="false">
      <c r="A298" s="11" t="s">
        <v>3716</v>
      </c>
      <c r="B298" s="11" t="s">
        <v>1505</v>
      </c>
      <c r="C298" s="11" t="s">
        <v>1911</v>
      </c>
      <c r="D298" s="11" t="b">
        <f aca="false">TRUE()</f>
        <v>1</v>
      </c>
      <c r="E298" s="11" t="b">
        <f aca="false">TRUE()</f>
        <v>1</v>
      </c>
      <c r="F298" s="11"/>
      <c r="G298" s="11" t="s">
        <v>3717</v>
      </c>
      <c r="H298" s="11" t="s">
        <v>3718</v>
      </c>
      <c r="I298" s="11" t="s">
        <v>3719</v>
      </c>
      <c r="J298" s="11" t="s">
        <v>3720</v>
      </c>
      <c r="K298" s="11" t="s">
        <v>1857</v>
      </c>
      <c r="L298" s="11" t="s">
        <v>3721</v>
      </c>
      <c r="M298" s="11" t="s">
        <v>1917</v>
      </c>
      <c r="N298" s="11" t="s">
        <v>3722</v>
      </c>
      <c r="O298" s="11" t="s">
        <v>3723</v>
      </c>
      <c r="P298" s="11" t="s">
        <v>1920</v>
      </c>
      <c r="Q298" s="11" t="s">
        <v>3724</v>
      </c>
      <c r="R298" s="11" t="s">
        <v>3725</v>
      </c>
      <c r="S298" s="11" t="s">
        <v>3726</v>
      </c>
      <c r="T298" s="11" t="s">
        <v>3726</v>
      </c>
      <c r="U298" s="11" t="s">
        <v>1924</v>
      </c>
      <c r="V298" s="11" t="s">
        <v>1925</v>
      </c>
      <c r="W298" s="11" t="s">
        <v>1926</v>
      </c>
      <c r="X298" s="11" t="s">
        <v>3727</v>
      </c>
      <c r="Y298" s="12" t="n">
        <f aca="false">COUNTIF($A$6:$A$339,A298)</f>
        <v>1</v>
      </c>
    </row>
    <row r="299" customFormat="false" ht="240" hidden="false" customHeight="true" outlineLevel="0" collapsed="false">
      <c r="A299" s="11" t="s">
        <v>3728</v>
      </c>
      <c r="B299" s="11" t="s">
        <v>1505</v>
      </c>
      <c r="C299" s="11" t="s">
        <v>1929</v>
      </c>
      <c r="D299" s="11" t="b">
        <f aca="false">FALSE()</f>
        <v>0</v>
      </c>
      <c r="E299" s="11" t="b">
        <f aca="false">FALSE()</f>
        <v>0</v>
      </c>
      <c r="F299" s="11" t="s">
        <v>1978</v>
      </c>
      <c r="G299" s="11" t="s">
        <v>1979</v>
      </c>
      <c r="H299" s="11" t="s">
        <v>1980</v>
      </c>
      <c r="I299" s="11" t="s">
        <v>1981</v>
      </c>
      <c r="J299" s="11" t="s">
        <v>1982</v>
      </c>
      <c r="K299" s="11" t="s">
        <v>1983</v>
      </c>
      <c r="L299" s="11" t="s">
        <v>1984</v>
      </c>
      <c r="M299" s="11" t="s">
        <v>1984</v>
      </c>
      <c r="N299" s="11" t="s">
        <v>1984</v>
      </c>
      <c r="O299" s="11" t="s">
        <v>1985</v>
      </c>
      <c r="P299" s="11" t="s">
        <v>1986</v>
      </c>
      <c r="Q299" s="11" t="s">
        <v>1987</v>
      </c>
      <c r="R299" s="11" t="s">
        <v>1988</v>
      </c>
      <c r="S299" s="11" t="s">
        <v>1988</v>
      </c>
      <c r="T299" s="11" t="s">
        <v>1988</v>
      </c>
      <c r="U299" s="11" t="s">
        <v>1988</v>
      </c>
      <c r="V299" s="11" t="s">
        <v>1989</v>
      </c>
      <c r="W299" s="11" t="s">
        <v>1990</v>
      </c>
      <c r="X299" s="11" t="s">
        <v>3729</v>
      </c>
      <c r="Y299" s="12" t="n">
        <f aca="false">COUNTIF($A$6:$A$339,A299)</f>
        <v>1</v>
      </c>
    </row>
    <row r="300" customFormat="false" ht="240" hidden="false" customHeight="true" outlineLevel="0" collapsed="false">
      <c r="A300" s="11" t="s">
        <v>3730</v>
      </c>
      <c r="B300" s="11" t="s">
        <v>1511</v>
      </c>
      <c r="C300" s="11" t="s">
        <v>1911</v>
      </c>
      <c r="D300" s="11" t="b">
        <f aca="false">TRUE()</f>
        <v>1</v>
      </c>
      <c r="E300" s="11" t="b">
        <f aca="false">TRUE()</f>
        <v>1</v>
      </c>
      <c r="F300" s="11"/>
      <c r="G300" s="11" t="s">
        <v>3731</v>
      </c>
      <c r="H300" s="11" t="s">
        <v>3732</v>
      </c>
      <c r="I300" s="11" t="s">
        <v>3733</v>
      </c>
      <c r="J300" s="11" t="s">
        <v>3734</v>
      </c>
      <c r="K300" s="11" t="s">
        <v>1858</v>
      </c>
      <c r="L300" s="11" t="s">
        <v>3735</v>
      </c>
      <c r="M300" s="11" t="s">
        <v>1917</v>
      </c>
      <c r="N300" s="11" t="s">
        <v>3733</v>
      </c>
      <c r="O300" s="11" t="s">
        <v>2187</v>
      </c>
      <c r="P300" s="11" t="s">
        <v>1920</v>
      </c>
      <c r="Q300" s="11" t="s">
        <v>3736</v>
      </c>
      <c r="R300" s="11" t="s">
        <v>3737</v>
      </c>
      <c r="S300" s="11" t="s">
        <v>3735</v>
      </c>
      <c r="T300" s="11" t="s">
        <v>3735</v>
      </c>
      <c r="U300" s="11" t="s">
        <v>1924</v>
      </c>
      <c r="V300" s="11" t="s">
        <v>1925</v>
      </c>
      <c r="W300" s="11" t="s">
        <v>1926</v>
      </c>
      <c r="X300" s="11" t="s">
        <v>3738</v>
      </c>
      <c r="Y300" s="12" t="n">
        <f aca="false">COUNTIF($A$6:$A$339,A300)</f>
        <v>1</v>
      </c>
    </row>
    <row r="301" customFormat="false" ht="240" hidden="false" customHeight="true" outlineLevel="0" collapsed="false">
      <c r="A301" s="11" t="s">
        <v>3739</v>
      </c>
      <c r="B301" s="11" t="s">
        <v>1511</v>
      </c>
      <c r="C301" s="11" t="s">
        <v>1929</v>
      </c>
      <c r="D301" s="11" t="b">
        <f aca="false">FALSE()</f>
        <v>0</v>
      </c>
      <c r="E301" s="11" t="b">
        <f aca="false">FALSE()</f>
        <v>0</v>
      </c>
      <c r="F301" s="11" t="s">
        <v>1978</v>
      </c>
      <c r="G301" s="11" t="s">
        <v>1979</v>
      </c>
      <c r="H301" s="11" t="s">
        <v>1980</v>
      </c>
      <c r="I301" s="11" t="s">
        <v>1981</v>
      </c>
      <c r="J301" s="11" t="s">
        <v>1982</v>
      </c>
      <c r="K301" s="11" t="s">
        <v>1983</v>
      </c>
      <c r="L301" s="11" t="s">
        <v>1984</v>
      </c>
      <c r="M301" s="11" t="s">
        <v>1984</v>
      </c>
      <c r="N301" s="11" t="s">
        <v>1984</v>
      </c>
      <c r="O301" s="11" t="s">
        <v>1985</v>
      </c>
      <c r="P301" s="11" t="s">
        <v>1986</v>
      </c>
      <c r="Q301" s="11" t="s">
        <v>1987</v>
      </c>
      <c r="R301" s="11" t="s">
        <v>1988</v>
      </c>
      <c r="S301" s="11" t="s">
        <v>1988</v>
      </c>
      <c r="T301" s="11" t="s">
        <v>1988</v>
      </c>
      <c r="U301" s="11" t="s">
        <v>1988</v>
      </c>
      <c r="V301" s="11" t="s">
        <v>1989</v>
      </c>
      <c r="W301" s="11" t="s">
        <v>1990</v>
      </c>
      <c r="X301" s="11" t="s">
        <v>3740</v>
      </c>
      <c r="Y301" s="12" t="n">
        <f aca="false">COUNTIF($A$6:$A$339,A301)</f>
        <v>1</v>
      </c>
    </row>
    <row r="302" customFormat="false" ht="240" hidden="false" customHeight="true" outlineLevel="0" collapsed="false">
      <c r="A302" s="11" t="s">
        <v>3741</v>
      </c>
      <c r="B302" s="11" t="s">
        <v>1515</v>
      </c>
      <c r="C302" s="11" t="s">
        <v>1911</v>
      </c>
      <c r="D302" s="11" t="b">
        <f aca="false">TRUE()</f>
        <v>1</v>
      </c>
      <c r="E302" s="11" t="b">
        <f aca="false">TRUE()</f>
        <v>1</v>
      </c>
      <c r="F302" s="11"/>
      <c r="G302" s="11" t="s">
        <v>3742</v>
      </c>
      <c r="H302" s="11" t="s">
        <v>3743</v>
      </c>
      <c r="I302" s="11" t="s">
        <v>3744</v>
      </c>
      <c r="J302" s="11" t="s">
        <v>3745</v>
      </c>
      <c r="K302" s="11" t="s">
        <v>1859</v>
      </c>
      <c r="L302" s="11" t="s">
        <v>3746</v>
      </c>
      <c r="M302" s="11" t="s">
        <v>1917</v>
      </c>
      <c r="N302" s="11" t="s">
        <v>3744</v>
      </c>
      <c r="O302" s="11" t="s">
        <v>2187</v>
      </c>
      <c r="P302" s="11" t="s">
        <v>1920</v>
      </c>
      <c r="Q302" s="11" t="s">
        <v>3747</v>
      </c>
      <c r="R302" s="11" t="s">
        <v>3748</v>
      </c>
      <c r="S302" s="11" t="s">
        <v>3749</v>
      </c>
      <c r="T302" s="11" t="s">
        <v>3749</v>
      </c>
      <c r="U302" s="11" t="s">
        <v>1924</v>
      </c>
      <c r="V302" s="11" t="s">
        <v>1925</v>
      </c>
      <c r="W302" s="11" t="s">
        <v>1926</v>
      </c>
      <c r="X302" s="11" t="s">
        <v>3750</v>
      </c>
      <c r="Y302" s="12" t="n">
        <f aca="false">COUNTIF($A$6:$A$339,A302)</f>
        <v>1</v>
      </c>
    </row>
    <row r="303" customFormat="false" ht="240" hidden="false" customHeight="true" outlineLevel="0" collapsed="false">
      <c r="A303" s="11" t="s">
        <v>3751</v>
      </c>
      <c r="B303" s="11" t="s">
        <v>1515</v>
      </c>
      <c r="C303" s="11" t="s">
        <v>1929</v>
      </c>
      <c r="D303" s="11" t="b">
        <f aca="false">TRUE()</f>
        <v>1</v>
      </c>
      <c r="E303" s="11" t="b">
        <f aca="false">TRUE()</f>
        <v>1</v>
      </c>
      <c r="F303" s="11"/>
      <c r="G303" s="11" t="s">
        <v>3742</v>
      </c>
      <c r="H303" s="11" t="s">
        <v>3743</v>
      </c>
      <c r="I303" s="11" t="s">
        <v>3744</v>
      </c>
      <c r="J303" s="11" t="s">
        <v>3745</v>
      </c>
      <c r="K303" s="11" t="s">
        <v>1860</v>
      </c>
      <c r="L303" s="11" t="s">
        <v>3752</v>
      </c>
      <c r="M303" s="11" t="s">
        <v>1931</v>
      </c>
      <c r="N303" s="11" t="s">
        <v>3744</v>
      </c>
      <c r="O303" s="11" t="s">
        <v>2187</v>
      </c>
      <c r="P303" s="11" t="s">
        <v>1920</v>
      </c>
      <c r="Q303" s="11" t="s">
        <v>3747</v>
      </c>
      <c r="R303" s="11" t="s">
        <v>3748</v>
      </c>
      <c r="S303" s="11" t="s">
        <v>3749</v>
      </c>
      <c r="T303" s="11" t="s">
        <v>3749</v>
      </c>
      <c r="U303" s="11" t="s">
        <v>1932</v>
      </c>
      <c r="V303" s="11" t="s">
        <v>1925</v>
      </c>
      <c r="W303" s="11" t="s">
        <v>1926</v>
      </c>
      <c r="X303" s="11" t="s">
        <v>3753</v>
      </c>
      <c r="Y303" s="12" t="n">
        <f aca="false">COUNTIF($A$6:$A$339,A303)</f>
        <v>1</v>
      </c>
    </row>
    <row r="304" customFormat="false" ht="240" hidden="false" customHeight="true" outlineLevel="0" collapsed="false">
      <c r="A304" s="11" t="s">
        <v>3754</v>
      </c>
      <c r="B304" s="11" t="s">
        <v>1518</v>
      </c>
      <c r="C304" s="11" t="s">
        <v>1911</v>
      </c>
      <c r="D304" s="11" t="b">
        <f aca="false">TRUE()</f>
        <v>1</v>
      </c>
      <c r="E304" s="11" t="b">
        <f aca="false">FALSE()</f>
        <v>0</v>
      </c>
      <c r="F304" s="11"/>
      <c r="G304" s="11" t="s">
        <v>3755</v>
      </c>
      <c r="H304" s="11" t="s">
        <v>3756</v>
      </c>
      <c r="I304" s="11" t="s">
        <v>3757</v>
      </c>
      <c r="J304" s="11" t="s">
        <v>3758</v>
      </c>
      <c r="K304" s="11" t="s">
        <v>1861</v>
      </c>
      <c r="L304" s="11" t="s">
        <v>3759</v>
      </c>
      <c r="M304" s="11" t="s">
        <v>1917</v>
      </c>
      <c r="N304" s="11" t="s">
        <v>3760</v>
      </c>
      <c r="O304" s="11" t="s">
        <v>3761</v>
      </c>
      <c r="P304" s="11" t="s">
        <v>1920</v>
      </c>
      <c r="Q304" s="11" t="s">
        <v>3762</v>
      </c>
      <c r="R304" s="11" t="s">
        <v>3763</v>
      </c>
      <c r="S304" s="11" t="s">
        <v>3764</v>
      </c>
      <c r="T304" s="11" t="s">
        <v>3764</v>
      </c>
      <c r="U304" s="11" t="s">
        <v>1924</v>
      </c>
      <c r="V304" s="11" t="s">
        <v>1925</v>
      </c>
      <c r="W304" s="11" t="s">
        <v>1926</v>
      </c>
      <c r="X304" s="11" t="s">
        <v>3765</v>
      </c>
      <c r="Y304" s="12" t="n">
        <f aca="false">COUNTIF($A$6:$A$339,A304)</f>
        <v>1</v>
      </c>
    </row>
    <row r="305" customFormat="false" ht="240" hidden="false" customHeight="true" outlineLevel="0" collapsed="false">
      <c r="A305" s="11" t="s">
        <v>3766</v>
      </c>
      <c r="B305" s="11" t="s">
        <v>1518</v>
      </c>
      <c r="C305" s="11" t="s">
        <v>1929</v>
      </c>
      <c r="D305" s="11" t="b">
        <f aca="false">FALSE()</f>
        <v>0</v>
      </c>
      <c r="E305" s="11" t="b">
        <f aca="false">FALSE()</f>
        <v>0</v>
      </c>
      <c r="F305" s="11" t="s">
        <v>1978</v>
      </c>
      <c r="G305" s="11" t="s">
        <v>1979</v>
      </c>
      <c r="H305" s="11" t="s">
        <v>1980</v>
      </c>
      <c r="I305" s="11" t="s">
        <v>1981</v>
      </c>
      <c r="J305" s="11" t="s">
        <v>1982</v>
      </c>
      <c r="K305" s="11" t="s">
        <v>1983</v>
      </c>
      <c r="L305" s="11" t="s">
        <v>1984</v>
      </c>
      <c r="M305" s="11" t="s">
        <v>1984</v>
      </c>
      <c r="N305" s="11" t="s">
        <v>1984</v>
      </c>
      <c r="O305" s="11" t="s">
        <v>1985</v>
      </c>
      <c r="P305" s="11" t="s">
        <v>1986</v>
      </c>
      <c r="Q305" s="11" t="s">
        <v>1987</v>
      </c>
      <c r="R305" s="11" t="s">
        <v>1988</v>
      </c>
      <c r="S305" s="11" t="s">
        <v>1988</v>
      </c>
      <c r="T305" s="11" t="s">
        <v>1988</v>
      </c>
      <c r="U305" s="11" t="s">
        <v>1988</v>
      </c>
      <c r="V305" s="11" t="s">
        <v>1989</v>
      </c>
      <c r="W305" s="11" t="s">
        <v>1990</v>
      </c>
      <c r="X305" s="11" t="s">
        <v>3767</v>
      </c>
      <c r="Y305" s="12" t="n">
        <f aca="false">COUNTIF($A$6:$A$339,A305)</f>
        <v>1</v>
      </c>
    </row>
    <row r="306" customFormat="false" ht="240" hidden="false" customHeight="true" outlineLevel="0" collapsed="false">
      <c r="A306" s="11" t="s">
        <v>3768</v>
      </c>
      <c r="B306" s="11" t="s">
        <v>1530</v>
      </c>
      <c r="C306" s="11" t="s">
        <v>1911</v>
      </c>
      <c r="D306" s="11" t="b">
        <f aca="false">TRUE()</f>
        <v>1</v>
      </c>
      <c r="E306" s="11" t="b">
        <f aca="false">FALSE()</f>
        <v>0</v>
      </c>
      <c r="F306" s="11"/>
      <c r="G306" s="11" t="s">
        <v>3769</v>
      </c>
      <c r="H306" s="11" t="s">
        <v>3770</v>
      </c>
      <c r="I306" s="11" t="s">
        <v>3771</v>
      </c>
      <c r="J306" s="11" t="s">
        <v>3772</v>
      </c>
      <c r="K306" s="11" t="s">
        <v>1862</v>
      </c>
      <c r="L306" s="11" t="s">
        <v>3773</v>
      </c>
      <c r="M306" s="11" t="s">
        <v>1917</v>
      </c>
      <c r="N306" s="11" t="s">
        <v>3774</v>
      </c>
      <c r="O306" s="11" t="s">
        <v>2187</v>
      </c>
      <c r="P306" s="11" t="s">
        <v>1920</v>
      </c>
      <c r="Q306" s="11" t="s">
        <v>3775</v>
      </c>
      <c r="R306" s="11" t="s">
        <v>3776</v>
      </c>
      <c r="S306" s="11" t="s">
        <v>3777</v>
      </c>
      <c r="T306" s="11" t="s">
        <v>3777</v>
      </c>
      <c r="U306" s="11" t="s">
        <v>1924</v>
      </c>
      <c r="V306" s="11" t="s">
        <v>1925</v>
      </c>
      <c r="W306" s="11" t="s">
        <v>1926</v>
      </c>
      <c r="X306" s="11" t="s">
        <v>3778</v>
      </c>
      <c r="Y306" s="12" t="n">
        <f aca="false">COUNTIF($A$6:$A$339,A306)</f>
        <v>1</v>
      </c>
    </row>
    <row r="307" customFormat="false" ht="240" hidden="false" customHeight="true" outlineLevel="0" collapsed="false">
      <c r="A307" s="11" t="s">
        <v>3779</v>
      </c>
      <c r="B307" s="11" t="s">
        <v>1530</v>
      </c>
      <c r="C307" s="11" t="s">
        <v>1929</v>
      </c>
      <c r="D307" s="11" t="b">
        <f aca="false">FALSE()</f>
        <v>0</v>
      </c>
      <c r="E307" s="11" t="b">
        <f aca="false">FALSE()</f>
        <v>0</v>
      </c>
      <c r="F307" s="11" t="s">
        <v>1978</v>
      </c>
      <c r="G307" s="11" t="s">
        <v>1979</v>
      </c>
      <c r="H307" s="11" t="s">
        <v>1980</v>
      </c>
      <c r="I307" s="11" t="s">
        <v>1981</v>
      </c>
      <c r="J307" s="11" t="s">
        <v>1982</v>
      </c>
      <c r="K307" s="11" t="s">
        <v>1983</v>
      </c>
      <c r="L307" s="11" t="s">
        <v>1984</v>
      </c>
      <c r="M307" s="11" t="s">
        <v>1984</v>
      </c>
      <c r="N307" s="11" t="s">
        <v>1984</v>
      </c>
      <c r="O307" s="11" t="s">
        <v>1985</v>
      </c>
      <c r="P307" s="11" t="s">
        <v>1986</v>
      </c>
      <c r="Q307" s="11" t="s">
        <v>1987</v>
      </c>
      <c r="R307" s="11" t="s">
        <v>1988</v>
      </c>
      <c r="S307" s="11" t="s">
        <v>1988</v>
      </c>
      <c r="T307" s="11" t="s">
        <v>1988</v>
      </c>
      <c r="U307" s="11" t="s">
        <v>1988</v>
      </c>
      <c r="V307" s="11" t="s">
        <v>1989</v>
      </c>
      <c r="W307" s="11" t="s">
        <v>1990</v>
      </c>
      <c r="X307" s="11" t="s">
        <v>3780</v>
      </c>
      <c r="Y307" s="12" t="n">
        <f aca="false">COUNTIF($A$6:$A$339,A307)</f>
        <v>1</v>
      </c>
    </row>
    <row r="308" customFormat="false" ht="240" hidden="false" customHeight="true" outlineLevel="0" collapsed="false">
      <c r="A308" s="11" t="s">
        <v>3781</v>
      </c>
      <c r="B308" s="11" t="s">
        <v>1541</v>
      </c>
      <c r="C308" s="11" t="s">
        <v>1911</v>
      </c>
      <c r="D308" s="11" t="b">
        <f aca="false">TRUE()</f>
        <v>1</v>
      </c>
      <c r="E308" s="11" t="b">
        <f aca="false">TRUE()</f>
        <v>1</v>
      </c>
      <c r="F308" s="11"/>
      <c r="G308" s="11" t="s">
        <v>3782</v>
      </c>
      <c r="H308" s="11" t="s">
        <v>3783</v>
      </c>
      <c r="I308" s="11" t="s">
        <v>3784</v>
      </c>
      <c r="J308" s="11" t="s">
        <v>3785</v>
      </c>
      <c r="K308" s="11" t="s">
        <v>1863</v>
      </c>
      <c r="L308" s="11" t="s">
        <v>3786</v>
      </c>
      <c r="M308" s="11" t="s">
        <v>1917</v>
      </c>
      <c r="N308" s="11" t="s">
        <v>3787</v>
      </c>
      <c r="O308" s="11" t="s">
        <v>3788</v>
      </c>
      <c r="P308" s="11" t="s">
        <v>1920</v>
      </c>
      <c r="Q308" s="11" t="s">
        <v>3789</v>
      </c>
      <c r="R308" s="11" t="s">
        <v>3790</v>
      </c>
      <c r="S308" s="11" t="s">
        <v>3791</v>
      </c>
      <c r="T308" s="11" t="s">
        <v>3791</v>
      </c>
      <c r="U308" s="11" t="s">
        <v>1924</v>
      </c>
      <c r="V308" s="11" t="s">
        <v>1925</v>
      </c>
      <c r="W308" s="11" t="s">
        <v>1926</v>
      </c>
      <c r="X308" s="11" t="s">
        <v>3792</v>
      </c>
      <c r="Y308" s="12" t="n">
        <f aca="false">COUNTIF($A$6:$A$339,A308)</f>
        <v>1</v>
      </c>
    </row>
    <row r="309" customFormat="false" ht="240" hidden="false" customHeight="true" outlineLevel="0" collapsed="false">
      <c r="A309" s="11" t="s">
        <v>3793</v>
      </c>
      <c r="B309" s="11" t="s">
        <v>1541</v>
      </c>
      <c r="C309" s="11" t="s">
        <v>1929</v>
      </c>
      <c r="D309" s="11" t="b">
        <f aca="false">FALSE()</f>
        <v>0</v>
      </c>
      <c r="E309" s="11" t="b">
        <f aca="false">FALSE()</f>
        <v>0</v>
      </c>
      <c r="F309" s="11" t="s">
        <v>1978</v>
      </c>
      <c r="G309" s="11" t="s">
        <v>1979</v>
      </c>
      <c r="H309" s="11" t="s">
        <v>1980</v>
      </c>
      <c r="I309" s="11" t="s">
        <v>1981</v>
      </c>
      <c r="J309" s="11" t="s">
        <v>1982</v>
      </c>
      <c r="K309" s="11" t="s">
        <v>1983</v>
      </c>
      <c r="L309" s="11" t="s">
        <v>1984</v>
      </c>
      <c r="M309" s="11" t="s">
        <v>1984</v>
      </c>
      <c r="N309" s="11" t="s">
        <v>1984</v>
      </c>
      <c r="O309" s="11" t="s">
        <v>1985</v>
      </c>
      <c r="P309" s="11" t="s">
        <v>1986</v>
      </c>
      <c r="Q309" s="11" t="s">
        <v>1987</v>
      </c>
      <c r="R309" s="11" t="s">
        <v>1988</v>
      </c>
      <c r="S309" s="11" t="s">
        <v>1988</v>
      </c>
      <c r="T309" s="11" t="s">
        <v>1988</v>
      </c>
      <c r="U309" s="11" t="s">
        <v>1988</v>
      </c>
      <c r="V309" s="11" t="s">
        <v>1989</v>
      </c>
      <c r="W309" s="11" t="s">
        <v>1990</v>
      </c>
      <c r="X309" s="11" t="s">
        <v>3794</v>
      </c>
      <c r="Y309" s="12" t="n">
        <f aca="false">COUNTIF($A$6:$A$339,A309)</f>
        <v>1</v>
      </c>
    </row>
    <row r="310" customFormat="false" ht="240" hidden="false" customHeight="true" outlineLevel="0" collapsed="false">
      <c r="A310" s="11" t="s">
        <v>3795</v>
      </c>
      <c r="B310" s="11" t="s">
        <v>1545</v>
      </c>
      <c r="C310" s="11" t="s">
        <v>1911</v>
      </c>
      <c r="D310" s="11" t="b">
        <f aca="false">TRUE()</f>
        <v>1</v>
      </c>
      <c r="E310" s="11" t="b">
        <f aca="false">TRUE()</f>
        <v>1</v>
      </c>
      <c r="F310" s="11"/>
      <c r="G310" s="11" t="s">
        <v>3796</v>
      </c>
      <c r="H310" s="11" t="s">
        <v>3797</v>
      </c>
      <c r="I310" s="11" t="s">
        <v>3798</v>
      </c>
      <c r="J310" s="11" t="s">
        <v>3799</v>
      </c>
      <c r="K310" s="11" t="s">
        <v>1864</v>
      </c>
      <c r="L310" s="11" t="s">
        <v>3800</v>
      </c>
      <c r="M310" s="11" t="s">
        <v>1917</v>
      </c>
      <c r="N310" s="11" t="s">
        <v>3801</v>
      </c>
      <c r="O310" s="11" t="s">
        <v>2187</v>
      </c>
      <c r="P310" s="11" t="s">
        <v>1920</v>
      </c>
      <c r="Q310" s="11" t="s">
        <v>3802</v>
      </c>
      <c r="R310" s="11" t="s">
        <v>3803</v>
      </c>
      <c r="S310" s="11" t="s">
        <v>3804</v>
      </c>
      <c r="T310" s="11" t="s">
        <v>3804</v>
      </c>
      <c r="U310" s="11" t="s">
        <v>1924</v>
      </c>
      <c r="V310" s="11" t="s">
        <v>3805</v>
      </c>
      <c r="W310" s="11" t="s">
        <v>1926</v>
      </c>
      <c r="X310" s="11" t="s">
        <v>3806</v>
      </c>
      <c r="Y310" s="12" t="n">
        <f aca="false">COUNTIF($A$6:$A$339,A310)</f>
        <v>1</v>
      </c>
    </row>
    <row r="311" customFormat="false" ht="240" hidden="false" customHeight="true" outlineLevel="0" collapsed="false">
      <c r="A311" s="11" t="s">
        <v>3807</v>
      </c>
      <c r="B311" s="11" t="s">
        <v>1545</v>
      </c>
      <c r="C311" s="11" t="s">
        <v>1929</v>
      </c>
      <c r="D311" s="11" t="b">
        <f aca="false">FALSE()</f>
        <v>0</v>
      </c>
      <c r="E311" s="11" t="b">
        <f aca="false">FALSE()</f>
        <v>0</v>
      </c>
      <c r="F311" s="11" t="s">
        <v>1978</v>
      </c>
      <c r="G311" s="11" t="s">
        <v>1979</v>
      </c>
      <c r="H311" s="11" t="s">
        <v>1980</v>
      </c>
      <c r="I311" s="11" t="s">
        <v>1981</v>
      </c>
      <c r="J311" s="11" t="s">
        <v>1982</v>
      </c>
      <c r="K311" s="11" t="s">
        <v>1983</v>
      </c>
      <c r="L311" s="11" t="s">
        <v>1984</v>
      </c>
      <c r="M311" s="11" t="s">
        <v>1984</v>
      </c>
      <c r="N311" s="11" t="s">
        <v>1984</v>
      </c>
      <c r="O311" s="11" t="s">
        <v>1985</v>
      </c>
      <c r="P311" s="11" t="s">
        <v>1986</v>
      </c>
      <c r="Q311" s="11" t="s">
        <v>1987</v>
      </c>
      <c r="R311" s="11" t="s">
        <v>1988</v>
      </c>
      <c r="S311" s="11" t="s">
        <v>1988</v>
      </c>
      <c r="T311" s="11" t="s">
        <v>1988</v>
      </c>
      <c r="U311" s="11" t="s">
        <v>1988</v>
      </c>
      <c r="V311" s="11" t="s">
        <v>1989</v>
      </c>
      <c r="W311" s="11" t="s">
        <v>1990</v>
      </c>
      <c r="X311" s="11" t="s">
        <v>3808</v>
      </c>
      <c r="Y311" s="12" t="n">
        <f aca="false">COUNTIF($A$6:$A$339,A311)</f>
        <v>1</v>
      </c>
    </row>
    <row r="312" customFormat="false" ht="240" hidden="false" customHeight="true" outlineLevel="0" collapsed="false">
      <c r="A312" s="11" t="s">
        <v>3809</v>
      </c>
      <c r="B312" s="11" t="s">
        <v>1550</v>
      </c>
      <c r="C312" s="11" t="s">
        <v>1911</v>
      </c>
      <c r="D312" s="11" t="b">
        <f aca="false">TRUE()</f>
        <v>1</v>
      </c>
      <c r="E312" s="11" t="b">
        <f aca="false">TRUE()</f>
        <v>1</v>
      </c>
      <c r="F312" s="11"/>
      <c r="G312" s="11" t="s">
        <v>3810</v>
      </c>
      <c r="H312" s="11" t="s">
        <v>3811</v>
      </c>
      <c r="I312" s="11" t="s">
        <v>3812</v>
      </c>
      <c r="J312" s="11" t="s">
        <v>3813</v>
      </c>
      <c r="K312" s="11" t="s">
        <v>1865</v>
      </c>
      <c r="L312" s="11" t="s">
        <v>3814</v>
      </c>
      <c r="M312" s="11" t="s">
        <v>1917</v>
      </c>
      <c r="N312" s="11" t="s">
        <v>3815</v>
      </c>
      <c r="O312" s="11" t="s">
        <v>3816</v>
      </c>
      <c r="P312" s="11" t="s">
        <v>1920</v>
      </c>
      <c r="Q312" s="11" t="s">
        <v>3817</v>
      </c>
      <c r="R312" s="11" t="s">
        <v>3818</v>
      </c>
      <c r="S312" s="11" t="s">
        <v>3819</v>
      </c>
      <c r="T312" s="11" t="s">
        <v>3819</v>
      </c>
      <c r="U312" s="11" t="s">
        <v>3820</v>
      </c>
      <c r="V312" s="11" t="s">
        <v>1925</v>
      </c>
      <c r="W312" s="11" t="s">
        <v>1926</v>
      </c>
      <c r="X312" s="11" t="s">
        <v>3821</v>
      </c>
      <c r="Y312" s="12" t="n">
        <f aca="false">COUNTIF($A$6:$A$339,A312)</f>
        <v>1</v>
      </c>
    </row>
    <row r="313" customFormat="false" ht="240" hidden="false" customHeight="true" outlineLevel="0" collapsed="false">
      <c r="A313" s="11" t="s">
        <v>3822</v>
      </c>
      <c r="B313" s="11" t="s">
        <v>1550</v>
      </c>
      <c r="C313" s="11" t="s">
        <v>1929</v>
      </c>
      <c r="D313" s="11" t="b">
        <f aca="false">FALSE()</f>
        <v>0</v>
      </c>
      <c r="E313" s="11" t="b">
        <f aca="false">FALSE()</f>
        <v>0</v>
      </c>
      <c r="F313" s="11" t="s">
        <v>1978</v>
      </c>
      <c r="G313" s="11" t="s">
        <v>1979</v>
      </c>
      <c r="H313" s="11" t="s">
        <v>1980</v>
      </c>
      <c r="I313" s="11" t="s">
        <v>1981</v>
      </c>
      <c r="J313" s="11" t="s">
        <v>1982</v>
      </c>
      <c r="K313" s="11" t="s">
        <v>1983</v>
      </c>
      <c r="L313" s="11" t="s">
        <v>1984</v>
      </c>
      <c r="M313" s="11" t="s">
        <v>1984</v>
      </c>
      <c r="N313" s="11" t="s">
        <v>1984</v>
      </c>
      <c r="O313" s="11" t="s">
        <v>1985</v>
      </c>
      <c r="P313" s="11" t="s">
        <v>1986</v>
      </c>
      <c r="Q313" s="11" t="s">
        <v>1987</v>
      </c>
      <c r="R313" s="11" t="s">
        <v>1988</v>
      </c>
      <c r="S313" s="11" t="s">
        <v>1988</v>
      </c>
      <c r="T313" s="11" t="s">
        <v>1988</v>
      </c>
      <c r="U313" s="11" t="s">
        <v>1988</v>
      </c>
      <c r="V313" s="11" t="s">
        <v>1989</v>
      </c>
      <c r="W313" s="11" t="s">
        <v>1990</v>
      </c>
      <c r="X313" s="11" t="s">
        <v>3823</v>
      </c>
      <c r="Y313" s="12" t="n">
        <f aca="false">COUNTIF($A$6:$A$339,A313)</f>
        <v>1</v>
      </c>
    </row>
    <row r="314" customFormat="false" ht="240" hidden="false" customHeight="true" outlineLevel="0" collapsed="false">
      <c r="A314" s="11" t="s">
        <v>3824</v>
      </c>
      <c r="B314" s="11" t="s">
        <v>1554</v>
      </c>
      <c r="C314" s="11" t="s">
        <v>1911</v>
      </c>
      <c r="D314" s="11" t="b">
        <f aca="false">TRUE()</f>
        <v>1</v>
      </c>
      <c r="E314" s="11" t="b">
        <f aca="false">TRUE()</f>
        <v>1</v>
      </c>
      <c r="F314" s="11"/>
      <c r="G314" s="11" t="s">
        <v>3825</v>
      </c>
      <c r="H314" s="11" t="s">
        <v>3826</v>
      </c>
      <c r="I314" s="11" t="s">
        <v>3827</v>
      </c>
      <c r="J314" s="11" t="s">
        <v>3828</v>
      </c>
      <c r="K314" s="11" t="s">
        <v>1866</v>
      </c>
      <c r="L314" s="11" t="s">
        <v>3829</v>
      </c>
      <c r="M314" s="11" t="s">
        <v>1917</v>
      </c>
      <c r="N314" s="11" t="s">
        <v>3830</v>
      </c>
      <c r="O314" s="11" t="s">
        <v>3827</v>
      </c>
      <c r="P314" s="11" t="s">
        <v>1920</v>
      </c>
      <c r="Q314" s="11" t="s">
        <v>3831</v>
      </c>
      <c r="R314" s="11" t="s">
        <v>3832</v>
      </c>
      <c r="S314" s="11" t="s">
        <v>3833</v>
      </c>
      <c r="T314" s="11" t="s">
        <v>3833</v>
      </c>
      <c r="U314" s="11" t="s">
        <v>1924</v>
      </c>
      <c r="V314" s="11" t="s">
        <v>1925</v>
      </c>
      <c r="W314" s="11" t="s">
        <v>1926</v>
      </c>
      <c r="X314" s="11" t="s">
        <v>3834</v>
      </c>
      <c r="Y314" s="12" t="n">
        <f aca="false">COUNTIF($A$6:$A$339,A314)</f>
        <v>1</v>
      </c>
    </row>
    <row r="315" customFormat="false" ht="240" hidden="false" customHeight="true" outlineLevel="0" collapsed="false">
      <c r="A315" s="11" t="s">
        <v>3835</v>
      </c>
      <c r="B315" s="11" t="s">
        <v>1554</v>
      </c>
      <c r="C315" s="11" t="s">
        <v>1929</v>
      </c>
      <c r="D315" s="11" t="b">
        <f aca="false">TRUE()</f>
        <v>1</v>
      </c>
      <c r="E315" s="11" t="b">
        <f aca="false">TRUE()</f>
        <v>1</v>
      </c>
      <c r="F315" s="11"/>
      <c r="G315" s="11" t="s">
        <v>3825</v>
      </c>
      <c r="H315" s="11" t="s">
        <v>3826</v>
      </c>
      <c r="I315" s="11" t="s">
        <v>3827</v>
      </c>
      <c r="J315" s="11" t="s">
        <v>3828</v>
      </c>
      <c r="K315" s="11" t="s">
        <v>1867</v>
      </c>
      <c r="L315" s="11" t="s">
        <v>3836</v>
      </c>
      <c r="M315" s="11" t="s">
        <v>1931</v>
      </c>
      <c r="N315" s="11" t="s">
        <v>3830</v>
      </c>
      <c r="O315" s="11" t="s">
        <v>3827</v>
      </c>
      <c r="P315" s="11" t="s">
        <v>1920</v>
      </c>
      <c r="Q315" s="11" t="s">
        <v>3831</v>
      </c>
      <c r="R315" s="11" t="s">
        <v>3832</v>
      </c>
      <c r="S315" s="11" t="s">
        <v>3833</v>
      </c>
      <c r="T315" s="11" t="s">
        <v>3833</v>
      </c>
      <c r="U315" s="11" t="s">
        <v>1932</v>
      </c>
      <c r="V315" s="11" t="s">
        <v>1925</v>
      </c>
      <c r="W315" s="11" t="s">
        <v>1926</v>
      </c>
      <c r="X315" s="11" t="s">
        <v>3837</v>
      </c>
      <c r="Y315" s="12" t="n">
        <f aca="false">COUNTIF($A$6:$A$339,A315)</f>
        <v>1</v>
      </c>
    </row>
    <row r="316" customFormat="false" ht="240" hidden="false" customHeight="true" outlineLevel="0" collapsed="false">
      <c r="A316" s="11" t="s">
        <v>3838</v>
      </c>
      <c r="B316" s="11" t="s">
        <v>1559</v>
      </c>
      <c r="C316" s="11" t="s">
        <v>1911</v>
      </c>
      <c r="D316" s="11" t="b">
        <f aca="false">TRUE()</f>
        <v>1</v>
      </c>
      <c r="E316" s="11" t="b">
        <f aca="false">TRUE()</f>
        <v>1</v>
      </c>
      <c r="F316" s="11"/>
      <c r="G316" s="11" t="s">
        <v>3839</v>
      </c>
      <c r="H316" s="11" t="s">
        <v>3840</v>
      </c>
      <c r="I316" s="11" t="s">
        <v>3841</v>
      </c>
      <c r="J316" s="11" t="s">
        <v>3842</v>
      </c>
      <c r="K316" s="11" t="s">
        <v>1868</v>
      </c>
      <c r="L316" s="11" t="s">
        <v>3843</v>
      </c>
      <c r="M316" s="11" t="s">
        <v>1917</v>
      </c>
      <c r="N316" s="11" t="s">
        <v>3841</v>
      </c>
      <c r="O316" s="11" t="s">
        <v>3844</v>
      </c>
      <c r="P316" s="11" t="s">
        <v>1920</v>
      </c>
      <c r="Q316" s="11" t="s">
        <v>3843</v>
      </c>
      <c r="R316" s="11" t="s">
        <v>3845</v>
      </c>
      <c r="S316" s="11" t="s">
        <v>3843</v>
      </c>
      <c r="T316" s="11" t="s">
        <v>3843</v>
      </c>
      <c r="U316" s="11" t="s">
        <v>1924</v>
      </c>
      <c r="V316" s="11" t="s">
        <v>1925</v>
      </c>
      <c r="W316" s="11" t="s">
        <v>1926</v>
      </c>
      <c r="X316" s="11" t="s">
        <v>3846</v>
      </c>
      <c r="Y316" s="12" t="n">
        <f aca="false">COUNTIF($A$6:$A$339,A316)</f>
        <v>1</v>
      </c>
    </row>
    <row r="317" customFormat="false" ht="240" hidden="false" customHeight="true" outlineLevel="0" collapsed="false">
      <c r="A317" s="11" t="s">
        <v>3847</v>
      </c>
      <c r="B317" s="11" t="s">
        <v>1559</v>
      </c>
      <c r="C317" s="11" t="s">
        <v>1929</v>
      </c>
      <c r="D317" s="11" t="b">
        <f aca="false">FALSE()</f>
        <v>0</v>
      </c>
      <c r="E317" s="11" t="b">
        <f aca="false">FALSE()</f>
        <v>0</v>
      </c>
      <c r="F317" s="11" t="s">
        <v>1978</v>
      </c>
      <c r="G317" s="11" t="s">
        <v>1979</v>
      </c>
      <c r="H317" s="11" t="s">
        <v>1980</v>
      </c>
      <c r="I317" s="11" t="s">
        <v>1981</v>
      </c>
      <c r="J317" s="11" t="s">
        <v>1982</v>
      </c>
      <c r="K317" s="11" t="s">
        <v>1983</v>
      </c>
      <c r="L317" s="11" t="s">
        <v>1984</v>
      </c>
      <c r="M317" s="11" t="s">
        <v>1984</v>
      </c>
      <c r="N317" s="11" t="s">
        <v>1984</v>
      </c>
      <c r="O317" s="11" t="s">
        <v>1985</v>
      </c>
      <c r="P317" s="11" t="s">
        <v>1986</v>
      </c>
      <c r="Q317" s="11" t="s">
        <v>1987</v>
      </c>
      <c r="R317" s="11" t="s">
        <v>1988</v>
      </c>
      <c r="S317" s="11" t="s">
        <v>1988</v>
      </c>
      <c r="T317" s="11" t="s">
        <v>1988</v>
      </c>
      <c r="U317" s="11" t="s">
        <v>1988</v>
      </c>
      <c r="V317" s="11" t="s">
        <v>1989</v>
      </c>
      <c r="W317" s="11" t="s">
        <v>1990</v>
      </c>
      <c r="X317" s="11" t="s">
        <v>3848</v>
      </c>
      <c r="Y317" s="12" t="n">
        <f aca="false">COUNTIF($A$6:$A$339,A317)</f>
        <v>1</v>
      </c>
    </row>
    <row r="318" customFormat="false" ht="240" hidden="false" customHeight="true" outlineLevel="0" collapsed="false">
      <c r="A318" s="11" t="s">
        <v>3849</v>
      </c>
      <c r="B318" s="11" t="s">
        <v>1563</v>
      </c>
      <c r="C318" s="11" t="s">
        <v>1911</v>
      </c>
      <c r="D318" s="11" t="b">
        <f aca="false">TRUE()</f>
        <v>1</v>
      </c>
      <c r="E318" s="11" t="b">
        <f aca="false">TRUE()</f>
        <v>1</v>
      </c>
      <c r="F318" s="11"/>
      <c r="G318" s="11" t="s">
        <v>3850</v>
      </c>
      <c r="H318" s="11" t="s">
        <v>3851</v>
      </c>
      <c r="I318" s="11" t="s">
        <v>3852</v>
      </c>
      <c r="J318" s="11" t="s">
        <v>3853</v>
      </c>
      <c r="K318" s="11" t="s">
        <v>1869</v>
      </c>
      <c r="L318" s="11" t="s">
        <v>3854</v>
      </c>
      <c r="M318" s="11" t="s">
        <v>1917</v>
      </c>
      <c r="N318" s="11" t="s">
        <v>3855</v>
      </c>
      <c r="O318" s="11" t="s">
        <v>3856</v>
      </c>
      <c r="P318" s="11" t="s">
        <v>1920</v>
      </c>
      <c r="Q318" s="11" t="s">
        <v>3857</v>
      </c>
      <c r="R318" s="11" t="s">
        <v>3858</v>
      </c>
      <c r="S318" s="11" t="s">
        <v>3854</v>
      </c>
      <c r="T318" s="11" t="s">
        <v>3854</v>
      </c>
      <c r="U318" s="11" t="s">
        <v>1924</v>
      </c>
      <c r="V318" s="11" t="s">
        <v>1925</v>
      </c>
      <c r="W318" s="11" t="s">
        <v>1926</v>
      </c>
      <c r="X318" s="11" t="s">
        <v>3859</v>
      </c>
      <c r="Y318" s="12" t="n">
        <f aca="false">COUNTIF($A$6:$A$339,A318)</f>
        <v>1</v>
      </c>
    </row>
    <row r="319" customFormat="false" ht="240" hidden="false" customHeight="true" outlineLevel="0" collapsed="false">
      <c r="A319" s="11" t="s">
        <v>3860</v>
      </c>
      <c r="B319" s="11" t="s">
        <v>1563</v>
      </c>
      <c r="C319" s="11" t="s">
        <v>1929</v>
      </c>
      <c r="D319" s="11" t="b">
        <f aca="false">TRUE()</f>
        <v>1</v>
      </c>
      <c r="E319" s="11" t="b">
        <f aca="false">TRUE()</f>
        <v>1</v>
      </c>
      <c r="F319" s="11"/>
      <c r="G319" s="11" t="s">
        <v>3850</v>
      </c>
      <c r="H319" s="11" t="s">
        <v>3851</v>
      </c>
      <c r="I319" s="11" t="s">
        <v>3852</v>
      </c>
      <c r="J319" s="11" t="s">
        <v>3853</v>
      </c>
      <c r="K319" s="11" t="s">
        <v>1870</v>
      </c>
      <c r="L319" s="11" t="s">
        <v>3861</v>
      </c>
      <c r="M319" s="11" t="s">
        <v>1931</v>
      </c>
      <c r="N319" s="11" t="s">
        <v>3855</v>
      </c>
      <c r="O319" s="11" t="s">
        <v>3856</v>
      </c>
      <c r="P319" s="11" t="s">
        <v>1920</v>
      </c>
      <c r="Q319" s="11" t="s">
        <v>3857</v>
      </c>
      <c r="R319" s="11" t="s">
        <v>3858</v>
      </c>
      <c r="S319" s="11" t="s">
        <v>3854</v>
      </c>
      <c r="T319" s="11" t="s">
        <v>3854</v>
      </c>
      <c r="U319" s="11" t="s">
        <v>1932</v>
      </c>
      <c r="V319" s="11" t="s">
        <v>1925</v>
      </c>
      <c r="W319" s="11" t="s">
        <v>1926</v>
      </c>
      <c r="X319" s="11" t="s">
        <v>3862</v>
      </c>
      <c r="Y319" s="12" t="n">
        <f aca="false">COUNTIF($A$6:$A$339,A319)</f>
        <v>1</v>
      </c>
    </row>
    <row r="320" customFormat="false" ht="240" hidden="false" customHeight="true" outlineLevel="0" collapsed="false">
      <c r="A320" s="11" t="s">
        <v>3863</v>
      </c>
      <c r="B320" s="11" t="s">
        <v>1568</v>
      </c>
      <c r="C320" s="11" t="s">
        <v>1911</v>
      </c>
      <c r="D320" s="11" t="b">
        <f aca="false">TRUE()</f>
        <v>1</v>
      </c>
      <c r="E320" s="11" t="b">
        <f aca="false">TRUE()</f>
        <v>1</v>
      </c>
      <c r="F320" s="11"/>
      <c r="G320" s="11" t="s">
        <v>3864</v>
      </c>
      <c r="H320" s="11" t="s">
        <v>3865</v>
      </c>
      <c r="I320" s="11" t="s">
        <v>3866</v>
      </c>
      <c r="J320" s="11" t="s">
        <v>3867</v>
      </c>
      <c r="K320" s="11" t="s">
        <v>1871</v>
      </c>
      <c r="L320" s="11" t="s">
        <v>3868</v>
      </c>
      <c r="M320" s="11" t="s">
        <v>1917</v>
      </c>
      <c r="N320" s="11" t="s">
        <v>3866</v>
      </c>
      <c r="O320" s="11" t="s">
        <v>3869</v>
      </c>
      <c r="P320" s="11" t="s">
        <v>1920</v>
      </c>
      <c r="Q320" s="11" t="s">
        <v>3870</v>
      </c>
      <c r="R320" s="11" t="s">
        <v>3871</v>
      </c>
      <c r="S320" s="11" t="s">
        <v>3868</v>
      </c>
      <c r="T320" s="11" t="s">
        <v>3868</v>
      </c>
      <c r="U320" s="11" t="s">
        <v>1924</v>
      </c>
      <c r="V320" s="11" t="s">
        <v>1925</v>
      </c>
      <c r="W320" s="11" t="s">
        <v>1926</v>
      </c>
      <c r="X320" s="11" t="s">
        <v>3872</v>
      </c>
      <c r="Y320" s="12" t="n">
        <f aca="false">COUNTIF($A$6:$A$339,A320)</f>
        <v>1</v>
      </c>
    </row>
    <row r="321" customFormat="false" ht="240" hidden="false" customHeight="true" outlineLevel="0" collapsed="false">
      <c r="A321" s="11" t="s">
        <v>3873</v>
      </c>
      <c r="B321" s="11" t="s">
        <v>1568</v>
      </c>
      <c r="C321" s="11" t="s">
        <v>1929</v>
      </c>
      <c r="D321" s="11" t="b">
        <f aca="false">TRUE()</f>
        <v>1</v>
      </c>
      <c r="E321" s="11" t="b">
        <f aca="false">TRUE()</f>
        <v>1</v>
      </c>
      <c r="F321" s="11"/>
      <c r="G321" s="11" t="s">
        <v>3864</v>
      </c>
      <c r="H321" s="11" t="s">
        <v>3865</v>
      </c>
      <c r="I321" s="11" t="s">
        <v>3866</v>
      </c>
      <c r="J321" s="11" t="s">
        <v>3867</v>
      </c>
      <c r="K321" s="11" t="s">
        <v>1872</v>
      </c>
      <c r="L321" s="11" t="s">
        <v>3874</v>
      </c>
      <c r="M321" s="11" t="s">
        <v>1931</v>
      </c>
      <c r="N321" s="11" t="s">
        <v>3866</v>
      </c>
      <c r="O321" s="11" t="s">
        <v>3869</v>
      </c>
      <c r="P321" s="11" t="s">
        <v>1920</v>
      </c>
      <c r="Q321" s="11" t="s">
        <v>3870</v>
      </c>
      <c r="R321" s="11" t="s">
        <v>3871</v>
      </c>
      <c r="S321" s="11" t="s">
        <v>3868</v>
      </c>
      <c r="T321" s="11" t="s">
        <v>3868</v>
      </c>
      <c r="U321" s="11" t="s">
        <v>1932</v>
      </c>
      <c r="V321" s="11" t="s">
        <v>1925</v>
      </c>
      <c r="W321" s="11" t="s">
        <v>1926</v>
      </c>
      <c r="X321" s="11" t="s">
        <v>3875</v>
      </c>
      <c r="Y321" s="12" t="n">
        <f aca="false">COUNTIF($A$6:$A$339,A321)</f>
        <v>1</v>
      </c>
    </row>
    <row r="322" customFormat="false" ht="240" hidden="false" customHeight="true" outlineLevel="0" collapsed="false">
      <c r="A322" s="11" t="s">
        <v>3876</v>
      </c>
      <c r="B322" s="11" t="s">
        <v>1572</v>
      </c>
      <c r="C322" s="11" t="s">
        <v>1911</v>
      </c>
      <c r="D322" s="11" t="b">
        <f aca="false">TRUE()</f>
        <v>1</v>
      </c>
      <c r="E322" s="11" t="b">
        <f aca="false">TRUE()</f>
        <v>1</v>
      </c>
      <c r="F322" s="11"/>
      <c r="G322" s="11" t="s">
        <v>3877</v>
      </c>
      <c r="H322" s="11" t="s">
        <v>3878</v>
      </c>
      <c r="I322" s="11" t="s">
        <v>3879</v>
      </c>
      <c r="J322" s="11" t="s">
        <v>3880</v>
      </c>
      <c r="K322" s="11" t="s">
        <v>1873</v>
      </c>
      <c r="L322" s="11" t="s">
        <v>3881</v>
      </c>
      <c r="M322" s="11" t="s">
        <v>1917</v>
      </c>
      <c r="N322" s="11" t="s">
        <v>3882</v>
      </c>
      <c r="O322" s="11" t="s">
        <v>3883</v>
      </c>
      <c r="P322" s="11" t="s">
        <v>1920</v>
      </c>
      <c r="Q322" s="11" t="s">
        <v>3881</v>
      </c>
      <c r="R322" s="11" t="s">
        <v>3884</v>
      </c>
      <c r="S322" s="11" t="s">
        <v>3881</v>
      </c>
      <c r="T322" s="11" t="s">
        <v>3881</v>
      </c>
      <c r="U322" s="11" t="s">
        <v>1924</v>
      </c>
      <c r="V322" s="11" t="s">
        <v>1925</v>
      </c>
      <c r="W322" s="11" t="s">
        <v>1926</v>
      </c>
      <c r="X322" s="11" t="s">
        <v>3885</v>
      </c>
      <c r="Y322" s="12" t="n">
        <f aca="false">COUNTIF($A$6:$A$339,A322)</f>
        <v>1</v>
      </c>
    </row>
    <row r="323" customFormat="false" ht="240" hidden="false" customHeight="true" outlineLevel="0" collapsed="false">
      <c r="A323" s="11" t="s">
        <v>3886</v>
      </c>
      <c r="B323" s="11" t="s">
        <v>1572</v>
      </c>
      <c r="C323" s="11" t="s">
        <v>1929</v>
      </c>
      <c r="D323" s="11" t="b">
        <f aca="false">FALSE()</f>
        <v>0</v>
      </c>
      <c r="E323" s="11" t="b">
        <f aca="false">FALSE()</f>
        <v>0</v>
      </c>
      <c r="F323" s="11" t="s">
        <v>1978</v>
      </c>
      <c r="G323" s="11" t="s">
        <v>1979</v>
      </c>
      <c r="H323" s="11" t="s">
        <v>1980</v>
      </c>
      <c r="I323" s="11" t="s">
        <v>1981</v>
      </c>
      <c r="J323" s="11" t="s">
        <v>1982</v>
      </c>
      <c r="K323" s="11" t="s">
        <v>1983</v>
      </c>
      <c r="L323" s="11" t="s">
        <v>1984</v>
      </c>
      <c r="M323" s="11" t="s">
        <v>1984</v>
      </c>
      <c r="N323" s="11" t="s">
        <v>1984</v>
      </c>
      <c r="O323" s="11" t="s">
        <v>1985</v>
      </c>
      <c r="P323" s="11" t="s">
        <v>1986</v>
      </c>
      <c r="Q323" s="11" t="s">
        <v>1987</v>
      </c>
      <c r="R323" s="11" t="s">
        <v>1988</v>
      </c>
      <c r="S323" s="11" t="s">
        <v>1988</v>
      </c>
      <c r="T323" s="11" t="s">
        <v>1988</v>
      </c>
      <c r="U323" s="11" t="s">
        <v>1988</v>
      </c>
      <c r="V323" s="11" t="s">
        <v>1989</v>
      </c>
      <c r="W323" s="11" t="s">
        <v>1990</v>
      </c>
      <c r="X323" s="11" t="s">
        <v>3887</v>
      </c>
      <c r="Y323" s="12" t="n">
        <f aca="false">COUNTIF($A$6:$A$339,A323)</f>
        <v>1</v>
      </c>
    </row>
    <row r="324" customFormat="false" ht="240" hidden="false" customHeight="true" outlineLevel="0" collapsed="false">
      <c r="A324" s="11" t="s">
        <v>3888</v>
      </c>
      <c r="B324" s="11" t="s">
        <v>1575</v>
      </c>
      <c r="C324" s="11" t="s">
        <v>1911</v>
      </c>
      <c r="D324" s="11" t="b">
        <f aca="false">TRUE()</f>
        <v>1</v>
      </c>
      <c r="E324" s="11" t="b">
        <f aca="false">TRUE()</f>
        <v>1</v>
      </c>
      <c r="F324" s="11"/>
      <c r="G324" s="11" t="s">
        <v>3889</v>
      </c>
      <c r="H324" s="11" t="s">
        <v>3890</v>
      </c>
      <c r="I324" s="11" t="s">
        <v>3891</v>
      </c>
      <c r="J324" s="11" t="s">
        <v>3892</v>
      </c>
      <c r="K324" s="11" t="s">
        <v>1874</v>
      </c>
      <c r="L324" s="11" t="s">
        <v>3893</v>
      </c>
      <c r="M324" s="11" t="s">
        <v>1917</v>
      </c>
      <c r="N324" s="11" t="s">
        <v>3891</v>
      </c>
      <c r="O324" s="11" t="s">
        <v>3894</v>
      </c>
      <c r="P324" s="11" t="s">
        <v>1920</v>
      </c>
      <c r="Q324" s="11" t="s">
        <v>3893</v>
      </c>
      <c r="R324" s="11" t="s">
        <v>3895</v>
      </c>
      <c r="S324" s="11" t="s">
        <v>3893</v>
      </c>
      <c r="T324" s="11" t="s">
        <v>3893</v>
      </c>
      <c r="U324" s="11" t="s">
        <v>1924</v>
      </c>
      <c r="V324" s="11" t="s">
        <v>1925</v>
      </c>
      <c r="W324" s="11" t="s">
        <v>1926</v>
      </c>
      <c r="X324" s="11" t="s">
        <v>3896</v>
      </c>
      <c r="Y324" s="12" t="n">
        <f aca="false">COUNTIF($A$6:$A$339,A324)</f>
        <v>1</v>
      </c>
    </row>
    <row r="325" customFormat="false" ht="240" hidden="false" customHeight="true" outlineLevel="0" collapsed="false">
      <c r="A325" s="11" t="s">
        <v>3897</v>
      </c>
      <c r="B325" s="11" t="s">
        <v>1575</v>
      </c>
      <c r="C325" s="11" t="s">
        <v>1929</v>
      </c>
      <c r="D325" s="11" t="b">
        <f aca="false">TRUE()</f>
        <v>1</v>
      </c>
      <c r="E325" s="11" t="b">
        <f aca="false">TRUE()</f>
        <v>1</v>
      </c>
      <c r="F325" s="11"/>
      <c r="G325" s="11" t="s">
        <v>3889</v>
      </c>
      <c r="H325" s="11" t="s">
        <v>3890</v>
      </c>
      <c r="I325" s="11" t="s">
        <v>3891</v>
      </c>
      <c r="J325" s="11" t="s">
        <v>3892</v>
      </c>
      <c r="K325" s="11" t="s">
        <v>1875</v>
      </c>
      <c r="L325" s="11" t="s">
        <v>3898</v>
      </c>
      <c r="M325" s="11" t="s">
        <v>1931</v>
      </c>
      <c r="N325" s="11" t="s">
        <v>3891</v>
      </c>
      <c r="O325" s="11" t="s">
        <v>3894</v>
      </c>
      <c r="P325" s="11" t="s">
        <v>1920</v>
      </c>
      <c r="Q325" s="11" t="s">
        <v>3893</v>
      </c>
      <c r="R325" s="11" t="s">
        <v>3895</v>
      </c>
      <c r="S325" s="11" t="s">
        <v>3893</v>
      </c>
      <c r="T325" s="11" t="s">
        <v>3893</v>
      </c>
      <c r="U325" s="11" t="s">
        <v>1932</v>
      </c>
      <c r="V325" s="11" t="s">
        <v>1925</v>
      </c>
      <c r="W325" s="11" t="s">
        <v>1926</v>
      </c>
      <c r="X325" s="11" t="s">
        <v>3899</v>
      </c>
      <c r="Y325" s="12" t="n">
        <f aca="false">COUNTIF($A$6:$A$339,A325)</f>
        <v>1</v>
      </c>
    </row>
    <row r="326" customFormat="false" ht="240" hidden="false" customHeight="true" outlineLevel="0" collapsed="false">
      <c r="A326" s="11" t="s">
        <v>3900</v>
      </c>
      <c r="B326" s="11" t="s">
        <v>1578</v>
      </c>
      <c r="C326" s="11" t="s">
        <v>1911</v>
      </c>
      <c r="D326" s="11" t="b">
        <f aca="false">TRUE()</f>
        <v>1</v>
      </c>
      <c r="E326" s="11" t="b">
        <f aca="false">FALSE()</f>
        <v>0</v>
      </c>
      <c r="F326" s="11"/>
      <c r="G326" s="11" t="s">
        <v>3901</v>
      </c>
      <c r="H326" s="11" t="s">
        <v>3902</v>
      </c>
      <c r="I326" s="11" t="s">
        <v>3903</v>
      </c>
      <c r="J326" s="11" t="s">
        <v>2198</v>
      </c>
      <c r="K326" s="11" t="s">
        <v>1876</v>
      </c>
      <c r="L326" s="11" t="s">
        <v>3904</v>
      </c>
      <c r="M326" s="11" t="s">
        <v>1917</v>
      </c>
      <c r="N326" s="11" t="s">
        <v>2186</v>
      </c>
      <c r="O326" s="11" t="s">
        <v>2187</v>
      </c>
      <c r="P326" s="11" t="s">
        <v>1920</v>
      </c>
      <c r="Q326" s="11" t="s">
        <v>3905</v>
      </c>
      <c r="R326" s="11" t="s">
        <v>3906</v>
      </c>
      <c r="S326" s="11" t="s">
        <v>3904</v>
      </c>
      <c r="T326" s="11" t="s">
        <v>3904</v>
      </c>
      <c r="U326" s="11" t="s">
        <v>1924</v>
      </c>
      <c r="V326" s="11" t="s">
        <v>1925</v>
      </c>
      <c r="W326" s="11" t="s">
        <v>1926</v>
      </c>
      <c r="X326" s="11" t="s">
        <v>3907</v>
      </c>
      <c r="Y326" s="12" t="n">
        <f aca="false">COUNTIF($A$6:$A$339,A326)</f>
        <v>1</v>
      </c>
    </row>
    <row r="327" customFormat="false" ht="240" hidden="false" customHeight="true" outlineLevel="0" collapsed="false">
      <c r="A327" s="11" t="s">
        <v>3908</v>
      </c>
      <c r="B327" s="11" t="s">
        <v>1578</v>
      </c>
      <c r="C327" s="11" t="s">
        <v>1929</v>
      </c>
      <c r="D327" s="11" t="b">
        <f aca="false">FALSE()</f>
        <v>0</v>
      </c>
      <c r="E327" s="11" t="b">
        <f aca="false">FALSE()</f>
        <v>0</v>
      </c>
      <c r="F327" s="11" t="s">
        <v>1978</v>
      </c>
      <c r="G327" s="11" t="s">
        <v>1979</v>
      </c>
      <c r="H327" s="11" t="s">
        <v>1980</v>
      </c>
      <c r="I327" s="11" t="s">
        <v>1981</v>
      </c>
      <c r="J327" s="11" t="s">
        <v>1982</v>
      </c>
      <c r="K327" s="11" t="s">
        <v>1983</v>
      </c>
      <c r="L327" s="11" t="s">
        <v>1984</v>
      </c>
      <c r="M327" s="11" t="s">
        <v>1984</v>
      </c>
      <c r="N327" s="11" t="s">
        <v>1984</v>
      </c>
      <c r="O327" s="11" t="s">
        <v>1985</v>
      </c>
      <c r="P327" s="11" t="s">
        <v>1986</v>
      </c>
      <c r="Q327" s="11" t="s">
        <v>1987</v>
      </c>
      <c r="R327" s="11" t="s">
        <v>1988</v>
      </c>
      <c r="S327" s="11" t="s">
        <v>1988</v>
      </c>
      <c r="T327" s="11" t="s">
        <v>1988</v>
      </c>
      <c r="U327" s="11" t="s">
        <v>1988</v>
      </c>
      <c r="V327" s="11" t="s">
        <v>1989</v>
      </c>
      <c r="W327" s="11" t="s">
        <v>1990</v>
      </c>
      <c r="X327" s="11" t="s">
        <v>3909</v>
      </c>
      <c r="Y327" s="12" t="n">
        <f aca="false">COUNTIF($A$6:$A$339,A327)</f>
        <v>1</v>
      </c>
    </row>
    <row r="328" customFormat="false" ht="240" hidden="false" customHeight="true" outlineLevel="0" collapsed="false">
      <c r="A328" s="11" t="s">
        <v>3910</v>
      </c>
      <c r="B328" s="11" t="s">
        <v>1581</v>
      </c>
      <c r="C328" s="11" t="s">
        <v>1911</v>
      </c>
      <c r="D328" s="11" t="b">
        <f aca="false">TRUE()</f>
        <v>1</v>
      </c>
      <c r="E328" s="11" t="b">
        <f aca="false">TRUE()</f>
        <v>1</v>
      </c>
      <c r="F328" s="11"/>
      <c r="G328" s="11" t="s">
        <v>3911</v>
      </c>
      <c r="H328" s="11" t="s">
        <v>3912</v>
      </c>
      <c r="I328" s="11" t="s">
        <v>3913</v>
      </c>
      <c r="J328" s="11" t="s">
        <v>3914</v>
      </c>
      <c r="K328" s="11" t="s">
        <v>1877</v>
      </c>
      <c r="L328" s="11" t="s">
        <v>3915</v>
      </c>
      <c r="M328" s="11" t="s">
        <v>1917</v>
      </c>
      <c r="N328" s="11" t="s">
        <v>3913</v>
      </c>
      <c r="O328" s="11" t="s">
        <v>2187</v>
      </c>
      <c r="P328" s="11" t="s">
        <v>1920</v>
      </c>
      <c r="Q328" s="11" t="s">
        <v>3916</v>
      </c>
      <c r="R328" s="11" t="s">
        <v>3917</v>
      </c>
      <c r="S328" s="11" t="s">
        <v>3915</v>
      </c>
      <c r="T328" s="11" t="s">
        <v>3915</v>
      </c>
      <c r="U328" s="11" t="s">
        <v>1924</v>
      </c>
      <c r="V328" s="11" t="s">
        <v>1925</v>
      </c>
      <c r="W328" s="11" t="s">
        <v>1926</v>
      </c>
      <c r="X328" s="11" t="s">
        <v>3918</v>
      </c>
      <c r="Y328" s="12" t="n">
        <f aca="false">COUNTIF($A$6:$A$339,A328)</f>
        <v>1</v>
      </c>
    </row>
    <row r="329" customFormat="false" ht="240" hidden="false" customHeight="true" outlineLevel="0" collapsed="false">
      <c r="A329" s="11" t="s">
        <v>3919</v>
      </c>
      <c r="B329" s="11" t="s">
        <v>1581</v>
      </c>
      <c r="C329" s="11" t="s">
        <v>1929</v>
      </c>
      <c r="D329" s="11" t="b">
        <f aca="false">TRUE()</f>
        <v>1</v>
      </c>
      <c r="E329" s="11" t="b">
        <f aca="false">TRUE()</f>
        <v>1</v>
      </c>
      <c r="F329" s="11"/>
      <c r="G329" s="11" t="s">
        <v>3911</v>
      </c>
      <c r="H329" s="11" t="s">
        <v>3912</v>
      </c>
      <c r="I329" s="11" t="s">
        <v>3913</v>
      </c>
      <c r="J329" s="11" t="s">
        <v>3914</v>
      </c>
      <c r="K329" s="11" t="s">
        <v>1878</v>
      </c>
      <c r="L329" s="11" t="s">
        <v>3920</v>
      </c>
      <c r="M329" s="11" t="s">
        <v>1931</v>
      </c>
      <c r="N329" s="11" t="s">
        <v>3913</v>
      </c>
      <c r="O329" s="11" t="s">
        <v>2187</v>
      </c>
      <c r="P329" s="11" t="s">
        <v>1920</v>
      </c>
      <c r="Q329" s="11" t="s">
        <v>3916</v>
      </c>
      <c r="R329" s="11" t="s">
        <v>3917</v>
      </c>
      <c r="S329" s="11" t="s">
        <v>3915</v>
      </c>
      <c r="T329" s="11" t="s">
        <v>3915</v>
      </c>
      <c r="U329" s="11" t="s">
        <v>1932</v>
      </c>
      <c r="V329" s="11" t="s">
        <v>1925</v>
      </c>
      <c r="W329" s="11" t="s">
        <v>1926</v>
      </c>
      <c r="X329" s="11" t="s">
        <v>3921</v>
      </c>
      <c r="Y329" s="12" t="n">
        <f aca="false">COUNTIF($A$6:$A$339,A329)</f>
        <v>1</v>
      </c>
    </row>
    <row r="330" customFormat="false" ht="240" hidden="false" customHeight="true" outlineLevel="0" collapsed="false">
      <c r="A330" s="11" t="s">
        <v>3922</v>
      </c>
      <c r="B330" s="11" t="s">
        <v>1589</v>
      </c>
      <c r="C330" s="11" t="s">
        <v>1911</v>
      </c>
      <c r="D330" s="11" t="b">
        <f aca="false">TRUE()</f>
        <v>1</v>
      </c>
      <c r="E330" s="11" t="b">
        <f aca="false">TRUE()</f>
        <v>1</v>
      </c>
      <c r="F330" s="11"/>
      <c r="G330" s="11" t="s">
        <v>3923</v>
      </c>
      <c r="H330" s="11" t="s">
        <v>3924</v>
      </c>
      <c r="I330" s="11" t="s">
        <v>3925</v>
      </c>
      <c r="J330" s="11" t="s">
        <v>3926</v>
      </c>
      <c r="K330" s="11" t="s">
        <v>1879</v>
      </c>
      <c r="L330" s="11" t="s">
        <v>3927</v>
      </c>
      <c r="M330" s="11" t="s">
        <v>1917</v>
      </c>
      <c r="N330" s="11" t="s">
        <v>3928</v>
      </c>
      <c r="O330" s="11" t="s">
        <v>3929</v>
      </c>
      <c r="P330" s="11" t="s">
        <v>1920</v>
      </c>
      <c r="Q330" s="11" t="s">
        <v>3930</v>
      </c>
      <c r="R330" s="11" t="s">
        <v>3931</v>
      </c>
      <c r="S330" s="11" t="s">
        <v>3927</v>
      </c>
      <c r="T330" s="11" t="s">
        <v>3927</v>
      </c>
      <c r="U330" s="11" t="s">
        <v>1924</v>
      </c>
      <c r="V330" s="11" t="s">
        <v>1925</v>
      </c>
      <c r="W330" s="11" t="s">
        <v>1926</v>
      </c>
      <c r="X330" s="11" t="s">
        <v>3932</v>
      </c>
      <c r="Y330" s="12" t="n">
        <f aca="false">COUNTIF($A$6:$A$339,A330)</f>
        <v>1</v>
      </c>
    </row>
    <row r="331" customFormat="false" ht="240" hidden="false" customHeight="true" outlineLevel="0" collapsed="false">
      <c r="A331" s="11" t="s">
        <v>3933</v>
      </c>
      <c r="B331" s="11" t="s">
        <v>1589</v>
      </c>
      <c r="C331" s="11" t="s">
        <v>1929</v>
      </c>
      <c r="D331" s="11" t="b">
        <f aca="false">TRUE()</f>
        <v>1</v>
      </c>
      <c r="E331" s="11" t="b">
        <f aca="false">FALSE()</f>
        <v>0</v>
      </c>
      <c r="F331" s="11"/>
      <c r="G331" s="11" t="s">
        <v>3923</v>
      </c>
      <c r="H331" s="11" t="s">
        <v>3924</v>
      </c>
      <c r="I331" s="11" t="s">
        <v>3925</v>
      </c>
      <c r="J331" s="11" t="s">
        <v>3926</v>
      </c>
      <c r="K331" s="11" t="s">
        <v>1880</v>
      </c>
      <c r="L331" s="11" t="s">
        <v>3934</v>
      </c>
      <c r="M331" s="11" t="s">
        <v>1931</v>
      </c>
      <c r="N331" s="11" t="s">
        <v>3928</v>
      </c>
      <c r="O331" s="11" t="s">
        <v>3929</v>
      </c>
      <c r="P331" s="11" t="s">
        <v>1920</v>
      </c>
      <c r="Q331" s="11" t="s">
        <v>3930</v>
      </c>
      <c r="R331" s="11" t="s">
        <v>3931</v>
      </c>
      <c r="S331" s="11" t="s">
        <v>3927</v>
      </c>
      <c r="T331" s="11" t="s">
        <v>3927</v>
      </c>
      <c r="U331" s="11" t="s">
        <v>1932</v>
      </c>
      <c r="V331" s="11" t="s">
        <v>1925</v>
      </c>
      <c r="W331" s="11" t="s">
        <v>1926</v>
      </c>
      <c r="X331" s="11" t="s">
        <v>3935</v>
      </c>
      <c r="Y331" s="12" t="n">
        <f aca="false">COUNTIF($A$6:$A$339,A331)</f>
        <v>1</v>
      </c>
    </row>
    <row r="332" customFormat="false" ht="240" hidden="false" customHeight="true" outlineLevel="0" collapsed="false">
      <c r="A332" s="11" t="s">
        <v>3936</v>
      </c>
      <c r="B332" s="11" t="s">
        <v>1601</v>
      </c>
      <c r="C332" s="11" t="s">
        <v>1911</v>
      </c>
      <c r="D332" s="11" t="b">
        <f aca="false">TRUE()</f>
        <v>1</v>
      </c>
      <c r="E332" s="11" t="b">
        <f aca="false">FALSE()</f>
        <v>0</v>
      </c>
      <c r="F332" s="11"/>
      <c r="G332" s="11" t="s">
        <v>3937</v>
      </c>
      <c r="H332" s="11" t="s">
        <v>3938</v>
      </c>
      <c r="I332" s="11" t="s">
        <v>3939</v>
      </c>
      <c r="J332" s="11" t="s">
        <v>3940</v>
      </c>
      <c r="K332" s="11" t="s">
        <v>1881</v>
      </c>
      <c r="L332" s="11" t="s">
        <v>3941</v>
      </c>
      <c r="M332" s="11" t="s">
        <v>1917</v>
      </c>
      <c r="N332" s="11" t="s">
        <v>2186</v>
      </c>
      <c r="O332" s="11" t="s">
        <v>3941</v>
      </c>
      <c r="P332" s="11" t="s">
        <v>1920</v>
      </c>
      <c r="Q332" s="11" t="s">
        <v>3942</v>
      </c>
      <c r="R332" s="11" t="s">
        <v>3943</v>
      </c>
      <c r="S332" s="11" t="s">
        <v>3944</v>
      </c>
      <c r="T332" s="11" t="s">
        <v>3944</v>
      </c>
      <c r="U332" s="11" t="s">
        <v>1924</v>
      </c>
      <c r="V332" s="11" t="s">
        <v>1925</v>
      </c>
      <c r="W332" s="11" t="s">
        <v>1926</v>
      </c>
      <c r="X332" s="11" t="s">
        <v>3945</v>
      </c>
      <c r="Y332" s="12" t="n">
        <f aca="false">COUNTIF($A$6:$A$339,A332)</f>
        <v>1</v>
      </c>
    </row>
    <row r="333" customFormat="false" ht="240" hidden="false" customHeight="true" outlineLevel="0" collapsed="false">
      <c r="A333" s="11" t="s">
        <v>3946</v>
      </c>
      <c r="B333" s="11" t="s">
        <v>1601</v>
      </c>
      <c r="C333" s="11" t="s">
        <v>1929</v>
      </c>
      <c r="D333" s="11" t="b">
        <f aca="false">TRUE()</f>
        <v>1</v>
      </c>
      <c r="E333" s="11" t="b">
        <f aca="false">FALSE()</f>
        <v>0</v>
      </c>
      <c r="F333" s="11"/>
      <c r="G333" s="11" t="s">
        <v>3937</v>
      </c>
      <c r="H333" s="11" t="s">
        <v>3938</v>
      </c>
      <c r="I333" s="11" t="s">
        <v>3939</v>
      </c>
      <c r="J333" s="11" t="s">
        <v>3940</v>
      </c>
      <c r="K333" s="11" t="s">
        <v>1882</v>
      </c>
      <c r="L333" s="11" t="s">
        <v>3947</v>
      </c>
      <c r="M333" s="11" t="s">
        <v>1931</v>
      </c>
      <c r="N333" s="11" t="s">
        <v>2186</v>
      </c>
      <c r="O333" s="11" t="s">
        <v>3941</v>
      </c>
      <c r="P333" s="11" t="s">
        <v>1920</v>
      </c>
      <c r="Q333" s="11" t="s">
        <v>3942</v>
      </c>
      <c r="R333" s="11" t="s">
        <v>3943</v>
      </c>
      <c r="S333" s="11" t="s">
        <v>3944</v>
      </c>
      <c r="T333" s="11" t="s">
        <v>3944</v>
      </c>
      <c r="U333" s="11" t="s">
        <v>1932</v>
      </c>
      <c r="V333" s="11" t="s">
        <v>1925</v>
      </c>
      <c r="W333" s="11" t="s">
        <v>1926</v>
      </c>
      <c r="X333" s="11" t="s">
        <v>3948</v>
      </c>
      <c r="Y333" s="12" t="n">
        <f aca="false">COUNTIF($A$6:$A$339,A333)</f>
        <v>1</v>
      </c>
    </row>
    <row r="334" customFormat="false" ht="240" hidden="false" customHeight="true" outlineLevel="0" collapsed="false">
      <c r="A334" s="11" t="s">
        <v>3949</v>
      </c>
      <c r="B334" s="11" t="s">
        <v>1611</v>
      </c>
      <c r="C334" s="11" t="s">
        <v>1911</v>
      </c>
      <c r="D334" s="11" t="b">
        <f aca="false">TRUE()</f>
        <v>1</v>
      </c>
      <c r="E334" s="11" t="b">
        <f aca="false">FALSE()</f>
        <v>0</v>
      </c>
      <c r="F334" s="11"/>
      <c r="G334" s="11" t="s">
        <v>3950</v>
      </c>
      <c r="H334" s="11" t="s">
        <v>3951</v>
      </c>
      <c r="I334" s="11" t="s">
        <v>3952</v>
      </c>
      <c r="J334" s="11" t="s">
        <v>2198</v>
      </c>
      <c r="K334" s="11" t="s">
        <v>1883</v>
      </c>
      <c r="L334" s="11" t="s">
        <v>3953</v>
      </c>
      <c r="M334" s="11" t="s">
        <v>1917</v>
      </c>
      <c r="N334" s="11" t="s">
        <v>2186</v>
      </c>
      <c r="O334" s="11" t="s">
        <v>2187</v>
      </c>
      <c r="P334" s="11" t="s">
        <v>1920</v>
      </c>
      <c r="Q334" s="11" t="s">
        <v>3954</v>
      </c>
      <c r="R334" s="11" t="s">
        <v>3955</v>
      </c>
      <c r="S334" s="11" t="s">
        <v>3956</v>
      </c>
      <c r="T334" s="11" t="s">
        <v>3956</v>
      </c>
      <c r="U334" s="11" t="s">
        <v>1924</v>
      </c>
      <c r="V334" s="11" t="s">
        <v>1925</v>
      </c>
      <c r="W334" s="11" t="s">
        <v>1926</v>
      </c>
      <c r="X334" s="11" t="s">
        <v>3957</v>
      </c>
      <c r="Y334" s="12" t="n">
        <f aca="false">COUNTIF($A$6:$A$339,A334)</f>
        <v>1</v>
      </c>
    </row>
    <row r="335" customFormat="false" ht="240" hidden="false" customHeight="true" outlineLevel="0" collapsed="false">
      <c r="A335" s="11" t="s">
        <v>3958</v>
      </c>
      <c r="B335" s="11" t="s">
        <v>1611</v>
      </c>
      <c r="C335" s="11" t="s">
        <v>1929</v>
      </c>
      <c r="D335" s="11" t="b">
        <f aca="false">FALSE()</f>
        <v>0</v>
      </c>
      <c r="E335" s="11" t="b">
        <f aca="false">FALSE()</f>
        <v>0</v>
      </c>
      <c r="F335" s="11" t="s">
        <v>1978</v>
      </c>
      <c r="G335" s="11" t="s">
        <v>1979</v>
      </c>
      <c r="H335" s="11" t="s">
        <v>1980</v>
      </c>
      <c r="I335" s="11" t="s">
        <v>1981</v>
      </c>
      <c r="J335" s="11" t="s">
        <v>1982</v>
      </c>
      <c r="K335" s="11" t="s">
        <v>1983</v>
      </c>
      <c r="L335" s="11" t="s">
        <v>1984</v>
      </c>
      <c r="M335" s="11" t="s">
        <v>1984</v>
      </c>
      <c r="N335" s="11" t="s">
        <v>1984</v>
      </c>
      <c r="O335" s="11" t="s">
        <v>1985</v>
      </c>
      <c r="P335" s="11" t="s">
        <v>1986</v>
      </c>
      <c r="Q335" s="11" t="s">
        <v>1987</v>
      </c>
      <c r="R335" s="11" t="s">
        <v>1988</v>
      </c>
      <c r="S335" s="11" t="s">
        <v>1988</v>
      </c>
      <c r="T335" s="11" t="s">
        <v>1988</v>
      </c>
      <c r="U335" s="11" t="s">
        <v>1988</v>
      </c>
      <c r="V335" s="11" t="s">
        <v>1989</v>
      </c>
      <c r="W335" s="11" t="s">
        <v>1990</v>
      </c>
      <c r="X335" s="11" t="s">
        <v>3959</v>
      </c>
      <c r="Y335" s="12" t="n">
        <f aca="false">COUNTIF($A$6:$A$339,A335)</f>
        <v>1</v>
      </c>
    </row>
    <row r="336" customFormat="false" ht="240" hidden="false" customHeight="true" outlineLevel="0" collapsed="false">
      <c r="A336" s="11" t="s">
        <v>3960</v>
      </c>
      <c r="B336" s="11" t="s">
        <v>1621</v>
      </c>
      <c r="C336" s="11" t="s">
        <v>1911</v>
      </c>
      <c r="D336" s="11" t="b">
        <f aca="false">TRUE()</f>
        <v>1</v>
      </c>
      <c r="E336" s="11" t="b">
        <f aca="false">FALSE()</f>
        <v>0</v>
      </c>
      <c r="F336" s="11"/>
      <c r="G336" s="11" t="s">
        <v>3961</v>
      </c>
      <c r="H336" s="11" t="s">
        <v>3962</v>
      </c>
      <c r="I336" s="11" t="s">
        <v>3963</v>
      </c>
      <c r="J336" s="11" t="s">
        <v>2198</v>
      </c>
      <c r="K336" s="11" t="s">
        <v>1884</v>
      </c>
      <c r="L336" s="11" t="s">
        <v>2199</v>
      </c>
      <c r="M336" s="11" t="s">
        <v>1917</v>
      </c>
      <c r="N336" s="11" t="s">
        <v>2186</v>
      </c>
      <c r="O336" s="11" t="s">
        <v>3964</v>
      </c>
      <c r="P336" s="11" t="s">
        <v>1920</v>
      </c>
      <c r="Q336" s="11" t="s">
        <v>3965</v>
      </c>
      <c r="R336" s="11" t="s">
        <v>3966</v>
      </c>
      <c r="S336" s="11" t="s">
        <v>1959</v>
      </c>
      <c r="T336" s="11" t="s">
        <v>1960</v>
      </c>
      <c r="U336" s="11" t="s">
        <v>1924</v>
      </c>
      <c r="V336" s="11" t="s">
        <v>1925</v>
      </c>
      <c r="W336" s="11" t="s">
        <v>1926</v>
      </c>
      <c r="X336" s="11" t="s">
        <v>3967</v>
      </c>
      <c r="Y336" s="12" t="n">
        <f aca="false">COUNTIF($A$6:$A$339,A336)</f>
        <v>1</v>
      </c>
    </row>
    <row r="337" customFormat="false" ht="240" hidden="false" customHeight="true" outlineLevel="0" collapsed="false">
      <c r="A337" s="11" t="s">
        <v>3968</v>
      </c>
      <c r="B337" s="11" t="s">
        <v>1621</v>
      </c>
      <c r="C337" s="11" t="s">
        <v>1929</v>
      </c>
      <c r="D337" s="11" t="b">
        <f aca="false">FALSE()</f>
        <v>0</v>
      </c>
      <c r="E337" s="11" t="b">
        <f aca="false">FALSE()</f>
        <v>0</v>
      </c>
      <c r="F337" s="11" t="s">
        <v>1978</v>
      </c>
      <c r="G337" s="11" t="s">
        <v>1979</v>
      </c>
      <c r="H337" s="11" t="s">
        <v>1980</v>
      </c>
      <c r="I337" s="11" t="s">
        <v>1981</v>
      </c>
      <c r="J337" s="11" t="s">
        <v>1982</v>
      </c>
      <c r="K337" s="11" t="s">
        <v>1983</v>
      </c>
      <c r="L337" s="11" t="s">
        <v>1984</v>
      </c>
      <c r="M337" s="11" t="s">
        <v>1984</v>
      </c>
      <c r="N337" s="11" t="s">
        <v>1984</v>
      </c>
      <c r="O337" s="11" t="s">
        <v>1985</v>
      </c>
      <c r="P337" s="11" t="s">
        <v>1986</v>
      </c>
      <c r="Q337" s="11" t="s">
        <v>1987</v>
      </c>
      <c r="R337" s="11" t="s">
        <v>1988</v>
      </c>
      <c r="S337" s="11" t="s">
        <v>1988</v>
      </c>
      <c r="T337" s="11" t="s">
        <v>1988</v>
      </c>
      <c r="U337" s="11" t="s">
        <v>1988</v>
      </c>
      <c r="V337" s="11" t="s">
        <v>1989</v>
      </c>
      <c r="W337" s="11" t="s">
        <v>1990</v>
      </c>
      <c r="X337" s="11" t="s">
        <v>3969</v>
      </c>
      <c r="Y337" s="12" t="n">
        <f aca="false">COUNTIF($A$6:$A$339,A337)</f>
        <v>1</v>
      </c>
    </row>
    <row r="338" customFormat="false" ht="240" hidden="false" customHeight="true" outlineLevel="0" collapsed="false">
      <c r="A338" s="11" t="s">
        <v>3970</v>
      </c>
      <c r="B338" s="11" t="s">
        <v>1625</v>
      </c>
      <c r="C338" s="11" t="s">
        <v>1911</v>
      </c>
      <c r="D338" s="11" t="b">
        <f aca="false">TRUE()</f>
        <v>1</v>
      </c>
      <c r="E338" s="11" t="b">
        <f aca="false">TRUE()</f>
        <v>1</v>
      </c>
      <c r="F338" s="11"/>
      <c r="G338" s="11" t="s">
        <v>3971</v>
      </c>
      <c r="H338" s="11" t="s">
        <v>3972</v>
      </c>
      <c r="I338" s="11" t="s">
        <v>3973</v>
      </c>
      <c r="J338" s="11" t="s">
        <v>3974</v>
      </c>
      <c r="K338" s="11" t="s">
        <v>1885</v>
      </c>
      <c r="L338" s="11" t="s">
        <v>3975</v>
      </c>
      <c r="M338" s="11" t="s">
        <v>1917</v>
      </c>
      <c r="N338" s="11" t="s">
        <v>3976</v>
      </c>
      <c r="O338" s="11" t="s">
        <v>3977</v>
      </c>
      <c r="P338" s="11" t="s">
        <v>1920</v>
      </c>
      <c r="Q338" s="11" t="s">
        <v>3978</v>
      </c>
      <c r="R338" s="11" t="s">
        <v>3979</v>
      </c>
      <c r="S338" s="11" t="s">
        <v>3980</v>
      </c>
      <c r="T338" s="11" t="s">
        <v>3980</v>
      </c>
      <c r="U338" s="11" t="s">
        <v>1924</v>
      </c>
      <c r="V338" s="11" t="s">
        <v>1925</v>
      </c>
      <c r="W338" s="11" t="s">
        <v>1926</v>
      </c>
      <c r="X338" s="11" t="s">
        <v>3981</v>
      </c>
      <c r="Y338" s="12" t="n">
        <f aca="false">COUNTIF($A$6:$A$339,A338)</f>
        <v>1</v>
      </c>
    </row>
    <row r="339" customFormat="false" ht="240" hidden="false" customHeight="true" outlineLevel="0" collapsed="false">
      <c r="A339" s="11" t="s">
        <v>3982</v>
      </c>
      <c r="B339" s="11" t="s">
        <v>1625</v>
      </c>
      <c r="C339" s="11" t="s">
        <v>1929</v>
      </c>
      <c r="D339" s="11" t="b">
        <f aca="false">FALSE()</f>
        <v>0</v>
      </c>
      <c r="E339" s="11" t="b">
        <f aca="false">FALSE()</f>
        <v>0</v>
      </c>
      <c r="F339" s="11" t="s">
        <v>1978</v>
      </c>
      <c r="G339" s="11" t="s">
        <v>1979</v>
      </c>
      <c r="H339" s="11" t="s">
        <v>1980</v>
      </c>
      <c r="I339" s="11" t="s">
        <v>1981</v>
      </c>
      <c r="J339" s="11" t="s">
        <v>1982</v>
      </c>
      <c r="K339" s="11" t="s">
        <v>1983</v>
      </c>
      <c r="L339" s="11" t="s">
        <v>1984</v>
      </c>
      <c r="M339" s="11" t="s">
        <v>1984</v>
      </c>
      <c r="N339" s="11" t="s">
        <v>1984</v>
      </c>
      <c r="O339" s="11" t="s">
        <v>1985</v>
      </c>
      <c r="P339" s="11" t="s">
        <v>1986</v>
      </c>
      <c r="Q339" s="11" t="s">
        <v>1987</v>
      </c>
      <c r="R339" s="11" t="s">
        <v>1988</v>
      </c>
      <c r="S339" s="11" t="s">
        <v>1988</v>
      </c>
      <c r="T339" s="11" t="s">
        <v>1988</v>
      </c>
      <c r="U339" s="11" t="s">
        <v>1988</v>
      </c>
      <c r="V339" s="11" t="s">
        <v>1989</v>
      </c>
      <c r="W339" s="11" t="s">
        <v>1990</v>
      </c>
      <c r="X339" s="11" t="s">
        <v>3983</v>
      </c>
      <c r="Y339" s="12" t="n">
        <f aca="false">COUNTIF($A$6:$A$339,A339)</f>
        <v>1</v>
      </c>
    </row>
  </sheetData>
  <mergeCells count="2">
    <mergeCell ref="A1:Y1"/>
    <mergeCell ref="A2:Y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25"/>
    <col collapsed="false" customWidth="true" hidden="false" outlineLevel="0" max="3" min="3" style="0" width="34"/>
    <col collapsed="false" customWidth="true" hidden="false" outlineLevel="0" max="4" min="4" style="0" width="28"/>
    <col collapsed="false" customWidth="true" hidden="false" outlineLevel="0" max="5" min="5" style="0" width="48"/>
    <col collapsed="false" customWidth="true" hidden="false" outlineLevel="0" max="6" min="6" style="0" width="38"/>
    <col collapsed="false" customWidth="true" hidden="false" outlineLevel="0" max="7" min="7" style="0" width="14"/>
    <col collapsed="false" customWidth="true" hidden="false" outlineLevel="0" max="8" min="8" style="0" width="34"/>
    <col collapsed="false" customWidth="true" hidden="false" outlineLevel="0" max="9" min="9" style="0" width="58"/>
    <col collapsed="false" customWidth="true" hidden="false" outlineLevel="0" max="10" min="10" style="0" width="120"/>
    <col collapsed="false" customWidth="true" hidden="false" outlineLevel="0" max="11" min="11" style="0" width="36"/>
    <col collapsed="false" customWidth="true" hidden="false" outlineLevel="0" max="12" min="12" style="0" width="42"/>
    <col collapsed="false" customWidth="true" hidden="false" outlineLevel="0" max="13" min="13" style="0" width="12"/>
    <col collapsed="false" customWidth="true" hidden="false" outlineLevel="0" max="14" min="14" style="0" width="10"/>
  </cols>
  <sheetData>
    <row r="1" customFormat="false" ht="30" hidden="false" customHeight="true" outlineLevel="0" collapsed="false">
      <c r="A1" s="1" t="s">
        <v>3984</v>
      </c>
      <c r="B1" s="1"/>
      <c r="C1" s="1"/>
      <c r="D1" s="1"/>
      <c r="E1" s="1"/>
      <c r="F1" s="1"/>
      <c r="G1" s="1"/>
      <c r="H1" s="1"/>
      <c r="I1" s="1"/>
      <c r="J1" s="1"/>
      <c r="K1" s="1"/>
      <c r="L1" s="1"/>
      <c r="M1" s="1"/>
      <c r="N1" s="1"/>
    </row>
    <row r="2" customFormat="false" ht="42" hidden="false" customHeight="true" outlineLevel="0" collapsed="false">
      <c r="A2" s="2" t="s">
        <v>3985</v>
      </c>
      <c r="B2" s="2"/>
      <c r="C2" s="2"/>
      <c r="D2" s="2"/>
      <c r="E2" s="2"/>
      <c r="F2" s="2"/>
      <c r="G2" s="2"/>
      <c r="H2" s="2"/>
      <c r="I2" s="2"/>
      <c r="J2" s="2"/>
      <c r="K2" s="2"/>
      <c r="L2" s="2"/>
      <c r="M2" s="2"/>
      <c r="N2" s="2"/>
    </row>
    <row r="3" customFormat="false" ht="15" hidden="false" customHeight="false" outlineLevel="0" collapsed="false">
      <c r="A3" s="3"/>
      <c r="B3" s="3"/>
      <c r="C3" s="3"/>
      <c r="D3" s="3"/>
      <c r="E3" s="3"/>
      <c r="F3" s="3"/>
      <c r="G3" s="3"/>
      <c r="H3" s="3"/>
      <c r="I3" s="3"/>
      <c r="J3" s="3"/>
      <c r="K3" s="3"/>
      <c r="L3" s="3"/>
      <c r="M3" s="3"/>
      <c r="N3" s="3"/>
    </row>
    <row r="5" customFormat="false" ht="38" hidden="false" customHeight="true" outlineLevel="0" collapsed="false">
      <c r="A5" s="10" t="s">
        <v>3986</v>
      </c>
      <c r="B5" s="10" t="s">
        <v>3987</v>
      </c>
      <c r="C5" s="10" t="s">
        <v>3988</v>
      </c>
      <c r="D5" s="10" t="s">
        <v>3989</v>
      </c>
      <c r="E5" s="10" t="s">
        <v>3990</v>
      </c>
      <c r="F5" s="10" t="s">
        <v>3991</v>
      </c>
      <c r="G5" s="10" t="s">
        <v>3992</v>
      </c>
      <c r="H5" s="10" t="s">
        <v>1889</v>
      </c>
      <c r="I5" s="10" t="s">
        <v>3993</v>
      </c>
      <c r="J5" s="10" t="s">
        <v>3994</v>
      </c>
      <c r="K5" s="10" t="s">
        <v>67</v>
      </c>
      <c r="L5" s="10" t="s">
        <v>164</v>
      </c>
      <c r="M5" s="10" t="s">
        <v>104</v>
      </c>
      <c r="N5" s="10" t="s">
        <v>69</v>
      </c>
    </row>
    <row r="6" customFormat="false" ht="104" hidden="false" customHeight="true" outlineLevel="0" collapsed="false">
      <c r="A6" s="11" t="s">
        <v>3995</v>
      </c>
      <c r="B6" s="11" t="s">
        <v>3996</v>
      </c>
      <c r="C6" s="11" t="s">
        <v>3997</v>
      </c>
      <c r="D6" s="11" t="s">
        <v>3998</v>
      </c>
      <c r="E6" s="11" t="s">
        <v>3999</v>
      </c>
      <c r="F6" s="11" t="s">
        <v>4000</v>
      </c>
      <c r="G6" s="11" t="b">
        <f aca="false">FALSE()</f>
        <v>0</v>
      </c>
      <c r="H6" s="11" t="s">
        <v>4001</v>
      </c>
      <c r="I6" s="11" t="s">
        <v>4002</v>
      </c>
      <c r="J6" s="11" t="s">
        <v>4003</v>
      </c>
      <c r="K6" s="11" t="s">
        <v>4004</v>
      </c>
      <c r="L6" s="11"/>
      <c r="M6" s="12" t="s">
        <v>115</v>
      </c>
      <c r="N6" s="12" t="n">
        <f aca="false">COUNTIF($A$6:$A$14,A6)</f>
        <v>1</v>
      </c>
    </row>
    <row r="7" customFormat="false" ht="104" hidden="false" customHeight="true" outlineLevel="0" collapsed="false">
      <c r="A7" s="11" t="s">
        <v>4005</v>
      </c>
      <c r="B7" s="11" t="s">
        <v>4006</v>
      </c>
      <c r="C7" s="11" t="s">
        <v>4007</v>
      </c>
      <c r="D7" s="11" t="s">
        <v>3998</v>
      </c>
      <c r="E7" s="11" t="s">
        <v>4008</v>
      </c>
      <c r="F7" s="11" t="s">
        <v>4000</v>
      </c>
      <c r="G7" s="11" t="b">
        <f aca="false">FALSE()</f>
        <v>0</v>
      </c>
      <c r="H7" s="11" t="s">
        <v>4001</v>
      </c>
      <c r="I7" s="11" t="s">
        <v>4002</v>
      </c>
      <c r="J7" s="11" t="s">
        <v>4009</v>
      </c>
      <c r="K7" s="11" t="s">
        <v>4010</v>
      </c>
      <c r="L7" s="11"/>
      <c r="M7" s="12" t="s">
        <v>115</v>
      </c>
      <c r="N7" s="12" t="n">
        <f aca="false">COUNTIF($A$6:$A$14,A7)</f>
        <v>1</v>
      </c>
    </row>
    <row r="8" customFormat="false" ht="104" hidden="false" customHeight="true" outlineLevel="0" collapsed="false">
      <c r="A8" s="11" t="s">
        <v>4011</v>
      </c>
      <c r="B8" s="11" t="s">
        <v>3996</v>
      </c>
      <c r="C8" s="11" t="s">
        <v>557</v>
      </c>
      <c r="D8" s="11" t="s">
        <v>3998</v>
      </c>
      <c r="E8" s="11" t="s">
        <v>544</v>
      </c>
      <c r="F8" s="11" t="s">
        <v>4012</v>
      </c>
      <c r="G8" s="11" t="b">
        <f aca="false">FALSE()</f>
        <v>0</v>
      </c>
      <c r="H8" s="11" t="s">
        <v>4001</v>
      </c>
      <c r="I8" s="11" t="s">
        <v>4002</v>
      </c>
      <c r="J8" s="11" t="s">
        <v>4013</v>
      </c>
      <c r="K8" s="11" t="s">
        <v>4014</v>
      </c>
      <c r="L8" s="11" t="s">
        <v>4015</v>
      </c>
      <c r="M8" s="12" t="s">
        <v>115</v>
      </c>
      <c r="N8" s="12" t="n">
        <f aca="false">COUNTIF($A$6:$A$14,A8)</f>
        <v>1</v>
      </c>
    </row>
    <row r="9" customFormat="false" ht="104" hidden="false" customHeight="true" outlineLevel="0" collapsed="false">
      <c r="A9" s="11" t="s">
        <v>4016</v>
      </c>
      <c r="B9" s="11" t="s">
        <v>3996</v>
      </c>
      <c r="C9" s="11" t="s">
        <v>550</v>
      </c>
      <c r="D9" s="11" t="s">
        <v>3998</v>
      </c>
      <c r="E9" s="11" t="s">
        <v>667</v>
      </c>
      <c r="F9" s="11" t="s">
        <v>4017</v>
      </c>
      <c r="G9" s="11" t="b">
        <f aca="false">FALSE()</f>
        <v>0</v>
      </c>
      <c r="H9" s="11" t="s">
        <v>4001</v>
      </c>
      <c r="I9" s="11" t="s">
        <v>4002</v>
      </c>
      <c r="J9" s="11" t="s">
        <v>4018</v>
      </c>
      <c r="K9" s="11" t="s">
        <v>4019</v>
      </c>
      <c r="L9" s="11" t="s">
        <v>1033</v>
      </c>
      <c r="M9" s="12" t="s">
        <v>115</v>
      </c>
      <c r="N9" s="12" t="n">
        <f aca="false">COUNTIF($A$6:$A$14,A9)</f>
        <v>1</v>
      </c>
    </row>
    <row r="10" customFormat="false" ht="104" hidden="false" customHeight="true" outlineLevel="0" collapsed="false">
      <c r="A10" s="11" t="s">
        <v>4020</v>
      </c>
      <c r="B10" s="11" t="s">
        <v>3996</v>
      </c>
      <c r="C10" s="11" t="s">
        <v>628</v>
      </c>
      <c r="D10" s="11" t="s">
        <v>3998</v>
      </c>
      <c r="E10" s="11" t="s">
        <v>4021</v>
      </c>
      <c r="F10" s="11" t="s">
        <v>4022</v>
      </c>
      <c r="G10" s="11" t="b">
        <f aca="false">FALSE()</f>
        <v>0</v>
      </c>
      <c r="H10" s="11" t="s">
        <v>4001</v>
      </c>
      <c r="I10" s="11" t="s">
        <v>4002</v>
      </c>
      <c r="J10" s="11" t="s">
        <v>4023</v>
      </c>
      <c r="K10" s="11" t="s">
        <v>4024</v>
      </c>
      <c r="L10" s="11" t="s">
        <v>4025</v>
      </c>
      <c r="M10" s="12" t="s">
        <v>115</v>
      </c>
      <c r="N10" s="12" t="n">
        <f aca="false">COUNTIF($A$6:$A$14,A10)</f>
        <v>1</v>
      </c>
    </row>
    <row r="11" customFormat="false" ht="104" hidden="false" customHeight="true" outlineLevel="0" collapsed="false">
      <c r="A11" s="11" t="s">
        <v>4026</v>
      </c>
      <c r="B11" s="11" t="s">
        <v>3996</v>
      </c>
      <c r="C11" s="11" t="s">
        <v>628</v>
      </c>
      <c r="D11" s="11" t="s">
        <v>3998</v>
      </c>
      <c r="E11" s="11" t="s">
        <v>636</v>
      </c>
      <c r="F11" s="11" t="s">
        <v>4027</v>
      </c>
      <c r="G11" s="11" t="b">
        <f aca="false">TRUE()</f>
        <v>1</v>
      </c>
      <c r="H11" s="11" t="s">
        <v>4001</v>
      </c>
      <c r="I11" s="11" t="s">
        <v>4002</v>
      </c>
      <c r="J11" s="11" t="s">
        <v>4028</v>
      </c>
      <c r="K11" s="11" t="s">
        <v>4029</v>
      </c>
      <c r="L11" s="11" t="s">
        <v>4030</v>
      </c>
      <c r="M11" s="12" t="s">
        <v>115</v>
      </c>
      <c r="N11" s="12" t="n">
        <f aca="false">COUNTIF($A$6:$A$14,A11)</f>
        <v>1</v>
      </c>
    </row>
    <row r="12" customFormat="false" ht="104" hidden="false" customHeight="true" outlineLevel="0" collapsed="false">
      <c r="A12" s="11" t="s">
        <v>4031</v>
      </c>
      <c r="B12" s="11" t="s">
        <v>3996</v>
      </c>
      <c r="C12" s="11" t="s">
        <v>628</v>
      </c>
      <c r="D12" s="11" t="s">
        <v>3998</v>
      </c>
      <c r="E12" s="11" t="s">
        <v>644</v>
      </c>
      <c r="F12" s="11" t="s">
        <v>4012</v>
      </c>
      <c r="G12" s="11" t="b">
        <f aca="false">FALSE()</f>
        <v>0</v>
      </c>
      <c r="H12" s="11" t="s">
        <v>4001</v>
      </c>
      <c r="I12" s="11" t="s">
        <v>4002</v>
      </c>
      <c r="J12" s="11" t="s">
        <v>4032</v>
      </c>
      <c r="K12" s="11" t="s">
        <v>4033</v>
      </c>
      <c r="L12" s="11" t="s">
        <v>4030</v>
      </c>
      <c r="M12" s="12" t="s">
        <v>115</v>
      </c>
      <c r="N12" s="12" t="n">
        <f aca="false">COUNTIF($A$6:$A$14,A12)</f>
        <v>1</v>
      </c>
    </row>
    <row r="13" customFormat="false" ht="104" hidden="false" customHeight="true" outlineLevel="0" collapsed="false">
      <c r="A13" s="11" t="s">
        <v>4034</v>
      </c>
      <c r="B13" s="11" t="s">
        <v>3996</v>
      </c>
      <c r="C13" s="11" t="s">
        <v>628</v>
      </c>
      <c r="D13" s="11" t="s">
        <v>3998</v>
      </c>
      <c r="E13" s="11" t="s">
        <v>674</v>
      </c>
      <c r="F13" s="11" t="s">
        <v>4012</v>
      </c>
      <c r="G13" s="11" t="b">
        <f aca="false">FALSE()</f>
        <v>0</v>
      </c>
      <c r="H13" s="11" t="s">
        <v>4001</v>
      </c>
      <c r="I13" s="11" t="s">
        <v>4002</v>
      </c>
      <c r="J13" s="11" t="s">
        <v>4035</v>
      </c>
      <c r="K13" s="11" t="s">
        <v>4036</v>
      </c>
      <c r="L13" s="11" t="s">
        <v>4030</v>
      </c>
      <c r="M13" s="12" t="s">
        <v>115</v>
      </c>
      <c r="N13" s="12" t="n">
        <f aca="false">COUNTIF($A$6:$A$14,A13)</f>
        <v>1</v>
      </c>
    </row>
    <row r="14" customFormat="false" ht="104" hidden="false" customHeight="true" outlineLevel="0" collapsed="false">
      <c r="A14" s="11" t="s">
        <v>4037</v>
      </c>
      <c r="B14" s="11" t="s">
        <v>3996</v>
      </c>
      <c r="C14" s="11" t="s">
        <v>567</v>
      </c>
      <c r="D14" s="11" t="s">
        <v>3998</v>
      </c>
      <c r="E14" s="11" t="s">
        <v>4038</v>
      </c>
      <c r="F14" s="11" t="s">
        <v>4039</v>
      </c>
      <c r="G14" s="11" t="b">
        <f aca="false">FALSE()</f>
        <v>0</v>
      </c>
      <c r="H14" s="11" t="s">
        <v>4001</v>
      </c>
      <c r="I14" s="11" t="s">
        <v>4002</v>
      </c>
      <c r="J14" s="11" t="s">
        <v>4040</v>
      </c>
      <c r="K14" s="11" t="s">
        <v>4041</v>
      </c>
      <c r="L14" s="11" t="s">
        <v>1441</v>
      </c>
      <c r="M14" s="12" t="s">
        <v>115</v>
      </c>
      <c r="N14" s="12" t="n">
        <f aca="false">COUNTIF($A$6:$A$14,A14)</f>
        <v>1</v>
      </c>
    </row>
  </sheetData>
  <mergeCells count="2">
    <mergeCell ref="A1:N1"/>
    <mergeCell ref="A2:N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6"/>
    <col collapsed="false" customWidth="true" hidden="false" outlineLevel="0" max="4" min="4" style="0" width="34"/>
    <col collapsed="false" customWidth="true" hidden="false" outlineLevel="0" max="5" min="5" style="0" width="26"/>
    <col collapsed="false" customWidth="true" hidden="false" outlineLevel="0" max="6" min="6" style="0" width="16"/>
    <col collapsed="false" customWidth="true" hidden="false" outlineLevel="0" max="7" min="7" style="0" width="34"/>
    <col collapsed="false" customWidth="true" hidden="false" outlineLevel="0" max="8" min="8" style="0" width="20"/>
    <col collapsed="false" customWidth="true" hidden="false" outlineLevel="0" max="9" min="9" style="0" width="14"/>
    <col collapsed="false" customWidth="true" hidden="false" outlineLevel="0" max="11" min="10" style="0" width="28"/>
    <col collapsed="false" customWidth="true" hidden="false" outlineLevel="0" max="14" min="12" style="0" width="14"/>
    <col collapsed="false" customWidth="true" hidden="false" outlineLevel="0" max="15" min="15" style="0" width="30"/>
    <col collapsed="false" customWidth="true" hidden="false" outlineLevel="0" max="16" min="16" style="0" width="16"/>
    <col collapsed="false" customWidth="true" hidden="false" outlineLevel="0" max="17" min="17" style="0" width="68"/>
    <col collapsed="false" customWidth="true" hidden="false" outlineLevel="0" max="18" min="18" style="0" width="90"/>
    <col collapsed="false" customWidth="true" hidden="false" outlineLevel="0" max="19" min="19" style="0" width="42"/>
    <col collapsed="false" customWidth="true" hidden="false" outlineLevel="0" max="20" min="20" style="0" width="38"/>
    <col collapsed="false" customWidth="true" hidden="false" outlineLevel="0" max="21" min="21" style="0" width="12"/>
    <col collapsed="false" customWidth="true" hidden="false" outlineLevel="0" max="22" min="22" style="0" width="10"/>
  </cols>
  <sheetData>
    <row r="1" customFormat="false" ht="30" hidden="false" customHeight="true" outlineLevel="0" collapsed="false">
      <c r="A1" s="1" t="s">
        <v>4042</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2" t="s">
        <v>4043</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row>
    <row r="5" customFormat="false" ht="38" hidden="false" customHeight="true" outlineLevel="0" collapsed="false">
      <c r="A5" s="10" t="s">
        <v>4044</v>
      </c>
      <c r="B5" s="10" t="s">
        <v>59</v>
      </c>
      <c r="C5" s="10" t="s">
        <v>4045</v>
      </c>
      <c r="D5" s="10" t="s">
        <v>4046</v>
      </c>
      <c r="E5" s="10" t="s">
        <v>4047</v>
      </c>
      <c r="F5" s="10" t="s">
        <v>4048</v>
      </c>
      <c r="G5" s="10" t="s">
        <v>4049</v>
      </c>
      <c r="H5" s="10" t="s">
        <v>4050</v>
      </c>
      <c r="I5" s="10" t="s">
        <v>4051</v>
      </c>
      <c r="J5" s="10" t="s">
        <v>4052</v>
      </c>
      <c r="K5" s="10" t="s">
        <v>497</v>
      </c>
      <c r="L5" s="10" t="s">
        <v>4053</v>
      </c>
      <c r="M5" s="10" t="s">
        <v>4054</v>
      </c>
      <c r="N5" s="10" t="s">
        <v>4055</v>
      </c>
      <c r="O5" s="10" t="s">
        <v>4056</v>
      </c>
      <c r="P5" s="10" t="s">
        <v>4057</v>
      </c>
      <c r="Q5" s="10" t="s">
        <v>4058</v>
      </c>
      <c r="R5" s="10" t="s">
        <v>4059</v>
      </c>
      <c r="S5" s="10" t="s">
        <v>67</v>
      </c>
      <c r="T5" s="10" t="s">
        <v>164</v>
      </c>
      <c r="U5" s="10" t="s">
        <v>104</v>
      </c>
      <c r="V5" s="10" t="s">
        <v>69</v>
      </c>
    </row>
    <row r="6" customFormat="false" ht="144" hidden="false" customHeight="true" outlineLevel="0" collapsed="false">
      <c r="A6" s="11" t="s">
        <v>4060</v>
      </c>
      <c r="B6" s="11" t="s">
        <v>4061</v>
      </c>
      <c r="C6" s="11" t="s">
        <v>1236</v>
      </c>
      <c r="D6" s="11" t="s">
        <v>4062</v>
      </c>
      <c r="E6" s="11"/>
      <c r="F6" s="11" t="n">
        <v>1</v>
      </c>
      <c r="G6" s="11" t="s">
        <v>4063</v>
      </c>
      <c r="H6" s="11" t="s">
        <v>4064</v>
      </c>
      <c r="I6" s="11"/>
      <c r="J6" s="11" t="b">
        <f aca="false">FALSE()</f>
        <v>0</v>
      </c>
      <c r="K6" s="11" t="s">
        <v>4065</v>
      </c>
      <c r="L6" s="11" t="b">
        <f aca="false">TRUE()</f>
        <v>1</v>
      </c>
      <c r="M6" s="11" t="b">
        <f aca="false">TRUE()</f>
        <v>1</v>
      </c>
      <c r="N6" s="11" t="b">
        <f aca="false">TRUE()</f>
        <v>1</v>
      </c>
      <c r="O6" s="11" t="b">
        <f aca="false">TRUE()</f>
        <v>1</v>
      </c>
      <c r="P6" s="11" t="b">
        <f aca="false">FALSE()</f>
        <v>0</v>
      </c>
      <c r="Q6" s="11" t="s">
        <v>4066</v>
      </c>
      <c r="R6" s="11" t="s">
        <v>4067</v>
      </c>
      <c r="S6" s="11" t="s">
        <v>4068</v>
      </c>
      <c r="T6" s="11" t="s">
        <v>4069</v>
      </c>
      <c r="U6" s="12" t="s">
        <v>115</v>
      </c>
      <c r="V6" s="12" t="n">
        <f aca="false">COUNTIF($A$6,A6)</f>
        <v>1</v>
      </c>
    </row>
  </sheetData>
  <mergeCells count="2">
    <mergeCell ref="A1:V1"/>
    <mergeCell ref="A2:V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88"/>
    <col collapsed="false" customWidth="true" hidden="false" outlineLevel="0" max="3" min="3" style="0" width="36"/>
    <col collapsed="false" customWidth="true" hidden="false" outlineLevel="0" max="4" min="4" style="0" width="30"/>
    <col collapsed="false" customWidth="true" hidden="false" outlineLevel="0" max="5" min="5" style="0" width="28"/>
    <col collapsed="false" customWidth="true" hidden="false" outlineLevel="0" max="6" min="6" style="0" width="80"/>
    <col collapsed="false" customWidth="true" hidden="false" outlineLevel="0" max="7" min="7" style="0" width="44"/>
    <col collapsed="false" customWidth="true" hidden="false" outlineLevel="0" max="8" min="8" style="0" width="38"/>
  </cols>
  <sheetData>
    <row r="1" customFormat="false" ht="30" hidden="false" customHeight="true" outlineLevel="0" collapsed="false">
      <c r="A1" s="13" t="s">
        <v>4070</v>
      </c>
      <c r="B1" s="13"/>
      <c r="C1" s="13"/>
      <c r="D1" s="13"/>
      <c r="E1" s="13"/>
      <c r="F1" s="13"/>
      <c r="G1" s="13"/>
      <c r="H1" s="13"/>
    </row>
    <row r="2" customFormat="false" ht="42" hidden="false" customHeight="true" outlineLevel="0" collapsed="false">
      <c r="A2" s="15" t="s">
        <v>4071</v>
      </c>
      <c r="B2" s="15"/>
      <c r="C2" s="15"/>
      <c r="D2" s="15"/>
      <c r="E2" s="15"/>
      <c r="F2" s="15"/>
      <c r="G2" s="15"/>
      <c r="H2" s="15"/>
    </row>
    <row r="3" customFormat="false" ht="15" hidden="false" customHeight="false" outlineLevel="0" collapsed="false">
      <c r="A3" s="16"/>
      <c r="B3" s="16"/>
      <c r="C3" s="16"/>
      <c r="D3" s="16"/>
      <c r="E3" s="16"/>
      <c r="F3" s="16"/>
      <c r="G3" s="16"/>
      <c r="H3" s="16"/>
    </row>
    <row r="4" customFormat="false" ht="15" hidden="false" customHeight="false" outlineLevel="0" collapsed="false">
      <c r="A4" s="14"/>
      <c r="B4" s="14"/>
      <c r="C4" s="14"/>
      <c r="D4" s="14"/>
      <c r="E4" s="14"/>
      <c r="F4" s="14"/>
      <c r="G4" s="14"/>
      <c r="H4" s="14"/>
    </row>
    <row r="5" customFormat="false" ht="15" hidden="false" customHeight="true" outlineLevel="0" collapsed="false">
      <c r="A5" s="22" t="s">
        <v>4072</v>
      </c>
      <c r="B5" s="22"/>
      <c r="C5" s="22"/>
      <c r="D5" s="22"/>
      <c r="E5" s="22"/>
      <c r="F5" s="14"/>
      <c r="G5" s="14"/>
      <c r="H5" s="14"/>
    </row>
    <row r="6" customFormat="false" ht="15" hidden="false" customHeight="false" outlineLevel="0" collapsed="false">
      <c r="A6" s="23" t="s">
        <v>4073</v>
      </c>
      <c r="B6" s="23" t="s">
        <v>4074</v>
      </c>
      <c r="C6" s="23" t="s">
        <v>4075</v>
      </c>
      <c r="D6" s="23" t="s">
        <v>4076</v>
      </c>
      <c r="E6" s="23" t="s">
        <v>104</v>
      </c>
      <c r="F6" s="14"/>
      <c r="G6" s="14"/>
      <c r="H6" s="14"/>
    </row>
    <row r="7" customFormat="false" ht="54" hidden="false" customHeight="true" outlineLevel="0" collapsed="false">
      <c r="A7" s="24" t="s">
        <v>4077</v>
      </c>
      <c r="B7" s="24" t="s">
        <v>8</v>
      </c>
      <c r="C7" s="24" t="s">
        <v>4078</v>
      </c>
      <c r="D7" s="24" t="s">
        <v>4079</v>
      </c>
      <c r="E7" s="24" t="s">
        <v>9</v>
      </c>
      <c r="F7" s="14"/>
      <c r="G7" s="14"/>
      <c r="H7" s="14"/>
    </row>
    <row r="8" customFormat="false" ht="54" hidden="false" customHeight="true" outlineLevel="0" collapsed="false">
      <c r="A8" s="24" t="s">
        <v>4080</v>
      </c>
      <c r="B8" s="24" t="s">
        <v>10</v>
      </c>
      <c r="C8" s="24" t="s">
        <v>4081</v>
      </c>
      <c r="D8" s="24" t="s">
        <v>4082</v>
      </c>
      <c r="E8" s="24" t="s">
        <v>9</v>
      </c>
      <c r="F8" s="14"/>
      <c r="G8" s="14"/>
      <c r="H8" s="14"/>
    </row>
    <row r="9" customFormat="false" ht="54" hidden="false" customHeight="true" outlineLevel="0" collapsed="false">
      <c r="A9" s="24" t="s">
        <v>4083</v>
      </c>
      <c r="B9" s="24" t="s">
        <v>4084</v>
      </c>
      <c r="C9" s="24" t="s">
        <v>4085</v>
      </c>
      <c r="D9" s="24" t="s">
        <v>4086</v>
      </c>
      <c r="E9" s="24" t="s">
        <v>9</v>
      </c>
      <c r="F9" s="14"/>
      <c r="G9" s="14"/>
      <c r="H9" s="14"/>
    </row>
    <row r="10" customFormat="false" ht="54" hidden="false" customHeight="true" outlineLevel="0" collapsed="false">
      <c r="A10" s="24" t="s">
        <v>4087</v>
      </c>
      <c r="B10" s="24" t="s">
        <v>4088</v>
      </c>
      <c r="C10" s="24" t="s">
        <v>4089</v>
      </c>
      <c r="D10" s="24" t="s">
        <v>4090</v>
      </c>
      <c r="E10" s="24" t="s">
        <v>9</v>
      </c>
      <c r="F10" s="14"/>
      <c r="G10" s="14"/>
      <c r="H10" s="14"/>
    </row>
    <row r="11" customFormat="false" ht="54" hidden="false" customHeight="true" outlineLevel="0" collapsed="false">
      <c r="A11" s="24" t="s">
        <v>4091</v>
      </c>
      <c r="B11" s="24" t="s">
        <v>360</v>
      </c>
      <c r="C11" s="24" t="s">
        <v>4092</v>
      </c>
      <c r="D11" s="24" t="s">
        <v>4093</v>
      </c>
      <c r="E11" s="24" t="s">
        <v>9</v>
      </c>
      <c r="F11" s="14"/>
      <c r="G11" s="14"/>
      <c r="H11" s="14"/>
    </row>
    <row r="12" customFormat="false" ht="54" hidden="false" customHeight="true" outlineLevel="0" collapsed="false">
      <c r="A12" s="24" t="s">
        <v>4094</v>
      </c>
      <c r="B12" s="24" t="s">
        <v>4095</v>
      </c>
      <c r="C12" s="24" t="s">
        <v>4096</v>
      </c>
      <c r="D12" s="24" t="s">
        <v>4093</v>
      </c>
      <c r="E12" s="24" t="s">
        <v>9</v>
      </c>
      <c r="F12" s="14"/>
      <c r="G12" s="14"/>
      <c r="H12" s="14"/>
    </row>
    <row r="13" customFormat="false" ht="54" hidden="false" customHeight="true" outlineLevel="0" collapsed="false">
      <c r="A13" s="24" t="s">
        <v>4097</v>
      </c>
      <c r="B13" s="24" t="s">
        <v>4098</v>
      </c>
      <c r="C13" s="24" t="s">
        <v>4099</v>
      </c>
      <c r="D13" s="24" t="s">
        <v>4100</v>
      </c>
      <c r="E13" s="24" t="s">
        <v>9</v>
      </c>
      <c r="F13" s="14"/>
      <c r="G13" s="14"/>
      <c r="H13" s="14"/>
    </row>
    <row r="14" customFormat="false" ht="54" hidden="false" customHeight="true" outlineLevel="0" collapsed="false">
      <c r="A14" s="24" t="s">
        <v>4101</v>
      </c>
      <c r="B14" s="24" t="s">
        <v>4102</v>
      </c>
      <c r="C14" s="24" t="s">
        <v>4103</v>
      </c>
      <c r="D14" s="24" t="s">
        <v>4100</v>
      </c>
      <c r="E14" s="24" t="s">
        <v>9</v>
      </c>
      <c r="F14" s="14"/>
      <c r="G14" s="14"/>
      <c r="H14" s="14"/>
    </row>
    <row r="15" customFormat="false" ht="54" hidden="false" customHeight="true" outlineLevel="0" collapsed="false">
      <c r="A15" s="24" t="s">
        <v>4104</v>
      </c>
      <c r="B15" s="24" t="s">
        <v>4105</v>
      </c>
      <c r="C15" s="24" t="s">
        <v>4106</v>
      </c>
      <c r="D15" s="24" t="s">
        <v>4100</v>
      </c>
      <c r="E15" s="24" t="s">
        <v>9</v>
      </c>
      <c r="F15" s="14"/>
      <c r="G15" s="14"/>
      <c r="H15" s="14"/>
    </row>
    <row r="16" customFormat="false" ht="54" hidden="false" customHeight="true" outlineLevel="0" collapsed="false">
      <c r="A16" s="24" t="s">
        <v>4107</v>
      </c>
      <c r="B16" s="24" t="s">
        <v>4108</v>
      </c>
      <c r="C16" s="24" t="s">
        <v>4109</v>
      </c>
      <c r="D16" s="24" t="s">
        <v>4110</v>
      </c>
      <c r="E16" s="24" t="s">
        <v>9</v>
      </c>
      <c r="F16" s="14"/>
      <c r="G16" s="14"/>
      <c r="H16" s="14"/>
    </row>
    <row r="17" customFormat="false" ht="54" hidden="false" customHeight="true" outlineLevel="0" collapsed="false">
      <c r="A17" s="24" t="s">
        <v>4111</v>
      </c>
      <c r="B17" s="24" t="s">
        <v>4112</v>
      </c>
      <c r="C17" s="24" t="s">
        <v>4113</v>
      </c>
      <c r="D17" s="24" t="s">
        <v>4114</v>
      </c>
      <c r="E17" s="24" t="s">
        <v>9</v>
      </c>
      <c r="F17" s="14"/>
      <c r="G17" s="14"/>
      <c r="H17" s="14"/>
    </row>
    <row r="18" customFormat="false" ht="54" hidden="false" customHeight="true" outlineLevel="0" collapsed="false">
      <c r="A18" s="24" t="s">
        <v>4115</v>
      </c>
      <c r="B18" s="24" t="s">
        <v>4116</v>
      </c>
      <c r="C18" s="24" t="s">
        <v>4117</v>
      </c>
      <c r="D18" s="24" t="s">
        <v>4110</v>
      </c>
      <c r="E18" s="24" t="s">
        <v>9</v>
      </c>
      <c r="F18" s="14"/>
      <c r="G18" s="14"/>
      <c r="H18" s="14"/>
    </row>
    <row r="19" customFormat="false" ht="54" hidden="false" customHeight="true" outlineLevel="0" collapsed="false">
      <c r="A19" s="24" t="s">
        <v>4118</v>
      </c>
      <c r="B19" s="24" t="s">
        <v>4119</v>
      </c>
      <c r="C19" s="24" t="s">
        <v>4120</v>
      </c>
      <c r="D19" s="24" t="s">
        <v>4121</v>
      </c>
      <c r="E19" s="24" t="s">
        <v>9</v>
      </c>
      <c r="F19" s="14"/>
      <c r="G19" s="14"/>
      <c r="H19" s="14"/>
    </row>
    <row r="20" customFormat="false" ht="54" hidden="false" customHeight="true" outlineLevel="0" collapsed="false">
      <c r="A20" s="24" t="s">
        <v>4122</v>
      </c>
      <c r="B20" s="24" t="s">
        <v>4123</v>
      </c>
      <c r="C20" s="24" t="s">
        <v>4124</v>
      </c>
      <c r="D20" s="24" t="s">
        <v>4121</v>
      </c>
      <c r="E20" s="24" t="s">
        <v>9</v>
      </c>
      <c r="F20" s="14"/>
      <c r="G20" s="14"/>
      <c r="H20" s="14"/>
    </row>
    <row r="21" customFormat="false" ht="54" hidden="false" customHeight="true" outlineLevel="0" collapsed="false">
      <c r="A21" s="24" t="s">
        <v>4125</v>
      </c>
      <c r="B21" s="24" t="s">
        <v>4126</v>
      </c>
      <c r="C21" s="24" t="s">
        <v>4127</v>
      </c>
      <c r="D21" s="24" t="s">
        <v>4093</v>
      </c>
      <c r="E21" s="24" t="s">
        <v>9</v>
      </c>
      <c r="F21" s="14"/>
      <c r="G21" s="14"/>
      <c r="H21" s="14"/>
    </row>
    <row r="22" customFormat="false" ht="54" hidden="false" customHeight="true" outlineLevel="0" collapsed="false">
      <c r="A22" s="24" t="s">
        <v>4128</v>
      </c>
      <c r="B22" s="24" t="s">
        <v>4129</v>
      </c>
      <c r="C22" s="24" t="s">
        <v>4130</v>
      </c>
      <c r="D22" s="24" t="s">
        <v>4093</v>
      </c>
      <c r="E22" s="24" t="s">
        <v>9</v>
      </c>
      <c r="F22" s="14"/>
      <c r="G22" s="14"/>
      <c r="H22" s="14"/>
    </row>
    <row r="23" customFormat="false" ht="54" hidden="false" customHeight="true" outlineLevel="0" collapsed="false">
      <c r="A23" s="24" t="s">
        <v>4131</v>
      </c>
      <c r="B23" s="24" t="s">
        <v>4132</v>
      </c>
      <c r="C23" s="24" t="s">
        <v>4127</v>
      </c>
      <c r="D23" s="24" t="s">
        <v>4093</v>
      </c>
      <c r="E23" s="24" t="s">
        <v>9</v>
      </c>
      <c r="F23" s="14"/>
      <c r="G23" s="14"/>
      <c r="H23" s="14"/>
    </row>
    <row r="24" customFormat="false" ht="54" hidden="false" customHeight="true" outlineLevel="0" collapsed="false">
      <c r="A24" s="24" t="s">
        <v>4133</v>
      </c>
      <c r="B24" s="24" t="s">
        <v>4134</v>
      </c>
      <c r="C24" s="24" t="s">
        <v>4135</v>
      </c>
      <c r="D24" s="24" t="s">
        <v>4136</v>
      </c>
      <c r="E24" s="24" t="s">
        <v>9</v>
      </c>
      <c r="F24" s="14"/>
      <c r="G24" s="14"/>
      <c r="H24" s="14"/>
    </row>
    <row r="25" customFormat="false" ht="54" hidden="false" customHeight="true" outlineLevel="0" collapsed="false">
      <c r="A25" s="24" t="s">
        <v>4137</v>
      </c>
      <c r="B25" s="24" t="s">
        <v>4138</v>
      </c>
      <c r="C25" s="24" t="s">
        <v>4139</v>
      </c>
      <c r="D25" s="24" t="s">
        <v>4140</v>
      </c>
      <c r="E25" s="24" t="s">
        <v>9</v>
      </c>
      <c r="F25" s="14"/>
      <c r="G25" s="14"/>
      <c r="H25" s="14"/>
    </row>
    <row r="26" customFormat="false" ht="57.45" hidden="false" customHeight="false" outlineLevel="0" collapsed="false">
      <c r="A26" s="14" t="s">
        <v>4141</v>
      </c>
      <c r="B26" s="14" t="s">
        <v>4142</v>
      </c>
      <c r="C26" s="14" t="s">
        <v>4143</v>
      </c>
      <c r="D26" s="14" t="s">
        <v>4144</v>
      </c>
      <c r="E26" s="14" t="s">
        <v>9</v>
      </c>
      <c r="F26" s="14"/>
      <c r="G26" s="14"/>
      <c r="H26" s="14"/>
    </row>
    <row r="27" customFormat="false" ht="15" hidden="false" customHeight="false" outlineLevel="0" collapsed="false">
      <c r="A27" s="14"/>
      <c r="B27" s="14"/>
      <c r="C27" s="14"/>
      <c r="D27" s="14"/>
      <c r="E27" s="14"/>
      <c r="F27" s="14"/>
      <c r="G27" s="14"/>
      <c r="H27" s="14"/>
    </row>
    <row r="28" customFormat="false" ht="22" hidden="false" customHeight="true" outlineLevel="0" collapsed="false">
      <c r="A28" s="25" t="s">
        <v>4145</v>
      </c>
      <c r="B28" s="25" t="s">
        <v>4145</v>
      </c>
      <c r="C28" s="25" t="s">
        <v>4145</v>
      </c>
      <c r="D28" s="25" t="s">
        <v>4145</v>
      </c>
      <c r="E28" s="25" t="s">
        <v>4145</v>
      </c>
      <c r="F28" s="25" t="s">
        <v>4145</v>
      </c>
      <c r="G28" s="25" t="s">
        <v>4145</v>
      </c>
      <c r="H28" s="25" t="s">
        <v>4145</v>
      </c>
    </row>
    <row r="29" customFormat="false" ht="15" hidden="false" customHeight="false" outlineLevel="0" collapsed="false">
      <c r="A29" s="23" t="s">
        <v>4146</v>
      </c>
      <c r="B29" s="23" t="s">
        <v>4147</v>
      </c>
      <c r="C29" s="23" t="s">
        <v>4148</v>
      </c>
      <c r="D29" s="23" t="s">
        <v>4149</v>
      </c>
      <c r="E29" s="23" t="s">
        <v>4150</v>
      </c>
      <c r="F29" s="23" t="s">
        <v>4151</v>
      </c>
      <c r="G29" s="23" t="s">
        <v>4152</v>
      </c>
      <c r="H29" s="23" t="s">
        <v>67</v>
      </c>
    </row>
    <row r="30" customFormat="false" ht="54" hidden="false" customHeight="true" outlineLevel="0" collapsed="false">
      <c r="A30" s="24" t="s">
        <v>4153</v>
      </c>
      <c r="B30" s="24" t="s">
        <v>4154</v>
      </c>
      <c r="C30" s="24" t="s">
        <v>4155</v>
      </c>
      <c r="D30" s="24" t="b">
        <f aca="false">TRUE()</f>
        <v>1</v>
      </c>
      <c r="E30" s="24" t="s">
        <v>4156</v>
      </c>
      <c r="F30" s="24" t="s">
        <v>4157</v>
      </c>
      <c r="G30" s="24" t="s">
        <v>4158</v>
      </c>
      <c r="H30" s="24" t="s">
        <v>4159</v>
      </c>
    </row>
    <row r="31" customFormat="false" ht="54" hidden="false" customHeight="true" outlineLevel="0" collapsed="false">
      <c r="A31" s="24" t="s">
        <v>4160</v>
      </c>
      <c r="B31" s="24" t="s">
        <v>4154</v>
      </c>
      <c r="C31" s="24" t="s">
        <v>4161</v>
      </c>
      <c r="D31" s="24" t="b">
        <f aca="false">TRUE()</f>
        <v>1</v>
      </c>
      <c r="E31" s="24"/>
      <c r="F31" s="24" t="s">
        <v>4162</v>
      </c>
      <c r="G31" s="24" t="s">
        <v>4163</v>
      </c>
      <c r="H31" s="24" t="s">
        <v>4164</v>
      </c>
    </row>
    <row r="32" customFormat="false" ht="54" hidden="false" customHeight="true" outlineLevel="0" collapsed="false">
      <c r="A32" s="24" t="s">
        <v>4165</v>
      </c>
      <c r="B32" s="24" t="s">
        <v>4154</v>
      </c>
      <c r="C32" s="24" t="s">
        <v>4166</v>
      </c>
      <c r="D32" s="24" t="b">
        <f aca="false">FALSE()</f>
        <v>0</v>
      </c>
      <c r="E32" s="24"/>
      <c r="F32" s="24" t="s">
        <v>4167</v>
      </c>
      <c r="G32" s="24" t="s">
        <v>4168</v>
      </c>
      <c r="H32" s="24" t="s">
        <v>4169</v>
      </c>
    </row>
    <row r="33" customFormat="false" ht="54" hidden="false" customHeight="true" outlineLevel="0" collapsed="false">
      <c r="A33" s="24" t="s">
        <v>4170</v>
      </c>
      <c r="B33" s="24" t="s">
        <v>4154</v>
      </c>
      <c r="C33" s="24" t="s">
        <v>4171</v>
      </c>
      <c r="D33" s="24" t="b">
        <f aca="false">TRUE()</f>
        <v>1</v>
      </c>
      <c r="E33" s="24"/>
      <c r="F33" s="24" t="s">
        <v>4172</v>
      </c>
      <c r="G33" s="24" t="s">
        <v>4173</v>
      </c>
      <c r="H33" s="24" t="s">
        <v>4174</v>
      </c>
    </row>
    <row r="34" customFormat="false" ht="54" hidden="false" customHeight="true" outlineLevel="0" collapsed="false">
      <c r="A34" s="24" t="s">
        <v>4175</v>
      </c>
      <c r="B34" s="24" t="s">
        <v>4154</v>
      </c>
      <c r="C34" s="24" t="s">
        <v>4171</v>
      </c>
      <c r="D34" s="24" t="b">
        <f aca="false">TRUE()</f>
        <v>1</v>
      </c>
      <c r="E34" s="24"/>
      <c r="F34" s="24" t="s">
        <v>4176</v>
      </c>
      <c r="G34" s="24" t="s">
        <v>4177</v>
      </c>
      <c r="H34" s="24" t="s">
        <v>4092</v>
      </c>
    </row>
    <row r="35" customFormat="false" ht="54" hidden="false" customHeight="true" outlineLevel="0" collapsed="false">
      <c r="A35" s="24" t="s">
        <v>4178</v>
      </c>
      <c r="B35" s="24" t="s">
        <v>4154</v>
      </c>
      <c r="C35" s="24" t="s">
        <v>4171</v>
      </c>
      <c r="D35" s="24" t="b">
        <f aca="false">TRUE()</f>
        <v>1</v>
      </c>
      <c r="E35" s="24"/>
      <c r="F35" s="24" t="s">
        <v>4179</v>
      </c>
      <c r="G35" s="24" t="s">
        <v>4180</v>
      </c>
      <c r="H35" s="24" t="s">
        <v>4181</v>
      </c>
    </row>
    <row r="36" customFormat="false" ht="54" hidden="false" customHeight="true" outlineLevel="0" collapsed="false">
      <c r="A36" s="24" t="s">
        <v>4182</v>
      </c>
      <c r="B36" s="24" t="s">
        <v>4154</v>
      </c>
      <c r="C36" s="24" t="s">
        <v>4171</v>
      </c>
      <c r="D36" s="24" t="b">
        <f aca="false">TRUE()</f>
        <v>1</v>
      </c>
      <c r="E36" s="24"/>
      <c r="F36" s="24" t="s">
        <v>4183</v>
      </c>
      <c r="G36" s="24" t="s">
        <v>4184</v>
      </c>
      <c r="H36" s="24" t="s">
        <v>4185</v>
      </c>
    </row>
    <row r="37" customFormat="false" ht="54" hidden="false" customHeight="true" outlineLevel="0" collapsed="false">
      <c r="A37" s="24" t="s">
        <v>4186</v>
      </c>
      <c r="B37" s="24" t="s">
        <v>4154</v>
      </c>
      <c r="C37" s="24" t="s">
        <v>4187</v>
      </c>
      <c r="D37" s="24" t="b">
        <f aca="false">TRUE()</f>
        <v>1</v>
      </c>
      <c r="E37" s="24" t="s">
        <v>4188</v>
      </c>
      <c r="F37" s="24" t="s">
        <v>4189</v>
      </c>
      <c r="G37" s="24" t="s">
        <v>4190</v>
      </c>
      <c r="H37" s="24" t="s">
        <v>4191</v>
      </c>
    </row>
    <row r="38" customFormat="false" ht="54" hidden="false" customHeight="true" outlineLevel="0" collapsed="false">
      <c r="A38" s="24" t="s">
        <v>4094</v>
      </c>
      <c r="B38" s="24" t="s">
        <v>4154</v>
      </c>
      <c r="C38" s="24" t="s">
        <v>4192</v>
      </c>
      <c r="D38" s="24" t="b">
        <f aca="false">TRUE()</f>
        <v>1</v>
      </c>
      <c r="E38" s="24" t="s">
        <v>4193</v>
      </c>
      <c r="F38" s="24" t="s">
        <v>4194</v>
      </c>
      <c r="G38" s="24" t="s">
        <v>4195</v>
      </c>
      <c r="H38" s="24"/>
    </row>
    <row r="39" customFormat="false" ht="54" hidden="false" customHeight="true" outlineLevel="0" collapsed="false">
      <c r="A39" s="24" t="s">
        <v>4196</v>
      </c>
      <c r="B39" s="24" t="s">
        <v>4154</v>
      </c>
      <c r="C39" s="24" t="s">
        <v>4192</v>
      </c>
      <c r="D39" s="24" t="b">
        <f aca="false">TRUE()</f>
        <v>1</v>
      </c>
      <c r="E39" s="24" t="n">
        <v>0</v>
      </c>
      <c r="F39" s="24" t="s">
        <v>4197</v>
      </c>
      <c r="G39" s="24" t="s">
        <v>4198</v>
      </c>
      <c r="H39" s="24" t="s">
        <v>4099</v>
      </c>
    </row>
    <row r="40" customFormat="false" ht="54" hidden="false" customHeight="true" outlineLevel="0" collapsed="false">
      <c r="A40" s="24" t="s">
        <v>4199</v>
      </c>
      <c r="B40" s="24" t="s">
        <v>4154</v>
      </c>
      <c r="C40" s="24" t="s">
        <v>4200</v>
      </c>
      <c r="D40" s="24" t="b">
        <f aca="false">TRUE()</f>
        <v>1</v>
      </c>
      <c r="E40" s="24" t="s">
        <v>4188</v>
      </c>
      <c r="F40" s="24" t="s">
        <v>4201</v>
      </c>
      <c r="G40" s="24" t="s">
        <v>4202</v>
      </c>
      <c r="H40" s="24" t="s">
        <v>4203</v>
      </c>
    </row>
    <row r="41" customFormat="false" ht="54" hidden="false" customHeight="true" outlineLevel="0" collapsed="false">
      <c r="A41" s="24" t="s">
        <v>4204</v>
      </c>
      <c r="B41" s="24" t="s">
        <v>4154</v>
      </c>
      <c r="C41" s="24" t="s">
        <v>4192</v>
      </c>
      <c r="D41" s="24" t="b">
        <f aca="false">TRUE()</f>
        <v>1</v>
      </c>
      <c r="E41" s="24" t="n">
        <v>100</v>
      </c>
      <c r="F41" s="24" t="s">
        <v>4205</v>
      </c>
      <c r="G41" s="24" t="s">
        <v>4206</v>
      </c>
      <c r="H41" s="24" t="s">
        <v>4207</v>
      </c>
    </row>
    <row r="42" customFormat="false" ht="54" hidden="false" customHeight="true" outlineLevel="0" collapsed="false">
      <c r="A42" s="24" t="s">
        <v>4208</v>
      </c>
      <c r="B42" s="24" t="s">
        <v>4154</v>
      </c>
      <c r="C42" s="24" t="s">
        <v>4192</v>
      </c>
      <c r="D42" s="24" t="b">
        <f aca="false">TRUE()</f>
        <v>1</v>
      </c>
      <c r="E42" s="24" t="s">
        <v>4204</v>
      </c>
      <c r="F42" s="24" t="s">
        <v>4209</v>
      </c>
      <c r="G42" s="24" t="s">
        <v>4210</v>
      </c>
      <c r="H42" s="24" t="s">
        <v>4211</v>
      </c>
    </row>
    <row r="43" customFormat="false" ht="15" hidden="false" customHeight="false" outlineLevel="0" collapsed="false">
      <c r="A43" s="14" t="s">
        <v>4212</v>
      </c>
      <c r="B43" s="14" t="s">
        <v>4154</v>
      </c>
      <c r="C43" s="14" t="s">
        <v>4192</v>
      </c>
      <c r="D43" s="14" t="b">
        <f aca="false">TRUE()</f>
        <v>1</v>
      </c>
      <c r="E43" s="14" t="n">
        <v>0</v>
      </c>
      <c r="F43" s="14" t="s">
        <v>4213</v>
      </c>
      <c r="G43" s="14" t="s">
        <v>4214</v>
      </c>
      <c r="H43" s="14" t="s">
        <v>4215</v>
      </c>
    </row>
    <row r="44" customFormat="false" ht="23.85" hidden="false" customHeight="false" outlineLevel="0" collapsed="false">
      <c r="A44" s="14" t="s">
        <v>4216</v>
      </c>
      <c r="B44" s="14" t="s">
        <v>4154</v>
      </c>
      <c r="C44" s="14" t="s">
        <v>4192</v>
      </c>
      <c r="D44" s="14" t="b">
        <f aca="false">TRUE()</f>
        <v>1</v>
      </c>
      <c r="E44" s="14" t="n">
        <v>0</v>
      </c>
      <c r="F44" s="14" t="s">
        <v>4217</v>
      </c>
      <c r="G44" s="14" t="s">
        <v>4218</v>
      </c>
      <c r="H44" s="14" t="s">
        <v>4219</v>
      </c>
    </row>
    <row r="45" customFormat="false" ht="15" hidden="false" customHeight="false" outlineLevel="0" collapsed="false">
      <c r="A45" s="22"/>
      <c r="B45" s="22"/>
      <c r="C45" s="22"/>
      <c r="D45" s="22"/>
      <c r="E45" s="22"/>
      <c r="F45" s="22"/>
      <c r="G45" s="22"/>
      <c r="H45" s="22"/>
    </row>
    <row r="46" customFormat="false" ht="15" hidden="false" customHeight="false" outlineLevel="0" collapsed="false">
      <c r="A46" s="23"/>
      <c r="B46" s="23"/>
      <c r="C46" s="23"/>
      <c r="D46" s="23"/>
      <c r="E46" s="23"/>
      <c r="F46" s="23"/>
      <c r="G46" s="23"/>
      <c r="H46" s="23"/>
    </row>
    <row r="47" customFormat="false" ht="22" hidden="false" customHeight="true" outlineLevel="0" collapsed="false">
      <c r="A47" s="26" t="s">
        <v>4220</v>
      </c>
      <c r="B47" s="26" t="s">
        <v>4220</v>
      </c>
      <c r="C47" s="26" t="s">
        <v>4220</v>
      </c>
      <c r="D47" s="26" t="s">
        <v>4220</v>
      </c>
      <c r="E47" s="26" t="s">
        <v>4220</v>
      </c>
      <c r="F47" s="26" t="s">
        <v>4220</v>
      </c>
      <c r="G47" s="26" t="s">
        <v>4220</v>
      </c>
      <c r="H47" s="26" t="s">
        <v>4220</v>
      </c>
    </row>
    <row r="48" customFormat="false" ht="54" hidden="false" customHeight="true" outlineLevel="0" collapsed="false">
      <c r="A48" s="24" t="s">
        <v>4146</v>
      </c>
      <c r="B48" s="24" t="s">
        <v>4147</v>
      </c>
      <c r="C48" s="24" t="s">
        <v>4148</v>
      </c>
      <c r="D48" s="24" t="s">
        <v>4149</v>
      </c>
      <c r="E48" s="24" t="s">
        <v>4150</v>
      </c>
      <c r="F48" s="24" t="s">
        <v>4151</v>
      </c>
      <c r="G48" s="24" t="s">
        <v>4152</v>
      </c>
      <c r="H48" s="24" t="s">
        <v>67</v>
      </c>
    </row>
    <row r="49" customFormat="false" ht="54" hidden="false" customHeight="true" outlineLevel="0" collapsed="false">
      <c r="A49" s="24" t="s">
        <v>4221</v>
      </c>
      <c r="B49" s="24" t="s">
        <v>4222</v>
      </c>
      <c r="C49" s="24" t="s">
        <v>4155</v>
      </c>
      <c r="D49" s="24" t="b">
        <f aca="false">TRUE()</f>
        <v>1</v>
      </c>
      <c r="E49" s="24" t="s">
        <v>4156</v>
      </c>
      <c r="F49" s="24" t="s">
        <v>4223</v>
      </c>
      <c r="G49" s="24" t="s">
        <v>4224</v>
      </c>
      <c r="H49" s="24" t="s">
        <v>4225</v>
      </c>
    </row>
    <row r="50" customFormat="false" ht="54" hidden="false" customHeight="true" outlineLevel="0" collapsed="false">
      <c r="A50" s="24" t="s">
        <v>4226</v>
      </c>
      <c r="B50" s="24" t="s">
        <v>4222</v>
      </c>
      <c r="C50" s="24" t="s">
        <v>4161</v>
      </c>
      <c r="D50" s="24" t="b">
        <f aca="false">TRUE()</f>
        <v>1</v>
      </c>
      <c r="E50" s="24"/>
      <c r="F50" s="24" t="s">
        <v>4227</v>
      </c>
      <c r="G50" s="24" t="s">
        <v>4228</v>
      </c>
      <c r="H50" s="24" t="s">
        <v>4004</v>
      </c>
    </row>
    <row r="51" customFormat="false" ht="54" hidden="false" customHeight="true" outlineLevel="0" collapsed="false">
      <c r="A51" s="24" t="s">
        <v>4229</v>
      </c>
      <c r="B51" s="24" t="s">
        <v>4222</v>
      </c>
      <c r="C51" s="24" t="s">
        <v>4192</v>
      </c>
      <c r="D51" s="24" t="b">
        <f aca="false">TRUE()</f>
        <v>1</v>
      </c>
      <c r="E51" s="24" t="n">
        <v>1</v>
      </c>
      <c r="F51" s="24" t="s">
        <v>4230</v>
      </c>
      <c r="G51" s="24" t="s">
        <v>4231</v>
      </c>
      <c r="H51" s="24" t="s">
        <v>4232</v>
      </c>
    </row>
    <row r="52" customFormat="false" ht="54" hidden="false" customHeight="true" outlineLevel="0" collapsed="false">
      <c r="A52" s="24" t="s">
        <v>4233</v>
      </c>
      <c r="B52" s="24" t="s">
        <v>4222</v>
      </c>
      <c r="C52" s="24" t="s">
        <v>4192</v>
      </c>
      <c r="D52" s="24" t="b">
        <f aca="false">TRUE()</f>
        <v>1</v>
      </c>
      <c r="E52" s="24" t="n">
        <v>1</v>
      </c>
      <c r="F52" s="24" t="s">
        <v>4234</v>
      </c>
      <c r="G52" s="24" t="s">
        <v>4235</v>
      </c>
      <c r="H52" s="24" t="s">
        <v>4236</v>
      </c>
    </row>
    <row r="53" customFormat="false" ht="54" hidden="false" customHeight="true" outlineLevel="0" collapsed="false">
      <c r="A53" s="24" t="s">
        <v>4237</v>
      </c>
      <c r="B53" s="24" t="s">
        <v>4222</v>
      </c>
      <c r="C53" s="24" t="s">
        <v>4238</v>
      </c>
      <c r="D53" s="24" t="b">
        <f aca="false">TRUE()</f>
        <v>1</v>
      </c>
      <c r="E53" s="24" t="s">
        <v>4188</v>
      </c>
      <c r="F53" s="24" t="s">
        <v>4239</v>
      </c>
      <c r="G53" s="24" t="s">
        <v>4240</v>
      </c>
      <c r="H53" s="24" t="s">
        <v>4241</v>
      </c>
    </row>
    <row r="54" customFormat="false" ht="54" hidden="false" customHeight="true" outlineLevel="0" collapsed="false">
      <c r="A54" s="24" t="s">
        <v>4242</v>
      </c>
      <c r="B54" s="24" t="s">
        <v>4222</v>
      </c>
      <c r="C54" s="24" t="s">
        <v>4243</v>
      </c>
      <c r="D54" s="24" t="b">
        <f aca="false">TRUE()</f>
        <v>1</v>
      </c>
      <c r="E54" s="24" t="s">
        <v>4244</v>
      </c>
      <c r="F54" s="24" t="s">
        <v>4245</v>
      </c>
      <c r="G54" s="24" t="s">
        <v>4246</v>
      </c>
      <c r="H54" s="24"/>
    </row>
    <row r="55" customFormat="false" ht="54" hidden="false" customHeight="true" outlineLevel="0" collapsed="false">
      <c r="A55" s="24" t="s">
        <v>4247</v>
      </c>
      <c r="B55" s="24" t="s">
        <v>4222</v>
      </c>
      <c r="C55" s="24" t="s">
        <v>4192</v>
      </c>
      <c r="D55" s="24" t="b">
        <f aca="false">TRUE()</f>
        <v>1</v>
      </c>
      <c r="E55" s="24" t="s">
        <v>4248</v>
      </c>
      <c r="F55" s="24" t="s">
        <v>4249</v>
      </c>
      <c r="G55" s="24" t="s">
        <v>4250</v>
      </c>
      <c r="H55" s="24"/>
    </row>
    <row r="56" customFormat="false" ht="54" hidden="false" customHeight="true" outlineLevel="0" collapsed="false">
      <c r="A56" s="24" t="s">
        <v>4251</v>
      </c>
      <c r="B56" s="24" t="s">
        <v>4222</v>
      </c>
      <c r="C56" s="24" t="s">
        <v>4192</v>
      </c>
      <c r="D56" s="24" t="b">
        <f aca="false">TRUE()</f>
        <v>1</v>
      </c>
      <c r="E56" s="24" t="s">
        <v>4247</v>
      </c>
      <c r="F56" s="24" t="s">
        <v>4252</v>
      </c>
      <c r="G56" s="24" t="s">
        <v>4253</v>
      </c>
      <c r="H56" s="24" t="s">
        <v>4254</v>
      </c>
    </row>
    <row r="57" customFormat="false" ht="54" hidden="false" customHeight="true" outlineLevel="0" collapsed="false">
      <c r="A57" s="24" t="s">
        <v>4255</v>
      </c>
      <c r="B57" s="24" t="s">
        <v>4222</v>
      </c>
      <c r="C57" s="24" t="s">
        <v>4256</v>
      </c>
      <c r="D57" s="24" t="b">
        <f aca="false">TRUE()</f>
        <v>1</v>
      </c>
      <c r="E57" s="24" t="s">
        <v>4257</v>
      </c>
      <c r="F57" s="24" t="s">
        <v>4258</v>
      </c>
      <c r="G57" s="24" t="s">
        <v>4259</v>
      </c>
      <c r="H57" s="24" t="s">
        <v>4260</v>
      </c>
    </row>
    <row r="58" customFormat="false" ht="54" hidden="false" customHeight="true" outlineLevel="0" collapsed="false">
      <c r="A58" s="24" t="s">
        <v>4261</v>
      </c>
      <c r="B58" s="24" t="s">
        <v>4222</v>
      </c>
      <c r="C58" s="24" t="s">
        <v>4262</v>
      </c>
      <c r="D58" s="24" t="b">
        <f aca="false">TRUE()</f>
        <v>1</v>
      </c>
      <c r="E58" s="24" t="b">
        <f aca="false">TRUE()</f>
        <v>1</v>
      </c>
      <c r="F58" s="24" t="s">
        <v>4263</v>
      </c>
      <c r="G58" s="24" t="s">
        <v>4264</v>
      </c>
      <c r="H58" s="24" t="s">
        <v>4225</v>
      </c>
    </row>
    <row r="59" customFormat="false" ht="54" hidden="false" customHeight="true" outlineLevel="0" collapsed="false">
      <c r="A59" s="24" t="s">
        <v>4265</v>
      </c>
      <c r="B59" s="24" t="s">
        <v>4222</v>
      </c>
      <c r="C59" s="24" t="s">
        <v>4192</v>
      </c>
      <c r="D59" s="24" t="b">
        <f aca="false">TRUE()</f>
        <v>1</v>
      </c>
      <c r="E59" s="24" t="s">
        <v>4266</v>
      </c>
      <c r="F59" s="24" t="s">
        <v>4267</v>
      </c>
      <c r="G59" s="24" t="s">
        <v>4268</v>
      </c>
      <c r="H59" s="24" t="s">
        <v>4269</v>
      </c>
    </row>
    <row r="60" customFormat="false" ht="54" hidden="false" customHeight="true" outlineLevel="0" collapsed="false">
      <c r="A60" s="24" t="s">
        <v>4270</v>
      </c>
      <c r="B60" s="24" t="s">
        <v>4222</v>
      </c>
      <c r="C60" s="24" t="s">
        <v>4271</v>
      </c>
      <c r="D60" s="24" t="b">
        <f aca="false">FALSE()</f>
        <v>0</v>
      </c>
      <c r="E60" s="24"/>
      <c r="F60" s="24" t="s">
        <v>4272</v>
      </c>
      <c r="G60" s="24" t="s">
        <v>4273</v>
      </c>
      <c r="H60" s="24" t="s">
        <v>4127</v>
      </c>
    </row>
    <row r="61" customFormat="false" ht="54" hidden="false" customHeight="true" outlineLevel="0" collapsed="false">
      <c r="A61" s="24" t="s">
        <v>4274</v>
      </c>
      <c r="B61" s="24" t="s">
        <v>4222</v>
      </c>
      <c r="C61" s="24" t="s">
        <v>4192</v>
      </c>
      <c r="D61" s="24" t="b">
        <f aca="false">TRUE()</f>
        <v>1</v>
      </c>
      <c r="E61" s="24" t="n">
        <v>0</v>
      </c>
      <c r="F61" s="24" t="s">
        <v>4275</v>
      </c>
      <c r="G61" s="24" t="s">
        <v>4276</v>
      </c>
      <c r="H61" s="24" t="s">
        <v>4277</v>
      </c>
    </row>
    <row r="62" customFormat="false" ht="15" hidden="false" customHeight="false" outlineLevel="0" collapsed="false">
      <c r="A62" s="14" t="s">
        <v>4278</v>
      </c>
      <c r="B62" s="14" t="s">
        <v>4222</v>
      </c>
      <c r="C62" s="14" t="s">
        <v>4279</v>
      </c>
      <c r="D62" s="14" t="b">
        <f aca="false">TRUE()</f>
        <v>1</v>
      </c>
      <c r="E62" s="14" t="s">
        <v>4188</v>
      </c>
      <c r="F62" s="14" t="s">
        <v>4280</v>
      </c>
      <c r="G62" s="14" t="s">
        <v>4281</v>
      </c>
      <c r="H62" s="14" t="s">
        <v>1446</v>
      </c>
    </row>
    <row r="63" customFormat="false" ht="15" hidden="false" customHeight="false" outlineLevel="0" collapsed="false">
      <c r="A63" s="14" t="s">
        <v>4282</v>
      </c>
      <c r="B63" s="14" t="s">
        <v>4222</v>
      </c>
      <c r="C63" s="14" t="s">
        <v>4283</v>
      </c>
      <c r="D63" s="14" t="b">
        <f aca="false">FALSE()</f>
        <v>0</v>
      </c>
      <c r="E63" s="14"/>
      <c r="F63" s="14" t="s">
        <v>4284</v>
      </c>
      <c r="G63" s="14" t="s">
        <v>4285</v>
      </c>
      <c r="H63" s="14" t="s">
        <v>4286</v>
      </c>
    </row>
    <row r="64" customFormat="false" ht="23.85" hidden="false" customHeight="false" outlineLevel="0" collapsed="false">
      <c r="A64" s="22" t="s">
        <v>4287</v>
      </c>
      <c r="B64" s="22" t="s">
        <v>4222</v>
      </c>
      <c r="C64" s="22" t="s">
        <v>4192</v>
      </c>
      <c r="D64" s="22" t="b">
        <f aca="false">TRUE()</f>
        <v>1</v>
      </c>
      <c r="E64" s="22" t="n">
        <v>0</v>
      </c>
      <c r="F64" s="22" t="s">
        <v>4288</v>
      </c>
      <c r="G64" s="22" t="s">
        <v>4289</v>
      </c>
      <c r="H64" s="22" t="s">
        <v>4290</v>
      </c>
    </row>
    <row r="65" customFormat="false" ht="23.85" hidden="false" customHeight="false" outlineLevel="0" collapsed="false">
      <c r="A65" s="23" t="s">
        <v>4291</v>
      </c>
      <c r="B65" s="23" t="s">
        <v>4222</v>
      </c>
      <c r="C65" s="23" t="s">
        <v>4262</v>
      </c>
      <c r="D65" s="23" t="b">
        <f aca="false">TRUE()</f>
        <v>1</v>
      </c>
      <c r="E65" s="23" t="b">
        <f aca="false">TRUE()</f>
        <v>1</v>
      </c>
      <c r="F65" s="23" t="s">
        <v>4292</v>
      </c>
      <c r="G65" s="23" t="s">
        <v>4293</v>
      </c>
      <c r="H65" s="23" t="s">
        <v>4294</v>
      </c>
    </row>
    <row r="66" customFormat="false" ht="54" hidden="false" customHeight="true" outlineLevel="0" collapsed="false">
      <c r="A66" s="24" t="s">
        <v>4295</v>
      </c>
      <c r="B66" s="24" t="s">
        <v>4222</v>
      </c>
      <c r="C66" s="24" t="s">
        <v>4262</v>
      </c>
      <c r="D66" s="24" t="b">
        <f aca="false">TRUE()</f>
        <v>1</v>
      </c>
      <c r="E66" s="24" t="b">
        <f aca="false">TRUE()</f>
        <v>1</v>
      </c>
      <c r="F66" s="24" t="s">
        <v>4296</v>
      </c>
      <c r="G66" s="24" t="s">
        <v>4297</v>
      </c>
      <c r="H66" s="24" t="s">
        <v>4298</v>
      </c>
    </row>
    <row r="67" customFormat="false" ht="54" hidden="false" customHeight="true" outlineLevel="0" collapsed="false">
      <c r="A67" s="24"/>
      <c r="B67" s="24"/>
      <c r="C67" s="24"/>
      <c r="D67" s="24"/>
      <c r="E67" s="24"/>
      <c r="F67" s="24"/>
      <c r="G67" s="24"/>
      <c r="H67" s="24"/>
    </row>
    <row r="68" customFormat="false" ht="54" hidden="false" customHeight="true" outlineLevel="0" collapsed="false">
      <c r="A68" s="24"/>
      <c r="B68" s="24"/>
      <c r="C68" s="24"/>
      <c r="D68" s="24"/>
      <c r="E68" s="24"/>
      <c r="F68" s="24"/>
      <c r="G68" s="24"/>
      <c r="H68" s="24"/>
    </row>
    <row r="69" customFormat="false" ht="22" hidden="false" customHeight="true" outlineLevel="0" collapsed="false">
      <c r="A69" s="26" t="s">
        <v>4299</v>
      </c>
      <c r="B69" s="26" t="s">
        <v>4299</v>
      </c>
      <c r="C69" s="26" t="s">
        <v>4299</v>
      </c>
      <c r="D69" s="26" t="s">
        <v>4299</v>
      </c>
      <c r="E69" s="26" t="s">
        <v>4299</v>
      </c>
      <c r="F69" s="26" t="s">
        <v>4299</v>
      </c>
      <c r="G69" s="26" t="s">
        <v>4299</v>
      </c>
      <c r="H69" s="26" t="s">
        <v>4299</v>
      </c>
    </row>
    <row r="70" customFormat="false" ht="54" hidden="false" customHeight="true" outlineLevel="0" collapsed="false">
      <c r="A70" s="24" t="s">
        <v>4146</v>
      </c>
      <c r="B70" s="24" t="s">
        <v>4147</v>
      </c>
      <c r="C70" s="24" t="s">
        <v>4148</v>
      </c>
      <c r="D70" s="24" t="s">
        <v>4149</v>
      </c>
      <c r="E70" s="24" t="s">
        <v>4150</v>
      </c>
      <c r="F70" s="24" t="s">
        <v>4151</v>
      </c>
      <c r="G70" s="24" t="s">
        <v>4152</v>
      </c>
      <c r="H70" s="24" t="s">
        <v>67</v>
      </c>
    </row>
    <row r="71" customFormat="false" ht="54" hidden="false" customHeight="true" outlineLevel="0" collapsed="false">
      <c r="A71" s="24" t="s">
        <v>4300</v>
      </c>
      <c r="B71" s="24" t="s">
        <v>4301</v>
      </c>
      <c r="C71" s="24" t="s">
        <v>4155</v>
      </c>
      <c r="D71" s="24" t="b">
        <f aca="false">TRUE()</f>
        <v>1</v>
      </c>
      <c r="E71" s="24" t="s">
        <v>4156</v>
      </c>
      <c r="F71" s="24" t="s">
        <v>4157</v>
      </c>
      <c r="G71" s="24" t="s">
        <v>4302</v>
      </c>
      <c r="H71" s="24" t="s">
        <v>4303</v>
      </c>
    </row>
    <row r="72" customFormat="false" ht="54" hidden="false" customHeight="true" outlineLevel="0" collapsed="false">
      <c r="A72" s="24" t="s">
        <v>4304</v>
      </c>
      <c r="B72" s="24" t="s">
        <v>4301</v>
      </c>
      <c r="C72" s="24" t="s">
        <v>958</v>
      </c>
      <c r="D72" s="24" t="b">
        <f aca="false">TRUE()</f>
        <v>1</v>
      </c>
      <c r="E72" s="24"/>
      <c r="F72" s="24" t="s">
        <v>4305</v>
      </c>
      <c r="G72" s="24" t="s">
        <v>4306</v>
      </c>
      <c r="H72" s="24" t="s">
        <v>4307</v>
      </c>
    </row>
    <row r="73" customFormat="false" ht="54" hidden="false" customHeight="true" outlineLevel="0" collapsed="false">
      <c r="A73" s="24" t="s">
        <v>4308</v>
      </c>
      <c r="B73" s="24" t="s">
        <v>4301</v>
      </c>
      <c r="C73" s="24" t="s">
        <v>4161</v>
      </c>
      <c r="D73" s="24" t="b">
        <f aca="false">TRUE()</f>
        <v>1</v>
      </c>
      <c r="E73" s="24"/>
      <c r="F73" s="24" t="s">
        <v>4309</v>
      </c>
      <c r="G73" s="24" t="s">
        <v>4310</v>
      </c>
      <c r="H73" s="24" t="s">
        <v>4113</v>
      </c>
    </row>
    <row r="74" customFormat="false" ht="54" hidden="false" customHeight="true" outlineLevel="0" collapsed="false">
      <c r="A74" s="24" t="s">
        <v>4311</v>
      </c>
      <c r="B74" s="24" t="s">
        <v>4301</v>
      </c>
      <c r="C74" s="24" t="s">
        <v>4155</v>
      </c>
      <c r="D74" s="24" t="b">
        <f aca="false">TRUE()</f>
        <v>1</v>
      </c>
      <c r="E74" s="24"/>
      <c r="F74" s="24" t="s">
        <v>4312</v>
      </c>
      <c r="G74" s="24" t="s">
        <v>4313</v>
      </c>
      <c r="H74" s="24" t="s">
        <v>4314</v>
      </c>
    </row>
    <row r="75" customFormat="false" ht="54" hidden="false" customHeight="true" outlineLevel="0" collapsed="false">
      <c r="A75" s="24" t="s">
        <v>4315</v>
      </c>
      <c r="B75" s="24" t="s">
        <v>4301</v>
      </c>
      <c r="C75" s="24" t="s">
        <v>4316</v>
      </c>
      <c r="D75" s="24" t="b">
        <f aca="false">FALSE()</f>
        <v>0</v>
      </c>
      <c r="E75" s="24"/>
      <c r="F75" s="24" t="s">
        <v>4317</v>
      </c>
      <c r="G75" s="24" t="s">
        <v>4318</v>
      </c>
      <c r="H75" s="24" t="s">
        <v>4319</v>
      </c>
    </row>
    <row r="76" customFormat="false" ht="54" hidden="false" customHeight="true" outlineLevel="0" collapsed="false">
      <c r="A76" s="24" t="s">
        <v>4320</v>
      </c>
      <c r="B76" s="24" t="s">
        <v>4301</v>
      </c>
      <c r="C76" s="24" t="s">
        <v>4256</v>
      </c>
      <c r="D76" s="24" t="b">
        <f aca="false">TRUE()</f>
        <v>1</v>
      </c>
      <c r="E76" s="24" t="s">
        <v>4257</v>
      </c>
      <c r="F76" s="24" t="s">
        <v>4321</v>
      </c>
      <c r="G76" s="24" t="s">
        <v>1895</v>
      </c>
      <c r="H76" s="24" t="s">
        <v>4322</v>
      </c>
    </row>
    <row r="77" customFormat="false" ht="54" hidden="false" customHeight="true" outlineLevel="0" collapsed="false">
      <c r="A77" s="24" t="s">
        <v>4323</v>
      </c>
      <c r="B77" s="24" t="s">
        <v>4301</v>
      </c>
      <c r="C77" s="24" t="s">
        <v>4324</v>
      </c>
      <c r="D77" s="24" t="b">
        <f aca="false">TRUE()</f>
        <v>1</v>
      </c>
      <c r="E77" s="24" t="n">
        <v>0</v>
      </c>
      <c r="F77" s="24" t="s">
        <v>4325</v>
      </c>
      <c r="G77" s="24" t="s">
        <v>4326</v>
      </c>
      <c r="H77" s="24" t="s">
        <v>4327</v>
      </c>
    </row>
    <row r="78" customFormat="false" ht="15" hidden="false" customHeight="false" outlineLevel="0" collapsed="false">
      <c r="A78" s="14" t="s">
        <v>4328</v>
      </c>
      <c r="B78" s="14" t="s">
        <v>4301</v>
      </c>
      <c r="C78" s="14" t="s">
        <v>4256</v>
      </c>
      <c r="D78" s="14" t="b">
        <f aca="false">TRUE()</f>
        <v>1</v>
      </c>
      <c r="E78" s="14" t="s">
        <v>4257</v>
      </c>
      <c r="F78" s="14" t="s">
        <v>4329</v>
      </c>
      <c r="G78" s="14" t="s">
        <v>4330</v>
      </c>
      <c r="H78" s="14" t="s">
        <v>4303</v>
      </c>
    </row>
    <row r="79" customFormat="false" ht="15" hidden="false" customHeight="false" outlineLevel="0" collapsed="false">
      <c r="A79" s="14" t="s">
        <v>4331</v>
      </c>
      <c r="B79" s="14" t="s">
        <v>4301</v>
      </c>
      <c r="C79" s="14" t="s">
        <v>4332</v>
      </c>
      <c r="D79" s="14" t="b">
        <f aca="false">TRUE()</f>
        <v>1</v>
      </c>
      <c r="E79" s="14" t="s">
        <v>4188</v>
      </c>
      <c r="F79" s="14" t="s">
        <v>4333</v>
      </c>
      <c r="G79" s="14" t="s">
        <v>4334</v>
      </c>
      <c r="H79" s="14" t="s">
        <v>4335</v>
      </c>
    </row>
    <row r="80" customFormat="false" ht="15" hidden="false" customHeight="false" outlineLevel="0" collapsed="false">
      <c r="A80" s="14" t="s">
        <v>4336</v>
      </c>
      <c r="B80" s="14" t="s">
        <v>4301</v>
      </c>
      <c r="C80" s="14" t="s">
        <v>4283</v>
      </c>
      <c r="D80" s="14" t="b">
        <f aca="false">FALSE()</f>
        <v>0</v>
      </c>
      <c r="E80" s="14"/>
      <c r="F80" s="14" t="s">
        <v>4337</v>
      </c>
      <c r="G80" s="14" t="s">
        <v>4338</v>
      </c>
      <c r="H80" s="14" t="s">
        <v>4339</v>
      </c>
    </row>
    <row r="81" customFormat="false" ht="15" hidden="false" customHeight="false" outlineLevel="0" collapsed="false">
      <c r="A81" s="14" t="s">
        <v>4340</v>
      </c>
      <c r="B81" s="14" t="s">
        <v>4301</v>
      </c>
      <c r="C81" s="14" t="s">
        <v>4279</v>
      </c>
      <c r="D81" s="14" t="b">
        <f aca="false">TRUE()</f>
        <v>1</v>
      </c>
      <c r="E81" s="14" t="s">
        <v>4188</v>
      </c>
      <c r="F81" s="14" t="s">
        <v>4341</v>
      </c>
      <c r="G81" s="14" t="s">
        <v>4342</v>
      </c>
      <c r="H81" s="14" t="s">
        <v>4303</v>
      </c>
    </row>
    <row r="82" customFormat="false" ht="15" hidden="false" customHeight="false" outlineLevel="0" collapsed="false">
      <c r="A82" s="14" t="s">
        <v>4343</v>
      </c>
      <c r="B82" s="14" t="s">
        <v>4301</v>
      </c>
      <c r="C82" s="14" t="s">
        <v>4256</v>
      </c>
      <c r="D82" s="14" t="b">
        <f aca="false">TRUE()</f>
        <v>1</v>
      </c>
      <c r="E82" s="14" t="s">
        <v>4257</v>
      </c>
      <c r="F82" s="14" t="s">
        <v>4344</v>
      </c>
      <c r="G82" s="14" t="s">
        <v>4345</v>
      </c>
      <c r="H82" s="14" t="s">
        <v>4303</v>
      </c>
    </row>
  </sheetData>
  <mergeCells count="6">
    <mergeCell ref="A1:H1"/>
    <mergeCell ref="A2:H2"/>
    <mergeCell ref="A5:E5"/>
    <mergeCell ref="A28:H28"/>
    <mergeCell ref="A47:H47"/>
    <mergeCell ref="A69:H6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3" min="3" style="0" width="28"/>
    <col collapsed="false" customWidth="true" hidden="false" outlineLevel="0" max="4" min="4" style="0" width="22"/>
    <col collapsed="false" customWidth="true" hidden="false" outlineLevel="0" max="5" min="5" style="0" width="74"/>
    <col collapsed="false" customWidth="true" hidden="false" outlineLevel="0" max="6" min="6" style="0" width="88"/>
    <col collapsed="false" customWidth="true" hidden="false" outlineLevel="0" max="8" min="7" style="0" width="110"/>
    <col collapsed="false" customWidth="true" hidden="false" outlineLevel="0" max="9" min="9" style="0" width="66"/>
    <col collapsed="false" customWidth="true" hidden="false" outlineLevel="0" max="10" min="10" style="0" width="54"/>
  </cols>
  <sheetData>
    <row r="1" customFormat="false" ht="30" hidden="false" customHeight="true" outlineLevel="0" collapsed="false">
      <c r="A1" s="1" t="s">
        <v>4346</v>
      </c>
      <c r="B1" s="1"/>
      <c r="C1" s="1"/>
      <c r="D1" s="1"/>
      <c r="E1" s="1"/>
      <c r="F1" s="1"/>
      <c r="G1" s="1"/>
      <c r="H1" s="1"/>
      <c r="I1" s="1"/>
      <c r="J1" s="1"/>
    </row>
    <row r="2" customFormat="false" ht="42" hidden="false" customHeight="true" outlineLevel="0" collapsed="false">
      <c r="A2" s="2" t="s">
        <v>4347</v>
      </c>
      <c r="B2" s="2"/>
      <c r="C2" s="2"/>
      <c r="D2" s="2"/>
      <c r="E2" s="2"/>
      <c r="F2" s="2"/>
      <c r="G2" s="2"/>
      <c r="H2" s="2"/>
      <c r="I2" s="2"/>
      <c r="J2" s="2"/>
    </row>
    <row r="3" customFormat="false" ht="15" hidden="false" customHeight="false" outlineLevel="0" collapsed="false">
      <c r="A3" s="3"/>
      <c r="B3" s="3"/>
      <c r="C3" s="3"/>
      <c r="D3" s="3"/>
      <c r="E3" s="3"/>
      <c r="F3" s="3"/>
      <c r="G3" s="3"/>
      <c r="H3" s="3"/>
      <c r="I3" s="3"/>
      <c r="J3" s="3"/>
    </row>
    <row r="5" customFormat="false" ht="38" hidden="false" customHeight="true" outlineLevel="0" collapsed="false">
      <c r="A5" s="10" t="s">
        <v>4348</v>
      </c>
      <c r="B5" s="10" t="s">
        <v>4349</v>
      </c>
      <c r="C5" s="10" t="s">
        <v>4313</v>
      </c>
      <c r="D5" s="10" t="s">
        <v>1889</v>
      </c>
      <c r="E5" s="10" t="s">
        <v>1895</v>
      </c>
      <c r="F5" s="10" t="s">
        <v>1894</v>
      </c>
      <c r="G5" s="10" t="s">
        <v>4350</v>
      </c>
      <c r="H5" s="10" t="s">
        <v>4351</v>
      </c>
      <c r="I5" s="10" t="s">
        <v>4352</v>
      </c>
      <c r="J5" s="10" t="s">
        <v>4353</v>
      </c>
    </row>
    <row r="6" customFormat="false" ht="112" hidden="false" customHeight="true" outlineLevel="0" collapsed="false">
      <c r="A6" s="11" t="s">
        <v>4354</v>
      </c>
      <c r="B6" s="11" t="s">
        <v>4355</v>
      </c>
      <c r="C6" s="11" t="s">
        <v>4356</v>
      </c>
      <c r="D6" s="11" t="s">
        <v>4357</v>
      </c>
      <c r="E6" s="11" t="s">
        <v>4358</v>
      </c>
      <c r="F6" s="11" t="s">
        <v>4359</v>
      </c>
      <c r="G6" s="11" t="s">
        <v>4360</v>
      </c>
      <c r="H6" s="11" t="s">
        <v>4361</v>
      </c>
      <c r="I6" s="11" t="s">
        <v>4362</v>
      </c>
      <c r="J6" s="11" t="s">
        <v>4363</v>
      </c>
    </row>
    <row r="7" customFormat="false" ht="112" hidden="false" customHeight="true" outlineLevel="0" collapsed="false">
      <c r="A7" s="11" t="s">
        <v>4364</v>
      </c>
      <c r="B7" s="11" t="s">
        <v>4365</v>
      </c>
      <c r="C7" s="11" t="s">
        <v>4366</v>
      </c>
      <c r="D7" s="11" t="s">
        <v>4367</v>
      </c>
      <c r="E7" s="11" t="s">
        <v>4368</v>
      </c>
      <c r="F7" s="11" t="s">
        <v>4369</v>
      </c>
      <c r="G7" s="11" t="s">
        <v>4370</v>
      </c>
      <c r="H7" s="11" t="s">
        <v>4371</v>
      </c>
      <c r="I7" s="11" t="s">
        <v>4372</v>
      </c>
      <c r="J7" s="11" t="s">
        <v>4373</v>
      </c>
    </row>
    <row r="8" customFormat="false" ht="112" hidden="false" customHeight="true" outlineLevel="0" collapsed="false">
      <c r="A8" s="11" t="s">
        <v>4374</v>
      </c>
      <c r="B8" s="11" t="s">
        <v>4375</v>
      </c>
      <c r="C8" s="11" t="s">
        <v>4376</v>
      </c>
      <c r="D8" s="11" t="s">
        <v>4377</v>
      </c>
      <c r="E8" s="11" t="s">
        <v>4378</v>
      </c>
      <c r="F8" s="11" t="s">
        <v>4379</v>
      </c>
      <c r="G8" s="11" t="s">
        <v>4380</v>
      </c>
      <c r="H8" s="11" t="s">
        <v>4381</v>
      </c>
      <c r="I8" s="11" t="s">
        <v>4382</v>
      </c>
      <c r="J8" s="11" t="s">
        <v>4383</v>
      </c>
    </row>
    <row r="9" customFormat="false" ht="112" hidden="false" customHeight="true" outlineLevel="0" collapsed="false">
      <c r="A9" s="11" t="s">
        <v>4384</v>
      </c>
      <c r="B9" s="11" t="s">
        <v>4385</v>
      </c>
      <c r="C9" s="11" t="s">
        <v>4386</v>
      </c>
      <c r="D9" s="11" t="s">
        <v>4387</v>
      </c>
      <c r="E9" s="11" t="s">
        <v>4388</v>
      </c>
      <c r="F9" s="11" t="s">
        <v>4389</v>
      </c>
      <c r="G9" s="11" t="s">
        <v>4390</v>
      </c>
      <c r="H9" s="11" t="s">
        <v>4391</v>
      </c>
      <c r="I9" s="11" t="s">
        <v>4392</v>
      </c>
      <c r="J9" s="11" t="s">
        <v>4393</v>
      </c>
    </row>
    <row r="10" customFormat="false" ht="112" hidden="false" customHeight="true" outlineLevel="0" collapsed="false">
      <c r="A10" s="11" t="s">
        <v>4394</v>
      </c>
      <c r="B10" s="11" t="s">
        <v>4395</v>
      </c>
      <c r="C10" s="11" t="s">
        <v>4386</v>
      </c>
      <c r="D10" s="11" t="s">
        <v>4396</v>
      </c>
      <c r="E10" s="11" t="s">
        <v>4397</v>
      </c>
      <c r="F10" s="11" t="s">
        <v>4398</v>
      </c>
      <c r="G10" s="11" t="s">
        <v>4399</v>
      </c>
      <c r="H10" s="11" t="s">
        <v>4400</v>
      </c>
      <c r="I10" s="11" t="s">
        <v>4401</v>
      </c>
      <c r="J10" s="11" t="s">
        <v>4402</v>
      </c>
    </row>
    <row r="11" customFormat="false" ht="112" hidden="false" customHeight="true" outlineLevel="0" collapsed="false">
      <c r="A11" s="11" t="s">
        <v>4403</v>
      </c>
      <c r="B11" s="11" t="s">
        <v>4404</v>
      </c>
      <c r="C11" s="11" t="s">
        <v>4366</v>
      </c>
      <c r="D11" s="11" t="s">
        <v>1911</v>
      </c>
      <c r="E11" s="11" t="s">
        <v>4405</v>
      </c>
      <c r="F11" s="11" t="s">
        <v>4406</v>
      </c>
      <c r="G11" s="11" t="s">
        <v>4407</v>
      </c>
      <c r="H11" s="11" t="s">
        <v>4408</v>
      </c>
      <c r="I11" s="11" t="s">
        <v>4409</v>
      </c>
      <c r="J11" s="11" t="s">
        <v>4410</v>
      </c>
    </row>
    <row r="12" customFormat="false" ht="112" hidden="false" customHeight="true" outlineLevel="0" collapsed="false">
      <c r="A12" s="11" t="s">
        <v>4411</v>
      </c>
      <c r="B12" s="11" t="s">
        <v>4404</v>
      </c>
      <c r="C12" s="11" t="s">
        <v>4366</v>
      </c>
      <c r="D12" s="11" t="s">
        <v>1929</v>
      </c>
      <c r="E12" s="11" t="s">
        <v>4412</v>
      </c>
      <c r="F12" s="11" t="s">
        <v>4413</v>
      </c>
      <c r="G12" s="11" t="s">
        <v>4414</v>
      </c>
      <c r="H12" s="11" t="s">
        <v>4415</v>
      </c>
      <c r="I12" s="11" t="s">
        <v>4416</v>
      </c>
      <c r="J12" s="11" t="s">
        <v>4417</v>
      </c>
    </row>
    <row r="13" customFormat="false" ht="112" hidden="false" customHeight="true" outlineLevel="0" collapsed="false">
      <c r="A13" s="11" t="s">
        <v>4418</v>
      </c>
      <c r="B13" s="11" t="s">
        <v>4419</v>
      </c>
      <c r="C13" s="11" t="s">
        <v>4356</v>
      </c>
      <c r="D13" s="11" t="s">
        <v>1929</v>
      </c>
      <c r="E13" s="11" t="s">
        <v>4420</v>
      </c>
      <c r="F13" s="11" t="s">
        <v>4421</v>
      </c>
      <c r="G13" s="11" t="s">
        <v>4422</v>
      </c>
      <c r="H13" s="11" t="s">
        <v>4423</v>
      </c>
      <c r="I13" s="11" t="s">
        <v>2887</v>
      </c>
      <c r="J13" s="11" t="s">
        <v>4424</v>
      </c>
    </row>
    <row r="14" customFormat="false" ht="112" hidden="false" customHeight="true" outlineLevel="0" collapsed="false">
      <c r="A14" s="11" t="s">
        <v>4425</v>
      </c>
      <c r="B14" s="11" t="s">
        <v>4426</v>
      </c>
      <c r="C14" s="11" t="s">
        <v>4427</v>
      </c>
      <c r="D14" s="11" t="s">
        <v>4428</v>
      </c>
      <c r="E14" s="11" t="s">
        <v>4429</v>
      </c>
      <c r="F14" s="11" t="s">
        <v>4430</v>
      </c>
      <c r="G14" s="11" t="s">
        <v>4431</v>
      </c>
      <c r="H14" s="11" t="s">
        <v>4432</v>
      </c>
      <c r="I14" s="11" t="s">
        <v>4433</v>
      </c>
      <c r="J14" s="11" t="s">
        <v>4434</v>
      </c>
    </row>
    <row r="15" customFormat="false" ht="112" hidden="false" customHeight="true" outlineLevel="0" collapsed="false">
      <c r="A15" s="11" t="s">
        <v>4435</v>
      </c>
      <c r="B15" s="11" t="s">
        <v>4436</v>
      </c>
      <c r="C15" s="11" t="s">
        <v>4437</v>
      </c>
      <c r="D15" s="11" t="s">
        <v>1929</v>
      </c>
      <c r="E15" s="11" t="s">
        <v>4438</v>
      </c>
      <c r="F15" s="11" t="s">
        <v>4439</v>
      </c>
      <c r="G15" s="11" t="s">
        <v>4440</v>
      </c>
      <c r="H15" s="11" t="s">
        <v>4441</v>
      </c>
      <c r="I15" s="11" t="s">
        <v>4442</v>
      </c>
      <c r="J15" s="11" t="s">
        <v>4443</v>
      </c>
    </row>
    <row r="16" customFormat="false" ht="112" hidden="false" customHeight="true" outlineLevel="0" collapsed="false">
      <c r="A16" s="11" t="s">
        <v>4444</v>
      </c>
      <c r="B16" s="11" t="s">
        <v>4445</v>
      </c>
      <c r="C16" s="11" t="s">
        <v>4376</v>
      </c>
      <c r="D16" s="11" t="s">
        <v>4446</v>
      </c>
      <c r="E16" s="11" t="s">
        <v>4447</v>
      </c>
      <c r="F16" s="11" t="s">
        <v>4448</v>
      </c>
      <c r="G16" s="11" t="s">
        <v>4449</v>
      </c>
      <c r="H16" s="11" t="s">
        <v>4450</v>
      </c>
      <c r="I16" s="11" t="s">
        <v>4451</v>
      </c>
      <c r="J16" s="11" t="s">
        <v>4452</v>
      </c>
    </row>
    <row r="17" customFormat="false" ht="15" hidden="false" customHeight="false" outlineLevel="0" collapsed="false">
      <c r="A17" s="0" t="s">
        <v>4453</v>
      </c>
      <c r="B17" s="0" t="s">
        <v>4454</v>
      </c>
      <c r="C17" s="0" t="s">
        <v>4376</v>
      </c>
      <c r="D17" s="0" t="s">
        <v>4455</v>
      </c>
      <c r="E17" s="0" t="s">
        <v>4456</v>
      </c>
      <c r="F17" s="0" t="s">
        <v>4457</v>
      </c>
      <c r="G17" s="0" t="s">
        <v>4458</v>
      </c>
      <c r="H17" s="0" t="s">
        <v>4459</v>
      </c>
      <c r="I17" s="0" t="s">
        <v>4460</v>
      </c>
      <c r="J17" s="0" t="s">
        <v>4461</v>
      </c>
    </row>
    <row r="18" customFormat="false" ht="15" hidden="false" customHeight="false" outlineLevel="0" collapsed="false">
      <c r="A18" s="0" t="s">
        <v>4462</v>
      </c>
      <c r="B18" s="0" t="s">
        <v>4463</v>
      </c>
      <c r="C18" s="0" t="s">
        <v>4376</v>
      </c>
      <c r="D18" s="0" t="s">
        <v>4464</v>
      </c>
      <c r="E18" s="0" t="s">
        <v>4465</v>
      </c>
      <c r="F18" s="0" t="s">
        <v>4466</v>
      </c>
      <c r="G18" s="0" t="s">
        <v>4467</v>
      </c>
      <c r="H18" s="0" t="s">
        <v>4468</v>
      </c>
      <c r="I18" s="0" t="s">
        <v>4469</v>
      </c>
      <c r="J18" s="0" t="s">
        <v>4215</v>
      </c>
    </row>
    <row r="19" customFormat="false" ht="15" hidden="false" customHeight="false" outlineLevel="0" collapsed="false">
      <c r="A19" s="0" t="s">
        <v>4470</v>
      </c>
      <c r="B19" s="0" t="s">
        <v>4471</v>
      </c>
      <c r="C19" s="0" t="s">
        <v>4356</v>
      </c>
      <c r="D19" s="0" t="s">
        <v>4455</v>
      </c>
      <c r="E19" s="0" t="s">
        <v>4472</v>
      </c>
      <c r="F19" s="0" t="s">
        <v>4473</v>
      </c>
      <c r="G19" s="0" t="s">
        <v>4474</v>
      </c>
      <c r="H19" s="0" t="s">
        <v>4475</v>
      </c>
      <c r="I19" s="0" t="s">
        <v>4476</v>
      </c>
      <c r="J19" s="0" t="s">
        <v>4219</v>
      </c>
    </row>
    <row r="20" customFormat="false" ht="15" hidden="false" customHeight="false" outlineLevel="0" collapsed="false">
      <c r="A20" s="0" t="s">
        <v>4477</v>
      </c>
      <c r="B20" s="0" t="s">
        <v>4478</v>
      </c>
      <c r="C20" s="0" t="s">
        <v>4427</v>
      </c>
      <c r="D20" s="0" t="s">
        <v>4479</v>
      </c>
      <c r="E20" s="0" t="s">
        <v>4480</v>
      </c>
      <c r="F20" s="0" t="s">
        <v>4481</v>
      </c>
      <c r="G20" s="0" t="s">
        <v>4482</v>
      </c>
      <c r="H20" s="0" t="s">
        <v>4483</v>
      </c>
      <c r="I20" s="0" t="s">
        <v>4484</v>
      </c>
      <c r="J20" s="0" t="s">
        <v>4485</v>
      </c>
    </row>
    <row r="21" customFormat="false" ht="15" hidden="false" customHeight="false" outlineLevel="0" collapsed="false">
      <c r="A21" s="0" t="s">
        <v>4486</v>
      </c>
      <c r="B21" s="0" t="s">
        <v>4487</v>
      </c>
      <c r="C21" s="0" t="s">
        <v>4427</v>
      </c>
      <c r="D21" s="0" t="s">
        <v>4488</v>
      </c>
      <c r="E21" s="0" t="s">
        <v>4489</v>
      </c>
      <c r="F21" s="0" t="s">
        <v>4490</v>
      </c>
      <c r="G21" s="0" t="s">
        <v>4491</v>
      </c>
      <c r="H21" s="0" t="s">
        <v>4492</v>
      </c>
      <c r="I21" s="0" t="s">
        <v>4493</v>
      </c>
      <c r="J21" s="0" t="s">
        <v>4494</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30"/>
    <col collapsed="false" customWidth="true" hidden="false" outlineLevel="0" max="4" min="4" style="0" width="38"/>
    <col collapsed="false" customWidth="true" hidden="false" outlineLevel="0" max="5" min="5" style="0" width="34"/>
    <col collapsed="false" customWidth="true" hidden="false" outlineLevel="0" max="6" min="6" style="0" width="80"/>
    <col collapsed="false" customWidth="true" hidden="false" outlineLevel="0" max="7" min="7" style="0" width="34"/>
    <col collapsed="false" customWidth="true" hidden="false" outlineLevel="0" max="8" min="8" style="0" width="42"/>
    <col collapsed="false" customWidth="true" hidden="false" outlineLevel="0" max="9" min="9" style="0" width="12"/>
  </cols>
  <sheetData>
    <row r="1" customFormat="false" ht="30" hidden="false" customHeight="true" outlineLevel="0" collapsed="false">
      <c r="A1" s="1" t="s">
        <v>4495</v>
      </c>
      <c r="B1" s="1"/>
      <c r="C1" s="1"/>
      <c r="D1" s="1"/>
      <c r="E1" s="1"/>
      <c r="F1" s="1"/>
      <c r="G1" s="1"/>
      <c r="H1" s="1"/>
      <c r="I1" s="1"/>
    </row>
    <row r="2" customFormat="false" ht="42" hidden="false" customHeight="true" outlineLevel="0" collapsed="false">
      <c r="A2" s="2" t="s">
        <v>4496</v>
      </c>
      <c r="B2" s="2"/>
      <c r="C2" s="2"/>
      <c r="D2" s="2"/>
      <c r="E2" s="2"/>
      <c r="F2" s="2"/>
      <c r="G2" s="2"/>
      <c r="H2" s="2"/>
      <c r="I2" s="2"/>
    </row>
    <row r="3" customFormat="false" ht="15" hidden="false" customHeight="false" outlineLevel="0" collapsed="false">
      <c r="A3" s="3"/>
      <c r="B3" s="3"/>
      <c r="C3" s="3"/>
      <c r="D3" s="3"/>
      <c r="E3" s="3"/>
      <c r="F3" s="3"/>
      <c r="G3" s="3"/>
      <c r="H3" s="3"/>
      <c r="I3" s="3"/>
    </row>
    <row r="5" customFormat="false" ht="38" hidden="false" customHeight="true" outlineLevel="0" collapsed="false">
      <c r="A5" s="10" t="s">
        <v>4497</v>
      </c>
      <c r="B5" s="10" t="s">
        <v>4498</v>
      </c>
      <c r="C5" s="10" t="s">
        <v>4499</v>
      </c>
      <c r="D5" s="10" t="s">
        <v>4500</v>
      </c>
      <c r="E5" s="10" t="s">
        <v>4501</v>
      </c>
      <c r="F5" s="10" t="s">
        <v>4502</v>
      </c>
      <c r="G5" s="10" t="s">
        <v>4503</v>
      </c>
      <c r="H5" s="10" t="s">
        <v>4504</v>
      </c>
      <c r="I5" s="10" t="s">
        <v>4342</v>
      </c>
    </row>
    <row r="6" customFormat="false" ht="62" hidden="false" customHeight="true" outlineLevel="0" collapsed="false">
      <c r="A6" s="11" t="s">
        <v>961</v>
      </c>
      <c r="B6" s="11"/>
      <c r="C6" s="11" t="s">
        <v>4505</v>
      </c>
      <c r="D6" s="11" t="s">
        <v>4506</v>
      </c>
      <c r="E6" s="11" t="s">
        <v>961</v>
      </c>
      <c r="F6" s="11" t="s">
        <v>4507</v>
      </c>
      <c r="G6" s="11"/>
      <c r="H6" s="11" t="s">
        <v>961</v>
      </c>
      <c r="I6" s="12" t="s">
        <v>9</v>
      </c>
    </row>
    <row r="7" customFormat="false" ht="62" hidden="false" customHeight="true" outlineLevel="0" collapsed="false">
      <c r="A7" s="11" t="s">
        <v>967</v>
      </c>
      <c r="B7" s="11" t="s">
        <v>972</v>
      </c>
      <c r="C7" s="11" t="s">
        <v>4505</v>
      </c>
      <c r="D7" s="11" t="s">
        <v>4506</v>
      </c>
      <c r="E7" s="11" t="s">
        <v>967</v>
      </c>
      <c r="F7" s="11" t="s">
        <v>4507</v>
      </c>
      <c r="G7" s="11"/>
      <c r="H7" s="11" t="s">
        <v>967</v>
      </c>
      <c r="I7" s="12" t="s">
        <v>9</v>
      </c>
    </row>
    <row r="8" customFormat="false" ht="62" hidden="false" customHeight="true" outlineLevel="0" collapsed="false">
      <c r="A8" s="11" t="s">
        <v>973</v>
      </c>
      <c r="B8" s="11"/>
      <c r="C8" s="11" t="s">
        <v>4505</v>
      </c>
      <c r="D8" s="11" t="s">
        <v>4506</v>
      </c>
      <c r="E8" s="11" t="s">
        <v>973</v>
      </c>
      <c r="F8" s="11" t="s">
        <v>4507</v>
      </c>
      <c r="G8" s="11"/>
      <c r="H8" s="11" t="s">
        <v>973</v>
      </c>
      <c r="I8" s="12" t="s">
        <v>9</v>
      </c>
    </row>
    <row r="9" customFormat="false" ht="62" hidden="false" customHeight="true" outlineLevel="0" collapsed="false">
      <c r="A9" s="11" t="s">
        <v>977</v>
      </c>
      <c r="B9" s="11" t="s">
        <v>980</v>
      </c>
      <c r="C9" s="11" t="s">
        <v>4505</v>
      </c>
      <c r="D9" s="11" t="s">
        <v>4506</v>
      </c>
      <c r="E9" s="11" t="s">
        <v>977</v>
      </c>
      <c r="F9" s="11" t="s">
        <v>4507</v>
      </c>
      <c r="G9" s="11"/>
      <c r="H9" s="11" t="s">
        <v>977</v>
      </c>
      <c r="I9" s="12" t="s">
        <v>9</v>
      </c>
    </row>
    <row r="10" customFormat="false" ht="62" hidden="false" customHeight="true" outlineLevel="0" collapsed="false">
      <c r="A10" s="11" t="s">
        <v>981</v>
      </c>
      <c r="B10" s="11" t="s">
        <v>984</v>
      </c>
      <c r="C10" s="11" t="s">
        <v>4505</v>
      </c>
      <c r="D10" s="11" t="s">
        <v>4506</v>
      </c>
      <c r="E10" s="11" t="s">
        <v>981</v>
      </c>
      <c r="F10" s="11" t="s">
        <v>4507</v>
      </c>
      <c r="G10" s="11"/>
      <c r="H10" s="11" t="s">
        <v>981</v>
      </c>
      <c r="I10" s="12" t="s">
        <v>9</v>
      </c>
    </row>
    <row r="11" customFormat="false" ht="62" hidden="false" customHeight="true" outlineLevel="0" collapsed="false">
      <c r="A11" s="11" t="s">
        <v>985</v>
      </c>
      <c r="B11" s="11" t="s">
        <v>988</v>
      </c>
      <c r="C11" s="11" t="s">
        <v>4505</v>
      </c>
      <c r="D11" s="11" t="s">
        <v>4506</v>
      </c>
      <c r="E11" s="11" t="s">
        <v>985</v>
      </c>
      <c r="F11" s="11" t="s">
        <v>4507</v>
      </c>
      <c r="G11" s="11"/>
      <c r="H11" s="11" t="s">
        <v>985</v>
      </c>
      <c r="I11" s="12" t="s">
        <v>9</v>
      </c>
    </row>
    <row r="12" customFormat="false" ht="62" hidden="false" customHeight="true" outlineLevel="0" collapsed="false">
      <c r="A12" s="11" t="s">
        <v>989</v>
      </c>
      <c r="B12" s="11" t="s">
        <v>992</v>
      </c>
      <c r="C12" s="11" t="s">
        <v>4505</v>
      </c>
      <c r="D12" s="11" t="s">
        <v>4506</v>
      </c>
      <c r="E12" s="11" t="s">
        <v>989</v>
      </c>
      <c r="F12" s="11" t="s">
        <v>4507</v>
      </c>
      <c r="G12" s="11"/>
      <c r="H12" s="11" t="s">
        <v>989</v>
      </c>
      <c r="I12" s="12" t="s">
        <v>9</v>
      </c>
    </row>
    <row r="13" customFormat="false" ht="62" hidden="false" customHeight="true" outlineLevel="0" collapsed="false">
      <c r="A13" s="11" t="s">
        <v>993</v>
      </c>
      <c r="B13" s="11" t="s">
        <v>996</v>
      </c>
      <c r="C13" s="11" t="s">
        <v>4505</v>
      </c>
      <c r="D13" s="11" t="s">
        <v>4506</v>
      </c>
      <c r="E13" s="11" t="s">
        <v>993</v>
      </c>
      <c r="F13" s="11" t="s">
        <v>4507</v>
      </c>
      <c r="G13" s="11"/>
      <c r="H13" s="11" t="s">
        <v>993</v>
      </c>
      <c r="I13" s="12" t="s">
        <v>9</v>
      </c>
    </row>
    <row r="14" customFormat="false" ht="62" hidden="false" customHeight="true" outlineLevel="0" collapsed="false">
      <c r="A14" s="11" t="s">
        <v>997</v>
      </c>
      <c r="B14" s="11" t="s">
        <v>1000</v>
      </c>
      <c r="C14" s="11" t="s">
        <v>4505</v>
      </c>
      <c r="D14" s="11" t="s">
        <v>4506</v>
      </c>
      <c r="E14" s="11" t="s">
        <v>997</v>
      </c>
      <c r="F14" s="11" t="s">
        <v>4507</v>
      </c>
      <c r="G14" s="11"/>
      <c r="H14" s="11" t="s">
        <v>997</v>
      </c>
      <c r="I14" s="12" t="s">
        <v>9</v>
      </c>
    </row>
    <row r="15" customFormat="false" ht="62" hidden="false" customHeight="true" outlineLevel="0" collapsed="false">
      <c r="A15" s="11" t="s">
        <v>1001</v>
      </c>
      <c r="B15" s="11"/>
      <c r="C15" s="11" t="s">
        <v>4505</v>
      </c>
      <c r="D15" s="11" t="s">
        <v>4506</v>
      </c>
      <c r="E15" s="11" t="s">
        <v>1001</v>
      </c>
      <c r="F15" s="11" t="s">
        <v>4507</v>
      </c>
      <c r="G15" s="11"/>
      <c r="H15" s="11" t="s">
        <v>1001</v>
      </c>
      <c r="I15" s="12" t="s">
        <v>9</v>
      </c>
    </row>
    <row r="16" customFormat="false" ht="62" hidden="false" customHeight="true" outlineLevel="0" collapsed="false">
      <c r="A16" s="11" t="s">
        <v>1006</v>
      </c>
      <c r="B16" s="11" t="s">
        <v>1008</v>
      </c>
      <c r="C16" s="11" t="s">
        <v>4505</v>
      </c>
      <c r="D16" s="11" t="s">
        <v>4506</v>
      </c>
      <c r="E16" s="11" t="s">
        <v>1006</v>
      </c>
      <c r="F16" s="11" t="s">
        <v>4507</v>
      </c>
      <c r="G16" s="11"/>
      <c r="H16" s="11" t="s">
        <v>1006</v>
      </c>
      <c r="I16" s="12" t="s">
        <v>9</v>
      </c>
    </row>
    <row r="17" customFormat="false" ht="62" hidden="false" customHeight="true" outlineLevel="0" collapsed="false">
      <c r="A17" s="11" t="s">
        <v>1009</v>
      </c>
      <c r="B17" s="11" t="s">
        <v>1012</v>
      </c>
      <c r="C17" s="11" t="s">
        <v>4505</v>
      </c>
      <c r="D17" s="11" t="s">
        <v>4506</v>
      </c>
      <c r="E17" s="11" t="s">
        <v>1009</v>
      </c>
      <c r="F17" s="11" t="s">
        <v>4507</v>
      </c>
      <c r="G17" s="11"/>
      <c r="H17" s="11" t="s">
        <v>1009</v>
      </c>
      <c r="I17" s="12" t="s">
        <v>9</v>
      </c>
    </row>
    <row r="18" customFormat="false" ht="62" hidden="false" customHeight="true" outlineLevel="0" collapsed="false">
      <c r="A18" s="11" t="s">
        <v>1013</v>
      </c>
      <c r="B18" s="11" t="s">
        <v>1016</v>
      </c>
      <c r="C18" s="11" t="s">
        <v>4505</v>
      </c>
      <c r="D18" s="11" t="s">
        <v>4506</v>
      </c>
      <c r="E18" s="11" t="s">
        <v>1013</v>
      </c>
      <c r="F18" s="11" t="s">
        <v>4507</v>
      </c>
      <c r="G18" s="11"/>
      <c r="H18" s="11" t="s">
        <v>1013</v>
      </c>
      <c r="I18" s="12" t="s">
        <v>9</v>
      </c>
    </row>
    <row r="19" customFormat="false" ht="62" hidden="false" customHeight="true" outlineLevel="0" collapsed="false">
      <c r="A19" s="11" t="s">
        <v>1017</v>
      </c>
      <c r="B19" s="11" t="s">
        <v>1020</v>
      </c>
      <c r="C19" s="11" t="s">
        <v>4505</v>
      </c>
      <c r="D19" s="11" t="s">
        <v>4506</v>
      </c>
      <c r="E19" s="11" t="s">
        <v>1017</v>
      </c>
      <c r="F19" s="11" t="s">
        <v>4507</v>
      </c>
      <c r="G19" s="11"/>
      <c r="H19" s="11" t="s">
        <v>1017</v>
      </c>
      <c r="I19" s="12" t="s">
        <v>9</v>
      </c>
    </row>
    <row r="20" customFormat="false" ht="62" hidden="false" customHeight="true" outlineLevel="0" collapsed="false">
      <c r="A20" s="11" t="s">
        <v>1021</v>
      </c>
      <c r="B20" s="11" t="s">
        <v>992</v>
      </c>
      <c r="C20" s="11" t="s">
        <v>4505</v>
      </c>
      <c r="D20" s="11" t="s">
        <v>4506</v>
      </c>
      <c r="E20" s="11" t="s">
        <v>1021</v>
      </c>
      <c r="F20" s="11" t="s">
        <v>4507</v>
      </c>
      <c r="G20" s="11"/>
      <c r="H20" s="11" t="s">
        <v>1021</v>
      </c>
      <c r="I20" s="12" t="s">
        <v>9</v>
      </c>
    </row>
    <row r="21" customFormat="false" ht="62" hidden="false" customHeight="true" outlineLevel="0" collapsed="false">
      <c r="A21" s="11" t="s">
        <v>1024</v>
      </c>
      <c r="B21" s="11" t="s">
        <v>992</v>
      </c>
      <c r="C21" s="11" t="s">
        <v>4505</v>
      </c>
      <c r="D21" s="11" t="s">
        <v>4506</v>
      </c>
      <c r="E21" s="11" t="s">
        <v>1024</v>
      </c>
      <c r="F21" s="11" t="s">
        <v>4507</v>
      </c>
      <c r="G21" s="11"/>
      <c r="H21" s="11" t="s">
        <v>1024</v>
      </c>
      <c r="I21" s="12" t="s">
        <v>9</v>
      </c>
    </row>
    <row r="22" customFormat="false" ht="62" hidden="false" customHeight="true" outlineLevel="0" collapsed="false">
      <c r="A22" s="11" t="s">
        <v>1027</v>
      </c>
      <c r="B22" s="11" t="s">
        <v>1030</v>
      </c>
      <c r="C22" s="11" t="s">
        <v>4505</v>
      </c>
      <c r="D22" s="11" t="s">
        <v>4506</v>
      </c>
      <c r="E22" s="11" t="s">
        <v>1027</v>
      </c>
      <c r="F22" s="11" t="s">
        <v>4507</v>
      </c>
      <c r="G22" s="11"/>
      <c r="H22" s="11" t="s">
        <v>1027</v>
      </c>
      <c r="I22" s="12" t="s">
        <v>9</v>
      </c>
    </row>
    <row r="23" customFormat="false" ht="62" hidden="false" customHeight="true" outlineLevel="0" collapsed="false">
      <c r="A23" s="11" t="s">
        <v>1031</v>
      </c>
      <c r="B23" s="11" t="s">
        <v>1033</v>
      </c>
      <c r="C23" s="11" t="s">
        <v>4505</v>
      </c>
      <c r="D23" s="11" t="s">
        <v>4506</v>
      </c>
      <c r="E23" s="11" t="s">
        <v>1031</v>
      </c>
      <c r="F23" s="11" t="s">
        <v>4507</v>
      </c>
      <c r="G23" s="11"/>
      <c r="H23" s="11" t="s">
        <v>1031</v>
      </c>
      <c r="I23" s="12" t="s">
        <v>9</v>
      </c>
    </row>
    <row r="24" customFormat="false" ht="62" hidden="false" customHeight="true" outlineLevel="0" collapsed="false">
      <c r="A24" s="11" t="s">
        <v>1034</v>
      </c>
      <c r="B24" s="11"/>
      <c r="C24" s="11" t="s">
        <v>4505</v>
      </c>
      <c r="D24" s="11" t="s">
        <v>4506</v>
      </c>
      <c r="E24" s="11" t="s">
        <v>1034</v>
      </c>
      <c r="F24" s="11" t="s">
        <v>4507</v>
      </c>
      <c r="G24" s="11"/>
      <c r="H24" s="11" t="s">
        <v>1034</v>
      </c>
      <c r="I24" s="12" t="s">
        <v>9</v>
      </c>
    </row>
    <row r="25" customFormat="false" ht="62" hidden="false" customHeight="true" outlineLevel="0" collapsed="false">
      <c r="A25" s="11" t="s">
        <v>1037</v>
      </c>
      <c r="B25" s="11"/>
      <c r="C25" s="11" t="s">
        <v>4505</v>
      </c>
      <c r="D25" s="11" t="s">
        <v>4506</v>
      </c>
      <c r="E25" s="11" t="s">
        <v>1037</v>
      </c>
      <c r="F25" s="11" t="s">
        <v>4507</v>
      </c>
      <c r="G25" s="11"/>
      <c r="H25" s="11" t="s">
        <v>1037</v>
      </c>
      <c r="I25" s="12" t="s">
        <v>9</v>
      </c>
    </row>
    <row r="26" customFormat="false" ht="62" hidden="false" customHeight="true" outlineLevel="0" collapsed="false">
      <c r="A26" s="11" t="s">
        <v>1040</v>
      </c>
      <c r="B26" s="11"/>
      <c r="C26" s="11" t="s">
        <v>4505</v>
      </c>
      <c r="D26" s="11" t="s">
        <v>4506</v>
      </c>
      <c r="E26" s="11" t="s">
        <v>1040</v>
      </c>
      <c r="F26" s="11" t="s">
        <v>4507</v>
      </c>
      <c r="G26" s="11"/>
      <c r="H26" s="11" t="s">
        <v>1040</v>
      </c>
      <c r="I26" s="12" t="s">
        <v>9</v>
      </c>
    </row>
    <row r="27" customFormat="false" ht="62" hidden="false" customHeight="true" outlineLevel="0" collapsed="false">
      <c r="A27" s="11" t="s">
        <v>1043</v>
      </c>
      <c r="B27" s="11" t="s">
        <v>1046</v>
      </c>
      <c r="C27" s="11" t="s">
        <v>4505</v>
      </c>
      <c r="D27" s="11" t="s">
        <v>4506</v>
      </c>
      <c r="E27" s="11" t="s">
        <v>1043</v>
      </c>
      <c r="F27" s="11" t="s">
        <v>4507</v>
      </c>
      <c r="G27" s="11"/>
      <c r="H27" s="11" t="s">
        <v>1043</v>
      </c>
      <c r="I27" s="12" t="s">
        <v>9</v>
      </c>
    </row>
    <row r="28" customFormat="false" ht="62" hidden="false" customHeight="true" outlineLevel="0" collapsed="false">
      <c r="A28" s="11" t="s">
        <v>1047</v>
      </c>
      <c r="B28" s="11"/>
      <c r="C28" s="11" t="s">
        <v>4505</v>
      </c>
      <c r="D28" s="11" t="s">
        <v>4506</v>
      </c>
      <c r="E28" s="11" t="s">
        <v>1047</v>
      </c>
      <c r="F28" s="11" t="s">
        <v>4507</v>
      </c>
      <c r="G28" s="11"/>
      <c r="H28" s="11" t="s">
        <v>1047</v>
      </c>
      <c r="I28" s="12" t="s">
        <v>9</v>
      </c>
    </row>
    <row r="29" customFormat="false" ht="62" hidden="false" customHeight="true" outlineLevel="0" collapsed="false">
      <c r="A29" s="11" t="s">
        <v>1050</v>
      </c>
      <c r="B29" s="11"/>
      <c r="C29" s="11" t="s">
        <v>4505</v>
      </c>
      <c r="D29" s="11" t="s">
        <v>4506</v>
      </c>
      <c r="E29" s="11" t="s">
        <v>1050</v>
      </c>
      <c r="F29" s="11" t="s">
        <v>4507</v>
      </c>
      <c r="G29" s="11"/>
      <c r="H29" s="11" t="s">
        <v>1050</v>
      </c>
      <c r="I29" s="12" t="s">
        <v>9</v>
      </c>
    </row>
    <row r="30" customFormat="false" ht="62" hidden="false" customHeight="true" outlineLevel="0" collapsed="false">
      <c r="A30" s="11" t="s">
        <v>1052</v>
      </c>
      <c r="B30" s="11" t="s">
        <v>1055</v>
      </c>
      <c r="C30" s="11" t="s">
        <v>4505</v>
      </c>
      <c r="D30" s="11" t="s">
        <v>4506</v>
      </c>
      <c r="E30" s="11" t="s">
        <v>1052</v>
      </c>
      <c r="F30" s="11" t="s">
        <v>4507</v>
      </c>
      <c r="G30" s="11"/>
      <c r="H30" s="11" t="s">
        <v>1052</v>
      </c>
      <c r="I30" s="12" t="s">
        <v>9</v>
      </c>
    </row>
    <row r="31" customFormat="false" ht="62" hidden="false" customHeight="true" outlineLevel="0" collapsed="false">
      <c r="A31" s="11" t="s">
        <v>1056</v>
      </c>
      <c r="B31" s="11"/>
      <c r="C31" s="11" t="s">
        <v>4505</v>
      </c>
      <c r="D31" s="11" t="s">
        <v>4506</v>
      </c>
      <c r="E31" s="11" t="s">
        <v>1056</v>
      </c>
      <c r="F31" s="11" t="s">
        <v>4507</v>
      </c>
      <c r="G31" s="11"/>
      <c r="H31" s="11" t="s">
        <v>1056</v>
      </c>
      <c r="I31" s="12" t="s">
        <v>9</v>
      </c>
    </row>
    <row r="32" customFormat="false" ht="62" hidden="false" customHeight="true" outlineLevel="0" collapsed="false">
      <c r="A32" s="11" t="s">
        <v>1059</v>
      </c>
      <c r="B32" s="11" t="s">
        <v>1062</v>
      </c>
      <c r="C32" s="11" t="s">
        <v>4505</v>
      </c>
      <c r="D32" s="11" t="s">
        <v>4506</v>
      </c>
      <c r="E32" s="11" t="s">
        <v>1059</v>
      </c>
      <c r="F32" s="11" t="s">
        <v>4507</v>
      </c>
      <c r="G32" s="11"/>
      <c r="H32" s="11" t="s">
        <v>1059</v>
      </c>
      <c r="I32" s="12" t="s">
        <v>9</v>
      </c>
    </row>
    <row r="33" customFormat="false" ht="62" hidden="false" customHeight="true" outlineLevel="0" collapsed="false">
      <c r="A33" s="11" t="s">
        <v>1063</v>
      </c>
      <c r="B33" s="11"/>
      <c r="C33" s="11" t="s">
        <v>4505</v>
      </c>
      <c r="D33" s="11" t="s">
        <v>4506</v>
      </c>
      <c r="E33" s="11" t="s">
        <v>1063</v>
      </c>
      <c r="F33" s="11" t="s">
        <v>4507</v>
      </c>
      <c r="G33" s="11"/>
      <c r="H33" s="11" t="s">
        <v>1063</v>
      </c>
      <c r="I33" s="12" t="s">
        <v>9</v>
      </c>
    </row>
    <row r="34" customFormat="false" ht="62" hidden="false" customHeight="true" outlineLevel="0" collapsed="false">
      <c r="A34" s="11" t="s">
        <v>1066</v>
      </c>
      <c r="B34" s="11" t="s">
        <v>1069</v>
      </c>
      <c r="C34" s="11" t="s">
        <v>4505</v>
      </c>
      <c r="D34" s="11" t="s">
        <v>4506</v>
      </c>
      <c r="E34" s="11" t="s">
        <v>1066</v>
      </c>
      <c r="F34" s="11" t="s">
        <v>4507</v>
      </c>
      <c r="G34" s="11"/>
      <c r="H34" s="11" t="s">
        <v>1066</v>
      </c>
      <c r="I34" s="12" t="s">
        <v>9</v>
      </c>
    </row>
    <row r="35" customFormat="false" ht="62" hidden="false" customHeight="true" outlineLevel="0" collapsed="false">
      <c r="A35" s="11" t="s">
        <v>1070</v>
      </c>
      <c r="B35" s="11"/>
      <c r="C35" s="11" t="s">
        <v>4505</v>
      </c>
      <c r="D35" s="11" t="s">
        <v>4506</v>
      </c>
      <c r="E35" s="11" t="s">
        <v>1070</v>
      </c>
      <c r="F35" s="11" t="s">
        <v>4507</v>
      </c>
      <c r="G35" s="11"/>
      <c r="H35" s="11" t="s">
        <v>1070</v>
      </c>
      <c r="I35" s="12" t="s">
        <v>9</v>
      </c>
    </row>
    <row r="36" customFormat="false" ht="62" hidden="false" customHeight="true" outlineLevel="0" collapsed="false">
      <c r="A36" s="11" t="s">
        <v>1072</v>
      </c>
      <c r="B36" s="11"/>
      <c r="C36" s="11" t="s">
        <v>4505</v>
      </c>
      <c r="D36" s="11" t="s">
        <v>4506</v>
      </c>
      <c r="E36" s="11" t="s">
        <v>1072</v>
      </c>
      <c r="F36" s="11" t="s">
        <v>4507</v>
      </c>
      <c r="G36" s="11"/>
      <c r="H36" s="11" t="s">
        <v>1072</v>
      </c>
      <c r="I36" s="12" t="s">
        <v>9</v>
      </c>
    </row>
    <row r="37" customFormat="false" ht="62" hidden="false" customHeight="true" outlineLevel="0" collapsed="false">
      <c r="A37" s="11" t="s">
        <v>1075</v>
      </c>
      <c r="B37" s="11"/>
      <c r="C37" s="11" t="s">
        <v>4505</v>
      </c>
      <c r="D37" s="11" t="s">
        <v>4506</v>
      </c>
      <c r="E37" s="11" t="s">
        <v>1075</v>
      </c>
      <c r="F37" s="11" t="s">
        <v>4507</v>
      </c>
      <c r="G37" s="11"/>
      <c r="H37" s="11" t="s">
        <v>1075</v>
      </c>
      <c r="I37" s="12" t="s">
        <v>9</v>
      </c>
    </row>
    <row r="38" customFormat="false" ht="62" hidden="false" customHeight="true" outlineLevel="0" collapsed="false">
      <c r="A38" s="11" t="s">
        <v>1078</v>
      </c>
      <c r="B38" s="11"/>
      <c r="C38" s="11" t="s">
        <v>4505</v>
      </c>
      <c r="D38" s="11" t="s">
        <v>4506</v>
      </c>
      <c r="E38" s="11" t="s">
        <v>1078</v>
      </c>
      <c r="F38" s="11" t="s">
        <v>4507</v>
      </c>
      <c r="G38" s="11"/>
      <c r="H38" s="11" t="s">
        <v>1078</v>
      </c>
      <c r="I38" s="12" t="s">
        <v>9</v>
      </c>
    </row>
    <row r="39" customFormat="false" ht="62" hidden="false" customHeight="true" outlineLevel="0" collapsed="false">
      <c r="A39" s="11" t="s">
        <v>1081</v>
      </c>
      <c r="B39" s="11"/>
      <c r="C39" s="11" t="s">
        <v>4505</v>
      </c>
      <c r="D39" s="11" t="s">
        <v>4506</v>
      </c>
      <c r="E39" s="11" t="s">
        <v>1081</v>
      </c>
      <c r="F39" s="11" t="s">
        <v>4507</v>
      </c>
      <c r="G39" s="11"/>
      <c r="H39" s="11" t="s">
        <v>1081</v>
      </c>
      <c r="I39" s="12" t="s">
        <v>9</v>
      </c>
    </row>
    <row r="40" customFormat="false" ht="62" hidden="false" customHeight="true" outlineLevel="0" collapsed="false">
      <c r="A40" s="11" t="s">
        <v>1084</v>
      </c>
      <c r="B40" s="11" t="s">
        <v>1087</v>
      </c>
      <c r="C40" s="11" t="s">
        <v>4505</v>
      </c>
      <c r="D40" s="11" t="s">
        <v>4506</v>
      </c>
      <c r="E40" s="11" t="s">
        <v>1084</v>
      </c>
      <c r="F40" s="11" t="s">
        <v>4507</v>
      </c>
      <c r="G40" s="11"/>
      <c r="H40" s="11" t="s">
        <v>1084</v>
      </c>
      <c r="I40" s="12" t="s">
        <v>9</v>
      </c>
    </row>
    <row r="41" customFormat="false" ht="62" hidden="false" customHeight="true" outlineLevel="0" collapsed="false">
      <c r="A41" s="11" t="s">
        <v>1088</v>
      </c>
      <c r="B41" s="11" t="s">
        <v>1090</v>
      </c>
      <c r="C41" s="11" t="s">
        <v>4505</v>
      </c>
      <c r="D41" s="11" t="s">
        <v>4506</v>
      </c>
      <c r="E41" s="11" t="s">
        <v>1088</v>
      </c>
      <c r="F41" s="11" t="s">
        <v>4507</v>
      </c>
      <c r="G41" s="11"/>
      <c r="H41" s="11" t="s">
        <v>1088</v>
      </c>
      <c r="I41" s="12" t="s">
        <v>9</v>
      </c>
    </row>
    <row r="42" customFormat="false" ht="62" hidden="false" customHeight="true" outlineLevel="0" collapsed="false">
      <c r="A42" s="11" t="s">
        <v>1091</v>
      </c>
      <c r="B42" s="11" t="s">
        <v>1094</v>
      </c>
      <c r="C42" s="11" t="s">
        <v>4505</v>
      </c>
      <c r="D42" s="11" t="s">
        <v>4506</v>
      </c>
      <c r="E42" s="11" t="s">
        <v>1091</v>
      </c>
      <c r="F42" s="11" t="s">
        <v>4507</v>
      </c>
      <c r="G42" s="11"/>
      <c r="H42" s="11" t="s">
        <v>1091</v>
      </c>
      <c r="I42" s="12" t="s">
        <v>9</v>
      </c>
    </row>
    <row r="43" customFormat="false" ht="62" hidden="false" customHeight="true" outlineLevel="0" collapsed="false">
      <c r="A43" s="11" t="s">
        <v>1095</v>
      </c>
      <c r="B43" s="11"/>
      <c r="C43" s="11" t="s">
        <v>4505</v>
      </c>
      <c r="D43" s="11" t="s">
        <v>4506</v>
      </c>
      <c r="E43" s="11" t="s">
        <v>1095</v>
      </c>
      <c r="F43" s="11" t="s">
        <v>4507</v>
      </c>
      <c r="G43" s="11"/>
      <c r="H43" s="11" t="s">
        <v>1095</v>
      </c>
      <c r="I43" s="12" t="s">
        <v>9</v>
      </c>
    </row>
    <row r="44" customFormat="false" ht="62" hidden="false" customHeight="true" outlineLevel="0" collapsed="false">
      <c r="A44" s="11" t="s">
        <v>1098</v>
      </c>
      <c r="B44" s="11" t="s">
        <v>1101</v>
      </c>
      <c r="C44" s="11" t="s">
        <v>4505</v>
      </c>
      <c r="D44" s="11" t="s">
        <v>4506</v>
      </c>
      <c r="E44" s="11" t="s">
        <v>1098</v>
      </c>
      <c r="F44" s="11" t="s">
        <v>4507</v>
      </c>
      <c r="G44" s="11"/>
      <c r="H44" s="11" t="s">
        <v>1098</v>
      </c>
      <c r="I44" s="12" t="s">
        <v>9</v>
      </c>
    </row>
    <row r="45" customFormat="false" ht="62" hidden="false" customHeight="true" outlineLevel="0" collapsed="false">
      <c r="A45" s="11" t="s">
        <v>1102</v>
      </c>
      <c r="B45" s="11" t="s">
        <v>1105</v>
      </c>
      <c r="C45" s="11" t="s">
        <v>4505</v>
      </c>
      <c r="D45" s="11" t="s">
        <v>4506</v>
      </c>
      <c r="E45" s="11" t="s">
        <v>1102</v>
      </c>
      <c r="F45" s="11" t="s">
        <v>4507</v>
      </c>
      <c r="G45" s="11"/>
      <c r="H45" s="11" t="s">
        <v>1102</v>
      </c>
      <c r="I45" s="12" t="s">
        <v>9</v>
      </c>
    </row>
    <row r="46" customFormat="false" ht="62" hidden="false" customHeight="true" outlineLevel="0" collapsed="false">
      <c r="A46" s="11" t="s">
        <v>1106</v>
      </c>
      <c r="B46" s="11" t="s">
        <v>1109</v>
      </c>
      <c r="C46" s="11" t="s">
        <v>4505</v>
      </c>
      <c r="D46" s="11" t="s">
        <v>4506</v>
      </c>
      <c r="E46" s="11" t="s">
        <v>1106</v>
      </c>
      <c r="F46" s="11" t="s">
        <v>4507</v>
      </c>
      <c r="G46" s="11"/>
      <c r="H46" s="11" t="s">
        <v>1106</v>
      </c>
      <c r="I46" s="12" t="s">
        <v>9</v>
      </c>
    </row>
    <row r="47" customFormat="false" ht="62" hidden="false" customHeight="true" outlineLevel="0" collapsed="false">
      <c r="A47" s="11" t="s">
        <v>1110</v>
      </c>
      <c r="B47" s="11" t="s">
        <v>1112</v>
      </c>
      <c r="C47" s="11" t="s">
        <v>4505</v>
      </c>
      <c r="D47" s="11" t="s">
        <v>4506</v>
      </c>
      <c r="E47" s="11" t="s">
        <v>1110</v>
      </c>
      <c r="F47" s="11" t="s">
        <v>4507</v>
      </c>
      <c r="G47" s="11"/>
      <c r="H47" s="11" t="s">
        <v>1110</v>
      </c>
      <c r="I47" s="12" t="s">
        <v>9</v>
      </c>
    </row>
    <row r="48" customFormat="false" ht="62" hidden="false" customHeight="true" outlineLevel="0" collapsed="false">
      <c r="A48" s="11" t="s">
        <v>1113</v>
      </c>
      <c r="B48" s="11" t="s">
        <v>1116</v>
      </c>
      <c r="C48" s="11" t="s">
        <v>4505</v>
      </c>
      <c r="D48" s="11" t="s">
        <v>4506</v>
      </c>
      <c r="E48" s="11" t="s">
        <v>1113</v>
      </c>
      <c r="F48" s="11" t="s">
        <v>4507</v>
      </c>
      <c r="G48" s="11"/>
      <c r="H48" s="11" t="s">
        <v>1113</v>
      </c>
      <c r="I48" s="12" t="s">
        <v>9</v>
      </c>
    </row>
    <row r="49" customFormat="false" ht="62" hidden="false" customHeight="true" outlineLevel="0" collapsed="false">
      <c r="A49" s="11" t="s">
        <v>1117</v>
      </c>
      <c r="B49" s="11" t="s">
        <v>1120</v>
      </c>
      <c r="C49" s="11" t="s">
        <v>4505</v>
      </c>
      <c r="D49" s="11" t="s">
        <v>4506</v>
      </c>
      <c r="E49" s="11" t="s">
        <v>1117</v>
      </c>
      <c r="F49" s="11" t="s">
        <v>4507</v>
      </c>
      <c r="G49" s="11"/>
      <c r="H49" s="11" t="s">
        <v>1117</v>
      </c>
      <c r="I49" s="12" t="s">
        <v>9</v>
      </c>
    </row>
    <row r="50" customFormat="false" ht="62" hidden="false" customHeight="true" outlineLevel="0" collapsed="false">
      <c r="A50" s="11" t="s">
        <v>1121</v>
      </c>
      <c r="B50" s="11"/>
      <c r="C50" s="11" t="s">
        <v>4505</v>
      </c>
      <c r="D50" s="11" t="s">
        <v>4506</v>
      </c>
      <c r="E50" s="11" t="s">
        <v>1121</v>
      </c>
      <c r="F50" s="11" t="s">
        <v>4507</v>
      </c>
      <c r="G50" s="11"/>
      <c r="H50" s="11" t="s">
        <v>1121</v>
      </c>
      <c r="I50" s="12" t="s">
        <v>9</v>
      </c>
    </row>
    <row r="51" customFormat="false" ht="62" hidden="false" customHeight="true" outlineLevel="0" collapsed="false">
      <c r="A51" s="11" t="s">
        <v>1124</v>
      </c>
      <c r="B51" s="11" t="s">
        <v>1127</v>
      </c>
      <c r="C51" s="11" t="s">
        <v>4505</v>
      </c>
      <c r="D51" s="11" t="s">
        <v>4506</v>
      </c>
      <c r="E51" s="11" t="s">
        <v>1124</v>
      </c>
      <c r="F51" s="11" t="s">
        <v>4507</v>
      </c>
      <c r="G51" s="11"/>
      <c r="H51" s="11" t="s">
        <v>1124</v>
      </c>
      <c r="I51" s="12" t="s">
        <v>9</v>
      </c>
    </row>
    <row r="52" customFormat="false" ht="62" hidden="false" customHeight="true" outlineLevel="0" collapsed="false">
      <c r="A52" s="11" t="s">
        <v>1128</v>
      </c>
      <c r="B52" s="11"/>
      <c r="C52" s="11" t="s">
        <v>4505</v>
      </c>
      <c r="D52" s="11" t="s">
        <v>4506</v>
      </c>
      <c r="E52" s="11" t="s">
        <v>1128</v>
      </c>
      <c r="F52" s="11" t="s">
        <v>4507</v>
      </c>
      <c r="G52" s="11"/>
      <c r="H52" s="11" t="s">
        <v>1128</v>
      </c>
      <c r="I52" s="12" t="s">
        <v>9</v>
      </c>
    </row>
    <row r="53" customFormat="false" ht="62" hidden="false" customHeight="true" outlineLevel="0" collapsed="false">
      <c r="A53" s="11" t="s">
        <v>1133</v>
      </c>
      <c r="B53" s="11" t="s">
        <v>1137</v>
      </c>
      <c r="C53" s="11" t="s">
        <v>4505</v>
      </c>
      <c r="D53" s="11" t="s">
        <v>4506</v>
      </c>
      <c r="E53" s="11" t="s">
        <v>1133</v>
      </c>
      <c r="F53" s="11" t="s">
        <v>4507</v>
      </c>
      <c r="G53" s="11"/>
      <c r="H53" s="11" t="s">
        <v>1133</v>
      </c>
      <c r="I53" s="12" t="s">
        <v>9</v>
      </c>
    </row>
    <row r="54" customFormat="false" ht="62" hidden="false" customHeight="true" outlineLevel="0" collapsed="false">
      <c r="A54" s="11" t="s">
        <v>1138</v>
      </c>
      <c r="B54" s="11" t="s">
        <v>1141</v>
      </c>
      <c r="C54" s="11" t="s">
        <v>4505</v>
      </c>
      <c r="D54" s="11" t="s">
        <v>4506</v>
      </c>
      <c r="E54" s="11" t="s">
        <v>1138</v>
      </c>
      <c r="F54" s="11" t="s">
        <v>4507</v>
      </c>
      <c r="G54" s="11"/>
      <c r="H54" s="11" t="s">
        <v>1140</v>
      </c>
      <c r="I54" s="12" t="s">
        <v>9</v>
      </c>
    </row>
    <row r="55" customFormat="false" ht="62" hidden="false" customHeight="true" outlineLevel="0" collapsed="false">
      <c r="A55" s="11" t="s">
        <v>1142</v>
      </c>
      <c r="B55" s="11"/>
      <c r="C55" s="11" t="s">
        <v>4505</v>
      </c>
      <c r="D55" s="11" t="s">
        <v>4506</v>
      </c>
      <c r="E55" s="11" t="s">
        <v>1142</v>
      </c>
      <c r="F55" s="11" t="s">
        <v>4507</v>
      </c>
      <c r="G55" s="11"/>
      <c r="H55" s="11" t="s">
        <v>1142</v>
      </c>
      <c r="I55" s="12" t="s">
        <v>9</v>
      </c>
    </row>
    <row r="56" customFormat="false" ht="62" hidden="false" customHeight="true" outlineLevel="0" collapsed="false">
      <c r="A56" s="11" t="s">
        <v>1146</v>
      </c>
      <c r="B56" s="11" t="s">
        <v>1150</v>
      </c>
      <c r="C56" s="11" t="s">
        <v>4505</v>
      </c>
      <c r="D56" s="11" t="s">
        <v>4506</v>
      </c>
      <c r="E56" s="11" t="s">
        <v>1146</v>
      </c>
      <c r="F56" s="11" t="s">
        <v>4507</v>
      </c>
      <c r="G56" s="11"/>
      <c r="H56" s="11" t="s">
        <v>1146</v>
      </c>
      <c r="I56" s="12" t="s">
        <v>9</v>
      </c>
    </row>
    <row r="57" customFormat="false" ht="62" hidden="false" customHeight="true" outlineLevel="0" collapsed="false">
      <c r="A57" s="11" t="s">
        <v>1151</v>
      </c>
      <c r="B57" s="11"/>
      <c r="C57" s="11" t="s">
        <v>4505</v>
      </c>
      <c r="D57" s="11" t="s">
        <v>4506</v>
      </c>
      <c r="E57" s="11" t="s">
        <v>1151</v>
      </c>
      <c r="F57" s="11" t="s">
        <v>4507</v>
      </c>
      <c r="G57" s="11"/>
      <c r="H57" s="11" t="s">
        <v>1151</v>
      </c>
      <c r="I57" s="12" t="s">
        <v>9</v>
      </c>
    </row>
    <row r="58" customFormat="false" ht="62" hidden="false" customHeight="true" outlineLevel="0" collapsed="false">
      <c r="A58" s="11" t="s">
        <v>1154</v>
      </c>
      <c r="B58" s="11" t="s">
        <v>1150</v>
      </c>
      <c r="C58" s="11" t="s">
        <v>4505</v>
      </c>
      <c r="D58" s="11" t="s">
        <v>4506</v>
      </c>
      <c r="E58" s="11" t="s">
        <v>1154</v>
      </c>
      <c r="F58" s="11" t="s">
        <v>4507</v>
      </c>
      <c r="G58" s="11"/>
      <c r="H58" s="11" t="s">
        <v>1154</v>
      </c>
      <c r="I58" s="12" t="s">
        <v>9</v>
      </c>
    </row>
    <row r="59" customFormat="false" ht="62" hidden="false" customHeight="true" outlineLevel="0" collapsed="false">
      <c r="A59" s="11" t="s">
        <v>1157</v>
      </c>
      <c r="B59" s="11"/>
      <c r="C59" s="11" t="s">
        <v>4505</v>
      </c>
      <c r="D59" s="11" t="s">
        <v>4506</v>
      </c>
      <c r="E59" s="11" t="s">
        <v>1157</v>
      </c>
      <c r="F59" s="11" t="s">
        <v>4507</v>
      </c>
      <c r="G59" s="11"/>
      <c r="H59" s="11" t="s">
        <v>1157</v>
      </c>
      <c r="I59" s="12" t="s">
        <v>9</v>
      </c>
    </row>
    <row r="60" customFormat="false" ht="62" hidden="false" customHeight="true" outlineLevel="0" collapsed="false">
      <c r="A60" s="11" t="s">
        <v>1160</v>
      </c>
      <c r="B60" s="11" t="s">
        <v>1163</v>
      </c>
      <c r="C60" s="11" t="s">
        <v>4505</v>
      </c>
      <c r="D60" s="11" t="s">
        <v>4506</v>
      </c>
      <c r="E60" s="11" t="s">
        <v>1160</v>
      </c>
      <c r="F60" s="11" t="s">
        <v>4507</v>
      </c>
      <c r="G60" s="11"/>
      <c r="H60" s="11" t="s">
        <v>1160</v>
      </c>
      <c r="I60" s="12" t="s">
        <v>9</v>
      </c>
    </row>
    <row r="61" customFormat="false" ht="62" hidden="false" customHeight="true" outlineLevel="0" collapsed="false">
      <c r="A61" s="11" t="s">
        <v>1164</v>
      </c>
      <c r="B61" s="11" t="s">
        <v>1169</v>
      </c>
      <c r="C61" s="11" t="s">
        <v>4508</v>
      </c>
      <c r="D61" s="11" t="s">
        <v>4509</v>
      </c>
      <c r="E61" s="11"/>
      <c r="F61" s="11" t="s">
        <v>4510</v>
      </c>
      <c r="G61" s="11"/>
      <c r="H61" s="11" t="s">
        <v>1164</v>
      </c>
      <c r="I61" s="12" t="s">
        <v>9</v>
      </c>
    </row>
    <row r="62" customFormat="false" ht="62" hidden="false" customHeight="true" outlineLevel="0" collapsed="false">
      <c r="A62" s="11" t="s">
        <v>1170</v>
      </c>
      <c r="B62" s="11" t="s">
        <v>1173</v>
      </c>
      <c r="C62" s="11" t="s">
        <v>4505</v>
      </c>
      <c r="D62" s="11" t="s">
        <v>4506</v>
      </c>
      <c r="E62" s="11" t="s">
        <v>1170</v>
      </c>
      <c r="F62" s="11" t="s">
        <v>4507</v>
      </c>
      <c r="G62" s="11"/>
      <c r="H62" s="11" t="s">
        <v>1170</v>
      </c>
      <c r="I62" s="12" t="s">
        <v>9</v>
      </c>
    </row>
    <row r="63" customFormat="false" ht="62" hidden="false" customHeight="true" outlineLevel="0" collapsed="false">
      <c r="A63" s="11" t="s">
        <v>1174</v>
      </c>
      <c r="B63" s="11" t="s">
        <v>1150</v>
      </c>
      <c r="C63" s="11" t="s">
        <v>4505</v>
      </c>
      <c r="D63" s="11" t="s">
        <v>4506</v>
      </c>
      <c r="E63" s="11" t="s">
        <v>1174</v>
      </c>
      <c r="F63" s="11" t="s">
        <v>4507</v>
      </c>
      <c r="G63" s="11"/>
      <c r="H63" s="11" t="s">
        <v>1174</v>
      </c>
      <c r="I63" s="12" t="s">
        <v>9</v>
      </c>
    </row>
    <row r="64" customFormat="false" ht="62" hidden="false" customHeight="true" outlineLevel="0" collapsed="false">
      <c r="A64" s="11" t="s">
        <v>1178</v>
      </c>
      <c r="B64" s="11" t="s">
        <v>1180</v>
      </c>
      <c r="C64" s="11" t="s">
        <v>4505</v>
      </c>
      <c r="D64" s="11" t="s">
        <v>4506</v>
      </c>
      <c r="E64" s="11" t="s">
        <v>1178</v>
      </c>
      <c r="F64" s="11" t="s">
        <v>4507</v>
      </c>
      <c r="G64" s="11"/>
      <c r="H64" s="11" t="s">
        <v>1178</v>
      </c>
      <c r="I64" s="12" t="s">
        <v>9</v>
      </c>
    </row>
    <row r="65" customFormat="false" ht="62" hidden="false" customHeight="true" outlineLevel="0" collapsed="false">
      <c r="A65" s="11" t="s">
        <v>1181</v>
      </c>
      <c r="B65" s="11"/>
      <c r="C65" s="11" t="s">
        <v>4505</v>
      </c>
      <c r="D65" s="11" t="s">
        <v>4506</v>
      </c>
      <c r="E65" s="11" t="s">
        <v>1181</v>
      </c>
      <c r="F65" s="11" t="s">
        <v>4507</v>
      </c>
      <c r="G65" s="11"/>
      <c r="H65" s="11" t="s">
        <v>1181</v>
      </c>
      <c r="I65" s="12" t="s">
        <v>9</v>
      </c>
    </row>
    <row r="66" customFormat="false" ht="62" hidden="false" customHeight="true" outlineLevel="0" collapsed="false">
      <c r="A66" s="11" t="s">
        <v>1184</v>
      </c>
      <c r="B66" s="11"/>
      <c r="C66" s="11" t="s">
        <v>4505</v>
      </c>
      <c r="D66" s="11" t="s">
        <v>4506</v>
      </c>
      <c r="E66" s="11" t="s">
        <v>1184</v>
      </c>
      <c r="F66" s="11" t="s">
        <v>4507</v>
      </c>
      <c r="G66" s="11"/>
      <c r="H66" s="11" t="s">
        <v>1184</v>
      </c>
      <c r="I66" s="12" t="s">
        <v>9</v>
      </c>
    </row>
    <row r="67" customFormat="false" ht="62" hidden="false" customHeight="true" outlineLevel="0" collapsed="false">
      <c r="A67" s="11" t="s">
        <v>1187</v>
      </c>
      <c r="B67" s="11" t="s">
        <v>1190</v>
      </c>
      <c r="C67" s="11" t="s">
        <v>4505</v>
      </c>
      <c r="D67" s="11" t="s">
        <v>4506</v>
      </c>
      <c r="E67" s="11" t="s">
        <v>1187</v>
      </c>
      <c r="F67" s="11" t="s">
        <v>4507</v>
      </c>
      <c r="G67" s="11"/>
      <c r="H67" s="11" t="s">
        <v>1187</v>
      </c>
      <c r="I67" s="12" t="s">
        <v>9</v>
      </c>
    </row>
    <row r="68" customFormat="false" ht="62" hidden="false" customHeight="true" outlineLevel="0" collapsed="false">
      <c r="A68" s="11" t="s">
        <v>1191</v>
      </c>
      <c r="B68" s="11"/>
      <c r="C68" s="11" t="s">
        <v>4505</v>
      </c>
      <c r="D68" s="11" t="s">
        <v>4506</v>
      </c>
      <c r="E68" s="11" t="s">
        <v>1191</v>
      </c>
      <c r="F68" s="11" t="s">
        <v>4507</v>
      </c>
      <c r="G68" s="11"/>
      <c r="H68" s="11" t="s">
        <v>1191</v>
      </c>
      <c r="I68" s="12" t="s">
        <v>9</v>
      </c>
    </row>
    <row r="69" customFormat="false" ht="62" hidden="false" customHeight="true" outlineLevel="0" collapsed="false">
      <c r="A69" s="11" t="s">
        <v>1194</v>
      </c>
      <c r="B69" s="11" t="s">
        <v>1197</v>
      </c>
      <c r="C69" s="11" t="s">
        <v>4505</v>
      </c>
      <c r="D69" s="11" t="s">
        <v>4506</v>
      </c>
      <c r="E69" s="11" t="s">
        <v>1194</v>
      </c>
      <c r="F69" s="11" t="s">
        <v>4507</v>
      </c>
      <c r="G69" s="11"/>
      <c r="H69" s="11" t="s">
        <v>1194</v>
      </c>
      <c r="I69" s="12" t="s">
        <v>9</v>
      </c>
    </row>
    <row r="70" customFormat="false" ht="62" hidden="false" customHeight="true" outlineLevel="0" collapsed="false">
      <c r="A70" s="11" t="s">
        <v>1198</v>
      </c>
      <c r="B70" s="11" t="s">
        <v>1200</v>
      </c>
      <c r="C70" s="11" t="s">
        <v>4505</v>
      </c>
      <c r="D70" s="11" t="s">
        <v>4506</v>
      </c>
      <c r="E70" s="11" t="s">
        <v>1198</v>
      </c>
      <c r="F70" s="11" t="s">
        <v>4507</v>
      </c>
      <c r="G70" s="11"/>
      <c r="H70" s="11" t="s">
        <v>1198</v>
      </c>
      <c r="I70" s="12" t="s">
        <v>9</v>
      </c>
    </row>
    <row r="71" customFormat="false" ht="62" hidden="false" customHeight="true" outlineLevel="0" collapsed="false">
      <c r="A71" s="11" t="s">
        <v>1201</v>
      </c>
      <c r="B71" s="11" t="s">
        <v>1046</v>
      </c>
      <c r="C71" s="11" t="s">
        <v>4505</v>
      </c>
      <c r="D71" s="11" t="s">
        <v>4506</v>
      </c>
      <c r="E71" s="11" t="s">
        <v>1201</v>
      </c>
      <c r="F71" s="11" t="s">
        <v>4507</v>
      </c>
      <c r="G71" s="11"/>
      <c r="H71" s="11" t="s">
        <v>1201</v>
      </c>
      <c r="I71" s="12" t="s">
        <v>9</v>
      </c>
    </row>
    <row r="72" customFormat="false" ht="62" hidden="false" customHeight="true" outlineLevel="0" collapsed="false">
      <c r="A72" s="11" t="s">
        <v>1204</v>
      </c>
      <c r="B72" s="11"/>
      <c r="C72" s="11" t="s">
        <v>4505</v>
      </c>
      <c r="D72" s="11" t="s">
        <v>4506</v>
      </c>
      <c r="E72" s="11" t="s">
        <v>1204</v>
      </c>
      <c r="F72" s="11" t="s">
        <v>4507</v>
      </c>
      <c r="G72" s="11"/>
      <c r="H72" s="11" t="s">
        <v>1204</v>
      </c>
      <c r="I72" s="12" t="s">
        <v>9</v>
      </c>
    </row>
    <row r="73" customFormat="false" ht="62" hidden="false" customHeight="true" outlineLevel="0" collapsed="false">
      <c r="A73" s="11" t="s">
        <v>1207</v>
      </c>
      <c r="B73" s="11" t="s">
        <v>1210</v>
      </c>
      <c r="C73" s="11" t="s">
        <v>4505</v>
      </c>
      <c r="D73" s="11" t="s">
        <v>4506</v>
      </c>
      <c r="E73" s="11" t="s">
        <v>1207</v>
      </c>
      <c r="F73" s="11" t="s">
        <v>4507</v>
      </c>
      <c r="G73" s="11"/>
      <c r="H73" s="11" t="s">
        <v>1207</v>
      </c>
      <c r="I73" s="12" t="s">
        <v>9</v>
      </c>
    </row>
    <row r="74" customFormat="false" ht="62" hidden="false" customHeight="true" outlineLevel="0" collapsed="false">
      <c r="A74" s="11" t="s">
        <v>1211</v>
      </c>
      <c r="B74" s="11" t="s">
        <v>1214</v>
      </c>
      <c r="C74" s="11" t="s">
        <v>4505</v>
      </c>
      <c r="D74" s="11" t="s">
        <v>4506</v>
      </c>
      <c r="E74" s="11" t="s">
        <v>1211</v>
      </c>
      <c r="F74" s="11" t="s">
        <v>4507</v>
      </c>
      <c r="G74" s="11"/>
      <c r="H74" s="11" t="s">
        <v>1211</v>
      </c>
      <c r="I74" s="12" t="s">
        <v>9</v>
      </c>
    </row>
    <row r="75" customFormat="false" ht="62" hidden="false" customHeight="true" outlineLevel="0" collapsed="false">
      <c r="A75" s="11" t="s">
        <v>1215</v>
      </c>
      <c r="B75" s="11"/>
      <c r="C75" s="11" t="s">
        <v>4505</v>
      </c>
      <c r="D75" s="11" t="s">
        <v>4506</v>
      </c>
      <c r="E75" s="11" t="s">
        <v>1215</v>
      </c>
      <c r="F75" s="11" t="s">
        <v>4507</v>
      </c>
      <c r="G75" s="11"/>
      <c r="H75" s="11" t="s">
        <v>1215</v>
      </c>
      <c r="I75" s="12" t="s">
        <v>9</v>
      </c>
    </row>
    <row r="76" customFormat="false" ht="62" hidden="false" customHeight="true" outlineLevel="0" collapsed="false">
      <c r="A76" s="11" t="s">
        <v>1218</v>
      </c>
      <c r="B76" s="11"/>
      <c r="C76" s="11" t="s">
        <v>4505</v>
      </c>
      <c r="D76" s="11" t="s">
        <v>4506</v>
      </c>
      <c r="E76" s="11" t="s">
        <v>1218</v>
      </c>
      <c r="F76" s="11" t="s">
        <v>4507</v>
      </c>
      <c r="G76" s="11"/>
      <c r="H76" s="11" t="s">
        <v>1218</v>
      </c>
      <c r="I76" s="12" t="s">
        <v>9</v>
      </c>
    </row>
    <row r="77" customFormat="false" ht="62" hidden="false" customHeight="true" outlineLevel="0" collapsed="false">
      <c r="A77" s="11" t="s">
        <v>1220</v>
      </c>
      <c r="B77" s="11"/>
      <c r="C77" s="11" t="s">
        <v>4505</v>
      </c>
      <c r="D77" s="11" t="s">
        <v>4506</v>
      </c>
      <c r="E77" s="11" t="s">
        <v>1220</v>
      </c>
      <c r="F77" s="11" t="s">
        <v>4507</v>
      </c>
      <c r="G77" s="11"/>
      <c r="H77" s="11" t="s">
        <v>1220</v>
      </c>
      <c r="I77" s="12" t="s">
        <v>9</v>
      </c>
    </row>
    <row r="78" customFormat="false" ht="62" hidden="false" customHeight="true" outlineLevel="0" collapsed="false">
      <c r="A78" s="11" t="s">
        <v>1223</v>
      </c>
      <c r="B78" s="11" t="s">
        <v>1226</v>
      </c>
      <c r="C78" s="11" t="s">
        <v>4505</v>
      </c>
      <c r="D78" s="11" t="s">
        <v>4506</v>
      </c>
      <c r="E78" s="11" t="s">
        <v>1223</v>
      </c>
      <c r="F78" s="11" t="s">
        <v>4507</v>
      </c>
      <c r="G78" s="11"/>
      <c r="H78" s="11" t="s">
        <v>1223</v>
      </c>
      <c r="I78" s="12" t="s">
        <v>9</v>
      </c>
    </row>
    <row r="79" customFormat="false" ht="62" hidden="false" customHeight="true" outlineLevel="0" collapsed="false">
      <c r="A79" s="11" t="s">
        <v>1227</v>
      </c>
      <c r="B79" s="11"/>
      <c r="C79" s="11" t="s">
        <v>4505</v>
      </c>
      <c r="D79" s="11" t="s">
        <v>4506</v>
      </c>
      <c r="E79" s="11" t="s">
        <v>1227</v>
      </c>
      <c r="F79" s="11" t="s">
        <v>4507</v>
      </c>
      <c r="G79" s="11"/>
      <c r="H79" s="11" t="s">
        <v>1227</v>
      </c>
      <c r="I79" s="12" t="s">
        <v>9</v>
      </c>
    </row>
    <row r="80" customFormat="false" ht="62" hidden="false" customHeight="true" outlineLevel="0" collapsed="false">
      <c r="A80" s="11" t="s">
        <v>1230</v>
      </c>
      <c r="B80" s="11" t="s">
        <v>1232</v>
      </c>
      <c r="C80" s="11" t="s">
        <v>4505</v>
      </c>
      <c r="D80" s="11" t="s">
        <v>4506</v>
      </c>
      <c r="E80" s="11" t="s">
        <v>1230</v>
      </c>
      <c r="F80" s="11" t="s">
        <v>4507</v>
      </c>
      <c r="G80" s="11"/>
      <c r="H80" s="11" t="s">
        <v>1230</v>
      </c>
      <c r="I80" s="12" t="s">
        <v>9</v>
      </c>
    </row>
    <row r="81" customFormat="false" ht="62" hidden="false" customHeight="true" outlineLevel="0" collapsed="false">
      <c r="A81" s="11" t="s">
        <v>1233</v>
      </c>
      <c r="B81" s="11"/>
      <c r="C81" s="11" t="s">
        <v>4505</v>
      </c>
      <c r="D81" s="11" t="s">
        <v>4506</v>
      </c>
      <c r="E81" s="11" t="s">
        <v>1233</v>
      </c>
      <c r="F81" s="11" t="s">
        <v>4507</v>
      </c>
      <c r="G81" s="11"/>
      <c r="H81" s="11" t="s">
        <v>1233</v>
      </c>
      <c r="I81" s="12" t="s">
        <v>9</v>
      </c>
    </row>
    <row r="82" customFormat="false" ht="62" hidden="false" customHeight="true" outlineLevel="0" collapsed="false">
      <c r="A82" s="11" t="s">
        <v>1236</v>
      </c>
      <c r="B82" s="11" t="s">
        <v>1238</v>
      </c>
      <c r="C82" s="11" t="s">
        <v>4505</v>
      </c>
      <c r="D82" s="11" t="s">
        <v>4506</v>
      </c>
      <c r="E82" s="11" t="s">
        <v>1236</v>
      </c>
      <c r="F82" s="11" t="s">
        <v>4507</v>
      </c>
      <c r="G82" s="11" t="s">
        <v>4511</v>
      </c>
      <c r="H82" s="11" t="s">
        <v>1236</v>
      </c>
      <c r="I82" s="12" t="s">
        <v>9</v>
      </c>
    </row>
    <row r="83" customFormat="false" ht="62" hidden="false" customHeight="true" outlineLevel="0" collapsed="false">
      <c r="A83" s="11" t="s">
        <v>1239</v>
      </c>
      <c r="B83" s="11"/>
      <c r="C83" s="11" t="s">
        <v>4505</v>
      </c>
      <c r="D83" s="11" t="s">
        <v>4506</v>
      </c>
      <c r="E83" s="11" t="s">
        <v>1239</v>
      </c>
      <c r="F83" s="11" t="s">
        <v>4507</v>
      </c>
      <c r="G83" s="11"/>
      <c r="H83" s="11" t="s">
        <v>1239</v>
      </c>
      <c r="I83" s="12" t="s">
        <v>9</v>
      </c>
    </row>
    <row r="84" customFormat="false" ht="62" hidden="false" customHeight="true" outlineLevel="0" collapsed="false">
      <c r="A84" s="11" t="s">
        <v>1242</v>
      </c>
      <c r="B84" s="11" t="s">
        <v>1245</v>
      </c>
      <c r="C84" s="11" t="s">
        <v>4508</v>
      </c>
      <c r="D84" s="11" t="s">
        <v>4509</v>
      </c>
      <c r="E84" s="11"/>
      <c r="F84" s="11" t="s">
        <v>4510</v>
      </c>
      <c r="G84" s="11"/>
      <c r="H84" s="11" t="s">
        <v>1242</v>
      </c>
      <c r="I84" s="12" t="s">
        <v>9</v>
      </c>
    </row>
    <row r="85" customFormat="false" ht="62" hidden="false" customHeight="true" outlineLevel="0" collapsed="false">
      <c r="A85" s="11" t="s">
        <v>1246</v>
      </c>
      <c r="B85" s="11" t="s">
        <v>1249</v>
      </c>
      <c r="C85" s="11" t="s">
        <v>4505</v>
      </c>
      <c r="D85" s="11" t="s">
        <v>4506</v>
      </c>
      <c r="E85" s="11" t="s">
        <v>1246</v>
      </c>
      <c r="F85" s="11" t="s">
        <v>4507</v>
      </c>
      <c r="G85" s="11"/>
      <c r="H85" s="11" t="s">
        <v>1246</v>
      </c>
      <c r="I85" s="12" t="s">
        <v>9</v>
      </c>
    </row>
    <row r="86" customFormat="false" ht="62" hidden="false" customHeight="true" outlineLevel="0" collapsed="false">
      <c r="A86" s="11" t="s">
        <v>1250</v>
      </c>
      <c r="B86" s="11" t="s">
        <v>1249</v>
      </c>
      <c r="C86" s="11" t="s">
        <v>4505</v>
      </c>
      <c r="D86" s="11" t="s">
        <v>4506</v>
      </c>
      <c r="E86" s="11" t="s">
        <v>1250</v>
      </c>
      <c r="F86" s="11" t="s">
        <v>4507</v>
      </c>
      <c r="G86" s="11"/>
      <c r="H86" s="11" t="s">
        <v>1250</v>
      </c>
      <c r="I86" s="12" t="s">
        <v>9</v>
      </c>
    </row>
    <row r="87" customFormat="false" ht="62" hidden="false" customHeight="true" outlineLevel="0" collapsed="false">
      <c r="A87" s="11" t="s">
        <v>1253</v>
      </c>
      <c r="B87" s="11"/>
      <c r="C87" s="11" t="s">
        <v>4505</v>
      </c>
      <c r="D87" s="11" t="s">
        <v>4506</v>
      </c>
      <c r="E87" s="11" t="s">
        <v>1253</v>
      </c>
      <c r="F87" s="11" t="s">
        <v>4507</v>
      </c>
      <c r="G87" s="11"/>
      <c r="H87" s="11" t="s">
        <v>1253</v>
      </c>
      <c r="I87" s="12" t="s">
        <v>9</v>
      </c>
    </row>
    <row r="88" customFormat="false" ht="62" hidden="false" customHeight="true" outlineLevel="0" collapsed="false">
      <c r="A88" s="11" t="s">
        <v>1256</v>
      </c>
      <c r="B88" s="11" t="s">
        <v>1258</v>
      </c>
      <c r="C88" s="11" t="s">
        <v>4505</v>
      </c>
      <c r="D88" s="11" t="s">
        <v>4506</v>
      </c>
      <c r="E88" s="11" t="s">
        <v>1256</v>
      </c>
      <c r="F88" s="11" t="s">
        <v>4507</v>
      </c>
      <c r="G88" s="11"/>
      <c r="H88" s="11" t="s">
        <v>1256</v>
      </c>
      <c r="I88" s="12" t="s">
        <v>9</v>
      </c>
    </row>
    <row r="89" customFormat="false" ht="62" hidden="false" customHeight="true" outlineLevel="0" collapsed="false">
      <c r="A89" s="11" t="s">
        <v>1259</v>
      </c>
      <c r="B89" s="11" t="s">
        <v>1258</v>
      </c>
      <c r="C89" s="11" t="s">
        <v>4505</v>
      </c>
      <c r="D89" s="11" t="s">
        <v>4506</v>
      </c>
      <c r="E89" s="11" t="s">
        <v>1259</v>
      </c>
      <c r="F89" s="11" t="s">
        <v>4507</v>
      </c>
      <c r="G89" s="11"/>
      <c r="H89" s="11" t="s">
        <v>1259</v>
      </c>
      <c r="I89" s="12" t="s">
        <v>9</v>
      </c>
    </row>
    <row r="90" customFormat="false" ht="62" hidden="false" customHeight="true" outlineLevel="0" collapsed="false">
      <c r="A90" s="11" t="s">
        <v>1262</v>
      </c>
      <c r="B90" s="11" t="s">
        <v>1033</v>
      </c>
      <c r="C90" s="11" t="s">
        <v>4505</v>
      </c>
      <c r="D90" s="11" t="s">
        <v>4506</v>
      </c>
      <c r="E90" s="11" t="s">
        <v>1262</v>
      </c>
      <c r="F90" s="11" t="s">
        <v>4507</v>
      </c>
      <c r="G90" s="11"/>
      <c r="H90" s="11" t="s">
        <v>1262</v>
      </c>
      <c r="I90" s="12" t="s">
        <v>9</v>
      </c>
    </row>
    <row r="91" customFormat="false" ht="62" hidden="false" customHeight="true" outlineLevel="0" collapsed="false">
      <c r="A91" s="11" t="s">
        <v>1265</v>
      </c>
      <c r="B91" s="11"/>
      <c r="C91" s="11" t="s">
        <v>4505</v>
      </c>
      <c r="D91" s="11" t="s">
        <v>4506</v>
      </c>
      <c r="E91" s="11" t="s">
        <v>1265</v>
      </c>
      <c r="F91" s="11" t="s">
        <v>4507</v>
      </c>
      <c r="G91" s="11"/>
      <c r="H91" s="11" t="s">
        <v>1265</v>
      </c>
      <c r="I91" s="12" t="s">
        <v>9</v>
      </c>
    </row>
    <row r="92" customFormat="false" ht="62" hidden="false" customHeight="true" outlineLevel="0" collapsed="false">
      <c r="A92" s="11" t="s">
        <v>1268</v>
      </c>
      <c r="B92" s="11"/>
      <c r="C92" s="11" t="s">
        <v>4505</v>
      </c>
      <c r="D92" s="11" t="s">
        <v>4506</v>
      </c>
      <c r="E92" s="11" t="s">
        <v>1268</v>
      </c>
      <c r="F92" s="11" t="s">
        <v>4507</v>
      </c>
      <c r="G92" s="11"/>
      <c r="H92" s="11" t="s">
        <v>1268</v>
      </c>
      <c r="I92" s="12" t="s">
        <v>9</v>
      </c>
    </row>
    <row r="93" customFormat="false" ht="62" hidden="false" customHeight="true" outlineLevel="0" collapsed="false">
      <c r="A93" s="11" t="s">
        <v>1271</v>
      </c>
      <c r="B93" s="11" t="s">
        <v>1274</v>
      </c>
      <c r="C93" s="11" t="s">
        <v>4505</v>
      </c>
      <c r="D93" s="11" t="s">
        <v>4506</v>
      </c>
      <c r="E93" s="11" t="s">
        <v>1271</v>
      </c>
      <c r="F93" s="11" t="s">
        <v>4507</v>
      </c>
      <c r="G93" s="11"/>
      <c r="H93" s="11" t="s">
        <v>1271</v>
      </c>
      <c r="I93" s="12" t="s">
        <v>9</v>
      </c>
    </row>
    <row r="94" customFormat="false" ht="62" hidden="false" customHeight="true" outlineLevel="0" collapsed="false">
      <c r="A94" s="11" t="s">
        <v>1275</v>
      </c>
      <c r="B94" s="11" t="s">
        <v>1278</v>
      </c>
      <c r="C94" s="11" t="s">
        <v>4505</v>
      </c>
      <c r="D94" s="11" t="s">
        <v>4506</v>
      </c>
      <c r="E94" s="11" t="s">
        <v>1275</v>
      </c>
      <c r="F94" s="11" t="s">
        <v>4507</v>
      </c>
      <c r="G94" s="11"/>
      <c r="H94" s="11" t="s">
        <v>1277</v>
      </c>
      <c r="I94" s="12" t="s">
        <v>9</v>
      </c>
    </row>
    <row r="95" customFormat="false" ht="62" hidden="false" customHeight="true" outlineLevel="0" collapsed="false">
      <c r="A95" s="11" t="s">
        <v>1279</v>
      </c>
      <c r="B95" s="11" t="s">
        <v>1278</v>
      </c>
      <c r="C95" s="11" t="s">
        <v>4505</v>
      </c>
      <c r="D95" s="11" t="s">
        <v>4506</v>
      </c>
      <c r="E95" s="11" t="s">
        <v>1279</v>
      </c>
      <c r="F95" s="11" t="s">
        <v>4507</v>
      </c>
      <c r="G95" s="11"/>
      <c r="H95" s="11" t="s">
        <v>1277</v>
      </c>
      <c r="I95" s="12" t="s">
        <v>9</v>
      </c>
    </row>
    <row r="96" customFormat="false" ht="62" hidden="false" customHeight="true" outlineLevel="0" collapsed="false">
      <c r="A96" s="11" t="s">
        <v>1282</v>
      </c>
      <c r="B96" s="11" t="s">
        <v>1278</v>
      </c>
      <c r="C96" s="11" t="s">
        <v>4505</v>
      </c>
      <c r="D96" s="11" t="s">
        <v>4506</v>
      </c>
      <c r="E96" s="11" t="s">
        <v>1282</v>
      </c>
      <c r="F96" s="11" t="s">
        <v>4507</v>
      </c>
      <c r="G96" s="11"/>
      <c r="H96" s="11" t="s">
        <v>1277</v>
      </c>
      <c r="I96" s="12" t="s">
        <v>9</v>
      </c>
    </row>
    <row r="97" customFormat="false" ht="62" hidden="false" customHeight="true" outlineLevel="0" collapsed="false">
      <c r="A97" s="11" t="s">
        <v>1285</v>
      </c>
      <c r="B97" s="11" t="s">
        <v>1288</v>
      </c>
      <c r="C97" s="11" t="s">
        <v>4505</v>
      </c>
      <c r="D97" s="11" t="s">
        <v>4506</v>
      </c>
      <c r="E97" s="11" t="s">
        <v>1285</v>
      </c>
      <c r="F97" s="11" t="s">
        <v>4507</v>
      </c>
      <c r="G97" s="11"/>
      <c r="H97" s="11" t="s">
        <v>1285</v>
      </c>
      <c r="I97" s="12" t="s">
        <v>9</v>
      </c>
    </row>
    <row r="98" customFormat="false" ht="62" hidden="false" customHeight="true" outlineLevel="0" collapsed="false">
      <c r="A98" s="11" t="s">
        <v>1289</v>
      </c>
      <c r="B98" s="11" t="s">
        <v>1278</v>
      </c>
      <c r="C98" s="11" t="s">
        <v>4505</v>
      </c>
      <c r="D98" s="11" t="s">
        <v>4506</v>
      </c>
      <c r="E98" s="11" t="s">
        <v>1289</v>
      </c>
      <c r="F98" s="11" t="s">
        <v>4507</v>
      </c>
      <c r="G98" s="11"/>
      <c r="H98" s="11" t="s">
        <v>1289</v>
      </c>
      <c r="I98" s="12" t="s">
        <v>9</v>
      </c>
    </row>
    <row r="99" customFormat="false" ht="62" hidden="false" customHeight="true" outlineLevel="0" collapsed="false">
      <c r="A99" s="11" t="s">
        <v>1292</v>
      </c>
      <c r="B99" s="11" t="s">
        <v>1295</v>
      </c>
      <c r="C99" s="11" t="s">
        <v>4505</v>
      </c>
      <c r="D99" s="11" t="s">
        <v>4506</v>
      </c>
      <c r="E99" s="11" t="s">
        <v>1292</v>
      </c>
      <c r="F99" s="11" t="s">
        <v>4507</v>
      </c>
      <c r="G99" s="11"/>
      <c r="H99" s="11" t="s">
        <v>1292</v>
      </c>
      <c r="I99" s="12" t="s">
        <v>9</v>
      </c>
    </row>
    <row r="100" customFormat="false" ht="62" hidden="false" customHeight="true" outlineLevel="0" collapsed="false">
      <c r="A100" s="11" t="s">
        <v>1296</v>
      </c>
      <c r="B100" s="11" t="s">
        <v>1299</v>
      </c>
      <c r="C100" s="11" t="s">
        <v>4505</v>
      </c>
      <c r="D100" s="11" t="s">
        <v>4506</v>
      </c>
      <c r="E100" s="11" t="s">
        <v>1296</v>
      </c>
      <c r="F100" s="11" t="s">
        <v>4507</v>
      </c>
      <c r="G100" s="11"/>
      <c r="H100" s="11" t="s">
        <v>1296</v>
      </c>
      <c r="I100" s="12" t="s">
        <v>9</v>
      </c>
    </row>
    <row r="101" customFormat="false" ht="62" hidden="false" customHeight="true" outlineLevel="0" collapsed="false">
      <c r="A101" s="11" t="s">
        <v>1300</v>
      </c>
      <c r="B101" s="11" t="s">
        <v>1302</v>
      </c>
      <c r="C101" s="11" t="s">
        <v>4505</v>
      </c>
      <c r="D101" s="11" t="s">
        <v>4506</v>
      </c>
      <c r="E101" s="11" t="s">
        <v>1300</v>
      </c>
      <c r="F101" s="11" t="s">
        <v>4507</v>
      </c>
      <c r="G101" s="11"/>
      <c r="H101" s="11" t="s">
        <v>1300</v>
      </c>
      <c r="I101" s="12" t="s">
        <v>9</v>
      </c>
    </row>
    <row r="102" customFormat="false" ht="62" hidden="false" customHeight="true" outlineLevel="0" collapsed="false">
      <c r="A102" s="11" t="s">
        <v>1303</v>
      </c>
      <c r="B102" s="11"/>
      <c r="C102" s="11" t="s">
        <v>4505</v>
      </c>
      <c r="D102" s="11" t="s">
        <v>4506</v>
      </c>
      <c r="E102" s="11" t="s">
        <v>1303</v>
      </c>
      <c r="F102" s="11" t="s">
        <v>4507</v>
      </c>
      <c r="G102" s="11"/>
      <c r="H102" s="11" t="s">
        <v>1303</v>
      </c>
      <c r="I102" s="12" t="s">
        <v>9</v>
      </c>
    </row>
    <row r="103" customFormat="false" ht="62" hidden="false" customHeight="true" outlineLevel="0" collapsed="false">
      <c r="A103" s="11" t="s">
        <v>1306</v>
      </c>
      <c r="B103" s="11" t="s">
        <v>1309</v>
      </c>
      <c r="C103" s="11" t="s">
        <v>4505</v>
      </c>
      <c r="D103" s="11" t="s">
        <v>4506</v>
      </c>
      <c r="E103" s="11" t="s">
        <v>1306</v>
      </c>
      <c r="F103" s="11" t="s">
        <v>4507</v>
      </c>
      <c r="G103" s="11"/>
      <c r="H103" s="11" t="s">
        <v>1306</v>
      </c>
      <c r="I103" s="12" t="s">
        <v>9</v>
      </c>
    </row>
    <row r="104" customFormat="false" ht="62" hidden="false" customHeight="true" outlineLevel="0" collapsed="false">
      <c r="A104" s="11" t="s">
        <v>1310</v>
      </c>
      <c r="B104" s="11"/>
      <c r="C104" s="11" t="s">
        <v>4505</v>
      </c>
      <c r="D104" s="11" t="s">
        <v>4506</v>
      </c>
      <c r="E104" s="11" t="s">
        <v>1310</v>
      </c>
      <c r="F104" s="11" t="s">
        <v>4507</v>
      </c>
      <c r="G104" s="11"/>
      <c r="H104" s="11" t="s">
        <v>1310</v>
      </c>
      <c r="I104" s="12" t="s">
        <v>9</v>
      </c>
    </row>
    <row r="105" customFormat="false" ht="62" hidden="false" customHeight="true" outlineLevel="0" collapsed="false">
      <c r="A105" s="11" t="s">
        <v>1313</v>
      </c>
      <c r="B105" s="11"/>
      <c r="C105" s="11" t="s">
        <v>4505</v>
      </c>
      <c r="D105" s="11" t="s">
        <v>4506</v>
      </c>
      <c r="E105" s="11" t="s">
        <v>1313</v>
      </c>
      <c r="F105" s="11" t="s">
        <v>4507</v>
      </c>
      <c r="G105" s="11"/>
      <c r="H105" s="11" t="s">
        <v>1313</v>
      </c>
      <c r="I105" s="12" t="s">
        <v>9</v>
      </c>
    </row>
    <row r="106" customFormat="false" ht="62" hidden="false" customHeight="true" outlineLevel="0" collapsed="false">
      <c r="A106" s="11" t="s">
        <v>1316</v>
      </c>
      <c r="B106" s="11" t="s">
        <v>1319</v>
      </c>
      <c r="C106" s="11" t="s">
        <v>4505</v>
      </c>
      <c r="D106" s="11" t="s">
        <v>4506</v>
      </c>
      <c r="E106" s="11" t="s">
        <v>1316</v>
      </c>
      <c r="F106" s="11" t="s">
        <v>4507</v>
      </c>
      <c r="G106" s="11"/>
      <c r="H106" s="11" t="s">
        <v>1316</v>
      </c>
      <c r="I106" s="12" t="s">
        <v>9</v>
      </c>
    </row>
    <row r="107" customFormat="false" ht="62" hidden="false" customHeight="true" outlineLevel="0" collapsed="false">
      <c r="A107" s="11" t="s">
        <v>1320</v>
      </c>
      <c r="B107" s="11"/>
      <c r="C107" s="11" t="s">
        <v>4505</v>
      </c>
      <c r="D107" s="11" t="s">
        <v>4506</v>
      </c>
      <c r="E107" s="11" t="s">
        <v>1320</v>
      </c>
      <c r="F107" s="11" t="s">
        <v>4507</v>
      </c>
      <c r="G107" s="11"/>
      <c r="H107" s="11" t="s">
        <v>1320</v>
      </c>
      <c r="I107" s="12" t="s">
        <v>9</v>
      </c>
    </row>
    <row r="108" customFormat="false" ht="62" hidden="false" customHeight="true" outlineLevel="0" collapsed="false">
      <c r="A108" s="11" t="s">
        <v>1322</v>
      </c>
      <c r="B108" s="11"/>
      <c r="C108" s="11" t="s">
        <v>4505</v>
      </c>
      <c r="D108" s="11" t="s">
        <v>4506</v>
      </c>
      <c r="E108" s="11" t="s">
        <v>1322</v>
      </c>
      <c r="F108" s="11" t="s">
        <v>4507</v>
      </c>
      <c r="G108" s="11"/>
      <c r="H108" s="11" t="s">
        <v>1322</v>
      </c>
      <c r="I108" s="12" t="s">
        <v>9</v>
      </c>
    </row>
    <row r="109" customFormat="false" ht="62" hidden="false" customHeight="true" outlineLevel="0" collapsed="false">
      <c r="A109" s="11" t="s">
        <v>1325</v>
      </c>
      <c r="B109" s="11" t="s">
        <v>1328</v>
      </c>
      <c r="C109" s="11" t="s">
        <v>4508</v>
      </c>
      <c r="D109" s="11" t="s">
        <v>4509</v>
      </c>
      <c r="E109" s="11"/>
      <c r="F109" s="11" t="s">
        <v>4510</v>
      </c>
      <c r="G109" s="11"/>
      <c r="H109" s="11" t="s">
        <v>1325</v>
      </c>
      <c r="I109" s="12" t="s">
        <v>9</v>
      </c>
    </row>
    <row r="110" customFormat="false" ht="62" hidden="false" customHeight="true" outlineLevel="0" collapsed="false">
      <c r="A110" s="11" t="s">
        <v>1329</v>
      </c>
      <c r="B110" s="11" t="s">
        <v>1328</v>
      </c>
      <c r="C110" s="11" t="s">
        <v>4505</v>
      </c>
      <c r="D110" s="11" t="s">
        <v>4506</v>
      </c>
      <c r="E110" s="11" t="s">
        <v>1329</v>
      </c>
      <c r="F110" s="11" t="s">
        <v>4507</v>
      </c>
      <c r="G110" s="11"/>
      <c r="H110" s="11" t="s">
        <v>1329</v>
      </c>
      <c r="I110" s="12" t="s">
        <v>9</v>
      </c>
    </row>
    <row r="111" customFormat="false" ht="62" hidden="false" customHeight="true" outlineLevel="0" collapsed="false">
      <c r="A111" s="11" t="s">
        <v>1332</v>
      </c>
      <c r="B111" s="11"/>
      <c r="C111" s="11" t="s">
        <v>4505</v>
      </c>
      <c r="D111" s="11" t="s">
        <v>4506</v>
      </c>
      <c r="E111" s="11" t="s">
        <v>1332</v>
      </c>
      <c r="F111" s="11" t="s">
        <v>4507</v>
      </c>
      <c r="G111" s="11"/>
      <c r="H111" s="11" t="s">
        <v>1332</v>
      </c>
      <c r="I111" s="12" t="s">
        <v>9</v>
      </c>
    </row>
    <row r="112" customFormat="false" ht="62" hidden="false" customHeight="true" outlineLevel="0" collapsed="false">
      <c r="A112" s="11" t="s">
        <v>1335</v>
      </c>
      <c r="B112" s="11"/>
      <c r="C112" s="11" t="s">
        <v>4505</v>
      </c>
      <c r="D112" s="11" t="s">
        <v>4506</v>
      </c>
      <c r="E112" s="11" t="s">
        <v>1335</v>
      </c>
      <c r="F112" s="11" t="s">
        <v>4507</v>
      </c>
      <c r="G112" s="11"/>
      <c r="H112" s="11" t="s">
        <v>1335</v>
      </c>
      <c r="I112" s="12" t="s">
        <v>9</v>
      </c>
    </row>
    <row r="113" customFormat="false" ht="62" hidden="false" customHeight="true" outlineLevel="0" collapsed="false">
      <c r="A113" s="11" t="s">
        <v>1338</v>
      </c>
      <c r="B113" s="11"/>
      <c r="C113" s="11" t="s">
        <v>4505</v>
      </c>
      <c r="D113" s="11" t="s">
        <v>4506</v>
      </c>
      <c r="E113" s="11" t="s">
        <v>1338</v>
      </c>
      <c r="F113" s="11" t="s">
        <v>4507</v>
      </c>
      <c r="G113" s="11"/>
      <c r="H113" s="11" t="s">
        <v>1338</v>
      </c>
      <c r="I113" s="12" t="s">
        <v>9</v>
      </c>
    </row>
    <row r="114" customFormat="false" ht="62" hidden="false" customHeight="true" outlineLevel="0" collapsed="false">
      <c r="A114" s="11" t="s">
        <v>1341</v>
      </c>
      <c r="B114" s="11" t="s">
        <v>1344</v>
      </c>
      <c r="C114" s="11" t="s">
        <v>4505</v>
      </c>
      <c r="D114" s="11" t="s">
        <v>4506</v>
      </c>
      <c r="E114" s="11" t="s">
        <v>1341</v>
      </c>
      <c r="F114" s="11" t="s">
        <v>4507</v>
      </c>
      <c r="G114" s="11"/>
      <c r="H114" s="11" t="s">
        <v>1343</v>
      </c>
      <c r="I114" s="12" t="s">
        <v>9</v>
      </c>
    </row>
    <row r="115" customFormat="false" ht="62" hidden="false" customHeight="true" outlineLevel="0" collapsed="false">
      <c r="A115" s="11" t="s">
        <v>1345</v>
      </c>
      <c r="B115" s="11" t="s">
        <v>1348</v>
      </c>
      <c r="C115" s="11" t="s">
        <v>4505</v>
      </c>
      <c r="D115" s="11" t="s">
        <v>4506</v>
      </c>
      <c r="E115" s="11" t="s">
        <v>1345</v>
      </c>
      <c r="F115" s="11" t="s">
        <v>4507</v>
      </c>
      <c r="G115" s="11"/>
      <c r="H115" s="11" t="s">
        <v>1345</v>
      </c>
      <c r="I115" s="12" t="s">
        <v>9</v>
      </c>
    </row>
    <row r="116" customFormat="false" ht="62" hidden="false" customHeight="true" outlineLevel="0" collapsed="false">
      <c r="A116" s="11" t="s">
        <v>1349</v>
      </c>
      <c r="B116" s="11" t="s">
        <v>1352</v>
      </c>
      <c r="C116" s="11" t="s">
        <v>4505</v>
      </c>
      <c r="D116" s="11" t="s">
        <v>4506</v>
      </c>
      <c r="E116" s="11" t="s">
        <v>1349</v>
      </c>
      <c r="F116" s="11" t="s">
        <v>4507</v>
      </c>
      <c r="G116" s="11"/>
      <c r="H116" s="11" t="s">
        <v>1349</v>
      </c>
      <c r="I116" s="12" t="s">
        <v>9</v>
      </c>
    </row>
    <row r="117" customFormat="false" ht="62" hidden="false" customHeight="true" outlineLevel="0" collapsed="false">
      <c r="A117" s="11" t="s">
        <v>1353</v>
      </c>
      <c r="B117" s="11"/>
      <c r="C117" s="11" t="s">
        <v>4505</v>
      </c>
      <c r="D117" s="11" t="s">
        <v>4506</v>
      </c>
      <c r="E117" s="11" t="s">
        <v>1353</v>
      </c>
      <c r="F117" s="11" t="s">
        <v>4507</v>
      </c>
      <c r="G117" s="11"/>
      <c r="H117" s="11" t="s">
        <v>1353</v>
      </c>
      <c r="I117" s="12" t="s">
        <v>9</v>
      </c>
    </row>
    <row r="118" customFormat="false" ht="62" hidden="false" customHeight="true" outlineLevel="0" collapsed="false">
      <c r="A118" s="11" t="s">
        <v>1357</v>
      </c>
      <c r="B118" s="11" t="s">
        <v>1361</v>
      </c>
      <c r="C118" s="11" t="s">
        <v>4505</v>
      </c>
      <c r="D118" s="11" t="s">
        <v>4506</v>
      </c>
      <c r="E118" s="11" t="s">
        <v>1357</v>
      </c>
      <c r="F118" s="11" t="s">
        <v>4507</v>
      </c>
      <c r="G118" s="11"/>
      <c r="H118" s="11" t="s">
        <v>1357</v>
      </c>
      <c r="I118" s="12" t="s">
        <v>9</v>
      </c>
    </row>
    <row r="119" customFormat="false" ht="62" hidden="false" customHeight="true" outlineLevel="0" collapsed="false">
      <c r="A119" s="11" t="s">
        <v>1362</v>
      </c>
      <c r="B119" s="11"/>
      <c r="C119" s="11" t="s">
        <v>4505</v>
      </c>
      <c r="D119" s="11" t="s">
        <v>4506</v>
      </c>
      <c r="E119" s="11" t="s">
        <v>1362</v>
      </c>
      <c r="F119" s="11" t="s">
        <v>4507</v>
      </c>
      <c r="G119" s="11"/>
      <c r="H119" s="11" t="s">
        <v>1362</v>
      </c>
      <c r="I119" s="12" t="s">
        <v>9</v>
      </c>
    </row>
    <row r="120" customFormat="false" ht="62" hidden="false" customHeight="true" outlineLevel="0" collapsed="false">
      <c r="A120" s="11" t="s">
        <v>1365</v>
      </c>
      <c r="B120" s="11" t="s">
        <v>1361</v>
      </c>
      <c r="C120" s="11" t="s">
        <v>4505</v>
      </c>
      <c r="D120" s="11" t="s">
        <v>4506</v>
      </c>
      <c r="E120" s="11" t="s">
        <v>1365</v>
      </c>
      <c r="F120" s="11" t="s">
        <v>4507</v>
      </c>
      <c r="G120" s="11"/>
      <c r="H120" s="11" t="s">
        <v>1365</v>
      </c>
      <c r="I120" s="12" t="s">
        <v>9</v>
      </c>
    </row>
    <row r="121" customFormat="false" ht="62" hidden="false" customHeight="true" outlineLevel="0" collapsed="false">
      <c r="A121" s="11" t="s">
        <v>1368</v>
      </c>
      <c r="B121" s="11"/>
      <c r="C121" s="11" t="s">
        <v>4508</v>
      </c>
      <c r="D121" s="11" t="s">
        <v>4509</v>
      </c>
      <c r="E121" s="11"/>
      <c r="F121" s="11" t="s">
        <v>4510</v>
      </c>
      <c r="G121" s="11"/>
      <c r="H121" s="11" t="s">
        <v>691</v>
      </c>
      <c r="I121" s="12" t="s">
        <v>9</v>
      </c>
    </row>
    <row r="122" customFormat="false" ht="62" hidden="false" customHeight="true" outlineLevel="0" collapsed="false">
      <c r="A122" s="11" t="s">
        <v>1371</v>
      </c>
      <c r="B122" s="11" t="s">
        <v>1352</v>
      </c>
      <c r="C122" s="11" t="s">
        <v>4505</v>
      </c>
      <c r="D122" s="11" t="s">
        <v>4506</v>
      </c>
      <c r="E122" s="11" t="s">
        <v>1371</v>
      </c>
      <c r="F122" s="11" t="s">
        <v>4507</v>
      </c>
      <c r="G122" s="11"/>
      <c r="H122" s="11" t="s">
        <v>1371</v>
      </c>
      <c r="I122" s="12" t="s">
        <v>9</v>
      </c>
    </row>
    <row r="123" customFormat="false" ht="62" hidden="false" customHeight="true" outlineLevel="0" collapsed="false">
      <c r="A123" s="11" t="s">
        <v>1374</v>
      </c>
      <c r="B123" s="11"/>
      <c r="C123" s="11" t="s">
        <v>4508</v>
      </c>
      <c r="D123" s="11" t="s">
        <v>4509</v>
      </c>
      <c r="E123" s="11"/>
      <c r="F123" s="11" t="s">
        <v>4510</v>
      </c>
      <c r="G123" s="11"/>
      <c r="H123" s="11" t="s">
        <v>691</v>
      </c>
      <c r="I123" s="12" t="s">
        <v>9</v>
      </c>
    </row>
    <row r="124" customFormat="false" ht="62" hidden="false" customHeight="true" outlineLevel="0" collapsed="false">
      <c r="A124" s="11" t="s">
        <v>1378</v>
      </c>
      <c r="B124" s="11"/>
      <c r="C124" s="11" t="s">
        <v>4505</v>
      </c>
      <c r="D124" s="11" t="s">
        <v>4506</v>
      </c>
      <c r="E124" s="11" t="s">
        <v>1378</v>
      </c>
      <c r="F124" s="11" t="s">
        <v>4507</v>
      </c>
      <c r="G124" s="11"/>
      <c r="H124" s="11" t="s">
        <v>1378</v>
      </c>
      <c r="I124" s="12" t="s">
        <v>9</v>
      </c>
    </row>
    <row r="125" customFormat="false" ht="62" hidden="false" customHeight="true" outlineLevel="0" collapsed="false">
      <c r="A125" s="11" t="s">
        <v>1380</v>
      </c>
      <c r="B125" s="11" t="s">
        <v>1383</v>
      </c>
      <c r="C125" s="11" t="s">
        <v>4505</v>
      </c>
      <c r="D125" s="11" t="s">
        <v>4506</v>
      </c>
      <c r="E125" s="11" t="s">
        <v>1380</v>
      </c>
      <c r="F125" s="11" t="s">
        <v>4507</v>
      </c>
      <c r="G125" s="11"/>
      <c r="H125" s="11" t="s">
        <v>1380</v>
      </c>
      <c r="I125" s="12" t="s">
        <v>9</v>
      </c>
    </row>
    <row r="126" customFormat="false" ht="62" hidden="false" customHeight="true" outlineLevel="0" collapsed="false">
      <c r="A126" s="11" t="s">
        <v>1384</v>
      </c>
      <c r="B126" s="11"/>
      <c r="C126" s="11" t="s">
        <v>4505</v>
      </c>
      <c r="D126" s="11" t="s">
        <v>4506</v>
      </c>
      <c r="E126" s="11" t="s">
        <v>1384</v>
      </c>
      <c r="F126" s="11" t="s">
        <v>4507</v>
      </c>
      <c r="G126" s="11"/>
      <c r="H126" s="11" t="s">
        <v>1384</v>
      </c>
      <c r="I126" s="12" t="s">
        <v>9</v>
      </c>
    </row>
    <row r="127" customFormat="false" ht="62" hidden="false" customHeight="true" outlineLevel="0" collapsed="false">
      <c r="A127" s="11" t="s">
        <v>1387</v>
      </c>
      <c r="B127" s="11"/>
      <c r="C127" s="11" t="s">
        <v>4505</v>
      </c>
      <c r="D127" s="11" t="s">
        <v>4506</v>
      </c>
      <c r="E127" s="11" t="s">
        <v>1387</v>
      </c>
      <c r="F127" s="11" t="s">
        <v>4507</v>
      </c>
      <c r="G127" s="11"/>
      <c r="H127" s="11" t="s">
        <v>1387</v>
      </c>
      <c r="I127" s="12" t="s">
        <v>9</v>
      </c>
    </row>
    <row r="128" customFormat="false" ht="62" hidden="false" customHeight="true" outlineLevel="0" collapsed="false">
      <c r="A128" s="11" t="s">
        <v>1390</v>
      </c>
      <c r="B128" s="11"/>
      <c r="C128" s="11" t="s">
        <v>4508</v>
      </c>
      <c r="D128" s="11" t="s">
        <v>4509</v>
      </c>
      <c r="E128" s="11"/>
      <c r="F128" s="11" t="s">
        <v>4510</v>
      </c>
      <c r="G128" s="11"/>
      <c r="H128" s="11" t="s">
        <v>697</v>
      </c>
      <c r="I128" s="12" t="s">
        <v>9</v>
      </c>
    </row>
    <row r="129" customFormat="false" ht="62" hidden="false" customHeight="true" outlineLevel="0" collapsed="false">
      <c r="A129" s="11" t="s">
        <v>1393</v>
      </c>
      <c r="B129" s="11"/>
      <c r="C129" s="11" t="s">
        <v>4505</v>
      </c>
      <c r="D129" s="11" t="s">
        <v>4506</v>
      </c>
      <c r="E129" s="11" t="s">
        <v>1393</v>
      </c>
      <c r="F129" s="11" t="s">
        <v>4507</v>
      </c>
      <c r="G129" s="11"/>
      <c r="H129" s="11" t="s">
        <v>1393</v>
      </c>
      <c r="I129" s="12" t="s">
        <v>9</v>
      </c>
    </row>
    <row r="130" customFormat="false" ht="62" hidden="false" customHeight="true" outlineLevel="0" collapsed="false">
      <c r="A130" s="11" t="s">
        <v>1396</v>
      </c>
      <c r="B130" s="11" t="s">
        <v>1398</v>
      </c>
      <c r="C130" s="11" t="s">
        <v>4505</v>
      </c>
      <c r="D130" s="11" t="s">
        <v>4506</v>
      </c>
      <c r="E130" s="11" t="s">
        <v>1396</v>
      </c>
      <c r="F130" s="11" t="s">
        <v>4507</v>
      </c>
      <c r="G130" s="11"/>
      <c r="H130" s="11" t="s">
        <v>1396</v>
      </c>
      <c r="I130" s="12" t="s">
        <v>9</v>
      </c>
    </row>
    <row r="131" customFormat="false" ht="62" hidden="false" customHeight="true" outlineLevel="0" collapsed="false">
      <c r="A131" s="11" t="s">
        <v>1399</v>
      </c>
      <c r="B131" s="11" t="s">
        <v>1402</v>
      </c>
      <c r="C131" s="11" t="s">
        <v>4505</v>
      </c>
      <c r="D131" s="11" t="s">
        <v>4506</v>
      </c>
      <c r="E131" s="11" t="s">
        <v>1399</v>
      </c>
      <c r="F131" s="11" t="s">
        <v>4507</v>
      </c>
      <c r="G131" s="11"/>
      <c r="H131" s="11" t="s">
        <v>1399</v>
      </c>
      <c r="I131" s="12" t="s">
        <v>9</v>
      </c>
    </row>
    <row r="132" customFormat="false" ht="62" hidden="false" customHeight="true" outlineLevel="0" collapsed="false">
      <c r="A132" s="11" t="s">
        <v>1403</v>
      </c>
      <c r="B132" s="11"/>
      <c r="C132" s="11" t="s">
        <v>4505</v>
      </c>
      <c r="D132" s="11" t="s">
        <v>4506</v>
      </c>
      <c r="E132" s="11" t="s">
        <v>1403</v>
      </c>
      <c r="F132" s="11" t="s">
        <v>4507</v>
      </c>
      <c r="G132" s="11"/>
      <c r="H132" s="11" t="s">
        <v>1403</v>
      </c>
      <c r="I132" s="12" t="s">
        <v>9</v>
      </c>
    </row>
    <row r="133" customFormat="false" ht="62" hidden="false" customHeight="true" outlineLevel="0" collapsed="false">
      <c r="A133" s="11" t="s">
        <v>1405</v>
      </c>
      <c r="B133" s="11" t="s">
        <v>1408</v>
      </c>
      <c r="C133" s="11" t="s">
        <v>4505</v>
      </c>
      <c r="D133" s="11" t="s">
        <v>4506</v>
      </c>
      <c r="E133" s="11" t="s">
        <v>1405</v>
      </c>
      <c r="F133" s="11" t="s">
        <v>4507</v>
      </c>
      <c r="G133" s="11"/>
      <c r="H133" s="11" t="s">
        <v>1405</v>
      </c>
      <c r="I133" s="12" t="s">
        <v>9</v>
      </c>
    </row>
    <row r="134" customFormat="false" ht="62" hidden="false" customHeight="true" outlineLevel="0" collapsed="false">
      <c r="A134" s="11" t="s">
        <v>1409</v>
      </c>
      <c r="B134" s="11" t="s">
        <v>1398</v>
      </c>
      <c r="C134" s="11" t="s">
        <v>4505</v>
      </c>
      <c r="D134" s="11" t="s">
        <v>4506</v>
      </c>
      <c r="E134" s="11" t="s">
        <v>1409</v>
      </c>
      <c r="F134" s="11" t="s">
        <v>4507</v>
      </c>
      <c r="G134" s="11"/>
      <c r="H134" s="11" t="s">
        <v>1409</v>
      </c>
      <c r="I134" s="12" t="s">
        <v>9</v>
      </c>
    </row>
    <row r="135" customFormat="false" ht="62" hidden="false" customHeight="true" outlineLevel="0" collapsed="false">
      <c r="A135" s="11" t="s">
        <v>1412</v>
      </c>
      <c r="B135" s="11" t="s">
        <v>1398</v>
      </c>
      <c r="C135" s="11" t="s">
        <v>4505</v>
      </c>
      <c r="D135" s="11" t="s">
        <v>4506</v>
      </c>
      <c r="E135" s="11" t="s">
        <v>1412</v>
      </c>
      <c r="F135" s="11" t="s">
        <v>4507</v>
      </c>
      <c r="G135" s="11"/>
      <c r="H135" s="11" t="s">
        <v>1412</v>
      </c>
      <c r="I135" s="12" t="s">
        <v>9</v>
      </c>
    </row>
    <row r="136" customFormat="false" ht="62" hidden="false" customHeight="true" outlineLevel="0" collapsed="false">
      <c r="A136" s="11" t="s">
        <v>1415</v>
      </c>
      <c r="B136" s="11" t="s">
        <v>1417</v>
      </c>
      <c r="C136" s="11" t="s">
        <v>4505</v>
      </c>
      <c r="D136" s="11" t="s">
        <v>4506</v>
      </c>
      <c r="E136" s="11" t="s">
        <v>1415</v>
      </c>
      <c r="F136" s="11" t="s">
        <v>4507</v>
      </c>
      <c r="G136" s="11"/>
      <c r="H136" s="11" t="s">
        <v>1415</v>
      </c>
      <c r="I136" s="12" t="s">
        <v>9</v>
      </c>
    </row>
    <row r="137" customFormat="false" ht="62" hidden="false" customHeight="true" outlineLevel="0" collapsed="false">
      <c r="A137" s="11" t="s">
        <v>1418</v>
      </c>
      <c r="B137" s="11" t="s">
        <v>1421</v>
      </c>
      <c r="C137" s="11" t="s">
        <v>4505</v>
      </c>
      <c r="D137" s="11" t="s">
        <v>4506</v>
      </c>
      <c r="E137" s="11" t="s">
        <v>1418</v>
      </c>
      <c r="F137" s="11" t="s">
        <v>4507</v>
      </c>
      <c r="G137" s="11"/>
      <c r="H137" s="11" t="s">
        <v>1418</v>
      </c>
      <c r="I137" s="12" t="s">
        <v>9</v>
      </c>
    </row>
    <row r="138" customFormat="false" ht="62" hidden="false" customHeight="true" outlineLevel="0" collapsed="false">
      <c r="A138" s="11" t="s">
        <v>1422</v>
      </c>
      <c r="B138" s="11" t="s">
        <v>1425</v>
      </c>
      <c r="C138" s="11" t="s">
        <v>4505</v>
      </c>
      <c r="D138" s="11" t="s">
        <v>4506</v>
      </c>
      <c r="E138" s="11" t="s">
        <v>1422</v>
      </c>
      <c r="F138" s="11" t="s">
        <v>4507</v>
      </c>
      <c r="G138" s="11"/>
      <c r="H138" s="11" t="s">
        <v>1422</v>
      </c>
      <c r="I138" s="12" t="s">
        <v>9</v>
      </c>
    </row>
    <row r="139" customFormat="false" ht="62" hidden="false" customHeight="true" outlineLevel="0" collapsed="false">
      <c r="A139" s="11" t="s">
        <v>1426</v>
      </c>
      <c r="B139" s="11" t="s">
        <v>1429</v>
      </c>
      <c r="C139" s="11" t="s">
        <v>4505</v>
      </c>
      <c r="D139" s="11" t="s">
        <v>4506</v>
      </c>
      <c r="E139" s="11" t="s">
        <v>1426</v>
      </c>
      <c r="F139" s="11" t="s">
        <v>4507</v>
      </c>
      <c r="G139" s="11"/>
      <c r="H139" s="11" t="s">
        <v>1426</v>
      </c>
      <c r="I139" s="12" t="s">
        <v>9</v>
      </c>
    </row>
    <row r="140" customFormat="false" ht="62" hidden="false" customHeight="true" outlineLevel="0" collapsed="false">
      <c r="A140" s="11" t="s">
        <v>1430</v>
      </c>
      <c r="B140" s="11" t="s">
        <v>1433</v>
      </c>
      <c r="C140" s="11" t="s">
        <v>4505</v>
      </c>
      <c r="D140" s="11" t="s">
        <v>4506</v>
      </c>
      <c r="E140" s="11" t="s">
        <v>1430</v>
      </c>
      <c r="F140" s="11" t="s">
        <v>4507</v>
      </c>
      <c r="G140" s="11"/>
      <c r="H140" s="11" t="s">
        <v>1430</v>
      </c>
      <c r="I140" s="12" t="s">
        <v>9</v>
      </c>
    </row>
    <row r="141" customFormat="false" ht="62" hidden="false" customHeight="true" outlineLevel="0" collapsed="false">
      <c r="A141" s="11" t="s">
        <v>1434</v>
      </c>
      <c r="B141" s="11" t="s">
        <v>1437</v>
      </c>
      <c r="C141" s="11" t="s">
        <v>4505</v>
      </c>
      <c r="D141" s="11" t="s">
        <v>4506</v>
      </c>
      <c r="E141" s="11" t="s">
        <v>1434</v>
      </c>
      <c r="F141" s="11" t="s">
        <v>4507</v>
      </c>
      <c r="G141" s="11"/>
      <c r="H141" s="11" t="s">
        <v>1434</v>
      </c>
      <c r="I141" s="12" t="s">
        <v>9</v>
      </c>
    </row>
    <row r="142" customFormat="false" ht="62" hidden="false" customHeight="true" outlineLevel="0" collapsed="false">
      <c r="A142" s="11" t="s">
        <v>1438</v>
      </c>
      <c r="B142" s="11" t="s">
        <v>1441</v>
      </c>
      <c r="C142" s="11" t="s">
        <v>4505</v>
      </c>
      <c r="D142" s="11" t="s">
        <v>4506</v>
      </c>
      <c r="E142" s="11" t="s">
        <v>1438</v>
      </c>
      <c r="F142" s="11" t="s">
        <v>4507</v>
      </c>
      <c r="G142" s="11"/>
      <c r="H142" s="11" t="s">
        <v>1440</v>
      </c>
      <c r="I142" s="12" t="s">
        <v>9</v>
      </c>
    </row>
    <row r="143" customFormat="false" ht="62" hidden="false" customHeight="true" outlineLevel="0" collapsed="false">
      <c r="A143" s="11" t="s">
        <v>1442</v>
      </c>
      <c r="B143" s="11"/>
      <c r="C143" s="11" t="s">
        <v>4505</v>
      </c>
      <c r="D143" s="11" t="s">
        <v>4506</v>
      </c>
      <c r="E143" s="11" t="s">
        <v>1442</v>
      </c>
      <c r="F143" s="11" t="s">
        <v>4507</v>
      </c>
      <c r="G143" s="11"/>
      <c r="H143" s="11" t="s">
        <v>1445</v>
      </c>
      <c r="I143" s="12" t="s">
        <v>9</v>
      </c>
    </row>
    <row r="144" customFormat="false" ht="62" hidden="false" customHeight="true" outlineLevel="0" collapsed="false">
      <c r="A144" s="11" t="s">
        <v>1446</v>
      </c>
      <c r="B144" s="11" t="s">
        <v>1450</v>
      </c>
      <c r="C144" s="11" t="s">
        <v>4505</v>
      </c>
      <c r="D144" s="11" t="s">
        <v>4506</v>
      </c>
      <c r="E144" s="11" t="s">
        <v>1446</v>
      </c>
      <c r="F144" s="11" t="s">
        <v>4507</v>
      </c>
      <c r="G144" s="11"/>
      <c r="H144" s="11" t="s">
        <v>1446</v>
      </c>
      <c r="I144" s="12" t="s">
        <v>9</v>
      </c>
    </row>
    <row r="145" customFormat="false" ht="62" hidden="false" customHeight="true" outlineLevel="0" collapsed="false">
      <c r="A145" s="11" t="s">
        <v>1451</v>
      </c>
      <c r="B145" s="11"/>
      <c r="C145" s="11" t="s">
        <v>4505</v>
      </c>
      <c r="D145" s="11" t="s">
        <v>4506</v>
      </c>
      <c r="E145" s="11" t="s">
        <v>1451</v>
      </c>
      <c r="F145" s="11" t="s">
        <v>4507</v>
      </c>
      <c r="G145" s="11"/>
      <c r="H145" s="11" t="s">
        <v>1451</v>
      </c>
      <c r="I145" s="12" t="s">
        <v>9</v>
      </c>
    </row>
    <row r="146" customFormat="false" ht="62" hidden="false" customHeight="true" outlineLevel="0" collapsed="false">
      <c r="A146" s="11" t="s">
        <v>1455</v>
      </c>
      <c r="B146" s="11"/>
      <c r="C146" s="11" t="s">
        <v>4505</v>
      </c>
      <c r="D146" s="11" t="s">
        <v>4506</v>
      </c>
      <c r="E146" s="11" t="s">
        <v>1455</v>
      </c>
      <c r="F146" s="11" t="s">
        <v>4507</v>
      </c>
      <c r="G146" s="11"/>
      <c r="H146" s="11" t="s">
        <v>1455</v>
      </c>
      <c r="I146" s="12" t="s">
        <v>9</v>
      </c>
    </row>
    <row r="147" customFormat="false" ht="62" hidden="false" customHeight="true" outlineLevel="0" collapsed="false">
      <c r="A147" s="11" t="s">
        <v>1458</v>
      </c>
      <c r="B147" s="11"/>
      <c r="C147" s="11" t="s">
        <v>4505</v>
      </c>
      <c r="D147" s="11" t="s">
        <v>4506</v>
      </c>
      <c r="E147" s="11" t="s">
        <v>1458</v>
      </c>
      <c r="F147" s="11" t="s">
        <v>4507</v>
      </c>
      <c r="G147" s="11"/>
      <c r="H147" s="11" t="s">
        <v>1458</v>
      </c>
      <c r="I147" s="12" t="s">
        <v>9</v>
      </c>
    </row>
    <row r="148" customFormat="false" ht="62" hidden="false" customHeight="true" outlineLevel="0" collapsed="false">
      <c r="A148" s="11" t="s">
        <v>1461</v>
      </c>
      <c r="B148" s="11" t="s">
        <v>1465</v>
      </c>
      <c r="C148" s="11" t="s">
        <v>4505</v>
      </c>
      <c r="D148" s="11" t="s">
        <v>4506</v>
      </c>
      <c r="E148" s="11" t="s">
        <v>1461</v>
      </c>
      <c r="F148" s="11" t="s">
        <v>4507</v>
      </c>
      <c r="G148" s="11"/>
      <c r="H148" s="11" t="s">
        <v>1464</v>
      </c>
      <c r="I148" s="12" t="s">
        <v>9</v>
      </c>
    </row>
    <row r="149" customFormat="false" ht="62" hidden="false" customHeight="true" outlineLevel="0" collapsed="false">
      <c r="A149" s="11" t="s">
        <v>1466</v>
      </c>
      <c r="B149" s="11"/>
      <c r="C149" s="11" t="s">
        <v>4505</v>
      </c>
      <c r="D149" s="11" t="s">
        <v>4506</v>
      </c>
      <c r="E149" s="11" t="s">
        <v>1466</v>
      </c>
      <c r="F149" s="11" t="s">
        <v>4507</v>
      </c>
      <c r="G149" s="11"/>
      <c r="H149" s="11" t="s">
        <v>1466</v>
      </c>
      <c r="I149" s="12" t="s">
        <v>9</v>
      </c>
    </row>
    <row r="150" customFormat="false" ht="62" hidden="false" customHeight="true" outlineLevel="0" collapsed="false">
      <c r="A150" s="11" t="s">
        <v>1469</v>
      </c>
      <c r="B150" s="11"/>
      <c r="C150" s="11" t="s">
        <v>4505</v>
      </c>
      <c r="D150" s="11" t="s">
        <v>4506</v>
      </c>
      <c r="E150" s="11" t="s">
        <v>1469</v>
      </c>
      <c r="F150" s="11" t="s">
        <v>4507</v>
      </c>
      <c r="G150" s="11"/>
      <c r="H150" s="11" t="s">
        <v>1469</v>
      </c>
      <c r="I150" s="12" t="s">
        <v>9</v>
      </c>
    </row>
    <row r="151" customFormat="false" ht="62" hidden="false" customHeight="true" outlineLevel="0" collapsed="false">
      <c r="A151" s="11" t="s">
        <v>1472</v>
      </c>
      <c r="B151" s="11" t="s">
        <v>1465</v>
      </c>
      <c r="C151" s="11" t="s">
        <v>4505</v>
      </c>
      <c r="D151" s="11" t="s">
        <v>4506</v>
      </c>
      <c r="E151" s="11" t="s">
        <v>1472</v>
      </c>
      <c r="F151" s="11" t="s">
        <v>4507</v>
      </c>
      <c r="G151" s="11"/>
      <c r="H151" s="11" t="s">
        <v>1475</v>
      </c>
      <c r="I151" s="12" t="s">
        <v>9</v>
      </c>
    </row>
    <row r="152" customFormat="false" ht="62" hidden="false" customHeight="true" outlineLevel="0" collapsed="false">
      <c r="A152" s="11" t="s">
        <v>1476</v>
      </c>
      <c r="B152" s="11" t="s">
        <v>1479</v>
      </c>
      <c r="C152" s="11" t="s">
        <v>4505</v>
      </c>
      <c r="D152" s="11" t="s">
        <v>4506</v>
      </c>
      <c r="E152" s="11" t="s">
        <v>1476</v>
      </c>
      <c r="F152" s="11" t="s">
        <v>4507</v>
      </c>
      <c r="G152" s="11"/>
      <c r="H152" s="11" t="s">
        <v>1476</v>
      </c>
      <c r="I152" s="12" t="s">
        <v>9</v>
      </c>
    </row>
    <row r="153" customFormat="false" ht="62" hidden="false" customHeight="true" outlineLevel="0" collapsed="false">
      <c r="A153" s="11" t="s">
        <v>1480</v>
      </c>
      <c r="B153" s="11"/>
      <c r="C153" s="11" t="s">
        <v>4505</v>
      </c>
      <c r="D153" s="11" t="s">
        <v>4506</v>
      </c>
      <c r="E153" s="11" t="s">
        <v>1480</v>
      </c>
      <c r="F153" s="11" t="s">
        <v>4507</v>
      </c>
      <c r="G153" s="11"/>
      <c r="H153" s="11" t="s">
        <v>1480</v>
      </c>
      <c r="I153" s="12" t="s">
        <v>9</v>
      </c>
    </row>
    <row r="154" customFormat="false" ht="62" hidden="false" customHeight="true" outlineLevel="0" collapsed="false">
      <c r="A154" s="11" t="s">
        <v>1483</v>
      </c>
      <c r="B154" s="11" t="s">
        <v>1486</v>
      </c>
      <c r="C154" s="11" t="s">
        <v>4505</v>
      </c>
      <c r="D154" s="11" t="s">
        <v>4506</v>
      </c>
      <c r="E154" s="11" t="s">
        <v>1483</v>
      </c>
      <c r="F154" s="11" t="s">
        <v>4507</v>
      </c>
      <c r="G154" s="11"/>
      <c r="H154" s="11" t="s">
        <v>1483</v>
      </c>
      <c r="I154" s="12" t="s">
        <v>9</v>
      </c>
    </row>
    <row r="155" customFormat="false" ht="62" hidden="false" customHeight="true" outlineLevel="0" collapsed="false">
      <c r="A155" s="11" t="s">
        <v>1487</v>
      </c>
      <c r="B155" s="11" t="s">
        <v>1492</v>
      </c>
      <c r="C155" s="11" t="s">
        <v>4505</v>
      </c>
      <c r="D155" s="11" t="s">
        <v>4506</v>
      </c>
      <c r="E155" s="11" t="s">
        <v>1487</v>
      </c>
      <c r="F155" s="11" t="s">
        <v>4507</v>
      </c>
      <c r="G155" s="11"/>
      <c r="H155" s="11" t="s">
        <v>1491</v>
      </c>
      <c r="I155" s="12" t="s">
        <v>9</v>
      </c>
    </row>
    <row r="156" customFormat="false" ht="62" hidden="false" customHeight="true" outlineLevel="0" collapsed="false">
      <c r="A156" s="11" t="s">
        <v>1493</v>
      </c>
      <c r="B156" s="11" t="s">
        <v>1495</v>
      </c>
      <c r="C156" s="11" t="s">
        <v>4505</v>
      </c>
      <c r="D156" s="11" t="s">
        <v>4506</v>
      </c>
      <c r="E156" s="11" t="s">
        <v>1493</v>
      </c>
      <c r="F156" s="11" t="s">
        <v>4507</v>
      </c>
      <c r="G156" s="11"/>
      <c r="H156" s="11" t="s">
        <v>1493</v>
      </c>
      <c r="I156" s="12" t="s">
        <v>9</v>
      </c>
    </row>
    <row r="157" customFormat="false" ht="62" hidden="false" customHeight="true" outlineLevel="0" collapsed="false">
      <c r="A157" s="11" t="s">
        <v>1496</v>
      </c>
      <c r="B157" s="11"/>
      <c r="C157" s="11" t="s">
        <v>4505</v>
      </c>
      <c r="D157" s="11" t="s">
        <v>4506</v>
      </c>
      <c r="E157" s="11" t="s">
        <v>1496</v>
      </c>
      <c r="F157" s="11" t="s">
        <v>4507</v>
      </c>
      <c r="G157" s="11"/>
      <c r="H157" s="11" t="s">
        <v>1496</v>
      </c>
      <c r="I157" s="12" t="s">
        <v>9</v>
      </c>
    </row>
    <row r="158" customFormat="false" ht="62" hidden="false" customHeight="true" outlineLevel="0" collapsed="false">
      <c r="A158" s="11" t="s">
        <v>1500</v>
      </c>
      <c r="B158" s="11"/>
      <c r="C158" s="11" t="s">
        <v>4508</v>
      </c>
      <c r="D158" s="11" t="s">
        <v>4509</v>
      </c>
      <c r="E158" s="11"/>
      <c r="F158" s="11" t="s">
        <v>4510</v>
      </c>
      <c r="G158" s="11"/>
      <c r="H158" s="11" t="s">
        <v>1504</v>
      </c>
      <c r="I158" s="12" t="s">
        <v>9</v>
      </c>
    </row>
    <row r="159" customFormat="false" ht="62" hidden="false" customHeight="true" outlineLevel="0" collapsed="false">
      <c r="A159" s="11" t="s">
        <v>1505</v>
      </c>
      <c r="B159" s="11" t="s">
        <v>1510</v>
      </c>
      <c r="C159" s="11" t="s">
        <v>4505</v>
      </c>
      <c r="D159" s="11" t="s">
        <v>4506</v>
      </c>
      <c r="E159" s="11" t="s">
        <v>1505</v>
      </c>
      <c r="F159" s="11" t="s">
        <v>4507</v>
      </c>
      <c r="G159" s="11"/>
      <c r="H159" s="11" t="s">
        <v>1509</v>
      </c>
      <c r="I159" s="12" t="s">
        <v>9</v>
      </c>
    </row>
    <row r="160" customFormat="false" ht="62" hidden="false" customHeight="true" outlineLevel="0" collapsed="false">
      <c r="A160" s="11" t="s">
        <v>1511</v>
      </c>
      <c r="B160" s="11" t="s">
        <v>1514</v>
      </c>
      <c r="C160" s="11" t="s">
        <v>4505</v>
      </c>
      <c r="D160" s="11" t="s">
        <v>4506</v>
      </c>
      <c r="E160" s="11" t="s">
        <v>1511</v>
      </c>
      <c r="F160" s="11" t="s">
        <v>4507</v>
      </c>
      <c r="G160" s="11"/>
      <c r="H160" s="11" t="s">
        <v>1511</v>
      </c>
      <c r="I160" s="12" t="s">
        <v>9</v>
      </c>
    </row>
    <row r="161" customFormat="false" ht="62" hidden="false" customHeight="true" outlineLevel="0" collapsed="false">
      <c r="A161" s="11" t="s">
        <v>1515</v>
      </c>
      <c r="B161" s="11" t="s">
        <v>1514</v>
      </c>
      <c r="C161" s="11" t="s">
        <v>4505</v>
      </c>
      <c r="D161" s="11" t="s">
        <v>4506</v>
      </c>
      <c r="E161" s="11" t="s">
        <v>1515</v>
      </c>
      <c r="F161" s="11" t="s">
        <v>4507</v>
      </c>
      <c r="G161" s="11"/>
      <c r="H161" s="11" t="s">
        <v>1515</v>
      </c>
      <c r="I161" s="12" t="s">
        <v>9</v>
      </c>
    </row>
    <row r="162" customFormat="false" ht="62" hidden="false" customHeight="true" outlineLevel="0" collapsed="false">
      <c r="A162" s="11" t="s">
        <v>1518</v>
      </c>
      <c r="B162" s="11" t="s">
        <v>1522</v>
      </c>
      <c r="C162" s="11" t="s">
        <v>4505</v>
      </c>
      <c r="D162" s="11" t="s">
        <v>4506</v>
      </c>
      <c r="E162" s="11" t="s">
        <v>1518</v>
      </c>
      <c r="F162" s="11" t="s">
        <v>4507</v>
      </c>
      <c r="G162" s="11"/>
      <c r="H162" s="11" t="s">
        <v>1521</v>
      </c>
      <c r="I162" s="12" t="s">
        <v>9</v>
      </c>
    </row>
    <row r="163" customFormat="false" ht="62" hidden="false" customHeight="true" outlineLevel="0" collapsed="false">
      <c r="A163" s="11" t="s">
        <v>1523</v>
      </c>
      <c r="B163" s="11"/>
      <c r="C163" s="11" t="s">
        <v>4508</v>
      </c>
      <c r="D163" s="11" t="s">
        <v>4509</v>
      </c>
      <c r="E163" s="11"/>
      <c r="F163" s="11" t="s">
        <v>4510</v>
      </c>
      <c r="G163" s="11"/>
      <c r="H163" s="11" t="s">
        <v>1504</v>
      </c>
      <c r="I163" s="12" t="s">
        <v>9</v>
      </c>
    </row>
    <row r="164" customFormat="false" ht="62" hidden="false" customHeight="true" outlineLevel="0" collapsed="false">
      <c r="A164" s="11" t="s">
        <v>1526</v>
      </c>
      <c r="B164" s="11" t="s">
        <v>1529</v>
      </c>
      <c r="C164" s="11" t="s">
        <v>4508</v>
      </c>
      <c r="D164" s="11" t="s">
        <v>4509</v>
      </c>
      <c r="E164" s="11"/>
      <c r="F164" s="11" t="s">
        <v>4510</v>
      </c>
      <c r="G164" s="11"/>
      <c r="H164" s="11" t="s">
        <v>1526</v>
      </c>
      <c r="I164" s="12" t="s">
        <v>9</v>
      </c>
    </row>
    <row r="165" customFormat="false" ht="62" hidden="false" customHeight="true" outlineLevel="0" collapsed="false">
      <c r="A165" s="11" t="s">
        <v>1530</v>
      </c>
      <c r="B165" s="11" t="s">
        <v>1533</v>
      </c>
      <c r="C165" s="11" t="s">
        <v>4505</v>
      </c>
      <c r="D165" s="11" t="s">
        <v>4506</v>
      </c>
      <c r="E165" s="11" t="s">
        <v>1530</v>
      </c>
      <c r="F165" s="11" t="s">
        <v>4507</v>
      </c>
      <c r="G165" s="11"/>
      <c r="H165" s="11" t="s">
        <v>1530</v>
      </c>
      <c r="I165" s="12" t="s">
        <v>9</v>
      </c>
    </row>
    <row r="166" customFormat="false" ht="62" hidden="false" customHeight="true" outlineLevel="0" collapsed="false">
      <c r="A166" s="11" t="s">
        <v>1534</v>
      </c>
      <c r="B166" s="11"/>
      <c r="C166" s="11" t="s">
        <v>4508</v>
      </c>
      <c r="D166" s="11" t="s">
        <v>4509</v>
      </c>
      <c r="E166" s="11"/>
      <c r="F166" s="11" t="s">
        <v>4510</v>
      </c>
      <c r="G166" s="11"/>
      <c r="H166" s="11" t="s">
        <v>1504</v>
      </c>
      <c r="I166" s="12" t="s">
        <v>9</v>
      </c>
    </row>
    <row r="167" customFormat="false" ht="62" hidden="false" customHeight="true" outlineLevel="0" collapsed="false">
      <c r="A167" s="11" t="s">
        <v>1537</v>
      </c>
      <c r="B167" s="11" t="s">
        <v>1540</v>
      </c>
      <c r="C167" s="11" t="s">
        <v>4508</v>
      </c>
      <c r="D167" s="11" t="s">
        <v>4509</v>
      </c>
      <c r="E167" s="11"/>
      <c r="F167" s="11" t="s">
        <v>4510</v>
      </c>
      <c r="G167" s="11"/>
      <c r="H167" s="11" t="s">
        <v>1537</v>
      </c>
      <c r="I167" s="12" t="s">
        <v>9</v>
      </c>
    </row>
    <row r="168" customFormat="false" ht="62" hidden="false" customHeight="true" outlineLevel="0" collapsed="false">
      <c r="A168" s="11" t="s">
        <v>1541</v>
      </c>
      <c r="B168" s="11" t="s">
        <v>1544</v>
      </c>
      <c r="C168" s="11" t="s">
        <v>4505</v>
      </c>
      <c r="D168" s="11" t="s">
        <v>4506</v>
      </c>
      <c r="E168" s="11" t="s">
        <v>1541</v>
      </c>
      <c r="F168" s="11" t="s">
        <v>4507</v>
      </c>
      <c r="G168" s="11"/>
      <c r="H168" s="11" t="s">
        <v>1541</v>
      </c>
      <c r="I168" s="12" t="s">
        <v>9</v>
      </c>
    </row>
    <row r="169" customFormat="false" ht="62" hidden="false" customHeight="true" outlineLevel="0" collapsed="false">
      <c r="A169" s="11" t="s">
        <v>1545</v>
      </c>
      <c r="B169" s="11" t="s">
        <v>1549</v>
      </c>
      <c r="C169" s="11" t="s">
        <v>4505</v>
      </c>
      <c r="D169" s="11" t="s">
        <v>4506</v>
      </c>
      <c r="E169" s="11" t="s">
        <v>1545</v>
      </c>
      <c r="F169" s="11" t="s">
        <v>4507</v>
      </c>
      <c r="G169" s="11"/>
      <c r="H169" s="11" t="s">
        <v>1545</v>
      </c>
      <c r="I169" s="12" t="s">
        <v>9</v>
      </c>
    </row>
    <row r="170" customFormat="false" ht="62" hidden="false" customHeight="true" outlineLevel="0" collapsed="false">
      <c r="A170" s="11" t="s">
        <v>1550</v>
      </c>
      <c r="B170" s="11" t="s">
        <v>1553</v>
      </c>
      <c r="C170" s="11" t="s">
        <v>4505</v>
      </c>
      <c r="D170" s="11" t="s">
        <v>4506</v>
      </c>
      <c r="E170" s="11" t="s">
        <v>1550</v>
      </c>
      <c r="F170" s="11" t="s">
        <v>4507</v>
      </c>
      <c r="G170" s="11"/>
      <c r="H170" s="11" t="s">
        <v>1552</v>
      </c>
      <c r="I170" s="12" t="s">
        <v>9</v>
      </c>
    </row>
    <row r="171" customFormat="false" ht="62" hidden="false" customHeight="true" outlineLevel="0" collapsed="false">
      <c r="A171" s="11" t="s">
        <v>1554</v>
      </c>
      <c r="B171" s="11" t="s">
        <v>1558</v>
      </c>
      <c r="C171" s="11" t="s">
        <v>4505</v>
      </c>
      <c r="D171" s="11" t="s">
        <v>4506</v>
      </c>
      <c r="E171" s="11" t="s">
        <v>1554</v>
      </c>
      <c r="F171" s="11" t="s">
        <v>4507</v>
      </c>
      <c r="G171" s="11"/>
      <c r="H171" s="11" t="s">
        <v>1554</v>
      </c>
      <c r="I171" s="12" t="s">
        <v>9</v>
      </c>
    </row>
    <row r="172" customFormat="false" ht="62" hidden="false" customHeight="true" outlineLevel="0" collapsed="false">
      <c r="A172" s="11" t="s">
        <v>1559</v>
      </c>
      <c r="B172" s="11"/>
      <c r="C172" s="11" t="s">
        <v>4505</v>
      </c>
      <c r="D172" s="11" t="s">
        <v>4506</v>
      </c>
      <c r="E172" s="11" t="s">
        <v>1559</v>
      </c>
      <c r="F172" s="11" t="s">
        <v>4507</v>
      </c>
      <c r="G172" s="11"/>
      <c r="H172" s="11" t="s">
        <v>1559</v>
      </c>
      <c r="I172" s="12" t="s">
        <v>9</v>
      </c>
    </row>
    <row r="173" customFormat="false" ht="62" hidden="false" customHeight="true" outlineLevel="0" collapsed="false">
      <c r="A173" s="11" t="s">
        <v>1563</v>
      </c>
      <c r="B173" s="11" t="s">
        <v>1567</v>
      </c>
      <c r="C173" s="11" t="s">
        <v>4505</v>
      </c>
      <c r="D173" s="11" t="s">
        <v>4506</v>
      </c>
      <c r="E173" s="11" t="s">
        <v>1563</v>
      </c>
      <c r="F173" s="11" t="s">
        <v>4507</v>
      </c>
      <c r="G173" s="11"/>
      <c r="H173" s="11" t="s">
        <v>1563</v>
      </c>
      <c r="I173" s="12" t="s">
        <v>9</v>
      </c>
    </row>
    <row r="174" customFormat="false" ht="62" hidden="false" customHeight="true" outlineLevel="0" collapsed="false">
      <c r="A174" s="11" t="s">
        <v>1568</v>
      </c>
      <c r="B174" s="11" t="s">
        <v>1571</v>
      </c>
      <c r="C174" s="11" t="s">
        <v>4505</v>
      </c>
      <c r="D174" s="11" t="s">
        <v>4506</v>
      </c>
      <c r="E174" s="11" t="s">
        <v>1568</v>
      </c>
      <c r="F174" s="11" t="s">
        <v>4507</v>
      </c>
      <c r="G174" s="11"/>
      <c r="H174" s="11" t="s">
        <v>1568</v>
      </c>
      <c r="I174" s="12" t="s">
        <v>9</v>
      </c>
    </row>
    <row r="175" customFormat="false" ht="62" hidden="false" customHeight="true" outlineLevel="0" collapsed="false">
      <c r="A175" s="11" t="s">
        <v>1572</v>
      </c>
      <c r="B175" s="11"/>
      <c r="C175" s="11" t="s">
        <v>4505</v>
      </c>
      <c r="D175" s="11" t="s">
        <v>4506</v>
      </c>
      <c r="E175" s="11" t="s">
        <v>1572</v>
      </c>
      <c r="F175" s="11" t="s">
        <v>4507</v>
      </c>
      <c r="G175" s="11"/>
      <c r="H175" s="11" t="s">
        <v>1572</v>
      </c>
      <c r="I175" s="12" t="s">
        <v>9</v>
      </c>
    </row>
    <row r="176" customFormat="false" ht="62" hidden="false" customHeight="true" outlineLevel="0" collapsed="false">
      <c r="A176" s="11" t="s">
        <v>1575</v>
      </c>
      <c r="B176" s="11"/>
      <c r="C176" s="11" t="s">
        <v>4505</v>
      </c>
      <c r="D176" s="11" t="s">
        <v>4506</v>
      </c>
      <c r="E176" s="11" t="s">
        <v>1575</v>
      </c>
      <c r="F176" s="11" t="s">
        <v>4507</v>
      </c>
      <c r="G176" s="11"/>
      <c r="H176" s="11" t="s">
        <v>1575</v>
      </c>
      <c r="I176" s="12" t="s">
        <v>9</v>
      </c>
    </row>
    <row r="177" customFormat="false" ht="62" hidden="false" customHeight="true" outlineLevel="0" collapsed="false">
      <c r="A177" s="11" t="s">
        <v>1578</v>
      </c>
      <c r="B177" s="11"/>
      <c r="C177" s="11" t="s">
        <v>4505</v>
      </c>
      <c r="D177" s="11" t="s">
        <v>4506</v>
      </c>
      <c r="E177" s="11" t="s">
        <v>1578</v>
      </c>
      <c r="F177" s="11" t="s">
        <v>4507</v>
      </c>
      <c r="G177" s="11"/>
      <c r="H177" s="11" t="s">
        <v>1578</v>
      </c>
      <c r="I177" s="12" t="s">
        <v>9</v>
      </c>
    </row>
    <row r="178" customFormat="false" ht="62" hidden="false" customHeight="true" outlineLevel="0" collapsed="false">
      <c r="A178" s="11" t="s">
        <v>1581</v>
      </c>
      <c r="B178" s="11" t="s">
        <v>1584</v>
      </c>
      <c r="C178" s="11" t="s">
        <v>4505</v>
      </c>
      <c r="D178" s="11" t="s">
        <v>4506</v>
      </c>
      <c r="E178" s="11" t="s">
        <v>1581</v>
      </c>
      <c r="F178" s="11" t="s">
        <v>4507</v>
      </c>
      <c r="G178" s="11"/>
      <c r="H178" s="11" t="s">
        <v>1581</v>
      </c>
      <c r="I178" s="12" t="s">
        <v>9</v>
      </c>
    </row>
    <row r="179" customFormat="false" ht="62" hidden="false" customHeight="true" outlineLevel="0" collapsed="false">
      <c r="A179" s="11" t="s">
        <v>1585</v>
      </c>
      <c r="B179" s="11"/>
      <c r="C179" s="11" t="s">
        <v>4508</v>
      </c>
      <c r="D179" s="11" t="s">
        <v>4509</v>
      </c>
      <c r="E179" s="11"/>
      <c r="F179" s="11" t="s">
        <v>4510</v>
      </c>
      <c r="G179" s="11"/>
      <c r="H179" s="11" t="s">
        <v>1588</v>
      </c>
      <c r="I179" s="12" t="s">
        <v>9</v>
      </c>
    </row>
    <row r="180" customFormat="false" ht="62" hidden="false" customHeight="true" outlineLevel="0" collapsed="false">
      <c r="A180" s="11" t="s">
        <v>1589</v>
      </c>
      <c r="B180" s="11"/>
      <c r="C180" s="11" t="s">
        <v>4505</v>
      </c>
      <c r="D180" s="11" t="s">
        <v>4506</v>
      </c>
      <c r="E180" s="11" t="s">
        <v>1589</v>
      </c>
      <c r="F180" s="11" t="s">
        <v>4507</v>
      </c>
      <c r="G180" s="11"/>
      <c r="H180" s="11" t="s">
        <v>1593</v>
      </c>
      <c r="I180" s="12" t="s">
        <v>9</v>
      </c>
    </row>
    <row r="181" customFormat="false" ht="62" hidden="false" customHeight="true" outlineLevel="0" collapsed="false">
      <c r="A181" s="11" t="s">
        <v>1594</v>
      </c>
      <c r="B181" s="11" t="s">
        <v>1600</v>
      </c>
      <c r="C181" s="11" t="s">
        <v>4508</v>
      </c>
      <c r="D181" s="11" t="s">
        <v>4509</v>
      </c>
      <c r="E181" s="11"/>
      <c r="F181" s="11" t="s">
        <v>4510</v>
      </c>
      <c r="G181" s="11"/>
      <c r="H181" s="11" t="s">
        <v>1599</v>
      </c>
      <c r="I181" s="12" t="s">
        <v>9</v>
      </c>
    </row>
    <row r="182" customFormat="false" ht="62" hidden="false" customHeight="true" outlineLevel="0" collapsed="false">
      <c r="A182" s="11" t="s">
        <v>1601</v>
      </c>
      <c r="B182" s="11"/>
      <c r="C182" s="11" t="s">
        <v>4505</v>
      </c>
      <c r="D182" s="11" t="s">
        <v>4506</v>
      </c>
      <c r="E182" s="11" t="s">
        <v>1601</v>
      </c>
      <c r="F182" s="11" t="s">
        <v>4507</v>
      </c>
      <c r="G182" s="11"/>
      <c r="H182" s="11" t="s">
        <v>1605</v>
      </c>
      <c r="I182" s="12" t="s">
        <v>9</v>
      </c>
    </row>
    <row r="183" customFormat="false" ht="62" hidden="false" customHeight="true" outlineLevel="0" collapsed="false">
      <c r="A183" s="11" t="s">
        <v>1606</v>
      </c>
      <c r="B183" s="11" t="s">
        <v>1610</v>
      </c>
      <c r="C183" s="11" t="s">
        <v>4508</v>
      </c>
      <c r="D183" s="11" t="s">
        <v>4509</v>
      </c>
      <c r="E183" s="11"/>
      <c r="F183" s="11" t="s">
        <v>4510</v>
      </c>
      <c r="G183" s="11"/>
      <c r="H183" s="11" t="s">
        <v>1609</v>
      </c>
      <c r="I183" s="12" t="s">
        <v>9</v>
      </c>
    </row>
    <row r="184" customFormat="false" ht="62" hidden="false" customHeight="true" outlineLevel="0" collapsed="false">
      <c r="A184" s="11" t="s">
        <v>1611</v>
      </c>
      <c r="B184" s="11" t="s">
        <v>1615</v>
      </c>
      <c r="C184" s="11" t="s">
        <v>4505</v>
      </c>
      <c r="D184" s="11" t="s">
        <v>4506</v>
      </c>
      <c r="E184" s="11" t="s">
        <v>1611</v>
      </c>
      <c r="F184" s="11" t="s">
        <v>4507</v>
      </c>
      <c r="G184" s="11"/>
      <c r="H184" s="11" t="s">
        <v>1614</v>
      </c>
      <c r="I184" s="12" t="s">
        <v>9</v>
      </c>
    </row>
    <row r="185" customFormat="false" ht="62" hidden="false" customHeight="true" outlineLevel="0" collapsed="false">
      <c r="A185" s="11" t="s">
        <v>1616</v>
      </c>
      <c r="B185" s="11" t="s">
        <v>1620</v>
      </c>
      <c r="C185" s="11" t="s">
        <v>4508</v>
      </c>
      <c r="D185" s="11" t="s">
        <v>4509</v>
      </c>
      <c r="E185" s="11"/>
      <c r="F185" s="11" t="s">
        <v>4510</v>
      </c>
      <c r="G185" s="11"/>
      <c r="H185" s="11" t="s">
        <v>1619</v>
      </c>
      <c r="I185" s="12" t="s">
        <v>9</v>
      </c>
    </row>
    <row r="186" customFormat="false" ht="62" hidden="false" customHeight="true" outlineLevel="0" collapsed="false">
      <c r="A186" s="11" t="s">
        <v>1621</v>
      </c>
      <c r="B186" s="11"/>
      <c r="C186" s="11" t="s">
        <v>4505</v>
      </c>
      <c r="D186" s="11" t="s">
        <v>4506</v>
      </c>
      <c r="E186" s="11" t="s">
        <v>1621</v>
      </c>
      <c r="F186" s="11" t="s">
        <v>4507</v>
      </c>
      <c r="G186" s="11"/>
      <c r="H186" s="11" t="s">
        <v>1621</v>
      </c>
      <c r="I186" s="12" t="s">
        <v>9</v>
      </c>
    </row>
    <row r="187" customFormat="false" ht="62" hidden="false" customHeight="true" outlineLevel="0" collapsed="false">
      <c r="A187" s="11" t="s">
        <v>1625</v>
      </c>
      <c r="B187" s="11" t="s">
        <v>1628</v>
      </c>
      <c r="C187" s="11" t="s">
        <v>4505</v>
      </c>
      <c r="D187" s="11" t="s">
        <v>4506</v>
      </c>
      <c r="E187" s="11" t="s">
        <v>1625</v>
      </c>
      <c r="F187" s="11" t="s">
        <v>4507</v>
      </c>
      <c r="G187" s="11"/>
      <c r="H187" s="11" t="s">
        <v>1627</v>
      </c>
      <c r="I187" s="12" t="s">
        <v>9</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30"/>
    <col collapsed="false" customWidth="true" hidden="false" outlineLevel="0" max="4" min="4" style="0" width="54"/>
    <col collapsed="false" customWidth="true" hidden="false" outlineLevel="0" max="5" min="5" style="0" width="66"/>
    <col collapsed="false" customWidth="true" hidden="false" outlineLevel="0" max="6" min="6" style="0" width="76"/>
    <col collapsed="false" customWidth="true" hidden="false" outlineLevel="0" max="7" min="7" style="0" width="120"/>
    <col collapsed="false" customWidth="true" hidden="false" outlineLevel="0" max="8" min="8" style="0" width="84"/>
    <col collapsed="false" customWidth="true" hidden="false" outlineLevel="0" max="9" min="9" style="0" width="90"/>
    <col collapsed="false" customWidth="true" hidden="false" outlineLevel="0" max="11" min="10" style="0" width="64"/>
    <col collapsed="false" customWidth="true" hidden="false" outlineLevel="0" max="12" min="12" style="0" width="86"/>
    <col collapsed="false" customWidth="true" hidden="false" outlineLevel="0" max="13" min="13" style="0" width="46"/>
    <col collapsed="false" customWidth="true" hidden="false" outlineLevel="0" max="14" min="14" style="0" width="62"/>
    <col collapsed="false" customWidth="true" hidden="false" outlineLevel="0" max="15" min="15" style="0" width="10"/>
  </cols>
  <sheetData>
    <row r="1" customFormat="false" ht="30" hidden="false" customHeight="true" outlineLevel="0" collapsed="false">
      <c r="A1" s="1" t="s">
        <v>4512</v>
      </c>
      <c r="B1" s="1"/>
      <c r="C1" s="1"/>
      <c r="D1" s="1"/>
      <c r="E1" s="1"/>
      <c r="F1" s="1"/>
      <c r="G1" s="1"/>
      <c r="H1" s="1"/>
      <c r="I1" s="1"/>
      <c r="J1" s="1"/>
      <c r="K1" s="1"/>
      <c r="L1" s="1"/>
      <c r="M1" s="1"/>
      <c r="N1" s="1"/>
      <c r="O1" s="1"/>
    </row>
    <row r="2" customFormat="false" ht="42" hidden="false" customHeight="true" outlineLevel="0" collapsed="false">
      <c r="A2" s="2" t="s">
        <v>4513</v>
      </c>
      <c r="B2" s="2"/>
      <c r="C2" s="2"/>
      <c r="D2" s="2"/>
      <c r="E2" s="2"/>
      <c r="F2" s="2"/>
      <c r="G2" s="2"/>
      <c r="H2" s="2"/>
      <c r="I2" s="2"/>
      <c r="J2" s="2"/>
      <c r="K2" s="2"/>
      <c r="L2" s="2"/>
      <c r="M2" s="2"/>
      <c r="N2" s="2"/>
      <c r="O2" s="2"/>
    </row>
    <row r="3" customFormat="false" ht="15" hidden="false" customHeight="false" outlineLevel="0" collapsed="false">
      <c r="A3" s="3"/>
      <c r="B3" s="3"/>
      <c r="C3" s="3"/>
      <c r="D3" s="3"/>
      <c r="E3" s="3"/>
      <c r="F3" s="3"/>
      <c r="G3" s="3"/>
      <c r="H3" s="3"/>
      <c r="I3" s="3"/>
      <c r="J3" s="3"/>
      <c r="K3" s="3"/>
      <c r="L3" s="3"/>
      <c r="M3" s="3"/>
      <c r="N3" s="3"/>
      <c r="O3" s="3"/>
    </row>
    <row r="5" customFormat="false" ht="38" hidden="false" customHeight="true" outlineLevel="0" collapsed="false">
      <c r="A5" s="10" t="s">
        <v>356</v>
      </c>
      <c r="B5" s="10" t="s">
        <v>4514</v>
      </c>
      <c r="C5" s="10" t="s">
        <v>4515</v>
      </c>
      <c r="D5" s="10" t="s">
        <v>59</v>
      </c>
      <c r="E5" s="10" t="s">
        <v>4516</v>
      </c>
      <c r="F5" s="10" t="s">
        <v>4517</v>
      </c>
      <c r="G5" s="10" t="s">
        <v>4518</v>
      </c>
      <c r="H5" s="10" t="s">
        <v>4519</v>
      </c>
      <c r="I5" s="10" t="s">
        <v>4520</v>
      </c>
      <c r="J5" s="10" t="s">
        <v>4521</v>
      </c>
      <c r="K5" s="10" t="s">
        <v>4522</v>
      </c>
      <c r="L5" s="10" t="s">
        <v>4523</v>
      </c>
      <c r="M5" s="10" t="s">
        <v>164</v>
      </c>
      <c r="N5" s="10" t="s">
        <v>4524</v>
      </c>
      <c r="O5" s="10" t="s">
        <v>1639</v>
      </c>
    </row>
    <row r="6" customFormat="false" ht="180" hidden="false" customHeight="true" outlineLevel="0" collapsed="false">
      <c r="A6" s="11" t="s">
        <v>510</v>
      </c>
      <c r="B6" s="11" t="s">
        <v>4525</v>
      </c>
      <c r="C6" s="11" t="s">
        <v>4526</v>
      </c>
      <c r="D6" s="11" t="s">
        <v>4527</v>
      </c>
      <c r="E6" s="11" t="s">
        <v>4528</v>
      </c>
      <c r="F6" s="11" t="s">
        <v>4529</v>
      </c>
      <c r="G6" s="11" t="s">
        <v>4530</v>
      </c>
      <c r="H6" s="11" t="s">
        <v>4531</v>
      </c>
      <c r="I6" s="11" t="s">
        <v>4532</v>
      </c>
      <c r="J6" s="11"/>
      <c r="K6" s="11"/>
      <c r="L6" s="11" t="s">
        <v>4533</v>
      </c>
      <c r="M6" s="11"/>
      <c r="N6" s="11" t="s">
        <v>4534</v>
      </c>
      <c r="O6" s="11" t="n">
        <v>10</v>
      </c>
    </row>
    <row r="7" customFormat="false" ht="180" hidden="false" customHeight="true" outlineLevel="0" collapsed="false">
      <c r="A7" s="11" t="s">
        <v>337</v>
      </c>
      <c r="B7" s="11" t="s">
        <v>4525</v>
      </c>
      <c r="C7" s="11" t="s">
        <v>4526</v>
      </c>
      <c r="D7" s="11" t="s">
        <v>4535</v>
      </c>
      <c r="E7" s="11" t="s">
        <v>4536</v>
      </c>
      <c r="F7" s="11" t="s">
        <v>4537</v>
      </c>
      <c r="G7" s="11" t="s">
        <v>4538</v>
      </c>
      <c r="H7" s="11" t="s">
        <v>4539</v>
      </c>
      <c r="I7" s="11" t="s">
        <v>4540</v>
      </c>
      <c r="J7" s="11"/>
      <c r="K7" s="11"/>
      <c r="L7" s="11" t="s">
        <v>4537</v>
      </c>
      <c r="M7" s="11"/>
      <c r="N7" s="11" t="s">
        <v>4541</v>
      </c>
      <c r="O7" s="11" t="n">
        <v>10</v>
      </c>
    </row>
    <row r="8" customFormat="false" ht="180" hidden="false" customHeight="true" outlineLevel="0" collapsed="false">
      <c r="A8" s="11" t="s">
        <v>4542</v>
      </c>
      <c r="B8" s="11" t="s">
        <v>4525</v>
      </c>
      <c r="C8" s="11" t="s">
        <v>4526</v>
      </c>
      <c r="D8" s="11" t="s">
        <v>4543</v>
      </c>
      <c r="E8" s="11" t="s">
        <v>4544</v>
      </c>
      <c r="F8" s="11" t="s">
        <v>4529</v>
      </c>
      <c r="G8" s="11" t="s">
        <v>4545</v>
      </c>
      <c r="H8" s="11" t="s">
        <v>4546</v>
      </c>
      <c r="I8" s="11" t="s">
        <v>4547</v>
      </c>
      <c r="J8" s="11"/>
      <c r="K8" s="11"/>
      <c r="L8" s="11" t="s">
        <v>4548</v>
      </c>
      <c r="M8" s="11"/>
      <c r="N8" s="11" t="s">
        <v>4549</v>
      </c>
      <c r="O8" s="11" t="n">
        <v>10</v>
      </c>
    </row>
    <row r="9" customFormat="false" ht="180" hidden="false" customHeight="true" outlineLevel="0" collapsed="false">
      <c r="A9" s="11" t="s">
        <v>505</v>
      </c>
      <c r="B9" s="11" t="s">
        <v>4525</v>
      </c>
      <c r="C9" s="11" t="s">
        <v>4526</v>
      </c>
      <c r="D9" s="11" t="s">
        <v>4550</v>
      </c>
      <c r="E9" s="11" t="s">
        <v>4551</v>
      </c>
      <c r="F9" s="11" t="s">
        <v>4552</v>
      </c>
      <c r="G9" s="11" t="s">
        <v>4553</v>
      </c>
      <c r="H9" s="11" t="s">
        <v>4554</v>
      </c>
      <c r="I9" s="11" t="s">
        <v>4555</v>
      </c>
      <c r="J9" s="11"/>
      <c r="K9" s="11"/>
      <c r="L9" s="11" t="s">
        <v>4556</v>
      </c>
      <c r="M9" s="11"/>
      <c r="N9" s="11" t="s">
        <v>4557</v>
      </c>
      <c r="O9" s="11" t="n">
        <v>10</v>
      </c>
    </row>
    <row r="10" customFormat="false" ht="180" hidden="false" customHeight="true" outlineLevel="0" collapsed="false">
      <c r="A10" s="11" t="s">
        <v>4558</v>
      </c>
      <c r="B10" s="11" t="s">
        <v>4525</v>
      </c>
      <c r="C10" s="11" t="s">
        <v>4526</v>
      </c>
      <c r="D10" s="11" t="s">
        <v>4559</v>
      </c>
      <c r="E10" s="11" t="s">
        <v>4560</v>
      </c>
      <c r="F10" s="11" t="s">
        <v>4552</v>
      </c>
      <c r="G10" s="11" t="s">
        <v>4561</v>
      </c>
      <c r="H10" s="11" t="s">
        <v>4562</v>
      </c>
      <c r="I10" s="11" t="s">
        <v>4563</v>
      </c>
      <c r="J10" s="11"/>
      <c r="K10" s="11"/>
      <c r="L10" s="11" t="s">
        <v>4564</v>
      </c>
      <c r="M10" s="11" t="s">
        <v>4565</v>
      </c>
      <c r="N10" s="11" t="s">
        <v>4566</v>
      </c>
      <c r="O10" s="11" t="n">
        <v>110</v>
      </c>
    </row>
    <row r="11" customFormat="false" ht="180" hidden="false" customHeight="true" outlineLevel="0" collapsed="false">
      <c r="A11" s="11" t="s">
        <v>4567</v>
      </c>
      <c r="B11" s="11" t="s">
        <v>4525</v>
      </c>
      <c r="C11" s="11" t="s">
        <v>4526</v>
      </c>
      <c r="D11" s="11" t="s">
        <v>4568</v>
      </c>
      <c r="E11" s="11" t="s">
        <v>4569</v>
      </c>
      <c r="F11" s="11" t="s">
        <v>4570</v>
      </c>
      <c r="G11" s="11" t="s">
        <v>4571</v>
      </c>
      <c r="H11" s="11" t="s">
        <v>4572</v>
      </c>
      <c r="I11" s="11" t="s">
        <v>4573</v>
      </c>
      <c r="J11" s="11" t="s">
        <v>4574</v>
      </c>
      <c r="K11" s="11"/>
      <c r="L11" s="11" t="s">
        <v>4570</v>
      </c>
      <c r="M11" s="11" t="s">
        <v>4575</v>
      </c>
      <c r="N11" s="11" t="s">
        <v>4576</v>
      </c>
      <c r="O11" s="11" t="n">
        <v>10</v>
      </c>
    </row>
    <row r="12" customFormat="false" ht="180" hidden="false" customHeight="true" outlineLevel="0" collapsed="false">
      <c r="A12" s="11" t="s">
        <v>138</v>
      </c>
      <c r="B12" s="11" t="s">
        <v>4525</v>
      </c>
      <c r="C12" s="11" t="s">
        <v>4526</v>
      </c>
      <c r="D12" s="11" t="s">
        <v>4577</v>
      </c>
      <c r="E12" s="11" t="s">
        <v>4578</v>
      </c>
      <c r="F12" s="11" t="s">
        <v>4579</v>
      </c>
      <c r="G12" s="11" t="s">
        <v>4580</v>
      </c>
      <c r="H12" s="11" t="s">
        <v>4581</v>
      </c>
      <c r="I12" s="11" t="s">
        <v>4582</v>
      </c>
      <c r="J12" s="11" t="s">
        <v>4583</v>
      </c>
      <c r="K12" s="11"/>
      <c r="L12" s="11" t="s">
        <v>4584</v>
      </c>
      <c r="M12" s="11"/>
      <c r="N12" s="11" t="s">
        <v>4585</v>
      </c>
      <c r="O12" s="11" t="n">
        <v>10</v>
      </c>
    </row>
    <row r="13" customFormat="false" ht="180" hidden="false" customHeight="true" outlineLevel="0" collapsed="false">
      <c r="A13" s="11" t="s">
        <v>144</v>
      </c>
      <c r="B13" s="11" t="s">
        <v>4525</v>
      </c>
      <c r="C13" s="11" t="s">
        <v>4526</v>
      </c>
      <c r="D13" s="11" t="s">
        <v>4586</v>
      </c>
      <c r="E13" s="11" t="s">
        <v>4587</v>
      </c>
      <c r="F13" s="11" t="s">
        <v>4588</v>
      </c>
      <c r="G13" s="11" t="s">
        <v>4589</v>
      </c>
      <c r="H13" s="11" t="s">
        <v>4590</v>
      </c>
      <c r="I13" s="11" t="s">
        <v>4591</v>
      </c>
      <c r="J13" s="11" t="s">
        <v>4592</v>
      </c>
      <c r="K13" s="11"/>
      <c r="L13" s="11"/>
      <c r="M13" s="11"/>
      <c r="N13" s="11" t="s">
        <v>4593</v>
      </c>
      <c r="O13" s="11" t="n">
        <v>10</v>
      </c>
    </row>
    <row r="14" customFormat="false" ht="180" hidden="false" customHeight="true" outlineLevel="0" collapsed="false">
      <c r="A14" s="11" t="s">
        <v>150</v>
      </c>
      <c r="B14" s="11" t="s">
        <v>4525</v>
      </c>
      <c r="C14" s="11" t="s">
        <v>4526</v>
      </c>
      <c r="D14" s="11" t="s">
        <v>4594</v>
      </c>
      <c r="E14" s="11" t="s">
        <v>4595</v>
      </c>
      <c r="F14" s="11" t="s">
        <v>4596</v>
      </c>
      <c r="G14" s="11" t="s">
        <v>4597</v>
      </c>
      <c r="H14" s="11" t="s">
        <v>4598</v>
      </c>
      <c r="I14" s="11" t="s">
        <v>4599</v>
      </c>
      <c r="J14" s="11" t="s">
        <v>4600</v>
      </c>
      <c r="K14" s="11"/>
      <c r="L14" s="11"/>
      <c r="M14" s="11"/>
      <c r="N14" s="11" t="s">
        <v>4601</v>
      </c>
      <c r="O14" s="11" t="n">
        <v>10</v>
      </c>
    </row>
    <row r="15" customFormat="false" ht="180" hidden="false" customHeight="true" outlineLevel="0" collapsed="false">
      <c r="A15" s="11" t="s">
        <v>4602</v>
      </c>
      <c r="B15" s="11" t="s">
        <v>4525</v>
      </c>
      <c r="C15" s="11" t="s">
        <v>4526</v>
      </c>
      <c r="D15" s="11" t="s">
        <v>4603</v>
      </c>
      <c r="E15" s="11" t="s">
        <v>4604</v>
      </c>
      <c r="F15" s="11" t="s">
        <v>4605</v>
      </c>
      <c r="G15" s="11" t="s">
        <v>4606</v>
      </c>
      <c r="H15" s="11" t="s">
        <v>4607</v>
      </c>
      <c r="I15" s="11" t="s">
        <v>4608</v>
      </c>
      <c r="J15" s="11"/>
      <c r="K15" s="11"/>
      <c r="L15" s="11" t="s">
        <v>4609</v>
      </c>
      <c r="M15" s="11" t="s">
        <v>4610</v>
      </c>
      <c r="N15" s="11" t="s">
        <v>4611</v>
      </c>
      <c r="O15" s="11" t="n">
        <v>100</v>
      </c>
    </row>
    <row r="16" customFormat="false" ht="180" hidden="false" customHeight="true" outlineLevel="0" collapsed="false">
      <c r="A16" s="11" t="s">
        <v>4211</v>
      </c>
      <c r="B16" s="11" t="s">
        <v>4525</v>
      </c>
      <c r="C16" s="11" t="s">
        <v>4526</v>
      </c>
      <c r="D16" s="11" t="s">
        <v>4612</v>
      </c>
      <c r="E16" s="11" t="s">
        <v>4613</v>
      </c>
      <c r="F16" s="11" t="s">
        <v>4614</v>
      </c>
      <c r="G16" s="11" t="s">
        <v>4615</v>
      </c>
      <c r="H16" s="11" t="s">
        <v>4616</v>
      </c>
      <c r="I16" s="11" t="s">
        <v>4617</v>
      </c>
      <c r="J16" s="11"/>
      <c r="K16" s="11" t="s">
        <v>4618</v>
      </c>
      <c r="L16" s="11" t="s">
        <v>4617</v>
      </c>
      <c r="M16" s="11"/>
      <c r="N16" s="11" t="s">
        <v>4619</v>
      </c>
      <c r="O16" s="11" t="n">
        <v>10</v>
      </c>
    </row>
    <row r="17" customFormat="false" ht="180" hidden="false" customHeight="true" outlineLevel="0" collapsed="false">
      <c r="A17" s="11" t="s">
        <v>4620</v>
      </c>
      <c r="B17" s="11" t="s">
        <v>4525</v>
      </c>
      <c r="C17" s="11" t="s">
        <v>4526</v>
      </c>
      <c r="D17" s="11" t="s">
        <v>4621</v>
      </c>
      <c r="E17" s="11" t="s">
        <v>4622</v>
      </c>
      <c r="F17" s="11" t="s">
        <v>4614</v>
      </c>
      <c r="G17" s="11" t="s">
        <v>4623</v>
      </c>
      <c r="H17" s="11" t="s">
        <v>4624</v>
      </c>
      <c r="I17" s="11" t="s">
        <v>4625</v>
      </c>
      <c r="J17" s="11"/>
      <c r="K17" s="11"/>
      <c r="L17" s="11"/>
      <c r="M17" s="11"/>
      <c r="N17" s="11" t="s">
        <v>4626</v>
      </c>
      <c r="O17" s="11" t="n">
        <v>10</v>
      </c>
    </row>
    <row r="18" customFormat="false" ht="180" hidden="false" customHeight="true" outlineLevel="0" collapsed="false">
      <c r="A18" s="11" t="s">
        <v>4185</v>
      </c>
      <c r="B18" s="11" t="s">
        <v>4525</v>
      </c>
      <c r="C18" s="11" t="s">
        <v>4526</v>
      </c>
      <c r="D18" s="11" t="s">
        <v>4627</v>
      </c>
      <c r="E18" s="11" t="s">
        <v>4628</v>
      </c>
      <c r="F18" s="11" t="s">
        <v>4629</v>
      </c>
      <c r="G18" s="11" t="s">
        <v>4630</v>
      </c>
      <c r="H18" s="11" t="s">
        <v>4631</v>
      </c>
      <c r="I18" s="11" t="s">
        <v>4632</v>
      </c>
      <c r="J18" s="11"/>
      <c r="K18" s="11"/>
      <c r="L18" s="11" t="s">
        <v>4633</v>
      </c>
      <c r="M18" s="11"/>
      <c r="N18" s="11" t="s">
        <v>4634</v>
      </c>
      <c r="O18" s="11" t="n">
        <v>10</v>
      </c>
    </row>
    <row r="19" customFormat="false" ht="180" hidden="false" customHeight="true" outlineLevel="0" collapsed="false">
      <c r="A19" s="11" t="s">
        <v>4635</v>
      </c>
      <c r="B19" s="11" t="s">
        <v>4525</v>
      </c>
      <c r="C19" s="11" t="s">
        <v>4526</v>
      </c>
      <c r="D19" s="11" t="s">
        <v>4636</v>
      </c>
      <c r="E19" s="11" t="s">
        <v>4637</v>
      </c>
      <c r="F19" s="11" t="s">
        <v>4614</v>
      </c>
      <c r="G19" s="11" t="s">
        <v>4638</v>
      </c>
      <c r="H19" s="11" t="s">
        <v>4639</v>
      </c>
      <c r="I19" s="11" t="s">
        <v>4640</v>
      </c>
      <c r="J19" s="11" t="s">
        <v>4574</v>
      </c>
      <c r="K19" s="11"/>
      <c r="L19" s="11" t="s">
        <v>4641</v>
      </c>
      <c r="M19" s="11" t="s">
        <v>362</v>
      </c>
      <c r="N19" s="11" t="s">
        <v>4619</v>
      </c>
      <c r="O19" s="11" t="n">
        <v>10</v>
      </c>
    </row>
    <row r="20" customFormat="false" ht="180" hidden="false" customHeight="true" outlineLevel="0" collapsed="false">
      <c r="A20" s="11" t="s">
        <v>4642</v>
      </c>
      <c r="B20" s="11" t="s">
        <v>4525</v>
      </c>
      <c r="C20" s="11" t="s">
        <v>4526</v>
      </c>
      <c r="D20" s="11" t="s">
        <v>4643</v>
      </c>
      <c r="E20" s="11" t="s">
        <v>4644</v>
      </c>
      <c r="F20" s="11" t="s">
        <v>4645</v>
      </c>
      <c r="G20" s="11" t="s">
        <v>4646</v>
      </c>
      <c r="H20" s="11" t="s">
        <v>4647</v>
      </c>
      <c r="I20" s="11" t="s">
        <v>4648</v>
      </c>
      <c r="J20" s="11" t="s">
        <v>4649</v>
      </c>
      <c r="K20" s="11"/>
      <c r="L20" s="11" t="s">
        <v>4650</v>
      </c>
      <c r="M20" s="11" t="s">
        <v>4651</v>
      </c>
      <c r="N20" s="11" t="s">
        <v>4652</v>
      </c>
      <c r="O20" s="11" t="n">
        <v>100</v>
      </c>
    </row>
    <row r="21" customFormat="false" ht="180" hidden="false" customHeight="true" outlineLevel="0" collapsed="false">
      <c r="A21" s="11" t="s">
        <v>4653</v>
      </c>
      <c r="B21" s="11" t="s">
        <v>4525</v>
      </c>
      <c r="C21" s="11" t="s">
        <v>4526</v>
      </c>
      <c r="D21" s="11" t="s">
        <v>4654</v>
      </c>
      <c r="E21" s="11" t="s">
        <v>4655</v>
      </c>
      <c r="F21" s="11" t="s">
        <v>4656</v>
      </c>
      <c r="G21" s="11" t="s">
        <v>4657</v>
      </c>
      <c r="H21" s="11" t="s">
        <v>4658</v>
      </c>
      <c r="I21" s="11" t="s">
        <v>4659</v>
      </c>
      <c r="J21" s="11" t="s">
        <v>4660</v>
      </c>
      <c r="K21" s="11" t="s">
        <v>4661</v>
      </c>
      <c r="L21" s="11" t="s">
        <v>4662</v>
      </c>
      <c r="M21" s="11" t="s">
        <v>4663</v>
      </c>
      <c r="N21" s="11" t="s">
        <v>4664</v>
      </c>
      <c r="O21" s="11" t="n">
        <v>80</v>
      </c>
    </row>
    <row r="22" customFormat="false" ht="180" hidden="false" customHeight="true" outlineLevel="0" collapsed="false">
      <c r="A22" s="11" t="s">
        <v>4665</v>
      </c>
      <c r="B22" s="11" t="s">
        <v>4525</v>
      </c>
      <c r="C22" s="11" t="s">
        <v>4526</v>
      </c>
      <c r="D22" s="11" t="s">
        <v>4666</v>
      </c>
      <c r="E22" s="11" t="s">
        <v>4667</v>
      </c>
      <c r="F22" s="11" t="s">
        <v>4668</v>
      </c>
      <c r="G22" s="11" t="s">
        <v>4669</v>
      </c>
      <c r="H22" s="11" t="s">
        <v>4670</v>
      </c>
      <c r="I22" s="11" t="s">
        <v>4671</v>
      </c>
      <c r="J22" s="11" t="s">
        <v>4574</v>
      </c>
      <c r="K22" s="11"/>
      <c r="L22" s="11"/>
      <c r="M22" s="11" t="s">
        <v>4672</v>
      </c>
      <c r="N22" s="11" t="s">
        <v>4673</v>
      </c>
      <c r="O22" s="11" t="n">
        <v>70</v>
      </c>
    </row>
    <row r="23" customFormat="false" ht="180" hidden="false" customHeight="true" outlineLevel="0" collapsed="false">
      <c r="A23" s="11" t="s">
        <v>4674</v>
      </c>
      <c r="B23" s="11" t="s">
        <v>4525</v>
      </c>
      <c r="C23" s="11" t="s">
        <v>4526</v>
      </c>
      <c r="D23" s="11" t="s">
        <v>4675</v>
      </c>
      <c r="E23" s="11" t="s">
        <v>4676</v>
      </c>
      <c r="F23" s="11" t="s">
        <v>4614</v>
      </c>
      <c r="G23" s="11" t="s">
        <v>4677</v>
      </c>
      <c r="H23" s="11" t="s">
        <v>4678</v>
      </c>
      <c r="I23" s="11" t="s">
        <v>4679</v>
      </c>
      <c r="J23" s="11" t="s">
        <v>4574</v>
      </c>
      <c r="K23" s="11"/>
      <c r="L23" s="11" t="s">
        <v>4680</v>
      </c>
      <c r="M23" s="11" t="s">
        <v>4681</v>
      </c>
      <c r="N23" s="11" t="s">
        <v>4682</v>
      </c>
      <c r="O23" s="11" t="n">
        <v>10</v>
      </c>
    </row>
    <row r="24" customFormat="false" ht="180" hidden="false" customHeight="true" outlineLevel="0" collapsed="false">
      <c r="A24" s="11" t="s">
        <v>4683</v>
      </c>
      <c r="B24" s="11" t="s">
        <v>4525</v>
      </c>
      <c r="C24" s="11" t="s">
        <v>4526</v>
      </c>
      <c r="D24" s="11" t="s">
        <v>4684</v>
      </c>
      <c r="E24" s="11" t="s">
        <v>4685</v>
      </c>
      <c r="F24" s="11" t="s">
        <v>4614</v>
      </c>
      <c r="G24" s="11" t="s">
        <v>4686</v>
      </c>
      <c r="H24" s="11" t="s">
        <v>4687</v>
      </c>
      <c r="I24" s="11" t="s">
        <v>4688</v>
      </c>
      <c r="J24" s="11" t="s">
        <v>4574</v>
      </c>
      <c r="K24" s="11"/>
      <c r="L24" s="11" t="s">
        <v>4689</v>
      </c>
      <c r="M24" s="11" t="s">
        <v>4681</v>
      </c>
      <c r="N24" s="11" t="s">
        <v>4690</v>
      </c>
      <c r="O24" s="11" t="n">
        <v>10</v>
      </c>
    </row>
    <row r="25" customFormat="false" ht="180" hidden="false" customHeight="true" outlineLevel="0" collapsed="false">
      <c r="A25" s="11" t="s">
        <v>4691</v>
      </c>
      <c r="B25" s="11" t="s">
        <v>4525</v>
      </c>
      <c r="C25" s="11" t="s">
        <v>4526</v>
      </c>
      <c r="D25" s="11" t="s">
        <v>4692</v>
      </c>
      <c r="E25" s="11" t="s">
        <v>4693</v>
      </c>
      <c r="F25" s="11" t="s">
        <v>4614</v>
      </c>
      <c r="G25" s="11" t="s">
        <v>4694</v>
      </c>
      <c r="H25" s="11" t="s">
        <v>4695</v>
      </c>
      <c r="I25" s="11" t="s">
        <v>4696</v>
      </c>
      <c r="J25" s="11" t="s">
        <v>4574</v>
      </c>
      <c r="K25" s="11"/>
      <c r="L25" s="11" t="s">
        <v>4697</v>
      </c>
      <c r="M25" s="11" t="s">
        <v>4698</v>
      </c>
      <c r="N25" s="11" t="s">
        <v>4699</v>
      </c>
      <c r="O25" s="11" t="n">
        <v>10</v>
      </c>
    </row>
    <row r="26" customFormat="false" ht="180" hidden="false" customHeight="true" outlineLevel="0" collapsed="false">
      <c r="A26" s="11" t="s">
        <v>4700</v>
      </c>
      <c r="B26" s="11" t="s">
        <v>4525</v>
      </c>
      <c r="C26" s="11" t="s">
        <v>4526</v>
      </c>
      <c r="D26" s="11" t="s">
        <v>4701</v>
      </c>
      <c r="E26" s="11" t="s">
        <v>4702</v>
      </c>
      <c r="F26" s="11" t="s">
        <v>4703</v>
      </c>
      <c r="G26" s="11" t="s">
        <v>4704</v>
      </c>
      <c r="H26" s="11" t="s">
        <v>4705</v>
      </c>
      <c r="I26" s="11" t="s">
        <v>4706</v>
      </c>
      <c r="J26" s="11" t="s">
        <v>4574</v>
      </c>
      <c r="K26" s="11"/>
      <c r="L26" s="11" t="s">
        <v>4707</v>
      </c>
      <c r="M26" s="11" t="s">
        <v>4708</v>
      </c>
      <c r="N26" s="11" t="s">
        <v>4709</v>
      </c>
      <c r="O26" s="11" t="n">
        <v>100</v>
      </c>
    </row>
    <row r="27" customFormat="false" ht="180" hidden="false" customHeight="true" outlineLevel="0" collapsed="false">
      <c r="A27" s="11" t="s">
        <v>4710</v>
      </c>
      <c r="B27" s="11" t="s">
        <v>4525</v>
      </c>
      <c r="C27" s="11" t="s">
        <v>4526</v>
      </c>
      <c r="D27" s="11" t="s">
        <v>4711</v>
      </c>
      <c r="E27" s="11" t="s">
        <v>4712</v>
      </c>
      <c r="F27" s="11" t="s">
        <v>4713</v>
      </c>
      <c r="G27" s="11" t="s">
        <v>4714</v>
      </c>
      <c r="H27" s="11" t="s">
        <v>4715</v>
      </c>
      <c r="I27" s="11" t="s">
        <v>4716</v>
      </c>
      <c r="J27" s="11"/>
      <c r="K27" s="11"/>
      <c r="L27" s="11"/>
      <c r="M27" s="11" t="s">
        <v>4717</v>
      </c>
      <c r="N27" s="11" t="s">
        <v>4718</v>
      </c>
      <c r="O27" s="11" t="n">
        <v>70</v>
      </c>
    </row>
    <row r="28" customFormat="false" ht="180" hidden="false" customHeight="true" outlineLevel="0" collapsed="false">
      <c r="A28" s="11" t="s">
        <v>4103</v>
      </c>
      <c r="B28" s="11" t="s">
        <v>4525</v>
      </c>
      <c r="C28" s="11" t="s">
        <v>4526</v>
      </c>
      <c r="D28" s="11" t="s">
        <v>4719</v>
      </c>
      <c r="E28" s="11" t="s">
        <v>4720</v>
      </c>
      <c r="F28" s="11" t="s">
        <v>4721</v>
      </c>
      <c r="G28" s="11" t="s">
        <v>4722</v>
      </c>
      <c r="H28" s="11" t="s">
        <v>4723</v>
      </c>
      <c r="I28" s="11" t="s">
        <v>4724</v>
      </c>
      <c r="J28" s="11"/>
      <c r="K28" s="11"/>
      <c r="L28" s="11" t="s">
        <v>4725</v>
      </c>
      <c r="M28" s="11"/>
      <c r="N28" s="11" t="s">
        <v>4726</v>
      </c>
      <c r="O28" s="11" t="n">
        <v>10</v>
      </c>
    </row>
    <row r="29" customFormat="false" ht="180" hidden="false" customHeight="true" outlineLevel="0" collapsed="false">
      <c r="A29" s="11" t="s">
        <v>4727</v>
      </c>
      <c r="B29" s="11" t="s">
        <v>4525</v>
      </c>
      <c r="C29" s="11" t="s">
        <v>4526</v>
      </c>
      <c r="D29" s="11" t="s">
        <v>4728</v>
      </c>
      <c r="E29" s="11" t="s">
        <v>4729</v>
      </c>
      <c r="F29" s="11" t="s">
        <v>4730</v>
      </c>
      <c r="G29" s="11" t="s">
        <v>4731</v>
      </c>
      <c r="H29" s="11" t="s">
        <v>4732</v>
      </c>
      <c r="I29" s="11" t="s">
        <v>4733</v>
      </c>
      <c r="J29" s="11" t="s">
        <v>4574</v>
      </c>
      <c r="K29" s="11"/>
      <c r="L29" s="11" t="s">
        <v>4734</v>
      </c>
      <c r="M29" s="11" t="s">
        <v>4735</v>
      </c>
      <c r="N29" s="11" t="s">
        <v>4736</v>
      </c>
      <c r="O29" s="11" t="n">
        <v>10</v>
      </c>
    </row>
    <row r="30" customFormat="false" ht="180" hidden="false" customHeight="true" outlineLevel="0" collapsed="false">
      <c r="A30" s="11" t="s">
        <v>361</v>
      </c>
      <c r="B30" s="11" t="s">
        <v>4525</v>
      </c>
      <c r="C30" s="11" t="s">
        <v>4526</v>
      </c>
      <c r="D30" s="11" t="s">
        <v>4737</v>
      </c>
      <c r="E30" s="11" t="s">
        <v>4738</v>
      </c>
      <c r="F30" s="11" t="s">
        <v>4739</v>
      </c>
      <c r="G30" s="11" t="s">
        <v>4740</v>
      </c>
      <c r="H30" s="11" t="s">
        <v>4741</v>
      </c>
      <c r="I30" s="11" t="s">
        <v>4742</v>
      </c>
      <c r="J30" s="11" t="s">
        <v>4743</v>
      </c>
      <c r="K30" s="11" t="s">
        <v>4739</v>
      </c>
      <c r="L30" s="11" t="s">
        <v>4744</v>
      </c>
      <c r="M30" s="11"/>
      <c r="N30" s="11" t="s">
        <v>4745</v>
      </c>
      <c r="O30" s="11" t="n">
        <v>10</v>
      </c>
    </row>
    <row r="31" customFormat="false" ht="180" hidden="false" customHeight="true" outlineLevel="0" collapsed="false">
      <c r="A31" s="11" t="s">
        <v>4746</v>
      </c>
      <c r="B31" s="11" t="s">
        <v>4525</v>
      </c>
      <c r="C31" s="11" t="s">
        <v>4526</v>
      </c>
      <c r="D31" s="11" t="s">
        <v>4747</v>
      </c>
      <c r="E31" s="11" t="s">
        <v>4748</v>
      </c>
      <c r="F31" s="11" t="s">
        <v>4749</v>
      </c>
      <c r="G31" s="11" t="s">
        <v>4750</v>
      </c>
      <c r="H31" s="11" t="s">
        <v>4751</v>
      </c>
      <c r="I31" s="11" t="s">
        <v>4752</v>
      </c>
      <c r="J31" s="11"/>
      <c r="K31" s="11"/>
      <c r="L31" s="11" t="s">
        <v>4748</v>
      </c>
      <c r="M31" s="11"/>
      <c r="N31" s="11" t="s">
        <v>4753</v>
      </c>
      <c r="O31" s="11" t="n">
        <v>10</v>
      </c>
    </row>
    <row r="32" customFormat="false" ht="180" hidden="false" customHeight="true" outlineLevel="0" collapsed="false">
      <c r="A32" s="11" t="s">
        <v>4754</v>
      </c>
      <c r="B32" s="11" t="s">
        <v>4525</v>
      </c>
      <c r="C32" s="11" t="s">
        <v>4526</v>
      </c>
      <c r="D32" s="11" t="s">
        <v>4755</v>
      </c>
      <c r="E32" s="11" t="s">
        <v>4756</v>
      </c>
      <c r="F32" s="11" t="s">
        <v>4614</v>
      </c>
      <c r="G32" s="11" t="s">
        <v>4757</v>
      </c>
      <c r="H32" s="11" t="s">
        <v>4758</v>
      </c>
      <c r="I32" s="11" t="s">
        <v>4759</v>
      </c>
      <c r="J32" s="11"/>
      <c r="K32" s="11"/>
      <c r="L32" s="11" t="s">
        <v>4757</v>
      </c>
      <c r="M32" s="11"/>
      <c r="N32" s="11" t="s">
        <v>4760</v>
      </c>
      <c r="O32" s="11" t="n">
        <v>10</v>
      </c>
    </row>
    <row r="33" customFormat="false" ht="180" hidden="false" customHeight="true" outlineLevel="0" collapsed="false">
      <c r="A33" s="11" t="s">
        <v>4159</v>
      </c>
      <c r="B33" s="11" t="s">
        <v>4525</v>
      </c>
      <c r="C33" s="11" t="s">
        <v>4526</v>
      </c>
      <c r="D33" s="11" t="s">
        <v>4761</v>
      </c>
      <c r="E33" s="11" t="s">
        <v>4762</v>
      </c>
      <c r="F33" s="11" t="s">
        <v>4763</v>
      </c>
      <c r="G33" s="11" t="s">
        <v>4764</v>
      </c>
      <c r="H33" s="11" t="s">
        <v>4765</v>
      </c>
      <c r="I33" s="11" t="s">
        <v>4766</v>
      </c>
      <c r="J33" s="11" t="s">
        <v>4767</v>
      </c>
      <c r="K33" s="11" t="s">
        <v>4768</v>
      </c>
      <c r="L33" s="11"/>
      <c r="M33" s="11" t="s">
        <v>4769</v>
      </c>
      <c r="N33" s="11" t="s">
        <v>4770</v>
      </c>
      <c r="O33" s="11" t="n">
        <v>100</v>
      </c>
    </row>
    <row r="34" customFormat="false" ht="180" hidden="false" customHeight="true" outlineLevel="0" collapsed="false">
      <c r="A34" s="11" t="s">
        <v>4771</v>
      </c>
      <c r="B34" s="11" t="s">
        <v>4525</v>
      </c>
      <c r="C34" s="11" t="s">
        <v>4526</v>
      </c>
      <c r="D34" s="11" t="s">
        <v>4772</v>
      </c>
      <c r="E34" s="11" t="s">
        <v>4773</v>
      </c>
      <c r="F34" s="11" t="s">
        <v>4774</v>
      </c>
      <c r="G34" s="11" t="s">
        <v>4775</v>
      </c>
      <c r="H34" s="11" t="s">
        <v>4776</v>
      </c>
      <c r="I34" s="11" t="s">
        <v>4777</v>
      </c>
      <c r="J34" s="11" t="s">
        <v>4767</v>
      </c>
      <c r="K34" s="11" t="s">
        <v>4768</v>
      </c>
      <c r="L34" s="11" t="s">
        <v>4778</v>
      </c>
      <c r="M34" s="11" t="s">
        <v>4779</v>
      </c>
      <c r="N34" s="11" t="s">
        <v>4780</v>
      </c>
      <c r="O34" s="11" t="n">
        <v>70</v>
      </c>
    </row>
    <row r="35" customFormat="false" ht="180" hidden="false" customHeight="true" outlineLevel="0" collapsed="false">
      <c r="A35" s="11" t="s">
        <v>4781</v>
      </c>
      <c r="B35" s="11" t="s">
        <v>4525</v>
      </c>
      <c r="C35" s="11" t="s">
        <v>4526</v>
      </c>
      <c r="D35" s="11" t="s">
        <v>4782</v>
      </c>
      <c r="E35" s="11" t="s">
        <v>4783</v>
      </c>
      <c r="F35" s="11" t="s">
        <v>4784</v>
      </c>
      <c r="G35" s="11" t="s">
        <v>4785</v>
      </c>
      <c r="H35" s="11" t="s">
        <v>4786</v>
      </c>
      <c r="I35" s="11" t="s">
        <v>4787</v>
      </c>
      <c r="J35" s="11" t="s">
        <v>4767</v>
      </c>
      <c r="K35" s="11" t="s">
        <v>4768</v>
      </c>
      <c r="L35" s="11"/>
      <c r="M35" s="11" t="s">
        <v>4788</v>
      </c>
      <c r="N35" s="11" t="s">
        <v>4770</v>
      </c>
      <c r="O35" s="11" t="n">
        <v>100</v>
      </c>
    </row>
    <row r="36" customFormat="false" ht="180" hidden="false" customHeight="true" outlineLevel="0" collapsed="false">
      <c r="A36" s="11" t="s">
        <v>4789</v>
      </c>
      <c r="B36" s="11" t="s">
        <v>4525</v>
      </c>
      <c r="C36" s="11" t="s">
        <v>4526</v>
      </c>
      <c r="D36" s="11" t="s">
        <v>4790</v>
      </c>
      <c r="E36" s="11" t="s">
        <v>4791</v>
      </c>
      <c r="F36" s="11" t="s">
        <v>4792</v>
      </c>
      <c r="G36" s="11" t="s">
        <v>4793</v>
      </c>
      <c r="H36" s="11" t="s">
        <v>4794</v>
      </c>
      <c r="I36" s="11" t="s">
        <v>4795</v>
      </c>
      <c r="J36" s="11" t="s">
        <v>4767</v>
      </c>
      <c r="K36" s="11" t="s">
        <v>4768</v>
      </c>
      <c r="L36" s="11"/>
      <c r="M36" s="11" t="s">
        <v>4796</v>
      </c>
      <c r="N36" s="11" t="s">
        <v>4770</v>
      </c>
      <c r="O36" s="11" t="n">
        <v>100</v>
      </c>
    </row>
    <row r="37" customFormat="false" ht="180" hidden="false" customHeight="true" outlineLevel="0" collapsed="false">
      <c r="A37" s="11" t="s">
        <v>4260</v>
      </c>
      <c r="B37" s="11" t="s">
        <v>4525</v>
      </c>
      <c r="C37" s="11" t="s">
        <v>4526</v>
      </c>
      <c r="D37" s="11" t="s">
        <v>4797</v>
      </c>
      <c r="E37" s="11" t="s">
        <v>4798</v>
      </c>
      <c r="F37" s="11" t="s">
        <v>4799</v>
      </c>
      <c r="G37" s="11" t="s">
        <v>4800</v>
      </c>
      <c r="H37" s="11" t="s">
        <v>4801</v>
      </c>
      <c r="I37" s="11" t="s">
        <v>4802</v>
      </c>
      <c r="J37" s="11" t="s">
        <v>4803</v>
      </c>
      <c r="K37" s="11" t="s">
        <v>4804</v>
      </c>
      <c r="L37" s="11" t="s">
        <v>4805</v>
      </c>
      <c r="M37" s="11" t="s">
        <v>4806</v>
      </c>
      <c r="N37" s="11" t="s">
        <v>4807</v>
      </c>
      <c r="O37" s="11" t="n">
        <v>100</v>
      </c>
    </row>
    <row r="38" customFormat="false" ht="180" hidden="false" customHeight="true" outlineLevel="0" collapsed="false">
      <c r="A38" s="11" t="s">
        <v>4808</v>
      </c>
      <c r="B38" s="11" t="s">
        <v>4525</v>
      </c>
      <c r="C38" s="11" t="s">
        <v>4526</v>
      </c>
      <c r="D38" s="11" t="s">
        <v>4809</v>
      </c>
      <c r="E38" s="11" t="s">
        <v>4810</v>
      </c>
      <c r="F38" s="11" t="s">
        <v>4811</v>
      </c>
      <c r="G38" s="11" t="s">
        <v>4812</v>
      </c>
      <c r="H38" s="11" t="s">
        <v>4813</v>
      </c>
      <c r="I38" s="11" t="s">
        <v>4814</v>
      </c>
      <c r="J38" s="11" t="s">
        <v>4803</v>
      </c>
      <c r="K38" s="11" t="s">
        <v>4804</v>
      </c>
      <c r="L38" s="11"/>
      <c r="M38" s="11" t="s">
        <v>4815</v>
      </c>
      <c r="N38" s="11" t="s">
        <v>4816</v>
      </c>
      <c r="O38" s="11" t="n">
        <v>80</v>
      </c>
    </row>
    <row r="39" customFormat="false" ht="180" hidden="false" customHeight="true" outlineLevel="0" collapsed="false">
      <c r="A39" s="11" t="s">
        <v>4225</v>
      </c>
      <c r="B39" s="11" t="s">
        <v>4525</v>
      </c>
      <c r="C39" s="11" t="s">
        <v>4526</v>
      </c>
      <c r="D39" s="11" t="s">
        <v>4817</v>
      </c>
      <c r="E39" s="11" t="s">
        <v>4818</v>
      </c>
      <c r="F39" s="11" t="s">
        <v>4819</v>
      </c>
      <c r="G39" s="11" t="s">
        <v>4820</v>
      </c>
      <c r="H39" s="11" t="s">
        <v>4821</v>
      </c>
      <c r="I39" s="11" t="s">
        <v>4822</v>
      </c>
      <c r="J39" s="11" t="s">
        <v>4803</v>
      </c>
      <c r="K39" s="11" t="s">
        <v>4804</v>
      </c>
      <c r="L39" s="11" t="s">
        <v>4823</v>
      </c>
      <c r="M39" s="11" t="s">
        <v>4824</v>
      </c>
      <c r="N39" s="11" t="s">
        <v>4816</v>
      </c>
      <c r="O39" s="11" t="n">
        <v>80</v>
      </c>
    </row>
    <row r="40" customFormat="false" ht="180" hidden="false" customHeight="true" outlineLevel="0" collapsed="false">
      <c r="A40" s="11" t="s">
        <v>4825</v>
      </c>
      <c r="B40" s="11" t="s">
        <v>4525</v>
      </c>
      <c r="C40" s="11" t="s">
        <v>4526</v>
      </c>
      <c r="D40" s="11" t="s">
        <v>4826</v>
      </c>
      <c r="E40" s="11" t="s">
        <v>4827</v>
      </c>
      <c r="F40" s="11" t="s">
        <v>4828</v>
      </c>
      <c r="G40" s="11" t="s">
        <v>4829</v>
      </c>
      <c r="H40" s="11" t="s">
        <v>4830</v>
      </c>
      <c r="I40" s="11" t="s">
        <v>4831</v>
      </c>
      <c r="J40" s="11" t="s">
        <v>4803</v>
      </c>
      <c r="K40" s="11" t="s">
        <v>4804</v>
      </c>
      <c r="L40" s="11"/>
      <c r="M40" s="11" t="s">
        <v>4832</v>
      </c>
      <c r="N40" s="11" t="s">
        <v>4816</v>
      </c>
      <c r="O40" s="11" t="n">
        <v>80</v>
      </c>
    </row>
    <row r="41" customFormat="false" ht="180" hidden="false" customHeight="true" outlineLevel="0" collapsed="false">
      <c r="A41" s="11" t="s">
        <v>4833</v>
      </c>
      <c r="B41" s="11" t="s">
        <v>4525</v>
      </c>
      <c r="C41" s="11" t="s">
        <v>4526</v>
      </c>
      <c r="D41" s="11" t="s">
        <v>4834</v>
      </c>
      <c r="E41" s="11" t="s">
        <v>4835</v>
      </c>
      <c r="F41" s="11" t="s">
        <v>4836</v>
      </c>
      <c r="G41" s="11" t="s">
        <v>4837</v>
      </c>
      <c r="H41" s="11" t="s">
        <v>4838</v>
      </c>
      <c r="I41" s="11" t="s">
        <v>4839</v>
      </c>
      <c r="J41" s="11" t="s">
        <v>4803</v>
      </c>
      <c r="K41" s="11" t="s">
        <v>4804</v>
      </c>
      <c r="L41" s="11"/>
      <c r="M41" s="11" t="s">
        <v>4840</v>
      </c>
      <c r="N41" s="11" t="s">
        <v>4816</v>
      </c>
      <c r="O41" s="11" t="n">
        <v>80</v>
      </c>
    </row>
    <row r="42" customFormat="false" ht="180" hidden="false" customHeight="true" outlineLevel="0" collapsed="false">
      <c r="A42" s="11" t="s">
        <v>4841</v>
      </c>
      <c r="B42" s="11" t="s">
        <v>4525</v>
      </c>
      <c r="C42" s="11" t="s">
        <v>4526</v>
      </c>
      <c r="D42" s="11" t="s">
        <v>4842</v>
      </c>
      <c r="E42" s="11" t="s">
        <v>4843</v>
      </c>
      <c r="F42" s="11" t="s">
        <v>4844</v>
      </c>
      <c r="G42" s="11" t="s">
        <v>4845</v>
      </c>
      <c r="H42" s="11" t="s">
        <v>4846</v>
      </c>
      <c r="I42" s="11" t="s">
        <v>4847</v>
      </c>
      <c r="J42" s="11" t="s">
        <v>4848</v>
      </c>
      <c r="K42" s="11" t="s">
        <v>4849</v>
      </c>
      <c r="L42" s="11" t="s">
        <v>4850</v>
      </c>
      <c r="M42" s="11" t="s">
        <v>4610</v>
      </c>
      <c r="N42" s="11" t="s">
        <v>4851</v>
      </c>
      <c r="O42" s="11" t="n">
        <v>100</v>
      </c>
    </row>
    <row r="43" customFormat="false" ht="180" hidden="false" customHeight="true" outlineLevel="0" collapsed="false">
      <c r="A43" s="11" t="s">
        <v>4127</v>
      </c>
      <c r="B43" s="11" t="s">
        <v>4525</v>
      </c>
      <c r="C43" s="11" t="s">
        <v>4526</v>
      </c>
      <c r="D43" s="11" t="s">
        <v>4852</v>
      </c>
      <c r="E43" s="11" t="s">
        <v>4853</v>
      </c>
      <c r="F43" s="11" t="s">
        <v>4854</v>
      </c>
      <c r="G43" s="11" t="s">
        <v>4855</v>
      </c>
      <c r="H43" s="11" t="s">
        <v>4856</v>
      </c>
      <c r="I43" s="11" t="s">
        <v>4857</v>
      </c>
      <c r="J43" s="11"/>
      <c r="K43" s="11"/>
      <c r="L43" s="11"/>
      <c r="M43" s="11"/>
      <c r="N43" s="11" t="s">
        <v>4858</v>
      </c>
      <c r="O43" s="11" t="n">
        <v>10</v>
      </c>
    </row>
    <row r="44" customFormat="false" ht="180" hidden="false" customHeight="true" outlineLevel="0" collapsed="false">
      <c r="A44" s="11" t="s">
        <v>568</v>
      </c>
      <c r="B44" s="11" t="s">
        <v>4525</v>
      </c>
      <c r="C44" s="11" t="s">
        <v>4526</v>
      </c>
      <c r="D44" s="11" t="s">
        <v>4859</v>
      </c>
      <c r="E44" s="11" t="s">
        <v>4860</v>
      </c>
      <c r="F44" s="11" t="s">
        <v>4861</v>
      </c>
      <c r="G44" s="11" t="s">
        <v>4862</v>
      </c>
      <c r="H44" s="11" t="s">
        <v>4863</v>
      </c>
      <c r="I44" s="11" t="s">
        <v>4864</v>
      </c>
      <c r="J44" s="11"/>
      <c r="K44" s="11" t="s">
        <v>4865</v>
      </c>
      <c r="L44" s="11" t="s">
        <v>4862</v>
      </c>
      <c r="M44" s="11"/>
      <c r="N44" s="11" t="s">
        <v>711</v>
      </c>
      <c r="O44" s="11" t="n">
        <v>10</v>
      </c>
    </row>
    <row r="45" customFormat="false" ht="180" hidden="false" customHeight="true" outlineLevel="0" collapsed="false">
      <c r="A45" s="11" t="s">
        <v>1438</v>
      </c>
      <c r="B45" s="11" t="s">
        <v>4525</v>
      </c>
      <c r="C45" s="11" t="s">
        <v>4526</v>
      </c>
      <c r="D45" s="11" t="s">
        <v>4866</v>
      </c>
      <c r="E45" s="11" t="s">
        <v>4867</v>
      </c>
      <c r="F45" s="11" t="s">
        <v>4868</v>
      </c>
      <c r="G45" s="11" t="s">
        <v>4869</v>
      </c>
      <c r="H45" s="11" t="s">
        <v>4870</v>
      </c>
      <c r="I45" s="11" t="s">
        <v>4871</v>
      </c>
      <c r="J45" s="11" t="s">
        <v>4872</v>
      </c>
      <c r="K45" s="11" t="s">
        <v>4873</v>
      </c>
      <c r="L45" s="11"/>
      <c r="M45" s="11"/>
      <c r="N45" s="11" t="s">
        <v>4874</v>
      </c>
      <c r="O45" s="11" t="n">
        <v>10</v>
      </c>
    </row>
    <row r="46" customFormat="false" ht="180" hidden="false" customHeight="true" outlineLevel="0" collapsed="false">
      <c r="A46" s="11" t="s">
        <v>4875</v>
      </c>
      <c r="B46" s="11" t="s">
        <v>4525</v>
      </c>
      <c r="C46" s="11" t="s">
        <v>4526</v>
      </c>
      <c r="D46" s="11" t="s">
        <v>4876</v>
      </c>
      <c r="E46" s="11" t="s">
        <v>4877</v>
      </c>
      <c r="F46" s="11" t="s">
        <v>4878</v>
      </c>
      <c r="G46" s="11" t="s">
        <v>4879</v>
      </c>
      <c r="H46" s="11" t="s">
        <v>4880</v>
      </c>
      <c r="I46" s="11" t="s">
        <v>4881</v>
      </c>
      <c r="J46" s="11"/>
      <c r="K46" s="11" t="s">
        <v>4880</v>
      </c>
      <c r="L46" s="11"/>
      <c r="M46" s="11"/>
      <c r="N46" s="11" t="s">
        <v>4882</v>
      </c>
      <c r="O46" s="11" t="n">
        <v>10</v>
      </c>
    </row>
    <row r="47" customFormat="false" ht="180" hidden="false" customHeight="true" outlineLevel="0" collapsed="false">
      <c r="A47" s="11" t="s">
        <v>4883</v>
      </c>
      <c r="B47" s="11" t="s">
        <v>4525</v>
      </c>
      <c r="C47" s="11" t="s">
        <v>4526</v>
      </c>
      <c r="D47" s="11" t="s">
        <v>4884</v>
      </c>
      <c r="E47" s="11" t="s">
        <v>4885</v>
      </c>
      <c r="F47" s="11" t="s">
        <v>4886</v>
      </c>
      <c r="G47" s="11" t="s">
        <v>4887</v>
      </c>
      <c r="H47" s="11" t="s">
        <v>4888</v>
      </c>
      <c r="I47" s="11" t="s">
        <v>4889</v>
      </c>
      <c r="J47" s="11" t="s">
        <v>4890</v>
      </c>
      <c r="K47" s="11" t="s">
        <v>4891</v>
      </c>
      <c r="L47" s="11"/>
      <c r="M47" s="11" t="s">
        <v>4892</v>
      </c>
      <c r="N47" s="11" t="s">
        <v>4882</v>
      </c>
      <c r="O47" s="11" t="n">
        <v>10</v>
      </c>
    </row>
    <row r="48" customFormat="false" ht="180" hidden="false" customHeight="true" outlineLevel="0" collapsed="false">
      <c r="A48" s="11" t="s">
        <v>4893</v>
      </c>
      <c r="B48" s="11" t="s">
        <v>4525</v>
      </c>
      <c r="C48" s="11" t="s">
        <v>4526</v>
      </c>
      <c r="D48" s="11" t="s">
        <v>4894</v>
      </c>
      <c r="E48" s="11" t="s">
        <v>4895</v>
      </c>
      <c r="F48" s="11" t="s">
        <v>4896</v>
      </c>
      <c r="G48" s="11" t="s">
        <v>4897</v>
      </c>
      <c r="H48" s="11" t="s">
        <v>4898</v>
      </c>
      <c r="I48" s="11" t="s">
        <v>4899</v>
      </c>
      <c r="J48" s="11" t="s">
        <v>4574</v>
      </c>
      <c r="K48" s="11"/>
      <c r="L48" s="11"/>
      <c r="M48" s="11" t="s">
        <v>4900</v>
      </c>
      <c r="N48" s="11" t="s">
        <v>4882</v>
      </c>
      <c r="O48" s="11" t="n">
        <v>10</v>
      </c>
    </row>
    <row r="49" customFormat="false" ht="180" hidden="false" customHeight="true" outlineLevel="0" collapsed="false">
      <c r="A49" s="11" t="s">
        <v>1442</v>
      </c>
      <c r="B49" s="11" t="s">
        <v>4525</v>
      </c>
      <c r="C49" s="11" t="s">
        <v>4526</v>
      </c>
      <c r="D49" s="11" t="s">
        <v>4901</v>
      </c>
      <c r="E49" s="11" t="s">
        <v>4902</v>
      </c>
      <c r="F49" s="11" t="s">
        <v>4903</v>
      </c>
      <c r="G49" s="11" t="s">
        <v>4904</v>
      </c>
      <c r="H49" s="11" t="s">
        <v>4905</v>
      </c>
      <c r="I49" s="11" t="s">
        <v>4906</v>
      </c>
      <c r="J49" s="11"/>
      <c r="K49" s="11" t="s">
        <v>4907</v>
      </c>
      <c r="L49" s="11"/>
      <c r="M49" s="11"/>
      <c r="N49" s="11" t="s">
        <v>4908</v>
      </c>
      <c r="O49" s="11" t="n">
        <v>10</v>
      </c>
    </row>
    <row r="50" customFormat="false" ht="180" hidden="false" customHeight="true" outlineLevel="0" collapsed="false">
      <c r="A50" s="11" t="s">
        <v>4909</v>
      </c>
      <c r="B50" s="11" t="s">
        <v>4525</v>
      </c>
      <c r="C50" s="11" t="s">
        <v>4526</v>
      </c>
      <c r="D50" s="11" t="s">
        <v>4910</v>
      </c>
      <c r="E50" s="11" t="s">
        <v>4911</v>
      </c>
      <c r="F50" s="11" t="s">
        <v>4912</v>
      </c>
      <c r="G50" s="11" t="s">
        <v>4913</v>
      </c>
      <c r="H50" s="11" t="s">
        <v>4914</v>
      </c>
      <c r="I50" s="11" t="s">
        <v>4915</v>
      </c>
      <c r="J50" s="11"/>
      <c r="K50" s="11"/>
      <c r="L50" s="11" t="s">
        <v>4916</v>
      </c>
      <c r="M50" s="11"/>
      <c r="N50" s="11" t="s">
        <v>4908</v>
      </c>
      <c r="O50" s="11" t="n">
        <v>55</v>
      </c>
    </row>
    <row r="51" customFormat="false" ht="180" hidden="false" customHeight="true" outlineLevel="0" collapsed="false">
      <c r="A51" s="11" t="s">
        <v>1446</v>
      </c>
      <c r="B51" s="11" t="s">
        <v>4525</v>
      </c>
      <c r="C51" s="11" t="s">
        <v>4526</v>
      </c>
      <c r="D51" s="11" t="s">
        <v>4917</v>
      </c>
      <c r="E51" s="11" t="s">
        <v>4918</v>
      </c>
      <c r="F51" s="11" t="s">
        <v>4919</v>
      </c>
      <c r="G51" s="11" t="s">
        <v>4920</v>
      </c>
      <c r="H51" s="11" t="s">
        <v>4921</v>
      </c>
      <c r="I51" s="11" t="s">
        <v>4922</v>
      </c>
      <c r="J51" s="11" t="s">
        <v>4574</v>
      </c>
      <c r="K51" s="11" t="s">
        <v>4923</v>
      </c>
      <c r="L51" s="11" t="s">
        <v>4924</v>
      </c>
      <c r="M51" s="11" t="s">
        <v>1450</v>
      </c>
      <c r="N51" s="11" t="s">
        <v>4925</v>
      </c>
      <c r="O51" s="11" t="n">
        <v>10</v>
      </c>
    </row>
    <row r="52" customFormat="false" ht="180" hidden="false" customHeight="true" outlineLevel="0" collapsed="false">
      <c r="A52" s="11" t="s">
        <v>1451</v>
      </c>
      <c r="B52" s="11" t="s">
        <v>4525</v>
      </c>
      <c r="C52" s="11" t="s">
        <v>4526</v>
      </c>
      <c r="D52" s="11" t="s">
        <v>4926</v>
      </c>
      <c r="E52" s="11" t="s">
        <v>4927</v>
      </c>
      <c r="F52" s="11" t="s">
        <v>4912</v>
      </c>
      <c r="G52" s="11" t="s">
        <v>4928</v>
      </c>
      <c r="H52" s="11" t="s">
        <v>4929</v>
      </c>
      <c r="I52" s="11" t="s">
        <v>4930</v>
      </c>
      <c r="J52" s="11"/>
      <c r="K52" s="11"/>
      <c r="L52" s="11"/>
      <c r="M52" s="11"/>
      <c r="N52" s="11" t="s">
        <v>4931</v>
      </c>
      <c r="O52" s="11" t="n">
        <v>10</v>
      </c>
    </row>
    <row r="53" customFormat="false" ht="180" hidden="false" customHeight="true" outlineLevel="0" collapsed="false">
      <c r="A53" s="11" t="s">
        <v>1455</v>
      </c>
      <c r="B53" s="11" t="s">
        <v>4525</v>
      </c>
      <c r="C53" s="11" t="s">
        <v>4526</v>
      </c>
      <c r="D53" s="11" t="s">
        <v>4932</v>
      </c>
      <c r="E53" s="11" t="s">
        <v>4933</v>
      </c>
      <c r="F53" s="11" t="s">
        <v>4934</v>
      </c>
      <c r="G53" s="11" t="s">
        <v>4935</v>
      </c>
      <c r="H53" s="11" t="s">
        <v>4936</v>
      </c>
      <c r="I53" s="11" t="s">
        <v>4937</v>
      </c>
      <c r="J53" s="11"/>
      <c r="K53" s="11" t="s">
        <v>4938</v>
      </c>
      <c r="L53" s="11" t="s">
        <v>4935</v>
      </c>
      <c r="M53" s="11"/>
      <c r="N53" s="11" t="s">
        <v>4939</v>
      </c>
      <c r="O53" s="11" t="n">
        <v>10</v>
      </c>
    </row>
    <row r="54" customFormat="false" ht="180" hidden="false" customHeight="true" outlineLevel="0" collapsed="false">
      <c r="A54" s="11" t="s">
        <v>1458</v>
      </c>
      <c r="B54" s="11" t="s">
        <v>4525</v>
      </c>
      <c r="C54" s="11" t="s">
        <v>4526</v>
      </c>
      <c r="D54" s="11" t="s">
        <v>4940</v>
      </c>
      <c r="E54" s="11" t="s">
        <v>4918</v>
      </c>
      <c r="F54" s="11" t="s">
        <v>4941</v>
      </c>
      <c r="G54" s="11" t="s">
        <v>4942</v>
      </c>
      <c r="H54" s="11" t="s">
        <v>4943</v>
      </c>
      <c r="I54" s="11" t="s">
        <v>4944</v>
      </c>
      <c r="J54" s="11" t="s">
        <v>4942</v>
      </c>
      <c r="K54" s="11" t="s">
        <v>4945</v>
      </c>
      <c r="L54" s="11" t="s">
        <v>4946</v>
      </c>
      <c r="M54" s="11"/>
      <c r="N54" s="11" t="s">
        <v>4947</v>
      </c>
      <c r="O54" s="11" t="n">
        <v>10</v>
      </c>
    </row>
    <row r="55" customFormat="false" ht="180" hidden="false" customHeight="true" outlineLevel="0" collapsed="false">
      <c r="A55" s="11" t="s">
        <v>1461</v>
      </c>
      <c r="B55" s="11" t="s">
        <v>4525</v>
      </c>
      <c r="C55" s="11" t="s">
        <v>4526</v>
      </c>
      <c r="D55" s="11" t="s">
        <v>4948</v>
      </c>
      <c r="E55" s="11" t="s">
        <v>4949</v>
      </c>
      <c r="F55" s="11" t="s">
        <v>4950</v>
      </c>
      <c r="G55" s="11" t="s">
        <v>4951</v>
      </c>
      <c r="H55" s="11" t="s">
        <v>4952</v>
      </c>
      <c r="I55" s="11" t="s">
        <v>4953</v>
      </c>
      <c r="J55" s="11" t="s">
        <v>4574</v>
      </c>
      <c r="K55" s="11"/>
      <c r="L55" s="11" t="s">
        <v>4954</v>
      </c>
      <c r="M55" s="11" t="s">
        <v>1465</v>
      </c>
      <c r="N55" s="11" t="s">
        <v>4955</v>
      </c>
      <c r="O55" s="11" t="n">
        <v>10</v>
      </c>
    </row>
    <row r="56" customFormat="false" ht="180" hidden="false" customHeight="true" outlineLevel="0" collapsed="false">
      <c r="A56" s="11" t="s">
        <v>4956</v>
      </c>
      <c r="B56" s="11" t="s">
        <v>4525</v>
      </c>
      <c r="C56" s="11" t="s">
        <v>4526</v>
      </c>
      <c r="D56" s="11" t="s">
        <v>4957</v>
      </c>
      <c r="E56" s="11" t="s">
        <v>4958</v>
      </c>
      <c r="F56" s="11" t="s">
        <v>4912</v>
      </c>
      <c r="G56" s="11" t="s">
        <v>4959</v>
      </c>
      <c r="H56" s="11" t="s">
        <v>4960</v>
      </c>
      <c r="I56" s="11" t="s">
        <v>4961</v>
      </c>
      <c r="J56" s="11"/>
      <c r="K56" s="11"/>
      <c r="L56" s="11" t="s">
        <v>4962</v>
      </c>
      <c r="M56" s="11"/>
      <c r="N56" s="11" t="s">
        <v>4955</v>
      </c>
      <c r="O56" s="11" t="n">
        <v>10</v>
      </c>
    </row>
    <row r="57" customFormat="false" ht="180" hidden="false" customHeight="true" outlineLevel="0" collapsed="false">
      <c r="A57" s="11" t="s">
        <v>1466</v>
      </c>
      <c r="B57" s="11" t="s">
        <v>4525</v>
      </c>
      <c r="C57" s="11" t="s">
        <v>4526</v>
      </c>
      <c r="D57" s="11" t="s">
        <v>4963</v>
      </c>
      <c r="E57" s="11" t="s">
        <v>4964</v>
      </c>
      <c r="F57" s="11" t="s">
        <v>4965</v>
      </c>
      <c r="G57" s="11" t="s">
        <v>4966</v>
      </c>
      <c r="H57" s="11" t="s">
        <v>4967</v>
      </c>
      <c r="I57" s="11" t="s">
        <v>4968</v>
      </c>
      <c r="J57" s="11"/>
      <c r="K57" s="11"/>
      <c r="L57" s="11" t="s">
        <v>4966</v>
      </c>
      <c r="M57" s="11"/>
      <c r="N57" s="11" t="s">
        <v>4969</v>
      </c>
      <c r="O57" s="11" t="n">
        <v>10</v>
      </c>
    </row>
    <row r="58" customFormat="false" ht="180" hidden="false" customHeight="true" outlineLevel="0" collapsed="false">
      <c r="A58" s="11" t="s">
        <v>1469</v>
      </c>
      <c r="B58" s="11" t="s">
        <v>4525</v>
      </c>
      <c r="C58" s="11" t="s">
        <v>4526</v>
      </c>
      <c r="D58" s="11" t="s">
        <v>4970</v>
      </c>
      <c r="E58" s="11" t="s">
        <v>4971</v>
      </c>
      <c r="F58" s="11" t="s">
        <v>4972</v>
      </c>
      <c r="G58" s="11" t="s">
        <v>4973</v>
      </c>
      <c r="H58" s="11" t="s">
        <v>4974</v>
      </c>
      <c r="I58" s="11" t="s">
        <v>4975</v>
      </c>
      <c r="J58" s="11"/>
      <c r="K58" s="11"/>
      <c r="L58" s="11"/>
      <c r="M58" s="11"/>
      <c r="N58" s="11" t="s">
        <v>4976</v>
      </c>
      <c r="O58" s="11" t="n">
        <v>10</v>
      </c>
    </row>
    <row r="59" customFormat="false" ht="180" hidden="false" customHeight="true" outlineLevel="0" collapsed="false">
      <c r="A59" s="11" t="s">
        <v>1472</v>
      </c>
      <c r="B59" s="11" t="s">
        <v>4525</v>
      </c>
      <c r="C59" s="11" t="s">
        <v>4526</v>
      </c>
      <c r="D59" s="11" t="s">
        <v>4977</v>
      </c>
      <c r="E59" s="11" t="s">
        <v>4978</v>
      </c>
      <c r="F59" s="11" t="s">
        <v>4979</v>
      </c>
      <c r="G59" s="11" t="s">
        <v>4980</v>
      </c>
      <c r="H59" s="11" t="s">
        <v>4981</v>
      </c>
      <c r="I59" s="11" t="s">
        <v>4982</v>
      </c>
      <c r="J59" s="11" t="s">
        <v>4574</v>
      </c>
      <c r="K59" s="11"/>
      <c r="L59" s="11" t="s">
        <v>4983</v>
      </c>
      <c r="M59" s="11" t="s">
        <v>1465</v>
      </c>
      <c r="N59" s="11" t="s">
        <v>4984</v>
      </c>
      <c r="O59" s="11" t="n">
        <v>10</v>
      </c>
    </row>
    <row r="60" customFormat="false" ht="180" hidden="false" customHeight="true" outlineLevel="0" collapsed="false">
      <c r="A60" s="11" t="s">
        <v>4985</v>
      </c>
      <c r="B60" s="11" t="s">
        <v>4525</v>
      </c>
      <c r="C60" s="11" t="s">
        <v>4526</v>
      </c>
      <c r="D60" s="11" t="s">
        <v>4986</v>
      </c>
      <c r="E60" s="11" t="s">
        <v>4987</v>
      </c>
      <c r="F60" s="11" t="s">
        <v>4912</v>
      </c>
      <c r="G60" s="11" t="s">
        <v>4988</v>
      </c>
      <c r="H60" s="11" t="s">
        <v>4989</v>
      </c>
      <c r="I60" s="11" t="s">
        <v>4990</v>
      </c>
      <c r="J60" s="11"/>
      <c r="K60" s="11"/>
      <c r="L60" s="11" t="s">
        <v>4991</v>
      </c>
      <c r="M60" s="11"/>
      <c r="N60" s="11" t="s">
        <v>4984</v>
      </c>
      <c r="O60" s="11" t="n">
        <v>10</v>
      </c>
    </row>
    <row r="61" customFormat="false" ht="180" hidden="false" customHeight="true" outlineLevel="0" collapsed="false">
      <c r="A61" s="11" t="s">
        <v>1476</v>
      </c>
      <c r="B61" s="11" t="s">
        <v>4525</v>
      </c>
      <c r="C61" s="11" t="s">
        <v>4526</v>
      </c>
      <c r="D61" s="11" t="s">
        <v>4992</v>
      </c>
      <c r="E61" s="11" t="s">
        <v>4918</v>
      </c>
      <c r="F61" s="11" t="s">
        <v>4993</v>
      </c>
      <c r="G61" s="11" t="s">
        <v>4994</v>
      </c>
      <c r="H61" s="11" t="s">
        <v>4995</v>
      </c>
      <c r="I61" s="11" t="s">
        <v>4996</v>
      </c>
      <c r="J61" s="11" t="s">
        <v>4997</v>
      </c>
      <c r="K61" s="11" t="s">
        <v>4998</v>
      </c>
      <c r="L61" s="11" t="s">
        <v>4999</v>
      </c>
      <c r="M61" s="11" t="s">
        <v>1479</v>
      </c>
      <c r="N61" s="11" t="s">
        <v>5000</v>
      </c>
      <c r="O61" s="11" t="n">
        <v>10</v>
      </c>
    </row>
    <row r="62" customFormat="false" ht="180" hidden="false" customHeight="true" outlineLevel="0" collapsed="false">
      <c r="A62" s="11" t="s">
        <v>1480</v>
      </c>
      <c r="B62" s="11" t="s">
        <v>4525</v>
      </c>
      <c r="C62" s="11" t="s">
        <v>4526</v>
      </c>
      <c r="D62" s="11" t="s">
        <v>5001</v>
      </c>
      <c r="E62" s="11" t="s">
        <v>5002</v>
      </c>
      <c r="F62" s="11" t="s">
        <v>5003</v>
      </c>
      <c r="G62" s="11" t="s">
        <v>5004</v>
      </c>
      <c r="H62" s="11" t="s">
        <v>5005</v>
      </c>
      <c r="I62" s="11" t="s">
        <v>5006</v>
      </c>
      <c r="J62" s="11" t="s">
        <v>5007</v>
      </c>
      <c r="K62" s="11" t="s">
        <v>5004</v>
      </c>
      <c r="L62" s="11" t="s">
        <v>5004</v>
      </c>
      <c r="M62" s="11"/>
      <c r="N62" s="11" t="s">
        <v>5008</v>
      </c>
      <c r="O62" s="11" t="n">
        <v>10</v>
      </c>
    </row>
    <row r="63" customFormat="false" ht="180" hidden="false" customHeight="true" outlineLevel="0" collapsed="false">
      <c r="A63" s="11" t="s">
        <v>1483</v>
      </c>
      <c r="B63" s="11" t="s">
        <v>4525</v>
      </c>
      <c r="C63" s="11" t="s">
        <v>4526</v>
      </c>
      <c r="D63" s="11" t="s">
        <v>5009</v>
      </c>
      <c r="E63" s="11" t="s">
        <v>5010</v>
      </c>
      <c r="F63" s="11" t="s">
        <v>5011</v>
      </c>
      <c r="G63" s="11" t="s">
        <v>5012</v>
      </c>
      <c r="H63" s="11" t="s">
        <v>5013</v>
      </c>
      <c r="I63" s="11" t="s">
        <v>5014</v>
      </c>
      <c r="J63" s="11" t="s">
        <v>5015</v>
      </c>
      <c r="K63" s="11" t="s">
        <v>5016</v>
      </c>
      <c r="L63" s="11" t="s">
        <v>5017</v>
      </c>
      <c r="M63" s="11" t="s">
        <v>5018</v>
      </c>
      <c r="N63" s="11" t="s">
        <v>5019</v>
      </c>
      <c r="O63" s="11" t="n">
        <v>10</v>
      </c>
    </row>
    <row r="64" customFormat="false" ht="180" hidden="false" customHeight="true" outlineLevel="0" collapsed="false">
      <c r="A64" s="11" t="s">
        <v>1487</v>
      </c>
      <c r="B64" s="11" t="s">
        <v>4525</v>
      </c>
      <c r="C64" s="11" t="s">
        <v>4526</v>
      </c>
      <c r="D64" s="11" t="s">
        <v>5020</v>
      </c>
      <c r="E64" s="11" t="s">
        <v>4918</v>
      </c>
      <c r="F64" s="11" t="s">
        <v>5021</v>
      </c>
      <c r="G64" s="11" t="s">
        <v>5022</v>
      </c>
      <c r="H64" s="11" t="s">
        <v>5023</v>
      </c>
      <c r="I64" s="11" t="s">
        <v>5024</v>
      </c>
      <c r="J64" s="11" t="s">
        <v>5025</v>
      </c>
      <c r="K64" s="11" t="s">
        <v>5026</v>
      </c>
      <c r="L64" s="11" t="s">
        <v>5027</v>
      </c>
      <c r="M64" s="11" t="s">
        <v>1492</v>
      </c>
      <c r="N64" s="11" t="s">
        <v>5028</v>
      </c>
      <c r="O64" s="11" t="n">
        <v>10</v>
      </c>
    </row>
    <row r="65" customFormat="false" ht="180" hidden="false" customHeight="true" outlineLevel="0" collapsed="false">
      <c r="A65" s="11" t="s">
        <v>5029</v>
      </c>
      <c r="B65" s="11" t="s">
        <v>4525</v>
      </c>
      <c r="C65" s="11" t="s">
        <v>4526</v>
      </c>
      <c r="D65" s="11" t="s">
        <v>5030</v>
      </c>
      <c r="E65" s="11" t="s">
        <v>5031</v>
      </c>
      <c r="F65" s="11" t="s">
        <v>5032</v>
      </c>
      <c r="G65" s="11" t="s">
        <v>5033</v>
      </c>
      <c r="H65" s="11" t="s">
        <v>5034</v>
      </c>
      <c r="I65" s="11" t="s">
        <v>5035</v>
      </c>
      <c r="J65" s="11"/>
      <c r="K65" s="11" t="s">
        <v>5036</v>
      </c>
      <c r="L65" s="11"/>
      <c r="M65" s="11"/>
      <c r="N65" s="11" t="s">
        <v>5037</v>
      </c>
      <c r="O65" s="11" t="n">
        <v>10</v>
      </c>
    </row>
    <row r="66" customFormat="false" ht="180" hidden="false" customHeight="true" outlineLevel="0" collapsed="false">
      <c r="A66" s="11" t="s">
        <v>572</v>
      </c>
      <c r="B66" s="11" t="s">
        <v>4525</v>
      </c>
      <c r="C66" s="11" t="s">
        <v>4526</v>
      </c>
      <c r="D66" s="11" t="s">
        <v>5038</v>
      </c>
      <c r="E66" s="11" t="s">
        <v>5039</v>
      </c>
      <c r="F66" s="11" t="s">
        <v>5040</v>
      </c>
      <c r="G66" s="11" t="s">
        <v>5041</v>
      </c>
      <c r="H66" s="11" t="s">
        <v>5042</v>
      </c>
      <c r="I66" s="11" t="s">
        <v>5043</v>
      </c>
      <c r="J66" s="11"/>
      <c r="K66" s="11" t="s">
        <v>5044</v>
      </c>
      <c r="L66" s="11" t="s">
        <v>5045</v>
      </c>
      <c r="M66" s="11"/>
      <c r="N66" s="11" t="s">
        <v>716</v>
      </c>
      <c r="O66" s="11" t="n">
        <v>10</v>
      </c>
    </row>
    <row r="67" customFormat="false" ht="180" hidden="false" customHeight="true" outlineLevel="0" collapsed="false">
      <c r="A67" s="11" t="s">
        <v>1493</v>
      </c>
      <c r="B67" s="11" t="s">
        <v>4525</v>
      </c>
      <c r="C67" s="11" t="s">
        <v>4526</v>
      </c>
      <c r="D67" s="11" t="s">
        <v>1494</v>
      </c>
      <c r="E67" s="11" t="s">
        <v>5046</v>
      </c>
      <c r="F67" s="11" t="s">
        <v>5047</v>
      </c>
      <c r="G67" s="11" t="s">
        <v>5048</v>
      </c>
      <c r="H67" s="11" t="s">
        <v>5049</v>
      </c>
      <c r="I67" s="11" t="s">
        <v>5050</v>
      </c>
      <c r="J67" s="11" t="s">
        <v>5051</v>
      </c>
      <c r="K67" s="11"/>
      <c r="L67" s="11" t="s">
        <v>5052</v>
      </c>
      <c r="M67" s="11" t="s">
        <v>1495</v>
      </c>
      <c r="N67" s="11" t="s">
        <v>5053</v>
      </c>
      <c r="O67" s="11" t="n">
        <v>10</v>
      </c>
    </row>
    <row r="68" customFormat="false" ht="180" hidden="false" customHeight="true" outlineLevel="0" collapsed="false">
      <c r="A68" s="11" t="s">
        <v>1496</v>
      </c>
      <c r="B68" s="11" t="s">
        <v>4525</v>
      </c>
      <c r="C68" s="11" t="s">
        <v>4526</v>
      </c>
      <c r="D68" s="11" t="s">
        <v>5054</v>
      </c>
      <c r="E68" s="11" t="s">
        <v>5055</v>
      </c>
      <c r="F68" s="11" t="s">
        <v>4965</v>
      </c>
      <c r="G68" s="11" t="s">
        <v>5056</v>
      </c>
      <c r="H68" s="11" t="s">
        <v>5057</v>
      </c>
      <c r="I68" s="11" t="s">
        <v>5058</v>
      </c>
      <c r="J68" s="11"/>
      <c r="K68" s="11"/>
      <c r="L68" s="11" t="s">
        <v>5056</v>
      </c>
      <c r="M68" s="11"/>
      <c r="N68" s="11" t="s">
        <v>5059</v>
      </c>
      <c r="O68" s="11" t="n">
        <v>10</v>
      </c>
    </row>
    <row r="69" customFormat="false" ht="180" hidden="false" customHeight="true" outlineLevel="0" collapsed="false">
      <c r="A69" s="11" t="s">
        <v>1505</v>
      </c>
      <c r="B69" s="11" t="s">
        <v>4525</v>
      </c>
      <c r="C69" s="11" t="s">
        <v>4526</v>
      </c>
      <c r="D69" s="11" t="s">
        <v>5060</v>
      </c>
      <c r="E69" s="11" t="s">
        <v>4918</v>
      </c>
      <c r="F69" s="11" t="s">
        <v>5061</v>
      </c>
      <c r="G69" s="11" t="s">
        <v>5062</v>
      </c>
      <c r="H69" s="11" t="s">
        <v>5063</v>
      </c>
      <c r="I69" s="11" t="s">
        <v>5064</v>
      </c>
      <c r="J69" s="11" t="s">
        <v>5062</v>
      </c>
      <c r="K69" s="11" t="s">
        <v>5065</v>
      </c>
      <c r="L69" s="11" t="s">
        <v>5066</v>
      </c>
      <c r="M69" s="11"/>
      <c r="N69" s="11" t="s">
        <v>5067</v>
      </c>
      <c r="O69" s="11" t="n">
        <v>10</v>
      </c>
    </row>
    <row r="70" customFormat="false" ht="180" hidden="false" customHeight="true" outlineLevel="0" collapsed="false">
      <c r="A70" s="11" t="s">
        <v>5068</v>
      </c>
      <c r="B70" s="11" t="s">
        <v>4525</v>
      </c>
      <c r="C70" s="11" t="s">
        <v>4526</v>
      </c>
      <c r="D70" s="11" t="s">
        <v>5069</v>
      </c>
      <c r="E70" s="11" t="s">
        <v>5070</v>
      </c>
      <c r="F70" s="11" t="s">
        <v>5071</v>
      </c>
      <c r="G70" s="11" t="s">
        <v>5072</v>
      </c>
      <c r="H70" s="11" t="s">
        <v>5073</v>
      </c>
      <c r="I70" s="11" t="s">
        <v>5074</v>
      </c>
      <c r="J70" s="11" t="s">
        <v>5075</v>
      </c>
      <c r="K70" s="11"/>
      <c r="L70" s="11" t="s">
        <v>5076</v>
      </c>
      <c r="M70" s="11" t="s">
        <v>5077</v>
      </c>
      <c r="N70" s="11" t="s">
        <v>5067</v>
      </c>
      <c r="O70" s="11" t="n">
        <v>10</v>
      </c>
    </row>
    <row r="71" customFormat="false" ht="180" hidden="false" customHeight="true" outlineLevel="0" collapsed="false">
      <c r="A71" s="11" t="s">
        <v>1511</v>
      </c>
      <c r="B71" s="11" t="s">
        <v>4525</v>
      </c>
      <c r="C71" s="11" t="s">
        <v>4526</v>
      </c>
      <c r="D71" s="11" t="s">
        <v>5078</v>
      </c>
      <c r="E71" s="11" t="s">
        <v>5079</v>
      </c>
      <c r="F71" s="11" t="s">
        <v>5080</v>
      </c>
      <c r="G71" s="11" t="s">
        <v>5081</v>
      </c>
      <c r="H71" s="11" t="s">
        <v>5082</v>
      </c>
      <c r="I71" s="11" t="s">
        <v>5083</v>
      </c>
      <c r="J71" s="11" t="s">
        <v>4574</v>
      </c>
      <c r="K71" s="11" t="s">
        <v>5084</v>
      </c>
      <c r="L71" s="11"/>
      <c r="M71" s="11" t="s">
        <v>1514</v>
      </c>
      <c r="N71" s="11" t="s">
        <v>5085</v>
      </c>
      <c r="O71" s="11" t="n">
        <v>10</v>
      </c>
    </row>
    <row r="72" customFormat="false" ht="180" hidden="false" customHeight="true" outlineLevel="0" collapsed="false">
      <c r="A72" s="11" t="s">
        <v>1515</v>
      </c>
      <c r="B72" s="11" t="s">
        <v>4525</v>
      </c>
      <c r="C72" s="11" t="s">
        <v>4526</v>
      </c>
      <c r="D72" s="11" t="s">
        <v>5086</v>
      </c>
      <c r="E72" s="11" t="s">
        <v>4918</v>
      </c>
      <c r="F72" s="11" t="s">
        <v>5087</v>
      </c>
      <c r="G72" s="11" t="s">
        <v>5088</v>
      </c>
      <c r="H72" s="11" t="s">
        <v>5089</v>
      </c>
      <c r="I72" s="11" t="s">
        <v>5090</v>
      </c>
      <c r="J72" s="11" t="s">
        <v>5091</v>
      </c>
      <c r="K72" s="11" t="s">
        <v>5092</v>
      </c>
      <c r="L72" s="11"/>
      <c r="M72" s="11" t="s">
        <v>1514</v>
      </c>
      <c r="N72" s="11" t="s">
        <v>5093</v>
      </c>
      <c r="O72" s="11" t="n">
        <v>10</v>
      </c>
    </row>
    <row r="73" customFormat="false" ht="180" hidden="false" customHeight="true" outlineLevel="0" collapsed="false">
      <c r="A73" s="11" t="s">
        <v>1518</v>
      </c>
      <c r="B73" s="11" t="s">
        <v>4525</v>
      </c>
      <c r="C73" s="11" t="s">
        <v>4526</v>
      </c>
      <c r="D73" s="11" t="s">
        <v>5094</v>
      </c>
      <c r="E73" s="11" t="s">
        <v>5095</v>
      </c>
      <c r="F73" s="11" t="s">
        <v>5096</v>
      </c>
      <c r="G73" s="11" t="s">
        <v>5097</v>
      </c>
      <c r="H73" s="11" t="s">
        <v>5098</v>
      </c>
      <c r="I73" s="11" t="s">
        <v>5099</v>
      </c>
      <c r="J73" s="11" t="s">
        <v>4574</v>
      </c>
      <c r="K73" s="11" t="s">
        <v>5100</v>
      </c>
      <c r="L73" s="11" t="s">
        <v>5101</v>
      </c>
      <c r="M73" s="11" t="s">
        <v>1522</v>
      </c>
      <c r="N73" s="11" t="s">
        <v>5102</v>
      </c>
      <c r="O73" s="11" t="n">
        <v>10</v>
      </c>
    </row>
    <row r="74" customFormat="false" ht="180" hidden="false" customHeight="true" outlineLevel="0" collapsed="false">
      <c r="A74" s="11" t="s">
        <v>5103</v>
      </c>
      <c r="B74" s="11" t="s">
        <v>4525</v>
      </c>
      <c r="C74" s="11" t="s">
        <v>4526</v>
      </c>
      <c r="D74" s="11" t="s">
        <v>5104</v>
      </c>
      <c r="E74" s="11" t="s">
        <v>5105</v>
      </c>
      <c r="F74" s="11" t="s">
        <v>5106</v>
      </c>
      <c r="G74" s="11" t="s">
        <v>5107</v>
      </c>
      <c r="H74" s="11" t="s">
        <v>5108</v>
      </c>
      <c r="I74" s="11" t="s">
        <v>5109</v>
      </c>
      <c r="J74" s="11"/>
      <c r="K74" s="11"/>
      <c r="L74" s="11"/>
      <c r="M74" s="11"/>
      <c r="N74" s="11" t="s">
        <v>5102</v>
      </c>
      <c r="O74" s="11" t="n">
        <v>10</v>
      </c>
    </row>
    <row r="75" customFormat="false" ht="180" hidden="false" customHeight="true" outlineLevel="0" collapsed="false">
      <c r="A75" s="11" t="s">
        <v>1530</v>
      </c>
      <c r="B75" s="11" t="s">
        <v>4525</v>
      </c>
      <c r="C75" s="11" t="s">
        <v>4526</v>
      </c>
      <c r="D75" s="11" t="s">
        <v>5110</v>
      </c>
      <c r="E75" s="11" t="s">
        <v>5111</v>
      </c>
      <c r="F75" s="11" t="s">
        <v>5112</v>
      </c>
      <c r="G75" s="11" t="s">
        <v>5113</v>
      </c>
      <c r="H75" s="11" t="s">
        <v>5114</v>
      </c>
      <c r="I75" s="11" t="s">
        <v>5115</v>
      </c>
      <c r="J75" s="11" t="s">
        <v>5116</v>
      </c>
      <c r="K75" s="11" t="s">
        <v>5117</v>
      </c>
      <c r="L75" s="11"/>
      <c r="M75" s="11" t="s">
        <v>1533</v>
      </c>
      <c r="N75" s="11" t="s">
        <v>5118</v>
      </c>
      <c r="O75" s="11" t="n">
        <v>10</v>
      </c>
    </row>
    <row r="76" customFormat="false" ht="180" hidden="false" customHeight="true" outlineLevel="0" collapsed="false">
      <c r="A76" s="11" t="s">
        <v>1541</v>
      </c>
      <c r="B76" s="11" t="s">
        <v>4525</v>
      </c>
      <c r="C76" s="11" t="s">
        <v>4526</v>
      </c>
      <c r="D76" s="11" t="s">
        <v>5119</v>
      </c>
      <c r="E76" s="11" t="s">
        <v>4918</v>
      </c>
      <c r="F76" s="11" t="s">
        <v>5120</v>
      </c>
      <c r="G76" s="11" t="s">
        <v>5121</v>
      </c>
      <c r="H76" s="11" t="s">
        <v>5122</v>
      </c>
      <c r="I76" s="11" t="s">
        <v>5123</v>
      </c>
      <c r="J76" s="11" t="s">
        <v>5124</v>
      </c>
      <c r="K76" s="11" t="s">
        <v>5125</v>
      </c>
      <c r="L76" s="11" t="s">
        <v>5126</v>
      </c>
      <c r="M76" s="11" t="s">
        <v>5127</v>
      </c>
      <c r="N76" s="11" t="s">
        <v>5128</v>
      </c>
      <c r="O76" s="11" t="n">
        <v>80</v>
      </c>
    </row>
    <row r="77" customFormat="false" ht="180" hidden="false" customHeight="true" outlineLevel="0" collapsed="false">
      <c r="A77" s="11" t="s">
        <v>1545</v>
      </c>
      <c r="B77" s="11" t="s">
        <v>4525</v>
      </c>
      <c r="C77" s="11" t="s">
        <v>4526</v>
      </c>
      <c r="D77" s="11" t="s">
        <v>5129</v>
      </c>
      <c r="E77" s="11" t="s">
        <v>5130</v>
      </c>
      <c r="F77" s="11" t="s">
        <v>5131</v>
      </c>
      <c r="G77" s="11" t="s">
        <v>5132</v>
      </c>
      <c r="H77" s="11" t="s">
        <v>5133</v>
      </c>
      <c r="I77" s="11" t="s">
        <v>5134</v>
      </c>
      <c r="J77" s="11" t="s">
        <v>5135</v>
      </c>
      <c r="K77" s="11" t="s">
        <v>5136</v>
      </c>
      <c r="L77" s="11"/>
      <c r="M77" s="11" t="s">
        <v>1549</v>
      </c>
      <c r="N77" s="11" t="s">
        <v>5137</v>
      </c>
      <c r="O77" s="11" t="n">
        <v>10</v>
      </c>
    </row>
    <row r="78" customFormat="false" ht="180" hidden="false" customHeight="true" outlineLevel="0" collapsed="false">
      <c r="A78" s="11" t="s">
        <v>575</v>
      </c>
      <c r="B78" s="11" t="s">
        <v>4525</v>
      </c>
      <c r="C78" s="11" t="s">
        <v>4526</v>
      </c>
      <c r="D78" s="11" t="s">
        <v>5138</v>
      </c>
      <c r="E78" s="11" t="s">
        <v>5139</v>
      </c>
      <c r="F78" s="11" t="s">
        <v>5140</v>
      </c>
      <c r="G78" s="11" t="s">
        <v>5141</v>
      </c>
      <c r="H78" s="11" t="s">
        <v>5142</v>
      </c>
      <c r="I78" s="11" t="s">
        <v>5143</v>
      </c>
      <c r="J78" s="11"/>
      <c r="K78" s="11" t="s">
        <v>5144</v>
      </c>
      <c r="L78" s="11" t="s">
        <v>5141</v>
      </c>
      <c r="M78" s="11"/>
      <c r="N78" s="11" t="s">
        <v>720</v>
      </c>
      <c r="O78" s="11" t="n">
        <v>10</v>
      </c>
    </row>
    <row r="79" customFormat="false" ht="180" hidden="false" customHeight="true" outlineLevel="0" collapsed="false">
      <c r="A79" s="11" t="s">
        <v>1550</v>
      </c>
      <c r="B79" s="11" t="s">
        <v>4525</v>
      </c>
      <c r="C79" s="11" t="s">
        <v>4526</v>
      </c>
      <c r="D79" s="11" t="s">
        <v>5145</v>
      </c>
      <c r="E79" s="11" t="s">
        <v>5146</v>
      </c>
      <c r="F79" s="11" t="s">
        <v>5147</v>
      </c>
      <c r="G79" s="11" t="s">
        <v>5148</v>
      </c>
      <c r="H79" s="11" t="s">
        <v>5149</v>
      </c>
      <c r="I79" s="11" t="s">
        <v>5150</v>
      </c>
      <c r="J79" s="11"/>
      <c r="K79" s="11"/>
      <c r="L79" s="11" t="s">
        <v>5151</v>
      </c>
      <c r="M79" s="11"/>
      <c r="N79" s="11" t="s">
        <v>5152</v>
      </c>
      <c r="O79" s="11" t="n">
        <v>10</v>
      </c>
    </row>
    <row r="80" customFormat="false" ht="180" hidden="false" customHeight="true" outlineLevel="0" collapsed="false">
      <c r="A80" s="11" t="s">
        <v>5153</v>
      </c>
      <c r="B80" s="11" t="s">
        <v>4525</v>
      </c>
      <c r="C80" s="11" t="s">
        <v>4526</v>
      </c>
      <c r="D80" s="11" t="s">
        <v>5154</v>
      </c>
      <c r="E80" s="11" t="s">
        <v>5155</v>
      </c>
      <c r="F80" s="11" t="s">
        <v>5156</v>
      </c>
      <c r="G80" s="11" t="s">
        <v>5157</v>
      </c>
      <c r="H80" s="11" t="s">
        <v>5158</v>
      </c>
      <c r="I80" s="11" t="s">
        <v>5159</v>
      </c>
      <c r="J80" s="11" t="s">
        <v>5160</v>
      </c>
      <c r="K80" s="11" t="s">
        <v>5161</v>
      </c>
      <c r="L80" s="11"/>
      <c r="M80" s="11" t="s">
        <v>1558</v>
      </c>
      <c r="N80" s="11" t="s">
        <v>5152</v>
      </c>
      <c r="O80" s="11" t="n">
        <v>10</v>
      </c>
    </row>
    <row r="81" customFormat="false" ht="180" hidden="false" customHeight="true" outlineLevel="0" collapsed="false">
      <c r="A81" s="11" t="s">
        <v>5162</v>
      </c>
      <c r="B81" s="11" t="s">
        <v>4525</v>
      </c>
      <c r="C81" s="11" t="s">
        <v>4526</v>
      </c>
      <c r="D81" s="11" t="s">
        <v>5163</v>
      </c>
      <c r="E81" s="11" t="s">
        <v>5164</v>
      </c>
      <c r="F81" s="11" t="s">
        <v>5165</v>
      </c>
      <c r="G81" s="11" t="s">
        <v>5166</v>
      </c>
      <c r="H81" s="11" t="s">
        <v>5167</v>
      </c>
      <c r="I81" s="11" t="s">
        <v>5168</v>
      </c>
      <c r="J81" s="11" t="s">
        <v>4574</v>
      </c>
      <c r="K81" s="11"/>
      <c r="L81" s="11" t="s">
        <v>5169</v>
      </c>
      <c r="M81" s="11" t="s">
        <v>5170</v>
      </c>
      <c r="N81" s="11" t="s">
        <v>5152</v>
      </c>
      <c r="O81" s="11" t="n">
        <v>10</v>
      </c>
    </row>
    <row r="82" customFormat="false" ht="180" hidden="false" customHeight="true" outlineLevel="0" collapsed="false">
      <c r="A82" s="11" t="s">
        <v>5171</v>
      </c>
      <c r="B82" s="11" t="s">
        <v>4525</v>
      </c>
      <c r="C82" s="11" t="s">
        <v>4526</v>
      </c>
      <c r="D82" s="11" t="s">
        <v>5172</v>
      </c>
      <c r="E82" s="11" t="s">
        <v>5173</v>
      </c>
      <c r="F82" s="11" t="s">
        <v>5174</v>
      </c>
      <c r="G82" s="11" t="s">
        <v>5175</v>
      </c>
      <c r="H82" s="11" t="s">
        <v>5176</v>
      </c>
      <c r="I82" s="11" t="s">
        <v>5177</v>
      </c>
      <c r="J82" s="11" t="s">
        <v>4574</v>
      </c>
      <c r="K82" s="11"/>
      <c r="L82" s="11" t="s">
        <v>5178</v>
      </c>
      <c r="M82" s="11"/>
      <c r="N82" s="11" t="s">
        <v>5152</v>
      </c>
      <c r="O82" s="11" t="n">
        <v>10</v>
      </c>
    </row>
    <row r="83" customFormat="false" ht="180" hidden="false" customHeight="true" outlineLevel="0" collapsed="false">
      <c r="A83" s="11" t="s">
        <v>5179</v>
      </c>
      <c r="B83" s="11" t="s">
        <v>4525</v>
      </c>
      <c r="C83" s="11" t="s">
        <v>4526</v>
      </c>
      <c r="D83" s="11" t="s">
        <v>5180</v>
      </c>
      <c r="E83" s="11" t="s">
        <v>5181</v>
      </c>
      <c r="F83" s="11" t="s">
        <v>5182</v>
      </c>
      <c r="G83" s="11" t="s">
        <v>5183</v>
      </c>
      <c r="H83" s="11" t="s">
        <v>5184</v>
      </c>
      <c r="I83" s="11" t="s">
        <v>5185</v>
      </c>
      <c r="J83" s="11" t="s">
        <v>5186</v>
      </c>
      <c r="K83" s="11"/>
      <c r="L83" s="11"/>
      <c r="M83" s="11" t="s">
        <v>5187</v>
      </c>
      <c r="N83" s="11" t="s">
        <v>5152</v>
      </c>
      <c r="O83" s="11" t="n">
        <v>10</v>
      </c>
    </row>
    <row r="84" customFormat="false" ht="180" hidden="false" customHeight="true" outlineLevel="0" collapsed="false">
      <c r="A84" s="11" t="s">
        <v>5188</v>
      </c>
      <c r="B84" s="11" t="s">
        <v>4525</v>
      </c>
      <c r="C84" s="11" t="s">
        <v>4526</v>
      </c>
      <c r="D84" s="11" t="s">
        <v>5189</v>
      </c>
      <c r="E84" s="11" t="s">
        <v>5190</v>
      </c>
      <c r="F84" s="11" t="s">
        <v>5191</v>
      </c>
      <c r="G84" s="11" t="s">
        <v>5192</v>
      </c>
      <c r="H84" s="11" t="s">
        <v>5193</v>
      </c>
      <c r="I84" s="11" t="s">
        <v>5194</v>
      </c>
      <c r="J84" s="11" t="s">
        <v>4574</v>
      </c>
      <c r="K84" s="11"/>
      <c r="L84" s="11" t="s">
        <v>5195</v>
      </c>
      <c r="M84" s="11" t="s">
        <v>5196</v>
      </c>
      <c r="N84" s="11" t="s">
        <v>5152</v>
      </c>
      <c r="O84" s="11" t="n">
        <v>10</v>
      </c>
    </row>
    <row r="85" customFormat="false" ht="180" hidden="false" customHeight="true" outlineLevel="0" collapsed="false">
      <c r="A85" s="11" t="s">
        <v>1554</v>
      </c>
      <c r="B85" s="11" t="s">
        <v>4525</v>
      </c>
      <c r="C85" s="11" t="s">
        <v>4526</v>
      </c>
      <c r="D85" s="11" t="s">
        <v>5197</v>
      </c>
      <c r="E85" s="11" t="s">
        <v>5198</v>
      </c>
      <c r="F85" s="11" t="s">
        <v>5199</v>
      </c>
      <c r="G85" s="11" t="s">
        <v>5200</v>
      </c>
      <c r="H85" s="11" t="s">
        <v>5201</v>
      </c>
      <c r="I85" s="11" t="s">
        <v>5202</v>
      </c>
      <c r="J85" s="11" t="s">
        <v>5203</v>
      </c>
      <c r="K85" s="11" t="s">
        <v>5204</v>
      </c>
      <c r="L85" s="11" t="s">
        <v>5205</v>
      </c>
      <c r="M85" s="11" t="s">
        <v>1558</v>
      </c>
      <c r="N85" s="11" t="s">
        <v>5206</v>
      </c>
      <c r="O85" s="11" t="n">
        <v>10</v>
      </c>
    </row>
    <row r="86" customFormat="false" ht="180" hidden="false" customHeight="true" outlineLevel="0" collapsed="false">
      <c r="A86" s="11" t="s">
        <v>1559</v>
      </c>
      <c r="B86" s="11" t="s">
        <v>4525</v>
      </c>
      <c r="C86" s="11" t="s">
        <v>4526</v>
      </c>
      <c r="D86" s="11" t="s">
        <v>5207</v>
      </c>
      <c r="E86" s="11" t="s">
        <v>4918</v>
      </c>
      <c r="F86" s="11" t="s">
        <v>5208</v>
      </c>
      <c r="G86" s="11" t="s">
        <v>5209</v>
      </c>
      <c r="H86" s="11" t="s">
        <v>5210</v>
      </c>
      <c r="I86" s="11" t="s">
        <v>5211</v>
      </c>
      <c r="J86" s="11" t="s">
        <v>5209</v>
      </c>
      <c r="K86" s="11" t="s">
        <v>5212</v>
      </c>
      <c r="L86" s="11" t="s">
        <v>5213</v>
      </c>
      <c r="M86" s="11"/>
      <c r="N86" s="11" t="s">
        <v>5214</v>
      </c>
      <c r="O86" s="11" t="n">
        <v>10</v>
      </c>
    </row>
    <row r="87" customFormat="false" ht="180" hidden="false" customHeight="true" outlineLevel="0" collapsed="false">
      <c r="A87" s="11" t="s">
        <v>1563</v>
      </c>
      <c r="B87" s="11" t="s">
        <v>4525</v>
      </c>
      <c r="C87" s="11" t="s">
        <v>4526</v>
      </c>
      <c r="D87" s="11" t="s">
        <v>5215</v>
      </c>
      <c r="E87" s="11" t="s">
        <v>4918</v>
      </c>
      <c r="F87" s="11" t="s">
        <v>5216</v>
      </c>
      <c r="G87" s="11" t="s">
        <v>5217</v>
      </c>
      <c r="H87" s="11" t="s">
        <v>5218</v>
      </c>
      <c r="I87" s="11" t="s">
        <v>5219</v>
      </c>
      <c r="J87" s="11" t="s">
        <v>5220</v>
      </c>
      <c r="K87" s="11" t="s">
        <v>5221</v>
      </c>
      <c r="L87" s="11" t="s">
        <v>5222</v>
      </c>
      <c r="M87" s="11" t="s">
        <v>1567</v>
      </c>
      <c r="N87" s="11" t="s">
        <v>5223</v>
      </c>
      <c r="O87" s="11" t="n">
        <v>10</v>
      </c>
    </row>
    <row r="88" customFormat="false" ht="180" hidden="false" customHeight="true" outlineLevel="0" collapsed="false">
      <c r="A88" s="11" t="s">
        <v>1568</v>
      </c>
      <c r="B88" s="11" t="s">
        <v>4525</v>
      </c>
      <c r="C88" s="11" t="s">
        <v>4526</v>
      </c>
      <c r="D88" s="11" t="s">
        <v>5224</v>
      </c>
      <c r="E88" s="11" t="s">
        <v>4918</v>
      </c>
      <c r="F88" s="11" t="s">
        <v>5225</v>
      </c>
      <c r="G88" s="11" t="s">
        <v>5226</v>
      </c>
      <c r="H88" s="11" t="s">
        <v>5227</v>
      </c>
      <c r="I88" s="11" t="s">
        <v>5228</v>
      </c>
      <c r="J88" s="11" t="s">
        <v>5229</v>
      </c>
      <c r="K88" s="11" t="s">
        <v>5230</v>
      </c>
      <c r="L88" s="11" t="s">
        <v>5231</v>
      </c>
      <c r="M88" s="11" t="s">
        <v>1571</v>
      </c>
      <c r="N88" s="11" t="s">
        <v>5232</v>
      </c>
      <c r="O88" s="11" t="n">
        <v>10</v>
      </c>
    </row>
    <row r="89" customFormat="false" ht="180" hidden="false" customHeight="true" outlineLevel="0" collapsed="false">
      <c r="A89" s="11" t="s">
        <v>1572</v>
      </c>
      <c r="B89" s="11" t="s">
        <v>4525</v>
      </c>
      <c r="C89" s="11" t="s">
        <v>4526</v>
      </c>
      <c r="D89" s="11" t="s">
        <v>5233</v>
      </c>
      <c r="E89" s="11" t="s">
        <v>4918</v>
      </c>
      <c r="F89" s="11" t="s">
        <v>5234</v>
      </c>
      <c r="G89" s="11" t="s">
        <v>5235</v>
      </c>
      <c r="H89" s="11" t="s">
        <v>5236</v>
      </c>
      <c r="I89" s="11" t="s">
        <v>5237</v>
      </c>
      <c r="J89" s="11" t="s">
        <v>5235</v>
      </c>
      <c r="K89" s="11" t="s">
        <v>5238</v>
      </c>
      <c r="L89" s="11" t="s">
        <v>5239</v>
      </c>
      <c r="M89" s="11"/>
      <c r="N89" s="11" t="s">
        <v>5240</v>
      </c>
      <c r="O89" s="11" t="n">
        <v>10</v>
      </c>
    </row>
    <row r="90" customFormat="false" ht="180" hidden="false" customHeight="true" outlineLevel="0" collapsed="false">
      <c r="A90" s="11" t="s">
        <v>1575</v>
      </c>
      <c r="B90" s="11" t="s">
        <v>4525</v>
      </c>
      <c r="C90" s="11" t="s">
        <v>4526</v>
      </c>
      <c r="D90" s="11" t="s">
        <v>5241</v>
      </c>
      <c r="E90" s="11" t="s">
        <v>4918</v>
      </c>
      <c r="F90" s="11" t="s">
        <v>5234</v>
      </c>
      <c r="G90" s="11" t="s">
        <v>5242</v>
      </c>
      <c r="H90" s="11" t="s">
        <v>5243</v>
      </c>
      <c r="I90" s="11" t="s">
        <v>5244</v>
      </c>
      <c r="J90" s="11" t="s">
        <v>5242</v>
      </c>
      <c r="K90" s="11" t="s">
        <v>5245</v>
      </c>
      <c r="L90" s="11" t="s">
        <v>5246</v>
      </c>
      <c r="M90" s="11"/>
      <c r="N90" s="11" t="s">
        <v>5247</v>
      </c>
      <c r="O90" s="11" t="n">
        <v>10</v>
      </c>
    </row>
    <row r="91" customFormat="false" ht="180" hidden="false" customHeight="true" outlineLevel="0" collapsed="false">
      <c r="A91" s="11" t="s">
        <v>1578</v>
      </c>
      <c r="B91" s="11" t="s">
        <v>4525</v>
      </c>
      <c r="C91" s="11" t="s">
        <v>4526</v>
      </c>
      <c r="D91" s="11" t="s">
        <v>5248</v>
      </c>
      <c r="E91" s="11" t="s">
        <v>5249</v>
      </c>
      <c r="F91" s="11" t="s">
        <v>4965</v>
      </c>
      <c r="G91" s="11" t="s">
        <v>5250</v>
      </c>
      <c r="H91" s="11" t="s">
        <v>5251</v>
      </c>
      <c r="I91" s="11" t="s">
        <v>5252</v>
      </c>
      <c r="J91" s="11" t="s">
        <v>4574</v>
      </c>
      <c r="K91" s="11"/>
      <c r="L91" s="11"/>
      <c r="M91" s="11"/>
      <c r="N91" s="11" t="s">
        <v>5253</v>
      </c>
      <c r="O91" s="11" t="n">
        <v>10</v>
      </c>
    </row>
    <row r="92" customFormat="false" ht="180" hidden="false" customHeight="true" outlineLevel="0" collapsed="false">
      <c r="A92" s="11" t="s">
        <v>1581</v>
      </c>
      <c r="B92" s="11" t="s">
        <v>4525</v>
      </c>
      <c r="C92" s="11" t="s">
        <v>4526</v>
      </c>
      <c r="D92" s="11" t="s">
        <v>5254</v>
      </c>
      <c r="E92" s="11" t="s">
        <v>5255</v>
      </c>
      <c r="F92" s="11" t="s">
        <v>5256</v>
      </c>
      <c r="G92" s="11" t="s">
        <v>5257</v>
      </c>
      <c r="H92" s="11" t="s">
        <v>5258</v>
      </c>
      <c r="I92" s="11" t="s">
        <v>5259</v>
      </c>
      <c r="J92" s="11" t="s">
        <v>4574</v>
      </c>
      <c r="K92" s="11" t="s">
        <v>5260</v>
      </c>
      <c r="L92" s="11"/>
      <c r="M92" s="11" t="s">
        <v>1584</v>
      </c>
      <c r="N92" s="11" t="s">
        <v>5261</v>
      </c>
      <c r="O92" s="11" t="n">
        <v>10</v>
      </c>
    </row>
    <row r="93" customFormat="false" ht="180" hidden="false" customHeight="true" outlineLevel="0" collapsed="false">
      <c r="A93" s="11" t="s">
        <v>1589</v>
      </c>
      <c r="B93" s="11" t="s">
        <v>4525</v>
      </c>
      <c r="C93" s="11" t="s">
        <v>4526</v>
      </c>
      <c r="D93" s="11" t="s">
        <v>5262</v>
      </c>
      <c r="E93" s="11" t="s">
        <v>4918</v>
      </c>
      <c r="F93" s="11" t="s">
        <v>5216</v>
      </c>
      <c r="G93" s="11" t="s">
        <v>5263</v>
      </c>
      <c r="H93" s="11" t="s">
        <v>5264</v>
      </c>
      <c r="I93" s="11" t="s">
        <v>5265</v>
      </c>
      <c r="J93" s="11" t="s">
        <v>5266</v>
      </c>
      <c r="K93" s="11" t="s">
        <v>5267</v>
      </c>
      <c r="L93" s="11" t="s">
        <v>4584</v>
      </c>
      <c r="M93" s="11"/>
      <c r="N93" s="11" t="s">
        <v>5268</v>
      </c>
      <c r="O93" s="11" t="n">
        <v>10</v>
      </c>
    </row>
    <row r="94" customFormat="false" ht="180" hidden="false" customHeight="true" outlineLevel="0" collapsed="false">
      <c r="A94" s="11" t="s">
        <v>5269</v>
      </c>
      <c r="B94" s="11" t="s">
        <v>4525</v>
      </c>
      <c r="C94" s="11" t="s">
        <v>4526</v>
      </c>
      <c r="D94" s="11" t="s">
        <v>5270</v>
      </c>
      <c r="E94" s="11" t="s">
        <v>5271</v>
      </c>
      <c r="F94" s="11" t="s">
        <v>4912</v>
      </c>
      <c r="G94" s="11" t="s">
        <v>5272</v>
      </c>
      <c r="H94" s="11" t="s">
        <v>5273</v>
      </c>
      <c r="I94" s="11" t="s">
        <v>5274</v>
      </c>
      <c r="J94" s="11" t="s">
        <v>5272</v>
      </c>
      <c r="K94" s="11" t="s">
        <v>5272</v>
      </c>
      <c r="L94" s="11"/>
      <c r="M94" s="11"/>
      <c r="N94" s="11" t="s">
        <v>5268</v>
      </c>
      <c r="O94" s="11" t="n">
        <v>10</v>
      </c>
    </row>
    <row r="95" customFormat="false" ht="180" hidden="false" customHeight="true" outlineLevel="0" collapsed="false">
      <c r="A95" s="11" t="s">
        <v>1601</v>
      </c>
      <c r="B95" s="11" t="s">
        <v>4525</v>
      </c>
      <c r="C95" s="11" t="s">
        <v>4526</v>
      </c>
      <c r="D95" s="11" t="s">
        <v>5275</v>
      </c>
      <c r="E95" s="11" t="s">
        <v>5276</v>
      </c>
      <c r="F95" s="11" t="s">
        <v>5277</v>
      </c>
      <c r="G95" s="11" t="s">
        <v>5278</v>
      </c>
      <c r="H95" s="11" t="s">
        <v>5279</v>
      </c>
      <c r="I95" s="11" t="s">
        <v>5280</v>
      </c>
      <c r="J95" s="11" t="s">
        <v>5281</v>
      </c>
      <c r="K95" s="11"/>
      <c r="L95" s="11" t="s">
        <v>5281</v>
      </c>
      <c r="M95" s="11"/>
      <c r="N95" s="11" t="s">
        <v>5282</v>
      </c>
      <c r="O95" s="11" t="n">
        <v>10</v>
      </c>
    </row>
    <row r="96" customFormat="false" ht="180" hidden="false" customHeight="true" outlineLevel="0" collapsed="false">
      <c r="A96" s="11" t="s">
        <v>5283</v>
      </c>
      <c r="B96" s="11" t="s">
        <v>4525</v>
      </c>
      <c r="C96" s="11" t="s">
        <v>4526</v>
      </c>
      <c r="D96" s="11" t="s">
        <v>5284</v>
      </c>
      <c r="E96" s="11" t="s">
        <v>5285</v>
      </c>
      <c r="F96" s="11" t="s">
        <v>5286</v>
      </c>
      <c r="G96" s="11" t="s">
        <v>5287</v>
      </c>
      <c r="H96" s="11" t="s">
        <v>5288</v>
      </c>
      <c r="I96" s="11" t="s">
        <v>5289</v>
      </c>
      <c r="J96" s="11" t="s">
        <v>5290</v>
      </c>
      <c r="K96" s="11"/>
      <c r="L96" s="11" t="s">
        <v>5290</v>
      </c>
      <c r="M96" s="11"/>
      <c r="N96" s="11" t="s">
        <v>5291</v>
      </c>
      <c r="O96" s="11" t="n">
        <v>10</v>
      </c>
    </row>
    <row r="97" customFormat="false" ht="180" hidden="false" customHeight="true" outlineLevel="0" collapsed="false">
      <c r="A97" s="11" t="s">
        <v>5292</v>
      </c>
      <c r="B97" s="11" t="s">
        <v>4525</v>
      </c>
      <c r="C97" s="11" t="s">
        <v>4526</v>
      </c>
      <c r="D97" s="11" t="s">
        <v>5293</v>
      </c>
      <c r="E97" s="11" t="s">
        <v>5294</v>
      </c>
      <c r="F97" s="11" t="s">
        <v>5295</v>
      </c>
      <c r="G97" s="11" t="s">
        <v>5296</v>
      </c>
      <c r="H97" s="11" t="s">
        <v>5297</v>
      </c>
      <c r="I97" s="11" t="s">
        <v>5298</v>
      </c>
      <c r="J97" s="11"/>
      <c r="K97" s="11"/>
      <c r="L97" s="11"/>
      <c r="M97" s="11"/>
      <c r="N97" s="11" t="s">
        <v>5291</v>
      </c>
      <c r="O97" s="11" t="n">
        <v>10</v>
      </c>
    </row>
    <row r="98" customFormat="false" ht="180" hidden="false" customHeight="true" outlineLevel="0" collapsed="false">
      <c r="A98" s="11" t="s">
        <v>1611</v>
      </c>
      <c r="B98" s="11" t="s">
        <v>4525</v>
      </c>
      <c r="C98" s="11" t="s">
        <v>4526</v>
      </c>
      <c r="D98" s="11" t="s">
        <v>5299</v>
      </c>
      <c r="E98" s="11" t="s">
        <v>5300</v>
      </c>
      <c r="F98" s="11" t="s">
        <v>4912</v>
      </c>
      <c r="G98" s="11" t="s">
        <v>5301</v>
      </c>
      <c r="H98" s="11" t="s">
        <v>5302</v>
      </c>
      <c r="I98" s="11" t="s">
        <v>5303</v>
      </c>
      <c r="J98" s="11" t="s">
        <v>4574</v>
      </c>
      <c r="K98" s="11"/>
      <c r="L98" s="11"/>
      <c r="M98" s="11" t="s">
        <v>1615</v>
      </c>
      <c r="N98" s="11" t="s">
        <v>5304</v>
      </c>
      <c r="O98" s="11" t="n">
        <v>10</v>
      </c>
    </row>
    <row r="99" customFormat="false" ht="180" hidden="false" customHeight="true" outlineLevel="0" collapsed="false">
      <c r="A99" s="11" t="s">
        <v>5305</v>
      </c>
      <c r="B99" s="11" t="s">
        <v>4525</v>
      </c>
      <c r="C99" s="11" t="s">
        <v>4526</v>
      </c>
      <c r="D99" s="11" t="s">
        <v>5306</v>
      </c>
      <c r="E99" s="11" t="s">
        <v>5307</v>
      </c>
      <c r="F99" s="11" t="s">
        <v>5308</v>
      </c>
      <c r="G99" s="11" t="s">
        <v>5309</v>
      </c>
      <c r="H99" s="11" t="s">
        <v>5310</v>
      </c>
      <c r="I99" s="11" t="s">
        <v>5311</v>
      </c>
      <c r="J99" s="11"/>
      <c r="K99" s="11"/>
      <c r="L99" s="11"/>
      <c r="M99" s="11"/>
      <c r="N99" s="11" t="s">
        <v>5312</v>
      </c>
      <c r="O99" s="11" t="n">
        <v>10</v>
      </c>
    </row>
    <row r="100" customFormat="false" ht="180" hidden="false" customHeight="true" outlineLevel="0" collapsed="false">
      <c r="A100" s="11" t="s">
        <v>1625</v>
      </c>
      <c r="B100" s="11" t="s">
        <v>4525</v>
      </c>
      <c r="C100" s="11" t="s">
        <v>4526</v>
      </c>
      <c r="D100" s="11" t="s">
        <v>5313</v>
      </c>
      <c r="E100" s="11" t="s">
        <v>5314</v>
      </c>
      <c r="F100" s="11" t="s">
        <v>5315</v>
      </c>
      <c r="G100" s="11" t="s">
        <v>5316</v>
      </c>
      <c r="H100" s="11" t="s">
        <v>5317</v>
      </c>
      <c r="I100" s="11" t="s">
        <v>5318</v>
      </c>
      <c r="J100" s="11" t="s">
        <v>5319</v>
      </c>
      <c r="K100" s="11" t="s">
        <v>5320</v>
      </c>
      <c r="L100" s="11"/>
      <c r="M100" s="11" t="s">
        <v>5321</v>
      </c>
      <c r="N100" s="11" t="s">
        <v>5322</v>
      </c>
      <c r="O100" s="11" t="n">
        <v>10</v>
      </c>
    </row>
    <row r="101" customFormat="false" ht="180" hidden="false" customHeight="true" outlineLevel="0" collapsed="false">
      <c r="A101" s="11" t="s">
        <v>5323</v>
      </c>
      <c r="B101" s="11" t="s">
        <v>4525</v>
      </c>
      <c r="C101" s="11" t="s">
        <v>4526</v>
      </c>
      <c r="D101" s="11" t="s">
        <v>5324</v>
      </c>
      <c r="E101" s="11" t="s">
        <v>5325</v>
      </c>
      <c r="F101" s="11" t="s">
        <v>5326</v>
      </c>
      <c r="G101" s="11" t="s">
        <v>5327</v>
      </c>
      <c r="H101" s="11" t="s">
        <v>5328</v>
      </c>
      <c r="I101" s="11" t="s">
        <v>5329</v>
      </c>
      <c r="J101" s="11" t="s">
        <v>5330</v>
      </c>
      <c r="K101" s="11" t="s">
        <v>5331</v>
      </c>
      <c r="L101" s="11" t="s">
        <v>5332</v>
      </c>
      <c r="M101" s="11" t="s">
        <v>5333</v>
      </c>
      <c r="N101" s="11" t="s">
        <v>5322</v>
      </c>
      <c r="O101" s="11" t="n">
        <v>10</v>
      </c>
    </row>
    <row r="102" customFormat="false" ht="180" hidden="false" customHeight="true" outlineLevel="0" collapsed="false">
      <c r="A102" s="11" t="s">
        <v>1621</v>
      </c>
      <c r="B102" s="11" t="s">
        <v>4525</v>
      </c>
      <c r="C102" s="11" t="s">
        <v>4526</v>
      </c>
      <c r="D102" s="11" t="s">
        <v>5334</v>
      </c>
      <c r="E102" s="11" t="s">
        <v>5335</v>
      </c>
      <c r="F102" s="11" t="s">
        <v>4912</v>
      </c>
      <c r="G102" s="11" t="s">
        <v>5336</v>
      </c>
      <c r="H102" s="11" t="s">
        <v>5337</v>
      </c>
      <c r="I102" s="11" t="s">
        <v>5338</v>
      </c>
      <c r="J102" s="11"/>
      <c r="K102" s="11"/>
      <c r="L102" s="11" t="s">
        <v>5339</v>
      </c>
      <c r="M102" s="11"/>
      <c r="N102" s="11" t="s">
        <v>5340</v>
      </c>
      <c r="O102" s="11" t="n">
        <v>10</v>
      </c>
    </row>
    <row r="103" customFormat="false" ht="180" hidden="false" customHeight="true" outlineLevel="0" collapsed="false">
      <c r="A103" s="11" t="s">
        <v>4004</v>
      </c>
      <c r="B103" s="11" t="s">
        <v>4525</v>
      </c>
      <c r="C103" s="11" t="s">
        <v>4526</v>
      </c>
      <c r="D103" s="11" t="s">
        <v>5341</v>
      </c>
      <c r="E103" s="11" t="s">
        <v>5342</v>
      </c>
      <c r="F103" s="11" t="s">
        <v>5343</v>
      </c>
      <c r="G103" s="11" t="s">
        <v>5344</v>
      </c>
      <c r="H103" s="11" t="s">
        <v>5345</v>
      </c>
      <c r="I103" s="11" t="s">
        <v>5346</v>
      </c>
      <c r="J103" s="11"/>
      <c r="K103" s="11"/>
      <c r="L103" s="11" t="s">
        <v>5344</v>
      </c>
      <c r="M103" s="11"/>
      <c r="N103" s="11" t="s">
        <v>5347</v>
      </c>
      <c r="O103" s="11" t="n">
        <v>10</v>
      </c>
    </row>
    <row r="104" customFormat="false" ht="180" hidden="false" customHeight="true" outlineLevel="0" collapsed="false">
      <c r="A104" s="11" t="s">
        <v>5348</v>
      </c>
      <c r="B104" s="11" t="s">
        <v>4525</v>
      </c>
      <c r="C104" s="11" t="s">
        <v>4526</v>
      </c>
      <c r="D104" s="11" t="s">
        <v>5349</v>
      </c>
      <c r="E104" s="11" t="s">
        <v>5350</v>
      </c>
      <c r="F104" s="11" t="s">
        <v>5351</v>
      </c>
      <c r="G104" s="11" t="s">
        <v>5352</v>
      </c>
      <c r="H104" s="11" t="s">
        <v>5353</v>
      </c>
      <c r="I104" s="11" t="s">
        <v>5354</v>
      </c>
      <c r="J104" s="11"/>
      <c r="K104" s="11" t="s">
        <v>5355</v>
      </c>
      <c r="L104" s="11" t="s">
        <v>5356</v>
      </c>
      <c r="M104" s="11"/>
      <c r="N104" s="11" t="s">
        <v>5357</v>
      </c>
      <c r="O104" s="11" t="n">
        <v>10</v>
      </c>
    </row>
    <row r="105" customFormat="false" ht="180" hidden="false" customHeight="true" outlineLevel="0" collapsed="false">
      <c r="A105" s="11" t="s">
        <v>5358</v>
      </c>
      <c r="B105" s="11" t="s">
        <v>4525</v>
      </c>
      <c r="C105" s="11" t="s">
        <v>4526</v>
      </c>
      <c r="D105" s="11" t="s">
        <v>5359</v>
      </c>
      <c r="E105" s="11" t="s">
        <v>5360</v>
      </c>
      <c r="F105" s="11" t="s">
        <v>5361</v>
      </c>
      <c r="G105" s="11" t="s">
        <v>5362</v>
      </c>
      <c r="H105" s="11" t="s">
        <v>5363</v>
      </c>
      <c r="I105" s="11" t="s">
        <v>5364</v>
      </c>
      <c r="J105" s="11" t="s">
        <v>5365</v>
      </c>
      <c r="K105" s="11"/>
      <c r="L105" s="11" t="s">
        <v>5361</v>
      </c>
      <c r="M105" s="11"/>
      <c r="N105" s="11" t="s">
        <v>5347</v>
      </c>
      <c r="O105" s="11" t="n">
        <v>10</v>
      </c>
    </row>
    <row r="106" customFormat="false" ht="180" hidden="false" customHeight="true" outlineLevel="0" collapsed="false">
      <c r="A106" s="11" t="s">
        <v>5366</v>
      </c>
      <c r="B106" s="11" t="s">
        <v>4525</v>
      </c>
      <c r="C106" s="11" t="s">
        <v>4526</v>
      </c>
      <c r="D106" s="11" t="s">
        <v>5367</v>
      </c>
      <c r="E106" s="11" t="s">
        <v>5368</v>
      </c>
      <c r="F106" s="11" t="s">
        <v>5369</v>
      </c>
      <c r="G106" s="11" t="s">
        <v>5370</v>
      </c>
      <c r="H106" s="11" t="s">
        <v>5371</v>
      </c>
      <c r="I106" s="11" t="s">
        <v>5372</v>
      </c>
      <c r="J106" s="11"/>
      <c r="K106" s="11" t="s">
        <v>5373</v>
      </c>
      <c r="L106" s="11" t="s">
        <v>5370</v>
      </c>
      <c r="M106" s="11"/>
      <c r="N106" s="11" t="s">
        <v>5347</v>
      </c>
      <c r="O106" s="11" t="n">
        <v>10</v>
      </c>
    </row>
    <row r="107" customFormat="false" ht="180" hidden="false" customHeight="true" outlineLevel="0" collapsed="false">
      <c r="A107" s="11" t="s">
        <v>5374</v>
      </c>
      <c r="B107" s="11" t="s">
        <v>4525</v>
      </c>
      <c r="C107" s="11" t="s">
        <v>4526</v>
      </c>
      <c r="D107" s="11" t="s">
        <v>5375</v>
      </c>
      <c r="E107" s="11" t="s">
        <v>5376</v>
      </c>
      <c r="F107" s="11" t="s">
        <v>5377</v>
      </c>
      <c r="G107" s="11" t="s">
        <v>5378</v>
      </c>
      <c r="H107" s="11" t="s">
        <v>5379</v>
      </c>
      <c r="I107" s="11" t="s">
        <v>5380</v>
      </c>
      <c r="J107" s="11" t="s">
        <v>5381</v>
      </c>
      <c r="K107" s="11" t="s">
        <v>5382</v>
      </c>
      <c r="L107" s="11" t="s">
        <v>5383</v>
      </c>
      <c r="M107" s="11" t="s">
        <v>5384</v>
      </c>
      <c r="N107" s="11" t="s">
        <v>5347</v>
      </c>
      <c r="O107" s="11" t="n">
        <v>10</v>
      </c>
    </row>
    <row r="108" customFormat="false" ht="180" hidden="false" customHeight="true" outlineLevel="0" collapsed="false">
      <c r="A108" s="11" t="s">
        <v>5385</v>
      </c>
      <c r="B108" s="11" t="s">
        <v>4525</v>
      </c>
      <c r="C108" s="11" t="s">
        <v>4526</v>
      </c>
      <c r="D108" s="11" t="s">
        <v>5386</v>
      </c>
      <c r="E108" s="11" t="s">
        <v>5387</v>
      </c>
      <c r="F108" s="11" t="s">
        <v>5388</v>
      </c>
      <c r="G108" s="11" t="s">
        <v>5389</v>
      </c>
      <c r="H108" s="11" t="s">
        <v>5390</v>
      </c>
      <c r="I108" s="11" t="s">
        <v>5391</v>
      </c>
      <c r="J108" s="11"/>
      <c r="K108" s="11"/>
      <c r="L108" s="11" t="s">
        <v>5390</v>
      </c>
      <c r="M108" s="11"/>
      <c r="N108" s="11" t="s">
        <v>5347</v>
      </c>
      <c r="O108" s="11" t="n">
        <v>10</v>
      </c>
    </row>
    <row r="109" customFormat="false" ht="180" hidden="false" customHeight="true" outlineLevel="0" collapsed="false">
      <c r="A109" s="11" t="s">
        <v>4250</v>
      </c>
      <c r="B109" s="11" t="s">
        <v>4525</v>
      </c>
      <c r="C109" s="11" t="s">
        <v>4526</v>
      </c>
      <c r="D109" s="11" t="s">
        <v>5392</v>
      </c>
      <c r="E109" s="11" t="s">
        <v>5393</v>
      </c>
      <c r="F109" s="11" t="s">
        <v>5394</v>
      </c>
      <c r="G109" s="11" t="s">
        <v>5395</v>
      </c>
      <c r="H109" s="11" t="s">
        <v>5396</v>
      </c>
      <c r="I109" s="11" t="s">
        <v>5397</v>
      </c>
      <c r="J109" s="11" t="s">
        <v>4574</v>
      </c>
      <c r="K109" s="11" t="s">
        <v>5398</v>
      </c>
      <c r="L109" s="11" t="s">
        <v>5399</v>
      </c>
      <c r="M109" s="11" t="s">
        <v>5400</v>
      </c>
      <c r="N109" s="11" t="s">
        <v>5401</v>
      </c>
      <c r="O109" s="11" t="n">
        <v>70</v>
      </c>
    </row>
    <row r="110" customFormat="false" ht="180" hidden="false" customHeight="true" outlineLevel="0" collapsed="false">
      <c r="A110" s="11" t="s">
        <v>5402</v>
      </c>
      <c r="B110" s="11" t="s">
        <v>4525</v>
      </c>
      <c r="C110" s="11" t="s">
        <v>4526</v>
      </c>
      <c r="D110" s="11" t="s">
        <v>5403</v>
      </c>
      <c r="E110" s="11" t="s">
        <v>5404</v>
      </c>
      <c r="F110" s="11" t="s">
        <v>5405</v>
      </c>
      <c r="G110" s="11" t="s">
        <v>5406</v>
      </c>
      <c r="H110" s="11" t="s">
        <v>5407</v>
      </c>
      <c r="I110" s="11" t="s">
        <v>5408</v>
      </c>
      <c r="J110" s="11" t="s">
        <v>5409</v>
      </c>
      <c r="K110" s="11" t="s">
        <v>5410</v>
      </c>
      <c r="L110" s="11"/>
      <c r="M110" s="11" t="s">
        <v>5411</v>
      </c>
      <c r="N110" s="11" t="s">
        <v>5347</v>
      </c>
      <c r="O110" s="11" t="n">
        <v>10</v>
      </c>
    </row>
    <row r="111" customFormat="false" ht="180" hidden="false" customHeight="true" outlineLevel="0" collapsed="false">
      <c r="A111" s="11" t="s">
        <v>4303</v>
      </c>
      <c r="B111" s="11" t="s">
        <v>4525</v>
      </c>
      <c r="C111" s="11" t="s">
        <v>4526</v>
      </c>
      <c r="D111" s="11" t="s">
        <v>5412</v>
      </c>
      <c r="E111" s="11" t="s">
        <v>5413</v>
      </c>
      <c r="F111" s="11" t="s">
        <v>5414</v>
      </c>
      <c r="G111" s="11" t="s">
        <v>5415</v>
      </c>
      <c r="H111" s="11" t="s">
        <v>5416</v>
      </c>
      <c r="I111" s="11" t="s">
        <v>5417</v>
      </c>
      <c r="J111" s="11" t="s">
        <v>5418</v>
      </c>
      <c r="K111" s="11" t="s">
        <v>5419</v>
      </c>
      <c r="L111" s="11"/>
      <c r="M111" s="11"/>
      <c r="N111" s="11" t="s">
        <v>5347</v>
      </c>
      <c r="O111" s="11" t="n">
        <v>10</v>
      </c>
    </row>
    <row r="112" customFormat="false" ht="180" hidden="false" customHeight="true" outlineLevel="0" collapsed="false">
      <c r="A112" s="11" t="s">
        <v>5420</v>
      </c>
      <c r="B112" s="11" t="s">
        <v>4525</v>
      </c>
      <c r="C112" s="11" t="s">
        <v>4526</v>
      </c>
      <c r="D112" s="11" t="s">
        <v>5421</v>
      </c>
      <c r="E112" s="11" t="s">
        <v>5422</v>
      </c>
      <c r="F112" s="11" t="s">
        <v>5423</v>
      </c>
      <c r="G112" s="11" t="s">
        <v>5424</v>
      </c>
      <c r="H112" s="11" t="s">
        <v>5425</v>
      </c>
      <c r="I112" s="11" t="s">
        <v>5426</v>
      </c>
      <c r="J112" s="11"/>
      <c r="K112" s="11"/>
      <c r="L112" s="11" t="s">
        <v>5427</v>
      </c>
      <c r="M112" s="11" t="s">
        <v>5428</v>
      </c>
      <c r="N112" s="11" t="s">
        <v>5429</v>
      </c>
      <c r="O112" s="11" t="n">
        <v>100</v>
      </c>
    </row>
    <row r="113" customFormat="false" ht="180" hidden="false" customHeight="true" outlineLevel="0" collapsed="false">
      <c r="A113" s="11" t="s">
        <v>5430</v>
      </c>
      <c r="B113" s="11" t="s">
        <v>4525</v>
      </c>
      <c r="C113" s="11" t="s">
        <v>4526</v>
      </c>
      <c r="D113" s="11" t="s">
        <v>5431</v>
      </c>
      <c r="E113" s="11" t="s">
        <v>5432</v>
      </c>
      <c r="F113" s="11" t="s">
        <v>5433</v>
      </c>
      <c r="G113" s="11" t="s">
        <v>5434</v>
      </c>
      <c r="H113" s="11" t="s">
        <v>5435</v>
      </c>
      <c r="I113" s="11" t="s">
        <v>5436</v>
      </c>
      <c r="J113" s="11" t="s">
        <v>5434</v>
      </c>
      <c r="K113" s="11" t="s">
        <v>5437</v>
      </c>
      <c r="L113" s="11"/>
      <c r="M113" s="11"/>
      <c r="N113" s="11" t="s">
        <v>5347</v>
      </c>
      <c r="O113" s="11" t="n">
        <v>10</v>
      </c>
    </row>
    <row r="114" customFormat="false" ht="180" hidden="false" customHeight="true" outlineLevel="0" collapsed="false">
      <c r="A114" s="11" t="s">
        <v>5438</v>
      </c>
      <c r="B114" s="11" t="s">
        <v>4525</v>
      </c>
      <c r="C114" s="11" t="s">
        <v>4526</v>
      </c>
      <c r="D114" s="11" t="s">
        <v>5439</v>
      </c>
      <c r="E114" s="11" t="s">
        <v>5440</v>
      </c>
      <c r="F114" s="11" t="s">
        <v>5441</v>
      </c>
      <c r="G114" s="11" t="s">
        <v>5442</v>
      </c>
      <c r="H114" s="11" t="s">
        <v>5443</v>
      </c>
      <c r="I114" s="11" t="s">
        <v>5444</v>
      </c>
      <c r="J114" s="11"/>
      <c r="K114" s="11"/>
      <c r="L114" s="11"/>
      <c r="M114" s="11"/>
      <c r="N114" s="11" t="s">
        <v>5347</v>
      </c>
      <c r="O114" s="11" t="n">
        <v>10</v>
      </c>
    </row>
    <row r="115" customFormat="false" ht="180" hidden="false" customHeight="true" outlineLevel="0" collapsed="false">
      <c r="A115" s="11" t="s">
        <v>4319</v>
      </c>
      <c r="B115" s="11" t="s">
        <v>4525</v>
      </c>
      <c r="C115" s="11" t="s">
        <v>4526</v>
      </c>
      <c r="D115" s="11" t="s">
        <v>5445</v>
      </c>
      <c r="E115" s="11" t="s">
        <v>5446</v>
      </c>
      <c r="F115" s="11" t="s">
        <v>4912</v>
      </c>
      <c r="G115" s="11" t="s">
        <v>5447</v>
      </c>
      <c r="H115" s="11" t="s">
        <v>5448</v>
      </c>
      <c r="I115" s="11" t="s">
        <v>5449</v>
      </c>
      <c r="J115" s="11"/>
      <c r="K115" s="11"/>
      <c r="L115" s="11" t="s">
        <v>5450</v>
      </c>
      <c r="M115" s="11"/>
      <c r="N115" s="11" t="s">
        <v>5451</v>
      </c>
      <c r="O115" s="11" t="n">
        <v>10</v>
      </c>
    </row>
    <row r="116" customFormat="false" ht="180" hidden="false" customHeight="true" outlineLevel="0" collapsed="false">
      <c r="A116" s="11" t="s">
        <v>4314</v>
      </c>
      <c r="B116" s="11" t="s">
        <v>4525</v>
      </c>
      <c r="C116" s="11" t="s">
        <v>4526</v>
      </c>
      <c r="D116" s="11" t="s">
        <v>5452</v>
      </c>
      <c r="E116" s="11" t="s">
        <v>5453</v>
      </c>
      <c r="F116" s="11" t="s">
        <v>5454</v>
      </c>
      <c r="G116" s="11" t="s">
        <v>5455</v>
      </c>
      <c r="H116" s="11" t="s">
        <v>5456</v>
      </c>
      <c r="I116" s="11" t="s">
        <v>5457</v>
      </c>
      <c r="J116" s="11"/>
      <c r="K116" s="11"/>
      <c r="L116" s="11"/>
      <c r="M116" s="11"/>
      <c r="N116" s="11" t="s">
        <v>5451</v>
      </c>
      <c r="O116" s="11" t="n">
        <v>10</v>
      </c>
    </row>
    <row r="117" customFormat="false" ht="180" hidden="false" customHeight="true" outlineLevel="0" collapsed="false">
      <c r="A117" s="11" t="s">
        <v>5458</v>
      </c>
      <c r="B117" s="11" t="s">
        <v>4525</v>
      </c>
      <c r="C117" s="11" t="s">
        <v>4526</v>
      </c>
      <c r="D117" s="11" t="s">
        <v>5459</v>
      </c>
      <c r="E117" s="11" t="s">
        <v>5460</v>
      </c>
      <c r="F117" s="11" t="s">
        <v>5461</v>
      </c>
      <c r="G117" s="11" t="s">
        <v>5462</v>
      </c>
      <c r="H117" s="11" t="s">
        <v>5463</v>
      </c>
      <c r="I117" s="11" t="s">
        <v>5464</v>
      </c>
      <c r="J117" s="11"/>
      <c r="K117" s="11"/>
      <c r="L117" s="11" t="s">
        <v>5465</v>
      </c>
      <c r="M117" s="11" t="s">
        <v>5428</v>
      </c>
      <c r="N117" s="11" t="s">
        <v>5466</v>
      </c>
      <c r="O117" s="11" t="n">
        <v>100</v>
      </c>
    </row>
    <row r="118" customFormat="false" ht="180" hidden="false" customHeight="true" outlineLevel="0" collapsed="false">
      <c r="A118" s="11" t="s">
        <v>5467</v>
      </c>
      <c r="B118" s="11" t="s">
        <v>4525</v>
      </c>
      <c r="C118" s="11" t="s">
        <v>4526</v>
      </c>
      <c r="D118" s="11" t="s">
        <v>5468</v>
      </c>
      <c r="E118" s="11" t="s">
        <v>5469</v>
      </c>
      <c r="F118" s="11" t="s">
        <v>5470</v>
      </c>
      <c r="G118" s="11" t="s">
        <v>5471</v>
      </c>
      <c r="H118" s="11" t="s">
        <v>5472</v>
      </c>
      <c r="I118" s="11" t="s">
        <v>5473</v>
      </c>
      <c r="J118" s="11" t="s">
        <v>5474</v>
      </c>
      <c r="K118" s="11"/>
      <c r="L118" s="11" t="s">
        <v>5475</v>
      </c>
      <c r="M118" s="11" t="s">
        <v>1295</v>
      </c>
      <c r="N118" s="11" t="s">
        <v>5451</v>
      </c>
      <c r="O118" s="11" t="n">
        <v>10</v>
      </c>
    </row>
    <row r="119" customFormat="false" ht="180" hidden="false" customHeight="true" outlineLevel="0" collapsed="false">
      <c r="A119" s="11" t="s">
        <v>5476</v>
      </c>
      <c r="B119" s="11" t="s">
        <v>4525</v>
      </c>
      <c r="C119" s="11" t="s">
        <v>4526</v>
      </c>
      <c r="D119" s="11" t="s">
        <v>5477</v>
      </c>
      <c r="E119" s="11" t="s">
        <v>5478</v>
      </c>
      <c r="F119" s="11" t="s">
        <v>4934</v>
      </c>
      <c r="G119" s="11" t="s">
        <v>5479</v>
      </c>
      <c r="H119" s="11" t="s">
        <v>5480</v>
      </c>
      <c r="I119" s="11" t="s">
        <v>5481</v>
      </c>
      <c r="J119" s="11" t="s">
        <v>4574</v>
      </c>
      <c r="K119" s="11"/>
      <c r="L119" s="11" t="s">
        <v>5478</v>
      </c>
      <c r="M119" s="11" t="s">
        <v>5482</v>
      </c>
      <c r="N119" s="11" t="s">
        <v>5451</v>
      </c>
      <c r="O119" s="11" t="n">
        <v>10</v>
      </c>
    </row>
    <row r="120" customFormat="false" ht="180" hidden="false" customHeight="true" outlineLevel="0" collapsed="false">
      <c r="A120" s="11" t="s">
        <v>5483</v>
      </c>
      <c r="B120" s="11" t="s">
        <v>4525</v>
      </c>
      <c r="C120" s="11" t="s">
        <v>4526</v>
      </c>
      <c r="D120" s="11" t="s">
        <v>5484</v>
      </c>
      <c r="E120" s="11" t="s">
        <v>5485</v>
      </c>
      <c r="F120" s="11" t="s">
        <v>5486</v>
      </c>
      <c r="G120" s="11" t="s">
        <v>5487</v>
      </c>
      <c r="H120" s="11" t="s">
        <v>5488</v>
      </c>
      <c r="I120" s="11" t="s">
        <v>5489</v>
      </c>
      <c r="J120" s="11"/>
      <c r="K120" s="11" t="s">
        <v>5488</v>
      </c>
      <c r="L120" s="11" t="s">
        <v>5490</v>
      </c>
      <c r="M120" s="11" t="s">
        <v>5491</v>
      </c>
      <c r="N120" s="11" t="s">
        <v>5492</v>
      </c>
      <c r="O120" s="11" t="n">
        <v>70</v>
      </c>
    </row>
    <row r="121" customFormat="false" ht="180" hidden="false" customHeight="true" outlineLevel="0" collapsed="false">
      <c r="A121" s="11" t="s">
        <v>5493</v>
      </c>
      <c r="B121" s="11" t="s">
        <v>4525</v>
      </c>
      <c r="C121" s="11" t="s">
        <v>4526</v>
      </c>
      <c r="D121" s="11" t="s">
        <v>5494</v>
      </c>
      <c r="E121" s="11" t="s">
        <v>5495</v>
      </c>
      <c r="F121" s="11" t="s">
        <v>5496</v>
      </c>
      <c r="G121" s="11" t="s">
        <v>5497</v>
      </c>
      <c r="H121" s="11" t="s">
        <v>5498</v>
      </c>
      <c r="I121" s="11" t="s">
        <v>5499</v>
      </c>
      <c r="J121" s="11"/>
      <c r="K121" s="11"/>
      <c r="L121" s="11" t="s">
        <v>5500</v>
      </c>
      <c r="M121" s="11" t="s">
        <v>4610</v>
      </c>
      <c r="N121" s="11" t="s">
        <v>5501</v>
      </c>
      <c r="O121" s="11" t="n">
        <v>100</v>
      </c>
    </row>
    <row r="122" customFormat="false" ht="180" hidden="false" customHeight="true" outlineLevel="0" collapsed="false">
      <c r="A122" s="11" t="s">
        <v>5502</v>
      </c>
      <c r="B122" s="11" t="s">
        <v>4525</v>
      </c>
      <c r="C122" s="11" t="s">
        <v>4526</v>
      </c>
      <c r="D122" s="11" t="s">
        <v>5503</v>
      </c>
      <c r="E122" s="11" t="s">
        <v>5504</v>
      </c>
      <c r="F122" s="11" t="s">
        <v>5505</v>
      </c>
      <c r="G122" s="11" t="s">
        <v>5506</v>
      </c>
      <c r="H122" s="11" t="s">
        <v>5507</v>
      </c>
      <c r="I122" s="11" t="s">
        <v>5508</v>
      </c>
      <c r="J122" s="11"/>
      <c r="K122" s="11" t="s">
        <v>5509</v>
      </c>
      <c r="L122" s="11" t="s">
        <v>5509</v>
      </c>
      <c r="M122" s="11" t="s">
        <v>5428</v>
      </c>
      <c r="N122" s="11" t="s">
        <v>5510</v>
      </c>
      <c r="O122" s="11" t="n">
        <v>100</v>
      </c>
    </row>
    <row r="123" customFormat="false" ht="180" hidden="false" customHeight="true" outlineLevel="0" collapsed="false">
      <c r="A123" s="11" t="s">
        <v>4241</v>
      </c>
      <c r="B123" s="11" t="s">
        <v>4525</v>
      </c>
      <c r="C123" s="11" t="s">
        <v>4526</v>
      </c>
      <c r="D123" s="11" t="s">
        <v>5511</v>
      </c>
      <c r="E123" s="11" t="s">
        <v>5512</v>
      </c>
      <c r="F123" s="11" t="s">
        <v>5513</v>
      </c>
      <c r="G123" s="11" t="s">
        <v>5514</v>
      </c>
      <c r="H123" s="11" t="s">
        <v>5515</v>
      </c>
      <c r="I123" s="11" t="s">
        <v>5516</v>
      </c>
      <c r="J123" s="11"/>
      <c r="K123" s="11"/>
      <c r="L123" s="11"/>
      <c r="M123" s="11"/>
      <c r="N123" s="11" t="s">
        <v>5517</v>
      </c>
      <c r="O123" s="11" t="n">
        <v>10</v>
      </c>
    </row>
    <row r="124" customFormat="false" ht="180" hidden="false" customHeight="true" outlineLevel="0" collapsed="false">
      <c r="A124" s="11" t="s">
        <v>5518</v>
      </c>
      <c r="B124" s="11" t="s">
        <v>4525</v>
      </c>
      <c r="C124" s="11" t="s">
        <v>4526</v>
      </c>
      <c r="D124" s="11" t="s">
        <v>5519</v>
      </c>
      <c r="E124" s="11" t="s">
        <v>5520</v>
      </c>
      <c r="F124" s="11" t="s">
        <v>5521</v>
      </c>
      <c r="G124" s="11" t="s">
        <v>5522</v>
      </c>
      <c r="H124" s="11" t="s">
        <v>5523</v>
      </c>
      <c r="I124" s="11" t="s">
        <v>5524</v>
      </c>
      <c r="J124" s="11"/>
      <c r="K124" s="11" t="s">
        <v>5523</v>
      </c>
      <c r="L124" s="11" t="s">
        <v>5525</v>
      </c>
      <c r="M124" s="11" t="s">
        <v>5491</v>
      </c>
      <c r="N124" s="11" t="s">
        <v>5526</v>
      </c>
      <c r="O124" s="11" t="n">
        <v>70</v>
      </c>
    </row>
    <row r="125" customFormat="false" ht="180" hidden="false" customHeight="true" outlineLevel="0" collapsed="false">
      <c r="A125" s="11" t="s">
        <v>5527</v>
      </c>
      <c r="B125" s="11" t="s">
        <v>4525</v>
      </c>
      <c r="C125" s="11" t="s">
        <v>4526</v>
      </c>
      <c r="D125" s="11" t="s">
        <v>5528</v>
      </c>
      <c r="E125" s="11" t="s">
        <v>5529</v>
      </c>
      <c r="F125" s="11" t="s">
        <v>5530</v>
      </c>
      <c r="G125" s="11" t="s">
        <v>5531</v>
      </c>
      <c r="H125" s="11" t="s">
        <v>5532</v>
      </c>
      <c r="I125" s="11" t="s">
        <v>5533</v>
      </c>
      <c r="J125" s="11"/>
      <c r="K125" s="11" t="s">
        <v>5534</v>
      </c>
      <c r="L125" s="11"/>
      <c r="M125" s="11"/>
      <c r="N125" s="11" t="s">
        <v>5535</v>
      </c>
      <c r="O125" s="11" t="n">
        <v>10</v>
      </c>
    </row>
    <row r="126" customFormat="false" ht="180" hidden="false" customHeight="true" outlineLevel="0" collapsed="false">
      <c r="A126" s="11" t="s">
        <v>601</v>
      </c>
      <c r="B126" s="11" t="s">
        <v>4525</v>
      </c>
      <c r="C126" s="11" t="s">
        <v>4526</v>
      </c>
      <c r="D126" s="11" t="s">
        <v>5536</v>
      </c>
      <c r="E126" s="11" t="s">
        <v>5537</v>
      </c>
      <c r="F126" s="11" t="s">
        <v>5538</v>
      </c>
      <c r="G126" s="11" t="s">
        <v>5539</v>
      </c>
      <c r="H126" s="11" t="s">
        <v>5540</v>
      </c>
      <c r="I126" s="11" t="s">
        <v>5541</v>
      </c>
      <c r="J126" s="11"/>
      <c r="K126" s="11"/>
      <c r="L126" s="11" t="s">
        <v>5542</v>
      </c>
      <c r="M126" s="11"/>
      <c r="N126" s="11" t="s">
        <v>603</v>
      </c>
      <c r="O126" s="11" t="n">
        <v>10</v>
      </c>
    </row>
    <row r="127" customFormat="false" ht="180" hidden="false" customHeight="true" outlineLevel="0" collapsed="false">
      <c r="A127" s="11" t="s">
        <v>961</v>
      </c>
      <c r="B127" s="11" t="s">
        <v>4525</v>
      </c>
      <c r="C127" s="11" t="s">
        <v>4526</v>
      </c>
      <c r="D127" s="11" t="s">
        <v>962</v>
      </c>
      <c r="E127" s="11" t="s">
        <v>5543</v>
      </c>
      <c r="F127" s="11" t="s">
        <v>5544</v>
      </c>
      <c r="G127" s="11" t="s">
        <v>5545</v>
      </c>
      <c r="H127" s="11" t="s">
        <v>5546</v>
      </c>
      <c r="I127" s="11" t="s">
        <v>5547</v>
      </c>
      <c r="J127" s="11" t="s">
        <v>5548</v>
      </c>
      <c r="K127" s="11" t="s">
        <v>5549</v>
      </c>
      <c r="L127" s="11" t="s">
        <v>5550</v>
      </c>
      <c r="M127" s="11"/>
      <c r="N127" s="11" t="s">
        <v>5551</v>
      </c>
      <c r="O127" s="11" t="n">
        <v>10</v>
      </c>
    </row>
    <row r="128" customFormat="false" ht="180" hidden="false" customHeight="true" outlineLevel="0" collapsed="false">
      <c r="A128" s="11" t="s">
        <v>967</v>
      </c>
      <c r="B128" s="11" t="s">
        <v>4525</v>
      </c>
      <c r="C128" s="11" t="s">
        <v>4526</v>
      </c>
      <c r="D128" s="11" t="s">
        <v>968</v>
      </c>
      <c r="E128" s="11" t="s">
        <v>5552</v>
      </c>
      <c r="F128" s="11" t="s">
        <v>5553</v>
      </c>
      <c r="G128" s="11" t="s">
        <v>5554</v>
      </c>
      <c r="H128" s="11" t="s">
        <v>5555</v>
      </c>
      <c r="I128" s="11" t="s">
        <v>5556</v>
      </c>
      <c r="J128" s="11" t="s">
        <v>5557</v>
      </c>
      <c r="K128" s="11" t="s">
        <v>5558</v>
      </c>
      <c r="L128" s="11" t="s">
        <v>5559</v>
      </c>
      <c r="M128" s="11" t="s">
        <v>5560</v>
      </c>
      <c r="N128" s="11" t="s">
        <v>5561</v>
      </c>
      <c r="O128" s="11" t="n">
        <v>10</v>
      </c>
    </row>
    <row r="129" customFormat="false" ht="180" hidden="false" customHeight="true" outlineLevel="0" collapsed="false">
      <c r="A129" s="11" t="s">
        <v>973</v>
      </c>
      <c r="B129" s="11" t="s">
        <v>4525</v>
      </c>
      <c r="C129" s="11" t="s">
        <v>4526</v>
      </c>
      <c r="D129" s="11" t="s">
        <v>974</v>
      </c>
      <c r="E129" s="11" t="s">
        <v>5562</v>
      </c>
      <c r="F129" s="11" t="s">
        <v>5563</v>
      </c>
      <c r="G129" s="11" t="s">
        <v>5564</v>
      </c>
      <c r="H129" s="11" t="s">
        <v>5565</v>
      </c>
      <c r="I129" s="11" t="s">
        <v>5566</v>
      </c>
      <c r="J129" s="11" t="s">
        <v>5562</v>
      </c>
      <c r="K129" s="11" t="s">
        <v>5567</v>
      </c>
      <c r="L129" s="11" t="s">
        <v>5568</v>
      </c>
      <c r="M129" s="11"/>
      <c r="N129" s="11" t="s">
        <v>5569</v>
      </c>
      <c r="O129" s="11" t="n">
        <v>10</v>
      </c>
    </row>
    <row r="130" customFormat="false" ht="180" hidden="false" customHeight="true" outlineLevel="0" collapsed="false">
      <c r="A130" s="11" t="s">
        <v>977</v>
      </c>
      <c r="B130" s="11" t="s">
        <v>4525</v>
      </c>
      <c r="C130" s="11" t="s">
        <v>4526</v>
      </c>
      <c r="D130" s="11" t="s">
        <v>978</v>
      </c>
      <c r="E130" s="11" t="s">
        <v>5570</v>
      </c>
      <c r="F130" s="11" t="s">
        <v>5571</v>
      </c>
      <c r="G130" s="11" t="s">
        <v>5572</v>
      </c>
      <c r="H130" s="11" t="s">
        <v>5573</v>
      </c>
      <c r="I130" s="11" t="s">
        <v>5574</v>
      </c>
      <c r="J130" s="11" t="s">
        <v>5575</v>
      </c>
      <c r="K130" s="11" t="s">
        <v>5576</v>
      </c>
      <c r="L130" s="11" t="s">
        <v>5577</v>
      </c>
      <c r="M130" s="11" t="s">
        <v>5578</v>
      </c>
      <c r="N130" s="11" t="s">
        <v>5579</v>
      </c>
      <c r="O130" s="11" t="n">
        <v>10</v>
      </c>
    </row>
    <row r="131" customFormat="false" ht="180" hidden="false" customHeight="true" outlineLevel="0" collapsed="false">
      <c r="A131" s="11" t="s">
        <v>989</v>
      </c>
      <c r="B131" s="11" t="s">
        <v>4525</v>
      </c>
      <c r="C131" s="11" t="s">
        <v>4526</v>
      </c>
      <c r="D131" s="11" t="s">
        <v>990</v>
      </c>
      <c r="E131" s="11" t="s">
        <v>5580</v>
      </c>
      <c r="F131" s="11" t="s">
        <v>5581</v>
      </c>
      <c r="G131" s="11" t="s">
        <v>5582</v>
      </c>
      <c r="H131" s="11" t="s">
        <v>5583</v>
      </c>
      <c r="I131" s="11" t="s">
        <v>5584</v>
      </c>
      <c r="J131" s="11" t="s">
        <v>5585</v>
      </c>
      <c r="K131" s="11" t="s">
        <v>5586</v>
      </c>
      <c r="L131" s="11" t="s">
        <v>5587</v>
      </c>
      <c r="M131" s="11" t="s">
        <v>992</v>
      </c>
      <c r="N131" s="11" t="s">
        <v>5588</v>
      </c>
      <c r="O131" s="11" t="n">
        <v>10</v>
      </c>
    </row>
    <row r="132" customFormat="false" ht="180" hidden="false" customHeight="true" outlineLevel="0" collapsed="false">
      <c r="A132" s="11" t="s">
        <v>981</v>
      </c>
      <c r="B132" s="11" t="s">
        <v>4525</v>
      </c>
      <c r="C132" s="11" t="s">
        <v>4526</v>
      </c>
      <c r="D132" s="11" t="s">
        <v>982</v>
      </c>
      <c r="E132" s="11" t="s">
        <v>5589</v>
      </c>
      <c r="F132" s="11" t="s">
        <v>5590</v>
      </c>
      <c r="G132" s="11" t="s">
        <v>5591</v>
      </c>
      <c r="H132" s="11" t="s">
        <v>5592</v>
      </c>
      <c r="I132" s="11" t="s">
        <v>5593</v>
      </c>
      <c r="J132" s="11" t="s">
        <v>5594</v>
      </c>
      <c r="K132" s="11" t="s">
        <v>5595</v>
      </c>
      <c r="L132" s="11" t="s">
        <v>5596</v>
      </c>
      <c r="M132" s="11" t="s">
        <v>5597</v>
      </c>
      <c r="N132" s="11" t="s">
        <v>5598</v>
      </c>
      <c r="O132" s="11" t="n">
        <v>60</v>
      </c>
    </row>
    <row r="133" customFormat="false" ht="180" hidden="false" customHeight="true" outlineLevel="0" collapsed="false">
      <c r="A133" s="11" t="s">
        <v>993</v>
      </c>
      <c r="B133" s="11" t="s">
        <v>4525</v>
      </c>
      <c r="C133" s="11" t="s">
        <v>4526</v>
      </c>
      <c r="D133" s="11" t="s">
        <v>994</v>
      </c>
      <c r="E133" s="11" t="s">
        <v>5589</v>
      </c>
      <c r="F133" s="11" t="s">
        <v>5599</v>
      </c>
      <c r="G133" s="11" t="s">
        <v>5600</v>
      </c>
      <c r="H133" s="11" t="s">
        <v>5601</v>
      </c>
      <c r="I133" s="11" t="s">
        <v>5602</v>
      </c>
      <c r="J133" s="11" t="s">
        <v>5603</v>
      </c>
      <c r="K133" s="11" t="s">
        <v>5604</v>
      </c>
      <c r="L133" s="11" t="s">
        <v>5605</v>
      </c>
      <c r="M133" s="11" t="s">
        <v>5606</v>
      </c>
      <c r="N133" s="11" t="s">
        <v>5607</v>
      </c>
      <c r="O133" s="11" t="n">
        <v>10</v>
      </c>
    </row>
    <row r="134" customFormat="false" ht="180" hidden="false" customHeight="true" outlineLevel="0" collapsed="false">
      <c r="A134" s="11" t="s">
        <v>985</v>
      </c>
      <c r="B134" s="11" t="s">
        <v>4525</v>
      </c>
      <c r="C134" s="11" t="s">
        <v>4526</v>
      </c>
      <c r="D134" s="11" t="s">
        <v>986</v>
      </c>
      <c r="E134" s="11" t="s">
        <v>5608</v>
      </c>
      <c r="F134" s="11" t="s">
        <v>4934</v>
      </c>
      <c r="G134" s="11" t="s">
        <v>5609</v>
      </c>
      <c r="H134" s="11" t="s">
        <v>5610</v>
      </c>
      <c r="I134" s="11" t="s">
        <v>5611</v>
      </c>
      <c r="J134" s="11" t="s">
        <v>5612</v>
      </c>
      <c r="K134" s="11" t="s">
        <v>5613</v>
      </c>
      <c r="L134" s="11" t="s">
        <v>5614</v>
      </c>
      <c r="M134" s="11" t="s">
        <v>5615</v>
      </c>
      <c r="N134" s="11" t="s">
        <v>5616</v>
      </c>
      <c r="O134" s="11" t="n">
        <v>10</v>
      </c>
    </row>
    <row r="135" customFormat="false" ht="180" hidden="false" customHeight="true" outlineLevel="0" collapsed="false">
      <c r="A135" s="11" t="s">
        <v>997</v>
      </c>
      <c r="B135" s="11" t="s">
        <v>4525</v>
      </c>
      <c r="C135" s="11" t="s">
        <v>4526</v>
      </c>
      <c r="D135" s="11" t="s">
        <v>998</v>
      </c>
      <c r="E135" s="11" t="s">
        <v>5617</v>
      </c>
      <c r="F135" s="11" t="s">
        <v>5618</v>
      </c>
      <c r="G135" s="11" t="s">
        <v>5619</v>
      </c>
      <c r="H135" s="11" t="s">
        <v>5620</v>
      </c>
      <c r="I135" s="11" t="s">
        <v>5621</v>
      </c>
      <c r="J135" s="11" t="s">
        <v>5622</v>
      </c>
      <c r="K135" s="11" t="s">
        <v>5623</v>
      </c>
      <c r="L135" s="11" t="s">
        <v>5624</v>
      </c>
      <c r="M135" s="11" t="s">
        <v>1000</v>
      </c>
      <c r="N135" s="11" t="s">
        <v>5625</v>
      </c>
      <c r="O135" s="11" t="n">
        <v>10</v>
      </c>
    </row>
    <row r="136" customFormat="false" ht="180" hidden="false" customHeight="true" outlineLevel="0" collapsed="false">
      <c r="A136" s="11" t="s">
        <v>1001</v>
      </c>
      <c r="B136" s="11" t="s">
        <v>4525</v>
      </c>
      <c r="C136" s="11" t="s">
        <v>4526</v>
      </c>
      <c r="D136" s="11" t="s">
        <v>1002</v>
      </c>
      <c r="E136" s="11" t="s">
        <v>5626</v>
      </c>
      <c r="F136" s="11" t="s">
        <v>5627</v>
      </c>
      <c r="G136" s="11" t="s">
        <v>5628</v>
      </c>
      <c r="H136" s="11" t="s">
        <v>5629</v>
      </c>
      <c r="I136" s="11" t="s">
        <v>5630</v>
      </c>
      <c r="J136" s="11" t="s">
        <v>5626</v>
      </c>
      <c r="K136" s="11" t="s">
        <v>5631</v>
      </c>
      <c r="L136" s="11" t="s">
        <v>5632</v>
      </c>
      <c r="M136" s="11"/>
      <c r="N136" s="11" t="s">
        <v>5633</v>
      </c>
      <c r="O136" s="11" t="n">
        <v>10</v>
      </c>
    </row>
    <row r="137" customFormat="false" ht="180" hidden="false" customHeight="true" outlineLevel="0" collapsed="false">
      <c r="A137" s="11" t="s">
        <v>548</v>
      </c>
      <c r="B137" s="11" t="s">
        <v>4525</v>
      </c>
      <c r="C137" s="11" t="s">
        <v>4526</v>
      </c>
      <c r="D137" s="11" t="s">
        <v>5634</v>
      </c>
      <c r="E137" s="11" t="s">
        <v>5537</v>
      </c>
      <c r="F137" s="11" t="s">
        <v>5635</v>
      </c>
      <c r="G137" s="11" t="s">
        <v>5636</v>
      </c>
      <c r="H137" s="11" t="s">
        <v>5637</v>
      </c>
      <c r="I137" s="11" t="s">
        <v>5638</v>
      </c>
      <c r="J137" s="11"/>
      <c r="K137" s="11"/>
      <c r="L137" s="11" t="s">
        <v>5639</v>
      </c>
      <c r="M137" s="11"/>
      <c r="N137" s="11" t="s">
        <v>607</v>
      </c>
      <c r="O137" s="11" t="n">
        <v>10</v>
      </c>
    </row>
    <row r="138" customFormat="false" ht="180" hidden="false" customHeight="true" outlineLevel="0" collapsed="false">
      <c r="A138" s="11" t="s">
        <v>4014</v>
      </c>
      <c r="B138" s="11" t="s">
        <v>4525</v>
      </c>
      <c r="C138" s="11" t="s">
        <v>4526</v>
      </c>
      <c r="D138" s="11" t="s">
        <v>5640</v>
      </c>
      <c r="E138" s="11" t="s">
        <v>5641</v>
      </c>
      <c r="F138" s="11" t="s">
        <v>5642</v>
      </c>
      <c r="G138" s="11" t="s">
        <v>5643</v>
      </c>
      <c r="H138" s="11" t="s">
        <v>5644</v>
      </c>
      <c r="I138" s="11" t="s">
        <v>5645</v>
      </c>
      <c r="J138" s="11" t="s">
        <v>4574</v>
      </c>
      <c r="K138" s="11" t="s">
        <v>5646</v>
      </c>
      <c r="L138" s="11"/>
      <c r="M138" s="11" t="s">
        <v>5647</v>
      </c>
      <c r="N138" s="11" t="s">
        <v>5648</v>
      </c>
      <c r="O138" s="11" t="n">
        <v>100</v>
      </c>
    </row>
    <row r="139" customFormat="false" ht="180" hidden="false" customHeight="true" outlineLevel="0" collapsed="false">
      <c r="A139" s="11" t="s">
        <v>1006</v>
      </c>
      <c r="B139" s="11" t="s">
        <v>4525</v>
      </c>
      <c r="C139" s="11" t="s">
        <v>4526</v>
      </c>
      <c r="D139" s="11" t="s">
        <v>1007</v>
      </c>
      <c r="E139" s="11" t="s">
        <v>5649</v>
      </c>
      <c r="F139" s="11" t="s">
        <v>5650</v>
      </c>
      <c r="G139" s="11" t="s">
        <v>5651</v>
      </c>
      <c r="H139" s="11" t="s">
        <v>5652</v>
      </c>
      <c r="I139" s="11" t="s">
        <v>5653</v>
      </c>
      <c r="J139" s="11" t="s">
        <v>5654</v>
      </c>
      <c r="K139" s="11" t="s">
        <v>5655</v>
      </c>
      <c r="L139" s="11" t="s">
        <v>5656</v>
      </c>
      <c r="M139" s="11" t="s">
        <v>5657</v>
      </c>
      <c r="N139" s="11" t="s">
        <v>5658</v>
      </c>
      <c r="O139" s="11" t="n">
        <v>10</v>
      </c>
    </row>
    <row r="140" customFormat="false" ht="180" hidden="false" customHeight="true" outlineLevel="0" collapsed="false">
      <c r="A140" s="11" t="s">
        <v>1009</v>
      </c>
      <c r="B140" s="11" t="s">
        <v>4525</v>
      </c>
      <c r="C140" s="11" t="s">
        <v>4526</v>
      </c>
      <c r="D140" s="11" t="s">
        <v>1010</v>
      </c>
      <c r="E140" s="11" t="s">
        <v>5659</v>
      </c>
      <c r="F140" s="11" t="s">
        <v>5660</v>
      </c>
      <c r="G140" s="11" t="s">
        <v>5661</v>
      </c>
      <c r="H140" s="11" t="s">
        <v>5662</v>
      </c>
      <c r="I140" s="11" t="s">
        <v>5663</v>
      </c>
      <c r="J140" s="11" t="s">
        <v>5664</v>
      </c>
      <c r="K140" s="11" t="s">
        <v>5665</v>
      </c>
      <c r="L140" s="11" t="s">
        <v>5666</v>
      </c>
      <c r="M140" s="11" t="s">
        <v>1012</v>
      </c>
      <c r="N140" s="11" t="s">
        <v>5667</v>
      </c>
      <c r="O140" s="11" t="n">
        <v>10</v>
      </c>
    </row>
    <row r="141" customFormat="false" ht="180" hidden="false" customHeight="true" outlineLevel="0" collapsed="false">
      <c r="A141" s="11" t="s">
        <v>1013</v>
      </c>
      <c r="B141" s="11" t="s">
        <v>4525</v>
      </c>
      <c r="C141" s="11" t="s">
        <v>4526</v>
      </c>
      <c r="D141" s="11" t="s">
        <v>1014</v>
      </c>
      <c r="E141" s="11" t="s">
        <v>5659</v>
      </c>
      <c r="F141" s="11" t="s">
        <v>5668</v>
      </c>
      <c r="G141" s="11" t="s">
        <v>5669</v>
      </c>
      <c r="H141" s="11" t="s">
        <v>5670</v>
      </c>
      <c r="I141" s="11" t="s">
        <v>5671</v>
      </c>
      <c r="J141" s="11" t="s">
        <v>5672</v>
      </c>
      <c r="K141" s="11" t="s">
        <v>5673</v>
      </c>
      <c r="L141" s="11" t="s">
        <v>5674</v>
      </c>
      <c r="M141" s="11" t="s">
        <v>5675</v>
      </c>
      <c r="N141" s="11" t="s">
        <v>5676</v>
      </c>
      <c r="O141" s="11" t="n">
        <v>10</v>
      </c>
    </row>
    <row r="142" customFormat="false" ht="180" hidden="false" customHeight="true" outlineLevel="0" collapsed="false">
      <c r="A142" s="11" t="s">
        <v>1017</v>
      </c>
      <c r="B142" s="11" t="s">
        <v>4525</v>
      </c>
      <c r="C142" s="11" t="s">
        <v>4526</v>
      </c>
      <c r="D142" s="11" t="s">
        <v>1018</v>
      </c>
      <c r="E142" s="11" t="s">
        <v>5677</v>
      </c>
      <c r="F142" s="11" t="s">
        <v>5678</v>
      </c>
      <c r="G142" s="11" t="s">
        <v>5679</v>
      </c>
      <c r="H142" s="11" t="s">
        <v>5680</v>
      </c>
      <c r="I142" s="11" t="s">
        <v>5681</v>
      </c>
      <c r="J142" s="11" t="s">
        <v>5654</v>
      </c>
      <c r="K142" s="11" t="s">
        <v>5682</v>
      </c>
      <c r="L142" s="11" t="s">
        <v>5683</v>
      </c>
      <c r="M142" s="11" t="s">
        <v>5684</v>
      </c>
      <c r="N142" s="11" t="s">
        <v>5685</v>
      </c>
      <c r="O142" s="11" t="n">
        <v>10</v>
      </c>
    </row>
    <row r="143" customFormat="false" ht="180" hidden="false" customHeight="true" outlineLevel="0" collapsed="false">
      <c r="A143" s="11" t="s">
        <v>1021</v>
      </c>
      <c r="B143" s="11" t="s">
        <v>4525</v>
      </c>
      <c r="C143" s="11" t="s">
        <v>4526</v>
      </c>
      <c r="D143" s="11" t="s">
        <v>1022</v>
      </c>
      <c r="E143" s="11" t="s">
        <v>5543</v>
      </c>
      <c r="F143" s="11" t="s">
        <v>5686</v>
      </c>
      <c r="G143" s="11" t="s">
        <v>5687</v>
      </c>
      <c r="H143" s="11" t="s">
        <v>5688</v>
      </c>
      <c r="I143" s="11" t="s">
        <v>5689</v>
      </c>
      <c r="J143" s="11" t="s">
        <v>5690</v>
      </c>
      <c r="K143" s="11" t="s">
        <v>5691</v>
      </c>
      <c r="L143" s="11" t="s">
        <v>5692</v>
      </c>
      <c r="M143" s="11" t="s">
        <v>992</v>
      </c>
      <c r="N143" s="11" t="s">
        <v>5693</v>
      </c>
      <c r="O143" s="11" t="n">
        <v>10</v>
      </c>
    </row>
    <row r="144" customFormat="false" ht="180" hidden="false" customHeight="true" outlineLevel="0" collapsed="false">
      <c r="A144" s="11" t="s">
        <v>1024</v>
      </c>
      <c r="B144" s="11" t="s">
        <v>4525</v>
      </c>
      <c r="C144" s="11" t="s">
        <v>4526</v>
      </c>
      <c r="D144" s="11" t="s">
        <v>1025</v>
      </c>
      <c r="E144" s="11" t="s">
        <v>5570</v>
      </c>
      <c r="F144" s="11" t="s">
        <v>5571</v>
      </c>
      <c r="G144" s="11" t="s">
        <v>5694</v>
      </c>
      <c r="H144" s="11" t="s">
        <v>5695</v>
      </c>
      <c r="I144" s="11" t="s">
        <v>5689</v>
      </c>
      <c r="J144" s="11" t="s">
        <v>5696</v>
      </c>
      <c r="K144" s="11" t="s">
        <v>5697</v>
      </c>
      <c r="L144" s="11" t="s">
        <v>5698</v>
      </c>
      <c r="M144" s="11" t="s">
        <v>992</v>
      </c>
      <c r="N144" s="11" t="s">
        <v>5699</v>
      </c>
      <c r="O144" s="11" t="n">
        <v>10</v>
      </c>
    </row>
    <row r="145" customFormat="false" ht="180" hidden="false" customHeight="true" outlineLevel="0" collapsed="false">
      <c r="A145" s="11" t="s">
        <v>1027</v>
      </c>
      <c r="B145" s="11" t="s">
        <v>4525</v>
      </c>
      <c r="C145" s="11" t="s">
        <v>4526</v>
      </c>
      <c r="D145" s="11" t="s">
        <v>1028</v>
      </c>
      <c r="E145" s="11" t="s">
        <v>5677</v>
      </c>
      <c r="F145" s="11" t="s">
        <v>5700</v>
      </c>
      <c r="G145" s="11" t="s">
        <v>5701</v>
      </c>
      <c r="H145" s="11" t="s">
        <v>5702</v>
      </c>
      <c r="I145" s="11" t="s">
        <v>5703</v>
      </c>
      <c r="J145" s="11" t="s">
        <v>5704</v>
      </c>
      <c r="K145" s="11" t="s">
        <v>5682</v>
      </c>
      <c r="L145" s="11" t="s">
        <v>5705</v>
      </c>
      <c r="M145" s="11" t="s">
        <v>5706</v>
      </c>
      <c r="N145" s="11" t="s">
        <v>5707</v>
      </c>
      <c r="O145" s="11" t="n">
        <v>10</v>
      </c>
    </row>
    <row r="146" customFormat="false" ht="180" hidden="false" customHeight="true" outlineLevel="0" collapsed="false">
      <c r="A146" s="11" t="s">
        <v>551</v>
      </c>
      <c r="B146" s="11" t="s">
        <v>4525</v>
      </c>
      <c r="C146" s="11" t="s">
        <v>4526</v>
      </c>
      <c r="D146" s="11" t="s">
        <v>5708</v>
      </c>
      <c r="E146" s="11" t="s">
        <v>5709</v>
      </c>
      <c r="F146" s="11" t="s">
        <v>5635</v>
      </c>
      <c r="G146" s="11" t="s">
        <v>5710</v>
      </c>
      <c r="H146" s="11" t="s">
        <v>5711</v>
      </c>
      <c r="I146" s="11" t="s">
        <v>5712</v>
      </c>
      <c r="J146" s="11"/>
      <c r="K146" s="11"/>
      <c r="L146" s="11" t="s">
        <v>5713</v>
      </c>
      <c r="M146" s="11"/>
      <c r="N146" s="11" t="s">
        <v>612</v>
      </c>
      <c r="O146" s="11" t="n">
        <v>10</v>
      </c>
    </row>
    <row r="147" customFormat="false" ht="180" hidden="false" customHeight="true" outlineLevel="0" collapsed="false">
      <c r="A147" s="11" t="s">
        <v>1031</v>
      </c>
      <c r="B147" s="11" t="s">
        <v>4525</v>
      </c>
      <c r="C147" s="11" t="s">
        <v>4526</v>
      </c>
      <c r="D147" s="11" t="s">
        <v>5714</v>
      </c>
      <c r="E147" s="11" t="s">
        <v>5715</v>
      </c>
      <c r="F147" s="11" t="s">
        <v>4934</v>
      </c>
      <c r="G147" s="11" t="s">
        <v>5716</v>
      </c>
      <c r="H147" s="11" t="s">
        <v>5717</v>
      </c>
      <c r="I147" s="11" t="s">
        <v>5718</v>
      </c>
      <c r="J147" s="11" t="s">
        <v>4574</v>
      </c>
      <c r="K147" s="11"/>
      <c r="L147" s="11"/>
      <c r="M147" s="11" t="s">
        <v>1033</v>
      </c>
      <c r="N147" s="11" t="s">
        <v>5719</v>
      </c>
      <c r="O147" s="11" t="n">
        <v>10</v>
      </c>
    </row>
    <row r="148" customFormat="false" ht="180" hidden="false" customHeight="true" outlineLevel="0" collapsed="false">
      <c r="A148" s="11" t="s">
        <v>1034</v>
      </c>
      <c r="B148" s="11" t="s">
        <v>4525</v>
      </c>
      <c r="C148" s="11" t="s">
        <v>4526</v>
      </c>
      <c r="D148" s="11" t="s">
        <v>1035</v>
      </c>
      <c r="E148" s="11" t="s">
        <v>5720</v>
      </c>
      <c r="F148" s="11" t="s">
        <v>4934</v>
      </c>
      <c r="G148" s="11" t="s">
        <v>5721</v>
      </c>
      <c r="H148" s="11" t="s">
        <v>5722</v>
      </c>
      <c r="I148" s="11" t="s">
        <v>5723</v>
      </c>
      <c r="J148" s="11"/>
      <c r="K148" s="11"/>
      <c r="L148" s="11"/>
      <c r="M148" s="11"/>
      <c r="N148" s="11" t="s">
        <v>5724</v>
      </c>
      <c r="O148" s="11" t="n">
        <v>10</v>
      </c>
    </row>
    <row r="149" customFormat="false" ht="180" hidden="false" customHeight="true" outlineLevel="0" collapsed="false">
      <c r="A149" s="11" t="s">
        <v>1037</v>
      </c>
      <c r="B149" s="11" t="s">
        <v>4525</v>
      </c>
      <c r="C149" s="11" t="s">
        <v>4526</v>
      </c>
      <c r="D149" s="11" t="s">
        <v>1038</v>
      </c>
      <c r="E149" s="11" t="s">
        <v>5725</v>
      </c>
      <c r="F149" s="11" t="s">
        <v>5726</v>
      </c>
      <c r="G149" s="11" t="s">
        <v>5727</v>
      </c>
      <c r="H149" s="11" t="s">
        <v>5728</v>
      </c>
      <c r="I149" s="11" t="s">
        <v>5729</v>
      </c>
      <c r="J149" s="11"/>
      <c r="K149" s="11"/>
      <c r="L149" s="11"/>
      <c r="M149" s="11"/>
      <c r="N149" s="11" t="s">
        <v>5730</v>
      </c>
      <c r="O149" s="11" t="n">
        <v>10</v>
      </c>
    </row>
    <row r="150" customFormat="false" ht="180" hidden="false" customHeight="true" outlineLevel="0" collapsed="false">
      <c r="A150" s="11" t="s">
        <v>1040</v>
      </c>
      <c r="B150" s="11" t="s">
        <v>4525</v>
      </c>
      <c r="C150" s="11" t="s">
        <v>4526</v>
      </c>
      <c r="D150" s="11" t="s">
        <v>1041</v>
      </c>
      <c r="E150" s="11" t="s">
        <v>5731</v>
      </c>
      <c r="F150" s="11" t="s">
        <v>5732</v>
      </c>
      <c r="G150" s="11" t="s">
        <v>5733</v>
      </c>
      <c r="H150" s="11" t="s">
        <v>5728</v>
      </c>
      <c r="I150" s="11" t="s">
        <v>5734</v>
      </c>
      <c r="J150" s="11"/>
      <c r="K150" s="11"/>
      <c r="L150" s="11"/>
      <c r="M150" s="11"/>
      <c r="N150" s="11" t="s">
        <v>5735</v>
      </c>
      <c r="O150" s="11" t="n">
        <v>10</v>
      </c>
    </row>
    <row r="151" customFormat="false" ht="180" hidden="false" customHeight="true" outlineLevel="0" collapsed="false">
      <c r="A151" s="11" t="s">
        <v>1043</v>
      </c>
      <c r="B151" s="11" t="s">
        <v>4525</v>
      </c>
      <c r="C151" s="11" t="s">
        <v>4526</v>
      </c>
      <c r="D151" s="11" t="s">
        <v>1044</v>
      </c>
      <c r="E151" s="11" t="s">
        <v>5736</v>
      </c>
      <c r="F151" s="11" t="s">
        <v>5737</v>
      </c>
      <c r="G151" s="11" t="s">
        <v>5738</v>
      </c>
      <c r="H151" s="11" t="s">
        <v>5739</v>
      </c>
      <c r="I151" s="11" t="s">
        <v>5740</v>
      </c>
      <c r="J151" s="11" t="s">
        <v>5741</v>
      </c>
      <c r="K151" s="11" t="s">
        <v>5742</v>
      </c>
      <c r="L151" s="11" t="s">
        <v>5743</v>
      </c>
      <c r="M151" s="11" t="s">
        <v>1046</v>
      </c>
      <c r="N151" s="11" t="s">
        <v>5744</v>
      </c>
      <c r="O151" s="11" t="n">
        <v>10</v>
      </c>
    </row>
    <row r="152" customFormat="false" ht="180" hidden="false" customHeight="true" outlineLevel="0" collapsed="false">
      <c r="A152" s="11" t="s">
        <v>1047</v>
      </c>
      <c r="B152" s="11" t="s">
        <v>4525</v>
      </c>
      <c r="C152" s="11" t="s">
        <v>4526</v>
      </c>
      <c r="D152" s="11" t="s">
        <v>1048</v>
      </c>
      <c r="E152" s="11" t="s">
        <v>5745</v>
      </c>
      <c r="F152" s="11" t="s">
        <v>4934</v>
      </c>
      <c r="G152" s="11" t="s">
        <v>5746</v>
      </c>
      <c r="H152" s="11" t="s">
        <v>5747</v>
      </c>
      <c r="I152" s="11" t="s">
        <v>5748</v>
      </c>
      <c r="J152" s="11"/>
      <c r="K152" s="11"/>
      <c r="L152" s="11"/>
      <c r="M152" s="11"/>
      <c r="N152" s="11" t="s">
        <v>5749</v>
      </c>
      <c r="O152" s="11" t="n">
        <v>10</v>
      </c>
    </row>
    <row r="153" customFormat="false" ht="180" hidden="false" customHeight="true" outlineLevel="0" collapsed="false">
      <c r="A153" s="11" t="s">
        <v>615</v>
      </c>
      <c r="B153" s="11" t="s">
        <v>4525</v>
      </c>
      <c r="C153" s="11" t="s">
        <v>4526</v>
      </c>
      <c r="D153" s="11" t="s">
        <v>5750</v>
      </c>
      <c r="E153" s="11" t="s">
        <v>5709</v>
      </c>
      <c r="F153" s="11" t="s">
        <v>5635</v>
      </c>
      <c r="G153" s="11" t="s">
        <v>5751</v>
      </c>
      <c r="H153" s="11" t="s">
        <v>5752</v>
      </c>
      <c r="I153" s="11" t="s">
        <v>5753</v>
      </c>
      <c r="J153" s="11"/>
      <c r="K153" s="11"/>
      <c r="L153" s="11" t="s">
        <v>5754</v>
      </c>
      <c r="M153" s="11"/>
      <c r="N153" s="11" t="s">
        <v>617</v>
      </c>
      <c r="O153" s="11" t="n">
        <v>10</v>
      </c>
    </row>
    <row r="154" customFormat="false" ht="180" hidden="false" customHeight="true" outlineLevel="0" collapsed="false">
      <c r="A154" s="11" t="s">
        <v>1050</v>
      </c>
      <c r="B154" s="11" t="s">
        <v>4525</v>
      </c>
      <c r="C154" s="11" t="s">
        <v>4526</v>
      </c>
      <c r="D154" s="11" t="s">
        <v>1051</v>
      </c>
      <c r="E154" s="11" t="s">
        <v>5755</v>
      </c>
      <c r="F154" s="11" t="s">
        <v>5756</v>
      </c>
      <c r="G154" s="11" t="s">
        <v>5757</v>
      </c>
      <c r="H154" s="11" t="s">
        <v>5758</v>
      </c>
      <c r="I154" s="11" t="s">
        <v>5759</v>
      </c>
      <c r="J154" s="11"/>
      <c r="K154" s="11"/>
      <c r="L154" s="11" t="s">
        <v>5760</v>
      </c>
      <c r="M154" s="11"/>
      <c r="N154" s="11" t="s">
        <v>5761</v>
      </c>
      <c r="O154" s="11" t="n">
        <v>10</v>
      </c>
    </row>
    <row r="155" customFormat="false" ht="180" hidden="false" customHeight="true" outlineLevel="0" collapsed="false">
      <c r="A155" s="11" t="s">
        <v>1052</v>
      </c>
      <c r="B155" s="11" t="s">
        <v>4525</v>
      </c>
      <c r="C155" s="11" t="s">
        <v>4526</v>
      </c>
      <c r="D155" s="11" t="s">
        <v>1053</v>
      </c>
      <c r="E155" s="11" t="s">
        <v>5762</v>
      </c>
      <c r="F155" s="11" t="s">
        <v>5763</v>
      </c>
      <c r="G155" s="11" t="s">
        <v>5764</v>
      </c>
      <c r="H155" s="11" t="s">
        <v>5765</v>
      </c>
      <c r="I155" s="11" t="s">
        <v>5766</v>
      </c>
      <c r="J155" s="11" t="s">
        <v>5767</v>
      </c>
      <c r="K155" s="11"/>
      <c r="L155" s="11"/>
      <c r="M155" s="11" t="s">
        <v>5768</v>
      </c>
      <c r="N155" s="11" t="s">
        <v>5769</v>
      </c>
      <c r="O155" s="11" t="n">
        <v>100</v>
      </c>
    </row>
    <row r="156" customFormat="false" ht="180" hidden="false" customHeight="true" outlineLevel="0" collapsed="false">
      <c r="A156" s="11" t="s">
        <v>1056</v>
      </c>
      <c r="B156" s="11" t="s">
        <v>4525</v>
      </c>
      <c r="C156" s="11" t="s">
        <v>4526</v>
      </c>
      <c r="D156" s="11" t="s">
        <v>1057</v>
      </c>
      <c r="E156" s="11" t="s">
        <v>5770</v>
      </c>
      <c r="F156" s="11" t="s">
        <v>5771</v>
      </c>
      <c r="G156" s="11" t="s">
        <v>5772</v>
      </c>
      <c r="H156" s="11" t="s">
        <v>5773</v>
      </c>
      <c r="I156" s="11" t="s">
        <v>5774</v>
      </c>
      <c r="J156" s="11" t="s">
        <v>5770</v>
      </c>
      <c r="K156" s="11" t="s">
        <v>5775</v>
      </c>
      <c r="L156" s="11" t="s">
        <v>5772</v>
      </c>
      <c r="M156" s="11"/>
      <c r="N156" s="11" t="s">
        <v>5776</v>
      </c>
      <c r="O156" s="11" t="n">
        <v>10</v>
      </c>
    </row>
    <row r="157" customFormat="false" ht="180" hidden="false" customHeight="true" outlineLevel="0" collapsed="false">
      <c r="A157" s="11" t="s">
        <v>1059</v>
      </c>
      <c r="B157" s="11" t="s">
        <v>4525</v>
      </c>
      <c r="C157" s="11" t="s">
        <v>4526</v>
      </c>
      <c r="D157" s="11" t="s">
        <v>1060</v>
      </c>
      <c r="E157" s="11" t="s">
        <v>5777</v>
      </c>
      <c r="F157" s="11" t="s">
        <v>5778</v>
      </c>
      <c r="G157" s="11" t="s">
        <v>5779</v>
      </c>
      <c r="H157" s="11" t="s">
        <v>5780</v>
      </c>
      <c r="I157" s="11" t="s">
        <v>5781</v>
      </c>
      <c r="J157" s="11" t="s">
        <v>5782</v>
      </c>
      <c r="K157" s="11" t="s">
        <v>5783</v>
      </c>
      <c r="L157" s="11" t="s">
        <v>5784</v>
      </c>
      <c r="M157" s="11" t="s">
        <v>5785</v>
      </c>
      <c r="N157" s="11" t="s">
        <v>5786</v>
      </c>
      <c r="O157" s="11" t="n">
        <v>10</v>
      </c>
    </row>
    <row r="158" customFormat="false" ht="180" hidden="false" customHeight="true" outlineLevel="0" collapsed="false">
      <c r="A158" s="11" t="s">
        <v>1063</v>
      </c>
      <c r="B158" s="11" t="s">
        <v>4525</v>
      </c>
      <c r="C158" s="11" t="s">
        <v>4526</v>
      </c>
      <c r="D158" s="11" t="s">
        <v>1064</v>
      </c>
      <c r="E158" s="11" t="s">
        <v>5787</v>
      </c>
      <c r="F158" s="11" t="s">
        <v>5788</v>
      </c>
      <c r="G158" s="11" t="s">
        <v>5789</v>
      </c>
      <c r="H158" s="11" t="s">
        <v>5790</v>
      </c>
      <c r="I158" s="11" t="s">
        <v>5791</v>
      </c>
      <c r="J158" s="11" t="s">
        <v>5787</v>
      </c>
      <c r="K158" s="11" t="s">
        <v>5792</v>
      </c>
      <c r="L158" s="11" t="s">
        <v>5793</v>
      </c>
      <c r="M158" s="11"/>
      <c r="N158" s="11" t="s">
        <v>5794</v>
      </c>
      <c r="O158" s="11" t="n">
        <v>10</v>
      </c>
    </row>
    <row r="159" customFormat="false" ht="180" hidden="false" customHeight="true" outlineLevel="0" collapsed="false">
      <c r="A159" s="11" t="s">
        <v>1066</v>
      </c>
      <c r="B159" s="11" t="s">
        <v>4525</v>
      </c>
      <c r="C159" s="11" t="s">
        <v>4526</v>
      </c>
      <c r="D159" s="11" t="s">
        <v>1067</v>
      </c>
      <c r="E159" s="11" t="s">
        <v>5795</v>
      </c>
      <c r="F159" s="11" t="s">
        <v>5796</v>
      </c>
      <c r="G159" s="11" t="s">
        <v>5797</v>
      </c>
      <c r="H159" s="11" t="s">
        <v>5798</v>
      </c>
      <c r="I159" s="11" t="s">
        <v>5799</v>
      </c>
      <c r="J159" s="11" t="s">
        <v>4574</v>
      </c>
      <c r="K159" s="11" t="s">
        <v>5800</v>
      </c>
      <c r="L159" s="11" t="s">
        <v>5801</v>
      </c>
      <c r="M159" s="11" t="s">
        <v>5802</v>
      </c>
      <c r="N159" s="11" t="s">
        <v>5803</v>
      </c>
      <c r="O159" s="11" t="n">
        <v>10</v>
      </c>
    </row>
    <row r="160" customFormat="false" ht="180" hidden="false" customHeight="true" outlineLevel="0" collapsed="false">
      <c r="A160" s="11" t="s">
        <v>620</v>
      </c>
      <c r="B160" s="11" t="s">
        <v>4525</v>
      </c>
      <c r="C160" s="11" t="s">
        <v>4526</v>
      </c>
      <c r="D160" s="11" t="s">
        <v>5804</v>
      </c>
      <c r="E160" s="11" t="s">
        <v>5709</v>
      </c>
      <c r="F160" s="11" t="s">
        <v>5635</v>
      </c>
      <c r="G160" s="11" t="s">
        <v>5805</v>
      </c>
      <c r="H160" s="11" t="s">
        <v>5806</v>
      </c>
      <c r="I160" s="11" t="s">
        <v>4614</v>
      </c>
      <c r="J160" s="11"/>
      <c r="K160" s="11"/>
      <c r="L160" s="11" t="s">
        <v>5807</v>
      </c>
      <c r="M160" s="11"/>
      <c r="N160" s="11" t="s">
        <v>622</v>
      </c>
      <c r="O160" s="11" t="n">
        <v>10</v>
      </c>
    </row>
    <row r="161" customFormat="false" ht="180" hidden="false" customHeight="true" outlineLevel="0" collapsed="false">
      <c r="A161" s="11" t="s">
        <v>1070</v>
      </c>
      <c r="B161" s="11" t="s">
        <v>4525</v>
      </c>
      <c r="C161" s="11" t="s">
        <v>4526</v>
      </c>
      <c r="D161" s="11" t="s">
        <v>1071</v>
      </c>
      <c r="E161" s="11" t="s">
        <v>5808</v>
      </c>
      <c r="F161" s="11" t="s">
        <v>5809</v>
      </c>
      <c r="G161" s="11" t="s">
        <v>5810</v>
      </c>
      <c r="H161" s="11" t="s">
        <v>5811</v>
      </c>
      <c r="I161" s="11" t="s">
        <v>5812</v>
      </c>
      <c r="J161" s="11"/>
      <c r="K161" s="11"/>
      <c r="L161" s="11"/>
      <c r="M161" s="11"/>
      <c r="N161" s="11" t="s">
        <v>5813</v>
      </c>
      <c r="O161" s="11" t="n">
        <v>10</v>
      </c>
    </row>
    <row r="162" customFormat="false" ht="180" hidden="false" customHeight="true" outlineLevel="0" collapsed="false">
      <c r="A162" s="11" t="s">
        <v>1072</v>
      </c>
      <c r="B162" s="11" t="s">
        <v>4525</v>
      </c>
      <c r="C162" s="11" t="s">
        <v>4526</v>
      </c>
      <c r="D162" s="11" t="s">
        <v>1073</v>
      </c>
      <c r="E162" s="11" t="s">
        <v>5814</v>
      </c>
      <c r="F162" s="11" t="s">
        <v>4934</v>
      </c>
      <c r="G162" s="11" t="s">
        <v>5815</v>
      </c>
      <c r="H162" s="11" t="s">
        <v>5816</v>
      </c>
      <c r="I162" s="11" t="s">
        <v>4614</v>
      </c>
      <c r="J162" s="11"/>
      <c r="K162" s="11"/>
      <c r="L162" s="11" t="s">
        <v>5815</v>
      </c>
      <c r="M162" s="11"/>
      <c r="N162" s="11" t="s">
        <v>5817</v>
      </c>
      <c r="O162" s="11" t="n">
        <v>10</v>
      </c>
    </row>
    <row r="163" customFormat="false" ht="180" hidden="false" customHeight="true" outlineLevel="0" collapsed="false">
      <c r="A163" s="11" t="s">
        <v>1075</v>
      </c>
      <c r="B163" s="11" t="s">
        <v>4525</v>
      </c>
      <c r="C163" s="11" t="s">
        <v>4526</v>
      </c>
      <c r="D163" s="11" t="s">
        <v>1076</v>
      </c>
      <c r="E163" s="11" t="s">
        <v>5818</v>
      </c>
      <c r="F163" s="11" t="s">
        <v>5819</v>
      </c>
      <c r="G163" s="11" t="s">
        <v>5820</v>
      </c>
      <c r="H163" s="11" t="s">
        <v>5821</v>
      </c>
      <c r="I163" s="11" t="s">
        <v>5822</v>
      </c>
      <c r="J163" s="11"/>
      <c r="K163" s="11" t="s">
        <v>5823</v>
      </c>
      <c r="L163" s="11"/>
      <c r="M163" s="11"/>
      <c r="N163" s="11" t="s">
        <v>5824</v>
      </c>
      <c r="O163" s="11" t="n">
        <v>10</v>
      </c>
    </row>
    <row r="164" customFormat="false" ht="180" hidden="false" customHeight="true" outlineLevel="0" collapsed="false">
      <c r="A164" s="11" t="s">
        <v>1078</v>
      </c>
      <c r="B164" s="11" t="s">
        <v>4525</v>
      </c>
      <c r="C164" s="11" t="s">
        <v>4526</v>
      </c>
      <c r="D164" s="11" t="s">
        <v>1079</v>
      </c>
      <c r="E164" s="11" t="s">
        <v>5825</v>
      </c>
      <c r="F164" s="11" t="s">
        <v>4934</v>
      </c>
      <c r="G164" s="11" t="s">
        <v>5826</v>
      </c>
      <c r="H164" s="11" t="s">
        <v>5827</v>
      </c>
      <c r="I164" s="11" t="s">
        <v>5828</v>
      </c>
      <c r="J164" s="11"/>
      <c r="K164" s="11"/>
      <c r="L164" s="11"/>
      <c r="M164" s="11"/>
      <c r="N164" s="11" t="s">
        <v>5829</v>
      </c>
      <c r="O164" s="11" t="n">
        <v>10</v>
      </c>
    </row>
    <row r="165" customFormat="false" ht="180" hidden="false" customHeight="true" outlineLevel="0" collapsed="false">
      <c r="A165" s="11" t="s">
        <v>1081</v>
      </c>
      <c r="B165" s="11" t="s">
        <v>4525</v>
      </c>
      <c r="C165" s="11" t="s">
        <v>4526</v>
      </c>
      <c r="D165" s="11" t="s">
        <v>1082</v>
      </c>
      <c r="E165" s="11" t="s">
        <v>5830</v>
      </c>
      <c r="F165" s="11" t="s">
        <v>4934</v>
      </c>
      <c r="G165" s="11" t="s">
        <v>4928</v>
      </c>
      <c r="H165" s="11" t="s">
        <v>5831</v>
      </c>
      <c r="I165" s="11" t="s">
        <v>5832</v>
      </c>
      <c r="J165" s="11"/>
      <c r="K165" s="11"/>
      <c r="L165" s="11"/>
      <c r="M165" s="11"/>
      <c r="N165" s="11" t="s">
        <v>5833</v>
      </c>
      <c r="O165" s="11" t="n">
        <v>10</v>
      </c>
    </row>
    <row r="166" customFormat="false" ht="180" hidden="false" customHeight="true" outlineLevel="0" collapsed="false">
      <c r="A166" s="11" t="s">
        <v>1084</v>
      </c>
      <c r="B166" s="11" t="s">
        <v>4525</v>
      </c>
      <c r="C166" s="11" t="s">
        <v>4526</v>
      </c>
      <c r="D166" s="11" t="s">
        <v>1085</v>
      </c>
      <c r="E166" s="11" t="s">
        <v>5834</v>
      </c>
      <c r="F166" s="11" t="s">
        <v>5835</v>
      </c>
      <c r="G166" s="11" t="s">
        <v>5836</v>
      </c>
      <c r="H166" s="11" t="s">
        <v>5837</v>
      </c>
      <c r="I166" s="11" t="s">
        <v>5838</v>
      </c>
      <c r="J166" s="11" t="s">
        <v>5839</v>
      </c>
      <c r="K166" s="11" t="s">
        <v>5840</v>
      </c>
      <c r="L166" s="11" t="s">
        <v>5841</v>
      </c>
      <c r="M166" s="11" t="s">
        <v>1087</v>
      </c>
      <c r="N166" s="11" t="s">
        <v>5842</v>
      </c>
      <c r="O166" s="11" t="n">
        <v>10</v>
      </c>
    </row>
    <row r="167" customFormat="false" ht="180" hidden="false" customHeight="true" outlineLevel="0" collapsed="false">
      <c r="A167" s="11" t="s">
        <v>554</v>
      </c>
      <c r="B167" s="11" t="s">
        <v>4525</v>
      </c>
      <c r="C167" s="11" t="s">
        <v>4526</v>
      </c>
      <c r="D167" s="11" t="s">
        <v>5843</v>
      </c>
      <c r="E167" s="11" t="s">
        <v>5709</v>
      </c>
      <c r="F167" s="11" t="s">
        <v>5635</v>
      </c>
      <c r="G167" s="11" t="s">
        <v>5844</v>
      </c>
      <c r="H167" s="11" t="s">
        <v>5806</v>
      </c>
      <c r="I167" s="11" t="s">
        <v>4614</v>
      </c>
      <c r="J167" s="11"/>
      <c r="K167" s="11"/>
      <c r="L167" s="11" t="s">
        <v>5845</v>
      </c>
      <c r="M167" s="11"/>
      <c r="N167" s="11" t="s">
        <v>627</v>
      </c>
      <c r="O167" s="11" t="n">
        <v>10</v>
      </c>
    </row>
    <row r="168" customFormat="false" ht="180" hidden="false" customHeight="true" outlineLevel="0" collapsed="false">
      <c r="A168" s="11" t="s">
        <v>1088</v>
      </c>
      <c r="B168" s="11" t="s">
        <v>4525</v>
      </c>
      <c r="C168" s="11" t="s">
        <v>4526</v>
      </c>
      <c r="D168" s="11" t="s">
        <v>1089</v>
      </c>
      <c r="E168" s="11" t="s">
        <v>5846</v>
      </c>
      <c r="F168" s="11" t="s">
        <v>5847</v>
      </c>
      <c r="G168" s="11" t="s">
        <v>5848</v>
      </c>
      <c r="H168" s="11" t="s">
        <v>5849</v>
      </c>
      <c r="I168" s="11" t="s">
        <v>5850</v>
      </c>
      <c r="J168" s="11" t="s">
        <v>5851</v>
      </c>
      <c r="K168" s="11"/>
      <c r="L168" s="11"/>
      <c r="M168" s="11" t="s">
        <v>1090</v>
      </c>
      <c r="N168" s="11" t="s">
        <v>5852</v>
      </c>
      <c r="O168" s="11" t="n">
        <v>10</v>
      </c>
    </row>
    <row r="169" customFormat="false" ht="180" hidden="false" customHeight="true" outlineLevel="0" collapsed="false">
      <c r="A169" s="11" t="s">
        <v>1091</v>
      </c>
      <c r="B169" s="11" t="s">
        <v>4525</v>
      </c>
      <c r="C169" s="11" t="s">
        <v>4526</v>
      </c>
      <c r="D169" s="11" t="s">
        <v>1092</v>
      </c>
      <c r="E169" s="11" t="s">
        <v>5853</v>
      </c>
      <c r="F169" s="11" t="s">
        <v>4934</v>
      </c>
      <c r="G169" s="11" t="s">
        <v>5854</v>
      </c>
      <c r="H169" s="11" t="s">
        <v>5855</v>
      </c>
      <c r="I169" s="11" t="s">
        <v>5856</v>
      </c>
      <c r="J169" s="11" t="s">
        <v>5857</v>
      </c>
      <c r="K169" s="11"/>
      <c r="L169" s="11"/>
      <c r="M169" s="11" t="s">
        <v>1094</v>
      </c>
      <c r="N169" s="11" t="s">
        <v>5858</v>
      </c>
      <c r="O169" s="11" t="n">
        <v>10</v>
      </c>
    </row>
    <row r="170" customFormat="false" ht="180" hidden="false" customHeight="true" outlineLevel="0" collapsed="false">
      <c r="A170" s="11" t="s">
        <v>1095</v>
      </c>
      <c r="B170" s="11" t="s">
        <v>4525</v>
      </c>
      <c r="C170" s="11" t="s">
        <v>4526</v>
      </c>
      <c r="D170" s="11" t="s">
        <v>1096</v>
      </c>
      <c r="E170" s="11" t="s">
        <v>5859</v>
      </c>
      <c r="F170" s="11" t="s">
        <v>5860</v>
      </c>
      <c r="G170" s="11" t="s">
        <v>5861</v>
      </c>
      <c r="H170" s="11" t="s">
        <v>5862</v>
      </c>
      <c r="I170" s="11" t="s">
        <v>5863</v>
      </c>
      <c r="J170" s="11"/>
      <c r="K170" s="11"/>
      <c r="L170" s="11"/>
      <c r="M170" s="11"/>
      <c r="N170" s="11" t="s">
        <v>5864</v>
      </c>
      <c r="O170" s="11" t="n">
        <v>10</v>
      </c>
    </row>
    <row r="171" customFormat="false" ht="180" hidden="false" customHeight="true" outlineLevel="0" collapsed="false">
      <c r="A171" s="11" t="s">
        <v>1098</v>
      </c>
      <c r="B171" s="11" t="s">
        <v>4525</v>
      </c>
      <c r="C171" s="11" t="s">
        <v>4526</v>
      </c>
      <c r="D171" s="11" t="s">
        <v>1099</v>
      </c>
      <c r="E171" s="11" t="s">
        <v>5543</v>
      </c>
      <c r="F171" s="11" t="s">
        <v>5865</v>
      </c>
      <c r="G171" s="11" t="s">
        <v>5866</v>
      </c>
      <c r="H171" s="11" t="s">
        <v>5867</v>
      </c>
      <c r="I171" s="11" t="s">
        <v>5868</v>
      </c>
      <c r="J171" s="11" t="s">
        <v>5869</v>
      </c>
      <c r="K171" s="11" t="s">
        <v>5870</v>
      </c>
      <c r="L171" s="11" t="s">
        <v>5871</v>
      </c>
      <c r="M171" s="11" t="s">
        <v>5872</v>
      </c>
      <c r="N171" s="11" t="s">
        <v>5873</v>
      </c>
      <c r="O171" s="11" t="n">
        <v>10</v>
      </c>
    </row>
    <row r="172" customFormat="false" ht="180" hidden="false" customHeight="true" outlineLevel="0" collapsed="false">
      <c r="A172" s="11" t="s">
        <v>1102</v>
      </c>
      <c r="B172" s="11" t="s">
        <v>4525</v>
      </c>
      <c r="C172" s="11" t="s">
        <v>4526</v>
      </c>
      <c r="D172" s="11" t="s">
        <v>1103</v>
      </c>
      <c r="E172" s="11" t="s">
        <v>5874</v>
      </c>
      <c r="F172" s="11" t="s">
        <v>5875</v>
      </c>
      <c r="G172" s="11" t="s">
        <v>5876</v>
      </c>
      <c r="H172" s="11" t="s">
        <v>5877</v>
      </c>
      <c r="I172" s="11" t="s">
        <v>5878</v>
      </c>
      <c r="J172" s="11" t="s">
        <v>4574</v>
      </c>
      <c r="K172" s="11" t="s">
        <v>5879</v>
      </c>
      <c r="L172" s="11"/>
      <c r="M172" s="11" t="s">
        <v>1105</v>
      </c>
      <c r="N172" s="11" t="s">
        <v>5880</v>
      </c>
      <c r="O172" s="11" t="n">
        <v>10</v>
      </c>
    </row>
    <row r="173" customFormat="false" ht="180" hidden="false" customHeight="true" outlineLevel="0" collapsed="false">
      <c r="A173" s="11" t="s">
        <v>1106</v>
      </c>
      <c r="B173" s="11" t="s">
        <v>4525</v>
      </c>
      <c r="C173" s="11" t="s">
        <v>4526</v>
      </c>
      <c r="D173" s="11" t="s">
        <v>1107</v>
      </c>
      <c r="E173" s="11" t="s">
        <v>5770</v>
      </c>
      <c r="F173" s="11" t="s">
        <v>5881</v>
      </c>
      <c r="G173" s="11" t="s">
        <v>5882</v>
      </c>
      <c r="H173" s="11" t="s">
        <v>5883</v>
      </c>
      <c r="I173" s="11" t="s">
        <v>5884</v>
      </c>
      <c r="J173" s="11" t="s">
        <v>5885</v>
      </c>
      <c r="K173" s="11" t="s">
        <v>5886</v>
      </c>
      <c r="L173" s="11" t="s">
        <v>5887</v>
      </c>
      <c r="M173" s="11" t="s">
        <v>1109</v>
      </c>
      <c r="N173" s="11" t="s">
        <v>5888</v>
      </c>
      <c r="O173" s="11" t="n">
        <v>10</v>
      </c>
    </row>
    <row r="174" customFormat="false" ht="180" hidden="false" customHeight="true" outlineLevel="0" collapsed="false">
      <c r="A174" s="11" t="s">
        <v>632</v>
      </c>
      <c r="B174" s="11" t="s">
        <v>4525</v>
      </c>
      <c r="C174" s="11" t="s">
        <v>4526</v>
      </c>
      <c r="D174" s="11" t="s">
        <v>5889</v>
      </c>
      <c r="E174" s="11" t="s">
        <v>5709</v>
      </c>
      <c r="F174" s="11" t="s">
        <v>5890</v>
      </c>
      <c r="G174" s="11" t="s">
        <v>5891</v>
      </c>
      <c r="H174" s="11" t="s">
        <v>5892</v>
      </c>
      <c r="I174" s="11" t="s">
        <v>5893</v>
      </c>
      <c r="J174" s="11"/>
      <c r="K174" s="11"/>
      <c r="L174" s="11" t="s">
        <v>5894</v>
      </c>
      <c r="M174" s="11"/>
      <c r="N174" s="11" t="s">
        <v>634</v>
      </c>
      <c r="O174" s="11" t="n">
        <v>10</v>
      </c>
    </row>
    <row r="175" customFormat="false" ht="180" hidden="false" customHeight="true" outlineLevel="0" collapsed="false">
      <c r="A175" s="11" t="s">
        <v>4029</v>
      </c>
      <c r="B175" s="11" t="s">
        <v>4525</v>
      </c>
      <c r="C175" s="11" t="s">
        <v>4526</v>
      </c>
      <c r="D175" s="11" t="s">
        <v>5895</v>
      </c>
      <c r="E175" s="11" t="s">
        <v>5896</v>
      </c>
      <c r="F175" s="11" t="s">
        <v>5897</v>
      </c>
      <c r="G175" s="11" t="s">
        <v>5898</v>
      </c>
      <c r="H175" s="11" t="s">
        <v>5899</v>
      </c>
      <c r="I175" s="11" t="s">
        <v>5900</v>
      </c>
      <c r="J175" s="11" t="s">
        <v>5474</v>
      </c>
      <c r="K175" s="11" t="s">
        <v>5901</v>
      </c>
      <c r="L175" s="11" t="s">
        <v>5902</v>
      </c>
      <c r="M175" s="11" t="s">
        <v>5903</v>
      </c>
      <c r="N175" s="11" t="s">
        <v>5904</v>
      </c>
      <c r="O175" s="11" t="n">
        <v>100</v>
      </c>
    </row>
    <row r="176" customFormat="false" ht="180" hidden="false" customHeight="true" outlineLevel="0" collapsed="false">
      <c r="A176" s="11" t="s">
        <v>1110</v>
      </c>
      <c r="B176" s="11" t="s">
        <v>4525</v>
      </c>
      <c r="C176" s="11" t="s">
        <v>4526</v>
      </c>
      <c r="D176" s="11" t="s">
        <v>1111</v>
      </c>
      <c r="E176" s="11" t="s">
        <v>5905</v>
      </c>
      <c r="F176" s="11" t="s">
        <v>5906</v>
      </c>
      <c r="G176" s="11" t="s">
        <v>5907</v>
      </c>
      <c r="H176" s="11" t="s">
        <v>5908</v>
      </c>
      <c r="I176" s="11" t="s">
        <v>5909</v>
      </c>
      <c r="J176" s="11" t="s">
        <v>4574</v>
      </c>
      <c r="K176" s="11" t="s">
        <v>5910</v>
      </c>
      <c r="L176" s="11" t="s">
        <v>5911</v>
      </c>
      <c r="M176" s="11" t="s">
        <v>1112</v>
      </c>
      <c r="N176" s="11" t="s">
        <v>5912</v>
      </c>
      <c r="O176" s="11" t="n">
        <v>10</v>
      </c>
    </row>
    <row r="177" customFormat="false" ht="180" hidden="false" customHeight="true" outlineLevel="0" collapsed="false">
      <c r="A177" s="11" t="s">
        <v>1113</v>
      </c>
      <c r="B177" s="11" t="s">
        <v>4525</v>
      </c>
      <c r="C177" s="11" t="s">
        <v>4526</v>
      </c>
      <c r="D177" s="11" t="s">
        <v>1114</v>
      </c>
      <c r="E177" s="11" t="s">
        <v>5913</v>
      </c>
      <c r="F177" s="11" t="s">
        <v>5914</v>
      </c>
      <c r="G177" s="11" t="s">
        <v>5915</v>
      </c>
      <c r="H177" s="11" t="s">
        <v>5916</v>
      </c>
      <c r="I177" s="11" t="s">
        <v>5917</v>
      </c>
      <c r="J177" s="11" t="s">
        <v>4574</v>
      </c>
      <c r="K177" s="11" t="s">
        <v>5918</v>
      </c>
      <c r="L177" s="11" t="s">
        <v>5919</v>
      </c>
      <c r="M177" s="11" t="s">
        <v>1116</v>
      </c>
      <c r="N177" s="11" t="s">
        <v>5920</v>
      </c>
      <c r="O177" s="11" t="n">
        <v>10</v>
      </c>
    </row>
    <row r="178" customFormat="false" ht="180" hidden="false" customHeight="true" outlineLevel="0" collapsed="false">
      <c r="A178" s="11" t="s">
        <v>1117</v>
      </c>
      <c r="B178" s="11" t="s">
        <v>4525</v>
      </c>
      <c r="C178" s="11" t="s">
        <v>4526</v>
      </c>
      <c r="D178" s="11" t="s">
        <v>1118</v>
      </c>
      <c r="E178" s="11" t="s">
        <v>5570</v>
      </c>
      <c r="F178" s="11" t="s">
        <v>5921</v>
      </c>
      <c r="G178" s="11" t="s">
        <v>5922</v>
      </c>
      <c r="H178" s="11" t="s">
        <v>5923</v>
      </c>
      <c r="I178" s="11" t="s">
        <v>5924</v>
      </c>
      <c r="J178" s="11" t="s">
        <v>5925</v>
      </c>
      <c r="K178" s="11" t="s">
        <v>5570</v>
      </c>
      <c r="L178" s="11" t="s">
        <v>5926</v>
      </c>
      <c r="M178" s="11" t="s">
        <v>1120</v>
      </c>
      <c r="N178" s="11" t="s">
        <v>5927</v>
      </c>
      <c r="O178" s="11" t="n">
        <v>10</v>
      </c>
    </row>
    <row r="179" customFormat="false" ht="180" hidden="false" customHeight="true" outlineLevel="0" collapsed="false">
      <c r="A179" s="11" t="s">
        <v>1121</v>
      </c>
      <c r="B179" s="11" t="s">
        <v>4525</v>
      </c>
      <c r="C179" s="11" t="s">
        <v>4526</v>
      </c>
      <c r="D179" s="11" t="s">
        <v>1122</v>
      </c>
      <c r="E179" s="11" t="s">
        <v>5928</v>
      </c>
      <c r="F179" s="11" t="s">
        <v>5929</v>
      </c>
      <c r="G179" s="11" t="s">
        <v>5930</v>
      </c>
      <c r="H179" s="11" t="s">
        <v>5931</v>
      </c>
      <c r="I179" s="11" t="s">
        <v>5932</v>
      </c>
      <c r="J179" s="11"/>
      <c r="K179" s="11"/>
      <c r="L179" s="11"/>
      <c r="M179" s="11"/>
      <c r="N179" s="11" t="s">
        <v>5933</v>
      </c>
      <c r="O179" s="11" t="n">
        <v>10</v>
      </c>
    </row>
    <row r="180" customFormat="false" ht="180" hidden="false" customHeight="true" outlineLevel="0" collapsed="false">
      <c r="A180" s="11" t="s">
        <v>1124</v>
      </c>
      <c r="B180" s="11" t="s">
        <v>4525</v>
      </c>
      <c r="C180" s="11" t="s">
        <v>4526</v>
      </c>
      <c r="D180" s="11" t="s">
        <v>1125</v>
      </c>
      <c r="E180" s="11" t="s">
        <v>5787</v>
      </c>
      <c r="F180" s="11" t="s">
        <v>5788</v>
      </c>
      <c r="G180" s="11" t="s">
        <v>5934</v>
      </c>
      <c r="H180" s="11" t="s">
        <v>5935</v>
      </c>
      <c r="I180" s="11" t="s">
        <v>5936</v>
      </c>
      <c r="J180" s="11" t="s">
        <v>5937</v>
      </c>
      <c r="K180" s="11" t="s">
        <v>5792</v>
      </c>
      <c r="L180" s="11"/>
      <c r="M180" s="11" t="s">
        <v>1127</v>
      </c>
      <c r="N180" s="11" t="s">
        <v>5938</v>
      </c>
      <c r="O180" s="11" t="n">
        <v>10</v>
      </c>
    </row>
    <row r="181" customFormat="false" ht="180" hidden="false" customHeight="true" outlineLevel="0" collapsed="false">
      <c r="A181" s="11" t="s">
        <v>1128</v>
      </c>
      <c r="B181" s="11" t="s">
        <v>4525</v>
      </c>
      <c r="C181" s="11" t="s">
        <v>4526</v>
      </c>
      <c r="D181" s="11" t="s">
        <v>1129</v>
      </c>
      <c r="E181" s="11" t="s">
        <v>5939</v>
      </c>
      <c r="F181" s="11" t="s">
        <v>5940</v>
      </c>
      <c r="G181" s="11" t="s">
        <v>5941</v>
      </c>
      <c r="H181" s="11" t="s">
        <v>5942</v>
      </c>
      <c r="I181" s="11" t="s">
        <v>5943</v>
      </c>
      <c r="J181" s="11"/>
      <c r="K181" s="11"/>
      <c r="L181" s="11"/>
      <c r="M181" s="11"/>
      <c r="N181" s="11" t="s">
        <v>5944</v>
      </c>
      <c r="O181" s="11" t="n">
        <v>10</v>
      </c>
    </row>
    <row r="182" customFormat="false" ht="180" hidden="false" customHeight="true" outlineLevel="0" collapsed="false">
      <c r="A182" s="11" t="s">
        <v>1133</v>
      </c>
      <c r="B182" s="11" t="s">
        <v>4525</v>
      </c>
      <c r="C182" s="11" t="s">
        <v>4526</v>
      </c>
      <c r="D182" s="11" t="s">
        <v>1134</v>
      </c>
      <c r="E182" s="11" t="s">
        <v>5945</v>
      </c>
      <c r="F182" s="11" t="s">
        <v>5940</v>
      </c>
      <c r="G182" s="11" t="s">
        <v>5946</v>
      </c>
      <c r="H182" s="11" t="s">
        <v>5947</v>
      </c>
      <c r="I182" s="11" t="s">
        <v>5948</v>
      </c>
      <c r="J182" s="11"/>
      <c r="K182" s="11"/>
      <c r="L182" s="11"/>
      <c r="M182" s="11" t="s">
        <v>4610</v>
      </c>
      <c r="N182" s="11" t="s">
        <v>5949</v>
      </c>
      <c r="O182" s="11" t="n">
        <v>100</v>
      </c>
    </row>
    <row r="183" customFormat="false" ht="180" hidden="false" customHeight="true" outlineLevel="0" collapsed="false">
      <c r="A183" s="11" t="s">
        <v>640</v>
      </c>
      <c r="B183" s="11" t="s">
        <v>4525</v>
      </c>
      <c r="C183" s="11" t="s">
        <v>4526</v>
      </c>
      <c r="D183" s="11" t="s">
        <v>5950</v>
      </c>
      <c r="E183" s="11" t="s">
        <v>5709</v>
      </c>
      <c r="F183" s="11" t="s">
        <v>5635</v>
      </c>
      <c r="G183" s="11" t="s">
        <v>5951</v>
      </c>
      <c r="H183" s="11" t="s">
        <v>5952</v>
      </c>
      <c r="I183" s="11" t="s">
        <v>5953</v>
      </c>
      <c r="J183" s="11"/>
      <c r="K183" s="11" t="s">
        <v>5953</v>
      </c>
      <c r="L183" s="11" t="s">
        <v>5954</v>
      </c>
      <c r="M183" s="11"/>
      <c r="N183" s="11" t="s">
        <v>642</v>
      </c>
      <c r="O183" s="11" t="n">
        <v>10</v>
      </c>
    </row>
    <row r="184" customFormat="false" ht="180" hidden="false" customHeight="true" outlineLevel="0" collapsed="false">
      <c r="A184" s="11" t="s">
        <v>1138</v>
      </c>
      <c r="B184" s="11" t="s">
        <v>4525</v>
      </c>
      <c r="C184" s="11" t="s">
        <v>4526</v>
      </c>
      <c r="D184" s="11" t="s">
        <v>5955</v>
      </c>
      <c r="E184" s="11" t="s">
        <v>5956</v>
      </c>
      <c r="F184" s="11" t="s">
        <v>5957</v>
      </c>
      <c r="G184" s="11" t="s">
        <v>5958</v>
      </c>
      <c r="H184" s="11" t="s">
        <v>5959</v>
      </c>
      <c r="I184" s="11" t="s">
        <v>5960</v>
      </c>
      <c r="J184" s="11"/>
      <c r="K184" s="11" t="s">
        <v>5961</v>
      </c>
      <c r="L184" s="11" t="s">
        <v>5962</v>
      </c>
      <c r="M184" s="11"/>
      <c r="N184" s="11" t="s">
        <v>5963</v>
      </c>
      <c r="O184" s="11" t="n">
        <v>10</v>
      </c>
    </row>
    <row r="185" customFormat="false" ht="180" hidden="false" customHeight="true" outlineLevel="0" collapsed="false">
      <c r="A185" s="11" t="s">
        <v>5964</v>
      </c>
      <c r="B185" s="11" t="s">
        <v>4525</v>
      </c>
      <c r="C185" s="11" t="s">
        <v>4526</v>
      </c>
      <c r="D185" s="11" t="s">
        <v>5965</v>
      </c>
      <c r="E185" s="11" t="s">
        <v>5966</v>
      </c>
      <c r="F185" s="11" t="s">
        <v>5967</v>
      </c>
      <c r="G185" s="11" t="s">
        <v>5968</v>
      </c>
      <c r="H185" s="11" t="s">
        <v>5969</v>
      </c>
      <c r="I185" s="11" t="s">
        <v>5970</v>
      </c>
      <c r="J185" s="11" t="s">
        <v>5971</v>
      </c>
      <c r="K185" s="11" t="s">
        <v>5972</v>
      </c>
      <c r="L185" s="11"/>
      <c r="M185" s="11" t="s">
        <v>5973</v>
      </c>
      <c r="N185" s="11" t="s">
        <v>5963</v>
      </c>
      <c r="O185" s="11" t="n">
        <v>10</v>
      </c>
    </row>
    <row r="186" customFormat="false" ht="180" hidden="false" customHeight="true" outlineLevel="0" collapsed="false">
      <c r="A186" s="11" t="s">
        <v>1142</v>
      </c>
      <c r="B186" s="11" t="s">
        <v>4525</v>
      </c>
      <c r="C186" s="11" t="s">
        <v>4526</v>
      </c>
      <c r="D186" s="11" t="s">
        <v>1143</v>
      </c>
      <c r="E186" s="11" t="s">
        <v>5589</v>
      </c>
      <c r="F186" s="11" t="s">
        <v>5974</v>
      </c>
      <c r="G186" s="11" t="s">
        <v>5975</v>
      </c>
      <c r="H186" s="11" t="s">
        <v>5976</v>
      </c>
      <c r="I186" s="11" t="s">
        <v>5977</v>
      </c>
      <c r="J186" s="11" t="s">
        <v>5978</v>
      </c>
      <c r="K186" s="11" t="s">
        <v>5979</v>
      </c>
      <c r="L186" s="11" t="s">
        <v>5980</v>
      </c>
      <c r="M186" s="11"/>
      <c r="N186" s="11" t="s">
        <v>5981</v>
      </c>
      <c r="O186" s="11" t="n">
        <v>10</v>
      </c>
    </row>
    <row r="187" customFormat="false" ht="180" hidden="false" customHeight="true" outlineLevel="0" collapsed="false">
      <c r="A187" s="11" t="s">
        <v>1146</v>
      </c>
      <c r="B187" s="11" t="s">
        <v>4525</v>
      </c>
      <c r="C187" s="11" t="s">
        <v>4526</v>
      </c>
      <c r="D187" s="11" t="s">
        <v>1147</v>
      </c>
      <c r="E187" s="11" t="s">
        <v>5659</v>
      </c>
      <c r="F187" s="11" t="s">
        <v>5982</v>
      </c>
      <c r="G187" s="11" t="s">
        <v>5983</v>
      </c>
      <c r="H187" s="11" t="s">
        <v>5984</v>
      </c>
      <c r="I187" s="11" t="s">
        <v>5985</v>
      </c>
      <c r="J187" s="11" t="s">
        <v>5986</v>
      </c>
      <c r="K187" s="11" t="s">
        <v>5987</v>
      </c>
      <c r="L187" s="11" t="s">
        <v>5988</v>
      </c>
      <c r="M187" s="11" t="s">
        <v>1150</v>
      </c>
      <c r="N187" s="11" t="s">
        <v>5989</v>
      </c>
      <c r="O187" s="11" t="n">
        <v>10</v>
      </c>
    </row>
    <row r="188" customFormat="false" ht="180" hidden="false" customHeight="true" outlineLevel="0" collapsed="false">
      <c r="A188" s="11" t="s">
        <v>1151</v>
      </c>
      <c r="B188" s="11" t="s">
        <v>4525</v>
      </c>
      <c r="C188" s="11" t="s">
        <v>4526</v>
      </c>
      <c r="D188" s="11" t="s">
        <v>1152</v>
      </c>
      <c r="E188" s="11" t="s">
        <v>5990</v>
      </c>
      <c r="F188" s="11" t="s">
        <v>4934</v>
      </c>
      <c r="G188" s="11" t="s">
        <v>5991</v>
      </c>
      <c r="H188" s="11" t="s">
        <v>5992</v>
      </c>
      <c r="I188" s="11" t="s">
        <v>5993</v>
      </c>
      <c r="J188" s="11"/>
      <c r="K188" s="11"/>
      <c r="L188" s="11"/>
      <c r="M188" s="11"/>
      <c r="N188" s="11" t="s">
        <v>5994</v>
      </c>
      <c r="O188" s="11" t="n">
        <v>10</v>
      </c>
    </row>
    <row r="189" customFormat="false" ht="180" hidden="false" customHeight="true" outlineLevel="0" collapsed="false">
      <c r="A189" s="11" t="s">
        <v>1154</v>
      </c>
      <c r="B189" s="11" t="s">
        <v>4525</v>
      </c>
      <c r="C189" s="11" t="s">
        <v>4526</v>
      </c>
      <c r="D189" s="11" t="s">
        <v>5995</v>
      </c>
      <c r="E189" s="11" t="s">
        <v>5996</v>
      </c>
      <c r="F189" s="11" t="s">
        <v>5997</v>
      </c>
      <c r="G189" s="11" t="s">
        <v>5998</v>
      </c>
      <c r="H189" s="11" t="s">
        <v>5999</v>
      </c>
      <c r="I189" s="11" t="s">
        <v>6000</v>
      </c>
      <c r="J189" s="11" t="s">
        <v>6001</v>
      </c>
      <c r="K189" s="11" t="s">
        <v>6002</v>
      </c>
      <c r="L189" s="11" t="s">
        <v>6003</v>
      </c>
      <c r="M189" s="11" t="s">
        <v>1150</v>
      </c>
      <c r="N189" s="11" t="s">
        <v>6004</v>
      </c>
      <c r="O189" s="11" t="n">
        <v>10</v>
      </c>
    </row>
    <row r="190" customFormat="false" ht="180" hidden="false" customHeight="true" outlineLevel="0" collapsed="false">
      <c r="A190" s="11" t="s">
        <v>1157</v>
      </c>
      <c r="B190" s="11" t="s">
        <v>4525</v>
      </c>
      <c r="C190" s="11" t="s">
        <v>4526</v>
      </c>
      <c r="D190" s="11" t="s">
        <v>1158</v>
      </c>
      <c r="E190" s="11" t="s">
        <v>6005</v>
      </c>
      <c r="F190" s="11" t="s">
        <v>6006</v>
      </c>
      <c r="G190" s="11" t="s">
        <v>6007</v>
      </c>
      <c r="H190" s="11" t="s">
        <v>6008</v>
      </c>
      <c r="I190" s="11" t="s">
        <v>6009</v>
      </c>
      <c r="J190" s="11"/>
      <c r="K190" s="11" t="s">
        <v>6007</v>
      </c>
      <c r="L190" s="11" t="s">
        <v>6007</v>
      </c>
      <c r="M190" s="11"/>
      <c r="N190" s="11" t="s">
        <v>6010</v>
      </c>
      <c r="O190" s="11" t="n">
        <v>10</v>
      </c>
    </row>
    <row r="191" customFormat="false" ht="180" hidden="false" customHeight="true" outlineLevel="0" collapsed="false">
      <c r="A191" s="11" t="s">
        <v>1160</v>
      </c>
      <c r="B191" s="11" t="s">
        <v>4525</v>
      </c>
      <c r="C191" s="11" t="s">
        <v>4526</v>
      </c>
      <c r="D191" s="11" t="s">
        <v>6011</v>
      </c>
      <c r="E191" s="11" t="s">
        <v>6012</v>
      </c>
      <c r="F191" s="11" t="s">
        <v>6013</v>
      </c>
      <c r="G191" s="11" t="s">
        <v>6014</v>
      </c>
      <c r="H191" s="11" t="s">
        <v>6015</v>
      </c>
      <c r="I191" s="11" t="s">
        <v>6016</v>
      </c>
      <c r="J191" s="11" t="s">
        <v>6017</v>
      </c>
      <c r="K191" s="11" t="s">
        <v>6018</v>
      </c>
      <c r="L191" s="11"/>
      <c r="M191" s="11" t="s">
        <v>6019</v>
      </c>
      <c r="N191" s="11" t="s">
        <v>6020</v>
      </c>
      <c r="O191" s="11" t="n">
        <v>60</v>
      </c>
    </row>
    <row r="192" customFormat="false" ht="180" hidden="false" customHeight="true" outlineLevel="0" collapsed="false">
      <c r="A192" s="11" t="s">
        <v>1170</v>
      </c>
      <c r="B192" s="11" t="s">
        <v>4525</v>
      </c>
      <c r="C192" s="11" t="s">
        <v>4526</v>
      </c>
      <c r="D192" s="11" t="s">
        <v>1171</v>
      </c>
      <c r="E192" s="11" t="s">
        <v>6021</v>
      </c>
      <c r="F192" s="11" t="s">
        <v>6022</v>
      </c>
      <c r="G192" s="11" t="s">
        <v>6023</v>
      </c>
      <c r="H192" s="11" t="s">
        <v>6024</v>
      </c>
      <c r="I192" s="11" t="s">
        <v>6025</v>
      </c>
      <c r="J192" s="11" t="s">
        <v>4574</v>
      </c>
      <c r="K192" s="11" t="s">
        <v>6026</v>
      </c>
      <c r="L192" s="11"/>
      <c r="M192" s="11" t="s">
        <v>1173</v>
      </c>
      <c r="N192" s="11" t="s">
        <v>6027</v>
      </c>
      <c r="O192" s="11" t="n">
        <v>10</v>
      </c>
    </row>
    <row r="193" customFormat="false" ht="180" hidden="false" customHeight="true" outlineLevel="0" collapsed="false">
      <c r="A193" s="11" t="s">
        <v>1174</v>
      </c>
      <c r="B193" s="11" t="s">
        <v>4525</v>
      </c>
      <c r="C193" s="11" t="s">
        <v>4526</v>
      </c>
      <c r="D193" s="11" t="s">
        <v>1175</v>
      </c>
      <c r="E193" s="11" t="s">
        <v>5543</v>
      </c>
      <c r="F193" s="11" t="s">
        <v>6028</v>
      </c>
      <c r="G193" s="11" t="s">
        <v>6029</v>
      </c>
      <c r="H193" s="11" t="s">
        <v>6030</v>
      </c>
      <c r="I193" s="11" t="s">
        <v>6031</v>
      </c>
      <c r="J193" s="11" t="s">
        <v>6032</v>
      </c>
      <c r="K193" s="11" t="s">
        <v>6033</v>
      </c>
      <c r="L193" s="11" t="s">
        <v>6034</v>
      </c>
      <c r="M193" s="11" t="s">
        <v>1150</v>
      </c>
      <c r="N193" s="11" t="s">
        <v>6035</v>
      </c>
      <c r="O193" s="11" t="n">
        <v>10</v>
      </c>
    </row>
    <row r="194" customFormat="false" ht="180" hidden="false" customHeight="true" outlineLevel="0" collapsed="false">
      <c r="A194" s="11" t="s">
        <v>646</v>
      </c>
      <c r="B194" s="11" t="s">
        <v>4525</v>
      </c>
      <c r="C194" s="11" t="s">
        <v>4526</v>
      </c>
      <c r="D194" s="11" t="s">
        <v>6036</v>
      </c>
      <c r="E194" s="11" t="s">
        <v>5709</v>
      </c>
      <c r="F194" s="11" t="s">
        <v>5635</v>
      </c>
      <c r="G194" s="11" t="s">
        <v>6037</v>
      </c>
      <c r="H194" s="11" t="s">
        <v>5806</v>
      </c>
      <c r="I194" s="11" t="s">
        <v>6038</v>
      </c>
      <c r="J194" s="11"/>
      <c r="K194" s="11"/>
      <c r="L194" s="11" t="s">
        <v>6039</v>
      </c>
      <c r="M194" s="11"/>
      <c r="N194" s="11" t="s">
        <v>648</v>
      </c>
      <c r="O194" s="11" t="n">
        <v>10</v>
      </c>
    </row>
    <row r="195" customFormat="false" ht="180" hidden="false" customHeight="true" outlineLevel="0" collapsed="false">
      <c r="A195" s="11" t="s">
        <v>1178</v>
      </c>
      <c r="B195" s="11" t="s">
        <v>4525</v>
      </c>
      <c r="C195" s="11" t="s">
        <v>4526</v>
      </c>
      <c r="D195" s="11" t="s">
        <v>6040</v>
      </c>
      <c r="E195" s="11" t="s">
        <v>6041</v>
      </c>
      <c r="F195" s="11" t="s">
        <v>6042</v>
      </c>
      <c r="G195" s="11" t="s">
        <v>6043</v>
      </c>
      <c r="H195" s="11" t="s">
        <v>6044</v>
      </c>
      <c r="I195" s="11" t="s">
        <v>6045</v>
      </c>
      <c r="J195" s="11" t="s">
        <v>4574</v>
      </c>
      <c r="K195" s="11" t="s">
        <v>6046</v>
      </c>
      <c r="L195" s="11" t="s">
        <v>6047</v>
      </c>
      <c r="M195" s="11" t="s">
        <v>1180</v>
      </c>
      <c r="N195" s="11" t="s">
        <v>6048</v>
      </c>
      <c r="O195" s="11" t="n">
        <v>10</v>
      </c>
    </row>
    <row r="196" customFormat="false" ht="180" hidden="false" customHeight="true" outlineLevel="0" collapsed="false">
      <c r="A196" s="11" t="s">
        <v>1181</v>
      </c>
      <c r="B196" s="11" t="s">
        <v>4525</v>
      </c>
      <c r="C196" s="11" t="s">
        <v>4526</v>
      </c>
      <c r="D196" s="11" t="s">
        <v>1182</v>
      </c>
      <c r="E196" s="11" t="s">
        <v>6049</v>
      </c>
      <c r="F196" s="11" t="s">
        <v>4934</v>
      </c>
      <c r="G196" s="11" t="s">
        <v>6050</v>
      </c>
      <c r="H196" s="11" t="s">
        <v>6051</v>
      </c>
      <c r="I196" s="11" t="s">
        <v>6052</v>
      </c>
      <c r="J196" s="11"/>
      <c r="K196" s="11"/>
      <c r="L196" s="11" t="s">
        <v>6050</v>
      </c>
      <c r="M196" s="11"/>
      <c r="N196" s="11" t="s">
        <v>6053</v>
      </c>
      <c r="O196" s="11" t="n">
        <v>10</v>
      </c>
    </row>
    <row r="197" customFormat="false" ht="180" hidden="false" customHeight="true" outlineLevel="0" collapsed="false">
      <c r="A197" s="11" t="s">
        <v>1184</v>
      </c>
      <c r="B197" s="11" t="s">
        <v>4525</v>
      </c>
      <c r="C197" s="11" t="s">
        <v>4526</v>
      </c>
      <c r="D197" s="11" t="s">
        <v>1185</v>
      </c>
      <c r="E197" s="11" t="s">
        <v>6054</v>
      </c>
      <c r="F197" s="11" t="s">
        <v>6055</v>
      </c>
      <c r="G197" s="11" t="s">
        <v>6056</v>
      </c>
      <c r="H197" s="11" t="s">
        <v>6057</v>
      </c>
      <c r="I197" s="11" t="s">
        <v>6058</v>
      </c>
      <c r="J197" s="11"/>
      <c r="K197" s="11"/>
      <c r="L197" s="11"/>
      <c r="M197" s="11"/>
      <c r="N197" s="11" t="s">
        <v>6059</v>
      </c>
      <c r="O197" s="11" t="n">
        <v>10</v>
      </c>
    </row>
    <row r="198" customFormat="false" ht="180" hidden="false" customHeight="true" outlineLevel="0" collapsed="false">
      <c r="A198" s="11" t="s">
        <v>1187</v>
      </c>
      <c r="B198" s="11" t="s">
        <v>4525</v>
      </c>
      <c r="C198" s="11" t="s">
        <v>4526</v>
      </c>
      <c r="D198" s="11" t="s">
        <v>1188</v>
      </c>
      <c r="E198" s="11" t="s">
        <v>6060</v>
      </c>
      <c r="F198" s="11" t="s">
        <v>6061</v>
      </c>
      <c r="G198" s="11" t="s">
        <v>6062</v>
      </c>
      <c r="H198" s="11" t="s">
        <v>6063</v>
      </c>
      <c r="I198" s="11" t="s">
        <v>6064</v>
      </c>
      <c r="J198" s="11" t="s">
        <v>6065</v>
      </c>
      <c r="K198" s="11" t="s">
        <v>6066</v>
      </c>
      <c r="L198" s="11"/>
      <c r="M198" s="11" t="s">
        <v>1190</v>
      </c>
      <c r="N198" s="11" t="s">
        <v>6067</v>
      </c>
      <c r="O198" s="11" t="n">
        <v>10</v>
      </c>
    </row>
    <row r="199" customFormat="false" ht="180" hidden="false" customHeight="true" outlineLevel="0" collapsed="false">
      <c r="A199" s="11" t="s">
        <v>1191</v>
      </c>
      <c r="B199" s="11" t="s">
        <v>4525</v>
      </c>
      <c r="C199" s="11" t="s">
        <v>4526</v>
      </c>
      <c r="D199" s="11" t="s">
        <v>1192</v>
      </c>
      <c r="E199" s="11" t="s">
        <v>6068</v>
      </c>
      <c r="F199" s="11" t="s">
        <v>6069</v>
      </c>
      <c r="G199" s="11" t="s">
        <v>6070</v>
      </c>
      <c r="H199" s="11" t="s">
        <v>6071</v>
      </c>
      <c r="I199" s="11" t="s">
        <v>6072</v>
      </c>
      <c r="J199" s="11"/>
      <c r="K199" s="11" t="s">
        <v>6070</v>
      </c>
      <c r="L199" s="11"/>
      <c r="M199" s="11"/>
      <c r="N199" s="11" t="s">
        <v>6073</v>
      </c>
      <c r="O199" s="11" t="n">
        <v>10</v>
      </c>
    </row>
    <row r="200" customFormat="false" ht="180" hidden="false" customHeight="true" outlineLevel="0" collapsed="false">
      <c r="A200" s="11" t="s">
        <v>1194</v>
      </c>
      <c r="B200" s="11" t="s">
        <v>4525</v>
      </c>
      <c r="C200" s="11" t="s">
        <v>4526</v>
      </c>
      <c r="D200" s="11" t="s">
        <v>1195</v>
      </c>
      <c r="E200" s="11" t="s">
        <v>6074</v>
      </c>
      <c r="F200" s="11" t="s">
        <v>5590</v>
      </c>
      <c r="G200" s="11" t="s">
        <v>6075</v>
      </c>
      <c r="H200" s="11" t="s">
        <v>6076</v>
      </c>
      <c r="I200" s="11" t="s">
        <v>6077</v>
      </c>
      <c r="J200" s="11" t="s">
        <v>6078</v>
      </c>
      <c r="K200" s="11" t="s">
        <v>6079</v>
      </c>
      <c r="L200" s="11"/>
      <c r="M200" s="11" t="s">
        <v>1197</v>
      </c>
      <c r="N200" s="11" t="s">
        <v>6080</v>
      </c>
      <c r="O200" s="11" t="n">
        <v>10</v>
      </c>
    </row>
    <row r="201" customFormat="false" ht="180" hidden="false" customHeight="true" outlineLevel="0" collapsed="false">
      <c r="A201" s="11" t="s">
        <v>652</v>
      </c>
      <c r="B201" s="11" t="s">
        <v>4525</v>
      </c>
      <c r="C201" s="11" t="s">
        <v>4526</v>
      </c>
      <c r="D201" s="11" t="s">
        <v>6081</v>
      </c>
      <c r="E201" s="11" t="s">
        <v>5709</v>
      </c>
      <c r="F201" s="11" t="s">
        <v>5635</v>
      </c>
      <c r="G201" s="11" t="s">
        <v>6082</v>
      </c>
      <c r="H201" s="11" t="s">
        <v>5806</v>
      </c>
      <c r="I201" s="11" t="s">
        <v>6083</v>
      </c>
      <c r="J201" s="11"/>
      <c r="K201" s="11"/>
      <c r="L201" s="11" t="s">
        <v>6084</v>
      </c>
      <c r="M201" s="11"/>
      <c r="N201" s="11" t="s">
        <v>654</v>
      </c>
      <c r="O201" s="11" t="n">
        <v>10</v>
      </c>
    </row>
    <row r="202" customFormat="false" ht="180" hidden="false" customHeight="true" outlineLevel="0" collapsed="false">
      <c r="A202" s="11" t="s">
        <v>1198</v>
      </c>
      <c r="B202" s="11" t="s">
        <v>4525</v>
      </c>
      <c r="C202" s="11" t="s">
        <v>4526</v>
      </c>
      <c r="D202" s="11" t="s">
        <v>1199</v>
      </c>
      <c r="E202" s="11" t="s">
        <v>6085</v>
      </c>
      <c r="F202" s="11" t="s">
        <v>6086</v>
      </c>
      <c r="G202" s="11" t="s">
        <v>6087</v>
      </c>
      <c r="H202" s="11" t="s">
        <v>6088</v>
      </c>
      <c r="I202" s="11" t="s">
        <v>6089</v>
      </c>
      <c r="J202" s="11" t="s">
        <v>4574</v>
      </c>
      <c r="K202" s="11"/>
      <c r="L202" s="11"/>
      <c r="M202" s="11" t="s">
        <v>1200</v>
      </c>
      <c r="N202" s="11" t="s">
        <v>6090</v>
      </c>
      <c r="O202" s="11" t="n">
        <v>10</v>
      </c>
    </row>
    <row r="203" customFormat="false" ht="180" hidden="false" customHeight="true" outlineLevel="0" collapsed="false">
      <c r="A203" s="11" t="s">
        <v>1201</v>
      </c>
      <c r="B203" s="11" t="s">
        <v>4525</v>
      </c>
      <c r="C203" s="11" t="s">
        <v>4526</v>
      </c>
      <c r="D203" s="11" t="s">
        <v>1202</v>
      </c>
      <c r="E203" s="11" t="s">
        <v>6091</v>
      </c>
      <c r="F203" s="11" t="s">
        <v>6092</v>
      </c>
      <c r="G203" s="11" t="s">
        <v>6093</v>
      </c>
      <c r="H203" s="11" t="s">
        <v>6094</v>
      </c>
      <c r="I203" s="11" t="s">
        <v>6095</v>
      </c>
      <c r="J203" s="11" t="s">
        <v>4574</v>
      </c>
      <c r="K203" s="11" t="s">
        <v>6096</v>
      </c>
      <c r="L203" s="11"/>
      <c r="M203" s="11" t="s">
        <v>1046</v>
      </c>
      <c r="N203" s="11" t="s">
        <v>6097</v>
      </c>
      <c r="O203" s="11" t="n">
        <v>10</v>
      </c>
    </row>
    <row r="204" customFormat="false" ht="180" hidden="false" customHeight="true" outlineLevel="0" collapsed="false">
      <c r="A204" s="11" t="s">
        <v>1204</v>
      </c>
      <c r="B204" s="11" t="s">
        <v>4525</v>
      </c>
      <c r="C204" s="11" t="s">
        <v>4526</v>
      </c>
      <c r="D204" s="11" t="s">
        <v>1205</v>
      </c>
      <c r="E204" s="11" t="s">
        <v>5543</v>
      </c>
      <c r="F204" s="11" t="s">
        <v>6098</v>
      </c>
      <c r="G204" s="11" t="s">
        <v>6099</v>
      </c>
      <c r="H204" s="11" t="s">
        <v>6100</v>
      </c>
      <c r="I204" s="11" t="s">
        <v>4614</v>
      </c>
      <c r="J204" s="11" t="s">
        <v>6101</v>
      </c>
      <c r="K204" s="11" t="s">
        <v>5691</v>
      </c>
      <c r="L204" s="11" t="s">
        <v>6102</v>
      </c>
      <c r="M204" s="11"/>
      <c r="N204" s="11" t="s">
        <v>6103</v>
      </c>
      <c r="O204" s="11" t="n">
        <v>10</v>
      </c>
    </row>
    <row r="205" customFormat="false" ht="180" hidden="false" customHeight="true" outlineLevel="0" collapsed="false">
      <c r="A205" s="11" t="s">
        <v>1207</v>
      </c>
      <c r="B205" s="11" t="s">
        <v>4525</v>
      </c>
      <c r="C205" s="11" t="s">
        <v>4526</v>
      </c>
      <c r="D205" s="11" t="s">
        <v>1208</v>
      </c>
      <c r="E205" s="11" t="s">
        <v>6104</v>
      </c>
      <c r="F205" s="11" t="s">
        <v>6086</v>
      </c>
      <c r="G205" s="11" t="s">
        <v>6105</v>
      </c>
      <c r="H205" s="11" t="s">
        <v>6106</v>
      </c>
      <c r="I205" s="11" t="s">
        <v>6107</v>
      </c>
      <c r="J205" s="11" t="s">
        <v>6108</v>
      </c>
      <c r="K205" s="11" t="s">
        <v>6109</v>
      </c>
      <c r="L205" s="11" t="s">
        <v>6110</v>
      </c>
      <c r="M205" s="11" t="s">
        <v>1210</v>
      </c>
      <c r="N205" s="11" t="s">
        <v>6111</v>
      </c>
      <c r="O205" s="11" t="n">
        <v>10</v>
      </c>
    </row>
    <row r="206" customFormat="false" ht="180" hidden="false" customHeight="true" outlineLevel="0" collapsed="false">
      <c r="A206" s="11" t="s">
        <v>1211</v>
      </c>
      <c r="B206" s="11" t="s">
        <v>4525</v>
      </c>
      <c r="C206" s="11" t="s">
        <v>4526</v>
      </c>
      <c r="D206" s="11" t="s">
        <v>1212</v>
      </c>
      <c r="E206" s="11" t="s">
        <v>6112</v>
      </c>
      <c r="F206" s="11" t="s">
        <v>6113</v>
      </c>
      <c r="G206" s="11" t="s">
        <v>6114</v>
      </c>
      <c r="H206" s="11" t="s">
        <v>6115</v>
      </c>
      <c r="I206" s="11" t="s">
        <v>6116</v>
      </c>
      <c r="J206" s="11" t="s">
        <v>6117</v>
      </c>
      <c r="K206" s="11" t="s">
        <v>6118</v>
      </c>
      <c r="L206" s="11" t="s">
        <v>6119</v>
      </c>
      <c r="M206" s="11" t="s">
        <v>1214</v>
      </c>
      <c r="N206" s="11" t="s">
        <v>6120</v>
      </c>
      <c r="O206" s="11" t="n">
        <v>10</v>
      </c>
    </row>
    <row r="207" customFormat="false" ht="180" hidden="false" customHeight="true" outlineLevel="0" collapsed="false">
      <c r="A207" s="11" t="s">
        <v>1215</v>
      </c>
      <c r="B207" s="11" t="s">
        <v>4525</v>
      </c>
      <c r="C207" s="11" t="s">
        <v>4526</v>
      </c>
      <c r="D207" s="11" t="s">
        <v>1216</v>
      </c>
      <c r="E207" s="11" t="s">
        <v>6121</v>
      </c>
      <c r="F207" s="11" t="s">
        <v>4934</v>
      </c>
      <c r="G207" s="11" t="s">
        <v>6122</v>
      </c>
      <c r="H207" s="11" t="s">
        <v>6123</v>
      </c>
      <c r="I207" s="11" t="s">
        <v>4614</v>
      </c>
      <c r="J207" s="11"/>
      <c r="K207" s="11"/>
      <c r="L207" s="11" t="s">
        <v>6122</v>
      </c>
      <c r="M207" s="11"/>
      <c r="N207" s="11" t="s">
        <v>6124</v>
      </c>
      <c r="O207" s="11" t="n">
        <v>10</v>
      </c>
    </row>
    <row r="208" customFormat="false" ht="180" hidden="false" customHeight="true" outlineLevel="0" collapsed="false">
      <c r="A208" s="11" t="s">
        <v>658</v>
      </c>
      <c r="B208" s="11" t="s">
        <v>4525</v>
      </c>
      <c r="C208" s="11" t="s">
        <v>4526</v>
      </c>
      <c r="D208" s="11" t="s">
        <v>6125</v>
      </c>
      <c r="E208" s="11" t="s">
        <v>5709</v>
      </c>
      <c r="F208" s="11" t="s">
        <v>5635</v>
      </c>
      <c r="G208" s="11" t="s">
        <v>6126</v>
      </c>
      <c r="H208" s="11" t="s">
        <v>5806</v>
      </c>
      <c r="I208" s="11" t="s">
        <v>4614</v>
      </c>
      <c r="J208" s="11"/>
      <c r="K208" s="11"/>
      <c r="L208" s="11" t="s">
        <v>6127</v>
      </c>
      <c r="M208" s="11"/>
      <c r="N208" s="11" t="s">
        <v>660</v>
      </c>
      <c r="O208" s="11" t="n">
        <v>10</v>
      </c>
    </row>
    <row r="209" customFormat="false" ht="180" hidden="false" customHeight="true" outlineLevel="0" collapsed="false">
      <c r="A209" s="11" t="s">
        <v>1218</v>
      </c>
      <c r="B209" s="11" t="s">
        <v>4525</v>
      </c>
      <c r="C209" s="11" t="s">
        <v>4526</v>
      </c>
      <c r="D209" s="11" t="s">
        <v>1219</v>
      </c>
      <c r="E209" s="11" t="s">
        <v>6128</v>
      </c>
      <c r="F209" s="11" t="s">
        <v>4934</v>
      </c>
      <c r="G209" s="11" t="s">
        <v>6129</v>
      </c>
      <c r="H209" s="11" t="s">
        <v>6130</v>
      </c>
      <c r="I209" s="11" t="s">
        <v>6131</v>
      </c>
      <c r="J209" s="11"/>
      <c r="K209" s="11"/>
      <c r="L209" s="11" t="s">
        <v>6132</v>
      </c>
      <c r="M209" s="11"/>
      <c r="N209" s="11" t="s">
        <v>6133</v>
      </c>
      <c r="O209" s="11" t="n">
        <v>10</v>
      </c>
    </row>
    <row r="210" customFormat="false" ht="180" hidden="false" customHeight="true" outlineLevel="0" collapsed="false">
      <c r="A210" s="11" t="s">
        <v>1220</v>
      </c>
      <c r="B210" s="11" t="s">
        <v>4525</v>
      </c>
      <c r="C210" s="11" t="s">
        <v>4526</v>
      </c>
      <c r="D210" s="11" t="s">
        <v>1221</v>
      </c>
      <c r="E210" s="11" t="s">
        <v>6134</v>
      </c>
      <c r="F210" s="11" t="s">
        <v>6135</v>
      </c>
      <c r="G210" s="11" t="s">
        <v>6136</v>
      </c>
      <c r="H210" s="11" t="s">
        <v>6137</v>
      </c>
      <c r="I210" s="11" t="s">
        <v>6138</v>
      </c>
      <c r="J210" s="11"/>
      <c r="K210" s="11"/>
      <c r="L210" s="11"/>
      <c r="M210" s="11"/>
      <c r="N210" s="11" t="s">
        <v>6139</v>
      </c>
      <c r="O210" s="11" t="n">
        <v>10</v>
      </c>
    </row>
    <row r="211" customFormat="false" ht="180" hidden="false" customHeight="true" outlineLevel="0" collapsed="false">
      <c r="A211" s="11" t="s">
        <v>1223</v>
      </c>
      <c r="B211" s="11" t="s">
        <v>4525</v>
      </c>
      <c r="C211" s="11" t="s">
        <v>4526</v>
      </c>
      <c r="D211" s="11" t="s">
        <v>1224</v>
      </c>
      <c r="E211" s="11" t="s">
        <v>6140</v>
      </c>
      <c r="F211" s="11" t="s">
        <v>5571</v>
      </c>
      <c r="G211" s="11" t="s">
        <v>6141</v>
      </c>
      <c r="H211" s="11" t="s">
        <v>6142</v>
      </c>
      <c r="I211" s="11" t="s">
        <v>6143</v>
      </c>
      <c r="J211" s="11" t="s">
        <v>6144</v>
      </c>
      <c r="K211" s="11" t="s">
        <v>6145</v>
      </c>
      <c r="L211" s="11" t="s">
        <v>6146</v>
      </c>
      <c r="M211" s="11" t="s">
        <v>1226</v>
      </c>
      <c r="N211" s="11" t="s">
        <v>6147</v>
      </c>
      <c r="O211" s="11" t="n">
        <v>10</v>
      </c>
    </row>
    <row r="212" customFormat="false" ht="180" hidden="false" customHeight="true" outlineLevel="0" collapsed="false">
      <c r="A212" s="11" t="s">
        <v>1227</v>
      </c>
      <c r="B212" s="11" t="s">
        <v>4525</v>
      </c>
      <c r="C212" s="11" t="s">
        <v>4526</v>
      </c>
      <c r="D212" s="11" t="s">
        <v>1228</v>
      </c>
      <c r="E212" s="11" t="s">
        <v>5543</v>
      </c>
      <c r="F212" s="11" t="s">
        <v>6148</v>
      </c>
      <c r="G212" s="11" t="s">
        <v>6149</v>
      </c>
      <c r="H212" s="11" t="s">
        <v>6150</v>
      </c>
      <c r="I212" s="11" t="s">
        <v>6151</v>
      </c>
      <c r="J212" s="11" t="s">
        <v>6152</v>
      </c>
      <c r="K212" s="11" t="s">
        <v>5543</v>
      </c>
      <c r="L212" s="11"/>
      <c r="M212" s="11"/>
      <c r="N212" s="11" t="s">
        <v>6153</v>
      </c>
      <c r="O212" s="11" t="n">
        <v>10</v>
      </c>
    </row>
    <row r="213" customFormat="false" ht="180" hidden="false" customHeight="true" outlineLevel="0" collapsed="false">
      <c r="A213" s="11" t="s">
        <v>1230</v>
      </c>
      <c r="B213" s="11" t="s">
        <v>4525</v>
      </c>
      <c r="C213" s="11" t="s">
        <v>4526</v>
      </c>
      <c r="D213" s="11" t="s">
        <v>6154</v>
      </c>
      <c r="E213" s="11" t="s">
        <v>6155</v>
      </c>
      <c r="F213" s="11" t="s">
        <v>6156</v>
      </c>
      <c r="G213" s="11" t="s">
        <v>6157</v>
      </c>
      <c r="H213" s="11" t="s">
        <v>6158</v>
      </c>
      <c r="I213" s="11" t="s">
        <v>6159</v>
      </c>
      <c r="J213" s="11" t="s">
        <v>6160</v>
      </c>
      <c r="K213" s="11" t="s">
        <v>6161</v>
      </c>
      <c r="L213" s="11" t="s">
        <v>6162</v>
      </c>
      <c r="M213" s="11" t="s">
        <v>1232</v>
      </c>
      <c r="N213" s="11" t="s">
        <v>6163</v>
      </c>
      <c r="O213" s="11" t="n">
        <v>10</v>
      </c>
    </row>
    <row r="214" customFormat="false" ht="180" hidden="false" customHeight="true" outlineLevel="0" collapsed="false">
      <c r="A214" s="11" t="s">
        <v>1233</v>
      </c>
      <c r="B214" s="11" t="s">
        <v>4525</v>
      </c>
      <c r="C214" s="11" t="s">
        <v>4526</v>
      </c>
      <c r="D214" s="11" t="s">
        <v>1234</v>
      </c>
      <c r="E214" s="11" t="s">
        <v>6164</v>
      </c>
      <c r="F214" s="11" t="s">
        <v>6165</v>
      </c>
      <c r="G214" s="11" t="s">
        <v>6166</v>
      </c>
      <c r="H214" s="11" t="s">
        <v>6167</v>
      </c>
      <c r="I214" s="11" t="s">
        <v>6168</v>
      </c>
      <c r="J214" s="11"/>
      <c r="K214" s="11"/>
      <c r="L214" s="11" t="s">
        <v>6169</v>
      </c>
      <c r="M214" s="11"/>
      <c r="N214" s="11" t="s">
        <v>6170</v>
      </c>
      <c r="O214" s="11" t="n">
        <v>10</v>
      </c>
    </row>
    <row r="215" customFormat="false" ht="180" hidden="false" customHeight="true" outlineLevel="0" collapsed="false">
      <c r="A215" s="11" t="s">
        <v>664</v>
      </c>
      <c r="B215" s="11" t="s">
        <v>4525</v>
      </c>
      <c r="C215" s="11" t="s">
        <v>4526</v>
      </c>
      <c r="D215" s="11" t="s">
        <v>6171</v>
      </c>
      <c r="E215" s="11" t="s">
        <v>5709</v>
      </c>
      <c r="F215" s="11" t="s">
        <v>6172</v>
      </c>
      <c r="G215" s="11" t="s">
        <v>6173</v>
      </c>
      <c r="H215" s="11" t="s">
        <v>5806</v>
      </c>
      <c r="I215" s="11" t="s">
        <v>4614</v>
      </c>
      <c r="J215" s="11"/>
      <c r="K215" s="11"/>
      <c r="L215" s="11" t="s">
        <v>6174</v>
      </c>
      <c r="M215" s="11"/>
      <c r="N215" s="11" t="s">
        <v>666</v>
      </c>
      <c r="O215" s="11" t="n">
        <v>10</v>
      </c>
    </row>
    <row r="216" customFormat="false" ht="180" hidden="false" customHeight="true" outlineLevel="0" collapsed="false">
      <c r="A216" s="11" t="s">
        <v>1236</v>
      </c>
      <c r="B216" s="11" t="s">
        <v>4525</v>
      </c>
      <c r="C216" s="11" t="s">
        <v>4526</v>
      </c>
      <c r="D216" s="11" t="s">
        <v>1237</v>
      </c>
      <c r="E216" s="11" t="s">
        <v>6175</v>
      </c>
      <c r="F216" s="11" t="s">
        <v>6176</v>
      </c>
      <c r="G216" s="11" t="s">
        <v>6177</v>
      </c>
      <c r="H216" s="11" t="s">
        <v>6178</v>
      </c>
      <c r="I216" s="11" t="s">
        <v>6179</v>
      </c>
      <c r="J216" s="11" t="s">
        <v>6180</v>
      </c>
      <c r="K216" s="11"/>
      <c r="L216" s="11" t="s">
        <v>6181</v>
      </c>
      <c r="M216" s="11" t="s">
        <v>6182</v>
      </c>
      <c r="N216" s="11" t="s">
        <v>6183</v>
      </c>
      <c r="O216" s="11" t="n">
        <v>80</v>
      </c>
    </row>
    <row r="217" customFormat="false" ht="180" hidden="false" customHeight="true" outlineLevel="0" collapsed="false">
      <c r="A217" s="11" t="s">
        <v>1239</v>
      </c>
      <c r="B217" s="11" t="s">
        <v>4525</v>
      </c>
      <c r="C217" s="11" t="s">
        <v>4526</v>
      </c>
      <c r="D217" s="11" t="s">
        <v>1240</v>
      </c>
      <c r="E217" s="11" t="s">
        <v>6184</v>
      </c>
      <c r="F217" s="11" t="s">
        <v>6185</v>
      </c>
      <c r="G217" s="11" t="s">
        <v>6186</v>
      </c>
      <c r="H217" s="11" t="s">
        <v>6187</v>
      </c>
      <c r="I217" s="11" t="s">
        <v>6188</v>
      </c>
      <c r="J217" s="11"/>
      <c r="K217" s="11"/>
      <c r="L217" s="11"/>
      <c r="M217" s="11"/>
      <c r="N217" s="11" t="s">
        <v>6189</v>
      </c>
      <c r="O217" s="11" t="n">
        <v>10</v>
      </c>
    </row>
    <row r="218" customFormat="false" ht="180" hidden="false" customHeight="true" outlineLevel="0" collapsed="false">
      <c r="A218" s="11" t="s">
        <v>1246</v>
      </c>
      <c r="B218" s="11" t="s">
        <v>4525</v>
      </c>
      <c r="C218" s="11" t="s">
        <v>4526</v>
      </c>
      <c r="D218" s="11" t="s">
        <v>1247</v>
      </c>
      <c r="E218" s="11" t="s">
        <v>5543</v>
      </c>
      <c r="F218" s="11" t="s">
        <v>6190</v>
      </c>
      <c r="G218" s="11" t="s">
        <v>6191</v>
      </c>
      <c r="H218" s="11" t="s">
        <v>6192</v>
      </c>
      <c r="I218" s="11" t="s">
        <v>6193</v>
      </c>
      <c r="J218" s="11" t="s">
        <v>6194</v>
      </c>
      <c r="K218" s="11" t="s">
        <v>5543</v>
      </c>
      <c r="L218" s="11" t="s">
        <v>6195</v>
      </c>
      <c r="M218" s="11" t="s">
        <v>1249</v>
      </c>
      <c r="N218" s="11" t="s">
        <v>6196</v>
      </c>
      <c r="O218" s="11" t="n">
        <v>10</v>
      </c>
    </row>
    <row r="219" customFormat="false" ht="180" hidden="false" customHeight="true" outlineLevel="0" collapsed="false">
      <c r="A219" s="11" t="s">
        <v>1250</v>
      </c>
      <c r="B219" s="11" t="s">
        <v>4525</v>
      </c>
      <c r="C219" s="11" t="s">
        <v>4526</v>
      </c>
      <c r="D219" s="11" t="s">
        <v>1251</v>
      </c>
      <c r="E219" s="11" t="s">
        <v>5570</v>
      </c>
      <c r="F219" s="11" t="s">
        <v>6197</v>
      </c>
      <c r="G219" s="11" t="s">
        <v>6198</v>
      </c>
      <c r="H219" s="11" t="s">
        <v>6199</v>
      </c>
      <c r="I219" s="11" t="s">
        <v>6200</v>
      </c>
      <c r="J219" s="11" t="s">
        <v>6201</v>
      </c>
      <c r="K219" s="11" t="s">
        <v>5697</v>
      </c>
      <c r="L219" s="11" t="s">
        <v>6202</v>
      </c>
      <c r="M219" s="11" t="s">
        <v>1249</v>
      </c>
      <c r="N219" s="11" t="s">
        <v>6203</v>
      </c>
      <c r="O219" s="11" t="n">
        <v>10</v>
      </c>
    </row>
    <row r="220" customFormat="false" ht="180" hidden="false" customHeight="true" outlineLevel="0" collapsed="false">
      <c r="A220" s="11" t="s">
        <v>1253</v>
      </c>
      <c r="B220" s="11" t="s">
        <v>4525</v>
      </c>
      <c r="C220" s="11" t="s">
        <v>4526</v>
      </c>
      <c r="D220" s="11" t="s">
        <v>1254</v>
      </c>
      <c r="E220" s="11" t="s">
        <v>6121</v>
      </c>
      <c r="F220" s="11" t="s">
        <v>4934</v>
      </c>
      <c r="G220" s="11" t="s">
        <v>6204</v>
      </c>
      <c r="H220" s="11" t="s">
        <v>6205</v>
      </c>
      <c r="I220" s="11" t="s">
        <v>4614</v>
      </c>
      <c r="J220" s="11"/>
      <c r="K220" s="11"/>
      <c r="L220" s="11" t="s">
        <v>6204</v>
      </c>
      <c r="M220" s="11"/>
      <c r="N220" s="11" t="s">
        <v>6206</v>
      </c>
      <c r="O220" s="11" t="n">
        <v>10</v>
      </c>
    </row>
    <row r="221" customFormat="false" ht="180" hidden="false" customHeight="true" outlineLevel="0" collapsed="false">
      <c r="A221" s="11" t="s">
        <v>670</v>
      </c>
      <c r="B221" s="11" t="s">
        <v>4525</v>
      </c>
      <c r="C221" s="11" t="s">
        <v>4526</v>
      </c>
      <c r="D221" s="11" t="s">
        <v>6207</v>
      </c>
      <c r="E221" s="11" t="s">
        <v>5709</v>
      </c>
      <c r="F221" s="11" t="s">
        <v>5635</v>
      </c>
      <c r="G221" s="11" t="s">
        <v>6208</v>
      </c>
      <c r="H221" s="11" t="s">
        <v>5806</v>
      </c>
      <c r="I221" s="11" t="s">
        <v>6209</v>
      </c>
      <c r="J221" s="11"/>
      <c r="K221" s="11"/>
      <c r="L221" s="11" t="s">
        <v>6210</v>
      </c>
      <c r="M221" s="11"/>
      <c r="N221" s="11" t="s">
        <v>672</v>
      </c>
      <c r="O221" s="11" t="n">
        <v>10</v>
      </c>
    </row>
    <row r="222" customFormat="false" ht="180" hidden="false" customHeight="true" outlineLevel="0" collapsed="false">
      <c r="A222" s="11" t="s">
        <v>1256</v>
      </c>
      <c r="B222" s="11" t="s">
        <v>4525</v>
      </c>
      <c r="C222" s="11" t="s">
        <v>4526</v>
      </c>
      <c r="D222" s="11" t="s">
        <v>1257</v>
      </c>
      <c r="E222" s="11" t="s">
        <v>6211</v>
      </c>
      <c r="F222" s="11" t="s">
        <v>6212</v>
      </c>
      <c r="G222" s="11" t="s">
        <v>6213</v>
      </c>
      <c r="H222" s="11" t="s">
        <v>6214</v>
      </c>
      <c r="I222" s="11" t="s">
        <v>6215</v>
      </c>
      <c r="J222" s="11" t="s">
        <v>6216</v>
      </c>
      <c r="K222" s="11" t="s">
        <v>6211</v>
      </c>
      <c r="L222" s="11" t="s">
        <v>6217</v>
      </c>
      <c r="M222" s="11" t="s">
        <v>1258</v>
      </c>
      <c r="N222" s="11" t="s">
        <v>6218</v>
      </c>
      <c r="O222" s="11" t="n">
        <v>10</v>
      </c>
    </row>
    <row r="223" customFormat="false" ht="180" hidden="false" customHeight="true" outlineLevel="0" collapsed="false">
      <c r="A223" s="11" t="s">
        <v>1259</v>
      </c>
      <c r="B223" s="11" t="s">
        <v>4525</v>
      </c>
      <c r="C223" s="11" t="s">
        <v>4526</v>
      </c>
      <c r="D223" s="11" t="s">
        <v>1260</v>
      </c>
      <c r="E223" s="11" t="s">
        <v>6219</v>
      </c>
      <c r="F223" s="11" t="s">
        <v>6220</v>
      </c>
      <c r="G223" s="11" t="s">
        <v>6221</v>
      </c>
      <c r="H223" s="11" t="s">
        <v>6222</v>
      </c>
      <c r="I223" s="11" t="s">
        <v>6223</v>
      </c>
      <c r="J223" s="11" t="s">
        <v>4574</v>
      </c>
      <c r="K223" s="11"/>
      <c r="L223" s="11"/>
      <c r="M223" s="11" t="s">
        <v>1258</v>
      </c>
      <c r="N223" s="11" t="s">
        <v>6224</v>
      </c>
      <c r="O223" s="11" t="n">
        <v>10</v>
      </c>
    </row>
    <row r="224" customFormat="false" ht="180" hidden="false" customHeight="true" outlineLevel="0" collapsed="false">
      <c r="A224" s="11" t="s">
        <v>1262</v>
      </c>
      <c r="B224" s="11" t="s">
        <v>4525</v>
      </c>
      <c r="C224" s="11" t="s">
        <v>4526</v>
      </c>
      <c r="D224" s="11" t="s">
        <v>1263</v>
      </c>
      <c r="E224" s="11" t="s">
        <v>6225</v>
      </c>
      <c r="F224" s="11" t="s">
        <v>6226</v>
      </c>
      <c r="G224" s="11" t="s">
        <v>6227</v>
      </c>
      <c r="H224" s="11" t="s">
        <v>6228</v>
      </c>
      <c r="I224" s="11" t="s">
        <v>6229</v>
      </c>
      <c r="J224" s="11" t="s">
        <v>4574</v>
      </c>
      <c r="K224" s="11"/>
      <c r="L224" s="11"/>
      <c r="M224" s="11" t="s">
        <v>1033</v>
      </c>
      <c r="N224" s="11" t="s">
        <v>6230</v>
      </c>
      <c r="O224" s="11" t="n">
        <v>10</v>
      </c>
    </row>
    <row r="225" customFormat="false" ht="180" hidden="false" customHeight="true" outlineLevel="0" collapsed="false">
      <c r="A225" s="11" t="s">
        <v>1265</v>
      </c>
      <c r="B225" s="11" t="s">
        <v>4525</v>
      </c>
      <c r="C225" s="11" t="s">
        <v>4526</v>
      </c>
      <c r="D225" s="11" t="s">
        <v>1266</v>
      </c>
      <c r="E225" s="11" t="s">
        <v>5770</v>
      </c>
      <c r="F225" s="11" t="s">
        <v>6231</v>
      </c>
      <c r="G225" s="11" t="s">
        <v>6232</v>
      </c>
      <c r="H225" s="11" t="s">
        <v>6233</v>
      </c>
      <c r="I225" s="11" t="s">
        <v>6234</v>
      </c>
      <c r="J225" s="11" t="s">
        <v>6235</v>
      </c>
      <c r="K225" s="11" t="s">
        <v>5770</v>
      </c>
      <c r="L225" s="11" t="s">
        <v>6236</v>
      </c>
      <c r="M225" s="11"/>
      <c r="N225" s="11" t="s">
        <v>6237</v>
      </c>
      <c r="O225" s="11" t="n">
        <v>10</v>
      </c>
    </row>
    <row r="226" customFormat="false" ht="180" hidden="false" customHeight="true" outlineLevel="0" collapsed="false">
      <c r="A226" s="11" t="s">
        <v>1268</v>
      </c>
      <c r="B226" s="11" t="s">
        <v>4525</v>
      </c>
      <c r="C226" s="11" t="s">
        <v>4526</v>
      </c>
      <c r="D226" s="11" t="s">
        <v>1269</v>
      </c>
      <c r="E226" s="11" t="s">
        <v>6238</v>
      </c>
      <c r="F226" s="11" t="s">
        <v>4934</v>
      </c>
      <c r="G226" s="11" t="s">
        <v>6239</v>
      </c>
      <c r="H226" s="11" t="s">
        <v>6240</v>
      </c>
      <c r="I226" s="11" t="s">
        <v>6241</v>
      </c>
      <c r="J226" s="11"/>
      <c r="K226" s="11"/>
      <c r="L226" s="11"/>
      <c r="M226" s="11"/>
      <c r="N226" s="11" t="s">
        <v>6242</v>
      </c>
      <c r="O226" s="11" t="n">
        <v>10</v>
      </c>
    </row>
    <row r="227" customFormat="false" ht="180" hidden="false" customHeight="true" outlineLevel="0" collapsed="false">
      <c r="A227" s="11" t="s">
        <v>1271</v>
      </c>
      <c r="B227" s="11" t="s">
        <v>4525</v>
      </c>
      <c r="C227" s="11" t="s">
        <v>4526</v>
      </c>
      <c r="D227" s="11" t="s">
        <v>1272</v>
      </c>
      <c r="E227" s="11" t="s">
        <v>6243</v>
      </c>
      <c r="F227" s="11" t="s">
        <v>6244</v>
      </c>
      <c r="G227" s="11" t="s">
        <v>6245</v>
      </c>
      <c r="H227" s="11" t="s">
        <v>6246</v>
      </c>
      <c r="I227" s="11" t="s">
        <v>6247</v>
      </c>
      <c r="J227" s="11" t="s">
        <v>6248</v>
      </c>
      <c r="K227" s="11" t="s">
        <v>6249</v>
      </c>
      <c r="L227" s="11"/>
      <c r="M227" s="11" t="s">
        <v>1274</v>
      </c>
      <c r="N227" s="11" t="s">
        <v>6250</v>
      </c>
      <c r="O227" s="11" t="n">
        <v>10</v>
      </c>
    </row>
    <row r="228" customFormat="false" ht="180" hidden="false" customHeight="true" outlineLevel="0" collapsed="false">
      <c r="A228" s="11" t="s">
        <v>676</v>
      </c>
      <c r="B228" s="11" t="s">
        <v>4525</v>
      </c>
      <c r="C228" s="11" t="s">
        <v>4526</v>
      </c>
      <c r="D228" s="11" t="s">
        <v>6251</v>
      </c>
      <c r="E228" s="11" t="s">
        <v>5709</v>
      </c>
      <c r="F228" s="11" t="s">
        <v>5635</v>
      </c>
      <c r="G228" s="11" t="s">
        <v>6252</v>
      </c>
      <c r="H228" s="11" t="s">
        <v>5806</v>
      </c>
      <c r="I228" s="11" t="s">
        <v>6253</v>
      </c>
      <c r="J228" s="11"/>
      <c r="K228" s="11"/>
      <c r="L228" s="11" t="s">
        <v>6254</v>
      </c>
      <c r="M228" s="11" t="s">
        <v>5428</v>
      </c>
      <c r="N228" s="11" t="s">
        <v>6255</v>
      </c>
      <c r="O228" s="11" t="n">
        <v>100</v>
      </c>
    </row>
    <row r="229" customFormat="false" ht="180" hidden="false" customHeight="true" outlineLevel="0" collapsed="false">
      <c r="A229" s="11" t="s">
        <v>1277</v>
      </c>
      <c r="B229" s="11" t="s">
        <v>4525</v>
      </c>
      <c r="C229" s="11" t="s">
        <v>4526</v>
      </c>
      <c r="D229" s="11" t="s">
        <v>6256</v>
      </c>
      <c r="E229" s="11" t="s">
        <v>6257</v>
      </c>
      <c r="F229" s="11" t="s">
        <v>6258</v>
      </c>
      <c r="G229" s="11" t="s">
        <v>6259</v>
      </c>
      <c r="H229" s="11" t="s">
        <v>6260</v>
      </c>
      <c r="I229" s="11" t="s">
        <v>6261</v>
      </c>
      <c r="J229" s="11" t="s">
        <v>6262</v>
      </c>
      <c r="K229" s="11"/>
      <c r="L229" s="11"/>
      <c r="M229" s="11" t="s">
        <v>1278</v>
      </c>
      <c r="N229" s="11" t="s">
        <v>6263</v>
      </c>
      <c r="O229" s="11" t="n">
        <v>10</v>
      </c>
    </row>
    <row r="230" customFormat="false" ht="180" hidden="false" customHeight="true" outlineLevel="0" collapsed="false">
      <c r="A230" s="11" t="s">
        <v>1285</v>
      </c>
      <c r="B230" s="11" t="s">
        <v>4525</v>
      </c>
      <c r="C230" s="11" t="s">
        <v>4526</v>
      </c>
      <c r="D230" s="11" t="s">
        <v>1286</v>
      </c>
      <c r="E230" s="11" t="s">
        <v>5787</v>
      </c>
      <c r="F230" s="11" t="s">
        <v>6264</v>
      </c>
      <c r="G230" s="11" t="s">
        <v>6265</v>
      </c>
      <c r="H230" s="11" t="s">
        <v>6266</v>
      </c>
      <c r="I230" s="11" t="s">
        <v>6267</v>
      </c>
      <c r="J230" s="11" t="s">
        <v>6268</v>
      </c>
      <c r="K230" s="11" t="s">
        <v>5787</v>
      </c>
      <c r="L230" s="11" t="s">
        <v>6269</v>
      </c>
      <c r="M230" s="11" t="s">
        <v>6270</v>
      </c>
      <c r="N230" s="11" t="s">
        <v>6271</v>
      </c>
      <c r="O230" s="11" t="n">
        <v>10</v>
      </c>
    </row>
    <row r="231" customFormat="false" ht="180" hidden="false" customHeight="true" outlineLevel="0" collapsed="false">
      <c r="A231" s="11" t="s">
        <v>1289</v>
      </c>
      <c r="B231" s="11" t="s">
        <v>4525</v>
      </c>
      <c r="C231" s="11" t="s">
        <v>4526</v>
      </c>
      <c r="D231" s="11" t="s">
        <v>1290</v>
      </c>
      <c r="E231" s="11" t="s">
        <v>6272</v>
      </c>
      <c r="F231" s="11" t="s">
        <v>4934</v>
      </c>
      <c r="G231" s="11" t="s">
        <v>6273</v>
      </c>
      <c r="H231" s="11" t="s">
        <v>6274</v>
      </c>
      <c r="I231" s="11" t="s">
        <v>6275</v>
      </c>
      <c r="J231" s="11" t="s">
        <v>6276</v>
      </c>
      <c r="K231" s="11"/>
      <c r="L231" s="11"/>
      <c r="M231" s="11" t="s">
        <v>1278</v>
      </c>
      <c r="N231" s="11" t="s">
        <v>6277</v>
      </c>
      <c r="O231" s="11" t="n">
        <v>10</v>
      </c>
    </row>
    <row r="232" customFormat="false" ht="180" hidden="false" customHeight="true" outlineLevel="0" collapsed="false">
      <c r="A232" s="11" t="s">
        <v>1292</v>
      </c>
      <c r="B232" s="11" t="s">
        <v>4525</v>
      </c>
      <c r="C232" s="11" t="s">
        <v>4526</v>
      </c>
      <c r="D232" s="11" t="s">
        <v>1293</v>
      </c>
      <c r="E232" s="11" t="s">
        <v>6278</v>
      </c>
      <c r="F232" s="11" t="s">
        <v>6279</v>
      </c>
      <c r="G232" s="11" t="s">
        <v>6280</v>
      </c>
      <c r="H232" s="11" t="s">
        <v>6281</v>
      </c>
      <c r="I232" s="11" t="s">
        <v>6282</v>
      </c>
      <c r="J232" s="11" t="s">
        <v>6283</v>
      </c>
      <c r="K232" s="11" t="s">
        <v>6278</v>
      </c>
      <c r="L232" s="11" t="s">
        <v>6284</v>
      </c>
      <c r="M232" s="11" t="s">
        <v>1295</v>
      </c>
      <c r="N232" s="11" t="s">
        <v>6285</v>
      </c>
      <c r="O232" s="11" t="n">
        <v>10</v>
      </c>
    </row>
    <row r="233" customFormat="false" ht="180" hidden="false" customHeight="true" outlineLevel="0" collapsed="false">
      <c r="A233" s="11" t="s">
        <v>1296</v>
      </c>
      <c r="B233" s="11" t="s">
        <v>4525</v>
      </c>
      <c r="C233" s="11" t="s">
        <v>4526</v>
      </c>
      <c r="D233" s="11" t="s">
        <v>1297</v>
      </c>
      <c r="E233" s="11" t="s">
        <v>5770</v>
      </c>
      <c r="F233" s="11" t="s">
        <v>6286</v>
      </c>
      <c r="G233" s="11" t="s">
        <v>6287</v>
      </c>
      <c r="H233" s="11" t="s">
        <v>6288</v>
      </c>
      <c r="I233" s="11" t="s">
        <v>6289</v>
      </c>
      <c r="J233" s="11" t="s">
        <v>6290</v>
      </c>
      <c r="K233" s="11" t="s">
        <v>6291</v>
      </c>
      <c r="L233" s="11" t="s">
        <v>6292</v>
      </c>
      <c r="M233" s="11" t="s">
        <v>6293</v>
      </c>
      <c r="N233" s="11" t="s">
        <v>6294</v>
      </c>
      <c r="O233" s="11" t="n">
        <v>10</v>
      </c>
    </row>
    <row r="234" customFormat="false" ht="180" hidden="false" customHeight="true" outlineLevel="0" collapsed="false">
      <c r="A234" s="11" t="s">
        <v>682</v>
      </c>
      <c r="B234" s="11" t="s">
        <v>4525</v>
      </c>
      <c r="C234" s="11" t="s">
        <v>4526</v>
      </c>
      <c r="D234" s="11" t="s">
        <v>6295</v>
      </c>
      <c r="E234" s="11" t="s">
        <v>5709</v>
      </c>
      <c r="F234" s="11" t="s">
        <v>5635</v>
      </c>
      <c r="G234" s="11" t="s">
        <v>6296</v>
      </c>
      <c r="H234" s="11" t="s">
        <v>5806</v>
      </c>
      <c r="I234" s="11" t="s">
        <v>4614</v>
      </c>
      <c r="J234" s="11"/>
      <c r="K234" s="11"/>
      <c r="L234" s="11" t="s">
        <v>6210</v>
      </c>
      <c r="M234" s="11"/>
      <c r="N234" s="11" t="s">
        <v>684</v>
      </c>
      <c r="O234" s="11" t="n">
        <v>10</v>
      </c>
    </row>
    <row r="235" customFormat="false" ht="180" hidden="false" customHeight="true" outlineLevel="0" collapsed="false">
      <c r="A235" s="11" t="s">
        <v>1300</v>
      </c>
      <c r="B235" s="11" t="s">
        <v>4525</v>
      </c>
      <c r="C235" s="11" t="s">
        <v>4526</v>
      </c>
      <c r="D235" s="11" t="s">
        <v>1301</v>
      </c>
      <c r="E235" s="11" t="s">
        <v>6297</v>
      </c>
      <c r="F235" s="11" t="s">
        <v>5686</v>
      </c>
      <c r="G235" s="11" t="s">
        <v>6298</v>
      </c>
      <c r="H235" s="11" t="s">
        <v>6299</v>
      </c>
      <c r="I235" s="11" t="s">
        <v>6300</v>
      </c>
      <c r="J235" s="11" t="s">
        <v>6301</v>
      </c>
      <c r="K235" s="11" t="s">
        <v>6302</v>
      </c>
      <c r="L235" s="11" t="s">
        <v>6303</v>
      </c>
      <c r="M235" s="11" t="s">
        <v>1302</v>
      </c>
      <c r="N235" s="11" t="s">
        <v>6304</v>
      </c>
      <c r="O235" s="11" t="n">
        <v>10</v>
      </c>
    </row>
    <row r="236" customFormat="false" ht="180" hidden="false" customHeight="true" outlineLevel="0" collapsed="false">
      <c r="A236" s="11" t="s">
        <v>1303</v>
      </c>
      <c r="B236" s="11" t="s">
        <v>4525</v>
      </c>
      <c r="C236" s="11" t="s">
        <v>4526</v>
      </c>
      <c r="D236" s="11" t="s">
        <v>1304</v>
      </c>
      <c r="E236" s="11" t="s">
        <v>6305</v>
      </c>
      <c r="F236" s="11" t="s">
        <v>6306</v>
      </c>
      <c r="G236" s="11" t="s">
        <v>6307</v>
      </c>
      <c r="H236" s="11" t="s">
        <v>6088</v>
      </c>
      <c r="I236" s="11" t="s">
        <v>6308</v>
      </c>
      <c r="J236" s="11" t="s">
        <v>6308</v>
      </c>
      <c r="K236" s="11"/>
      <c r="L236" s="11"/>
      <c r="M236" s="11"/>
      <c r="N236" s="11" t="s">
        <v>6309</v>
      </c>
      <c r="O236" s="11" t="n">
        <v>10</v>
      </c>
    </row>
    <row r="237" customFormat="false" ht="180" hidden="false" customHeight="true" outlineLevel="0" collapsed="false">
      <c r="A237" s="11" t="s">
        <v>1306</v>
      </c>
      <c r="B237" s="11" t="s">
        <v>4525</v>
      </c>
      <c r="C237" s="11" t="s">
        <v>4526</v>
      </c>
      <c r="D237" s="11" t="s">
        <v>1307</v>
      </c>
      <c r="E237" s="11" t="s">
        <v>6310</v>
      </c>
      <c r="F237" s="11" t="s">
        <v>6311</v>
      </c>
      <c r="G237" s="11" t="s">
        <v>6312</v>
      </c>
      <c r="H237" s="11" t="s">
        <v>6313</v>
      </c>
      <c r="I237" s="11" t="s">
        <v>6314</v>
      </c>
      <c r="J237" s="11" t="s">
        <v>6315</v>
      </c>
      <c r="K237" s="11" t="s">
        <v>6316</v>
      </c>
      <c r="L237" s="11" t="s">
        <v>6317</v>
      </c>
      <c r="M237" s="11" t="s">
        <v>1309</v>
      </c>
      <c r="N237" s="11" t="s">
        <v>6318</v>
      </c>
      <c r="O237" s="11" t="n">
        <v>10</v>
      </c>
    </row>
    <row r="238" customFormat="false" ht="180" hidden="false" customHeight="true" outlineLevel="0" collapsed="false">
      <c r="A238" s="11" t="s">
        <v>1310</v>
      </c>
      <c r="B238" s="11" t="s">
        <v>4525</v>
      </c>
      <c r="C238" s="11" t="s">
        <v>4526</v>
      </c>
      <c r="D238" s="11" t="s">
        <v>1311</v>
      </c>
      <c r="E238" s="11" t="s">
        <v>6319</v>
      </c>
      <c r="F238" s="11" t="s">
        <v>6320</v>
      </c>
      <c r="G238" s="11" t="s">
        <v>6321</v>
      </c>
      <c r="H238" s="11" t="s">
        <v>6322</v>
      </c>
      <c r="I238" s="11" t="s">
        <v>6323</v>
      </c>
      <c r="J238" s="11" t="s">
        <v>6324</v>
      </c>
      <c r="K238" s="11" t="s">
        <v>6325</v>
      </c>
      <c r="L238" s="11" t="s">
        <v>6326</v>
      </c>
      <c r="M238" s="11"/>
      <c r="N238" s="11" t="s">
        <v>6327</v>
      </c>
      <c r="O238" s="11" t="n">
        <v>10</v>
      </c>
    </row>
    <row r="239" customFormat="false" ht="180" hidden="false" customHeight="true" outlineLevel="0" collapsed="false">
      <c r="A239" s="11" t="s">
        <v>1313</v>
      </c>
      <c r="B239" s="11" t="s">
        <v>4525</v>
      </c>
      <c r="C239" s="11" t="s">
        <v>4526</v>
      </c>
      <c r="D239" s="11" t="s">
        <v>1314</v>
      </c>
      <c r="E239" s="11" t="s">
        <v>6328</v>
      </c>
      <c r="F239" s="11" t="s">
        <v>6329</v>
      </c>
      <c r="G239" s="11" t="s">
        <v>6330</v>
      </c>
      <c r="H239" s="11" t="s">
        <v>6331</v>
      </c>
      <c r="I239" s="11" t="s">
        <v>6332</v>
      </c>
      <c r="J239" s="11" t="s">
        <v>6324</v>
      </c>
      <c r="K239" s="11" t="s">
        <v>6333</v>
      </c>
      <c r="L239" s="11" t="s">
        <v>6334</v>
      </c>
      <c r="M239" s="11"/>
      <c r="N239" s="11" t="s">
        <v>6335</v>
      </c>
      <c r="O239" s="11" t="n">
        <v>10</v>
      </c>
    </row>
    <row r="240" customFormat="false" ht="180" hidden="false" customHeight="true" outlineLevel="0" collapsed="false">
      <c r="A240" s="11" t="s">
        <v>1316</v>
      </c>
      <c r="B240" s="11" t="s">
        <v>4525</v>
      </c>
      <c r="C240" s="11" t="s">
        <v>4526</v>
      </c>
      <c r="D240" s="11" t="s">
        <v>1317</v>
      </c>
      <c r="E240" s="11" t="s">
        <v>6336</v>
      </c>
      <c r="F240" s="11" t="s">
        <v>6337</v>
      </c>
      <c r="G240" s="11" t="s">
        <v>6338</v>
      </c>
      <c r="H240" s="11" t="s">
        <v>6339</v>
      </c>
      <c r="I240" s="11" t="s">
        <v>6340</v>
      </c>
      <c r="J240" s="11" t="s">
        <v>6341</v>
      </c>
      <c r="K240" s="11" t="s">
        <v>6342</v>
      </c>
      <c r="L240" s="11" t="s">
        <v>6343</v>
      </c>
      <c r="M240" s="11" t="s">
        <v>1319</v>
      </c>
      <c r="N240" s="11" t="s">
        <v>6344</v>
      </c>
      <c r="O240" s="11" t="n">
        <v>10</v>
      </c>
    </row>
    <row r="241" customFormat="false" ht="180" hidden="false" customHeight="true" outlineLevel="0" collapsed="false">
      <c r="A241" s="11" t="s">
        <v>558</v>
      </c>
      <c r="B241" s="11" t="s">
        <v>4525</v>
      </c>
      <c r="C241" s="11" t="s">
        <v>4526</v>
      </c>
      <c r="D241" s="11" t="s">
        <v>6345</v>
      </c>
      <c r="E241" s="11" t="s">
        <v>5709</v>
      </c>
      <c r="F241" s="11" t="s">
        <v>5635</v>
      </c>
      <c r="G241" s="11" t="s">
        <v>6346</v>
      </c>
      <c r="H241" s="11" t="s">
        <v>5806</v>
      </c>
      <c r="I241" s="11" t="s">
        <v>6347</v>
      </c>
      <c r="J241" s="11"/>
      <c r="K241" s="11"/>
      <c r="L241" s="11" t="s">
        <v>6348</v>
      </c>
      <c r="M241" s="11"/>
      <c r="N241" s="11" t="s">
        <v>688</v>
      </c>
      <c r="O241" s="11" t="n">
        <v>10</v>
      </c>
    </row>
    <row r="242" customFormat="false" ht="180" hidden="false" customHeight="true" outlineLevel="0" collapsed="false">
      <c r="A242" s="11" t="s">
        <v>1320</v>
      </c>
      <c r="B242" s="11" t="s">
        <v>4525</v>
      </c>
      <c r="C242" s="11" t="s">
        <v>4526</v>
      </c>
      <c r="D242" s="11" t="s">
        <v>1321</v>
      </c>
      <c r="E242" s="11" t="s">
        <v>6349</v>
      </c>
      <c r="F242" s="11" t="s">
        <v>6350</v>
      </c>
      <c r="G242" s="11" t="s">
        <v>6351</v>
      </c>
      <c r="H242" s="11" t="s">
        <v>6352</v>
      </c>
      <c r="I242" s="11" t="s">
        <v>6353</v>
      </c>
      <c r="J242" s="11"/>
      <c r="K242" s="11"/>
      <c r="L242" s="11"/>
      <c r="M242" s="11"/>
      <c r="N242" s="11" t="s">
        <v>6354</v>
      </c>
      <c r="O242" s="11" t="n">
        <v>10</v>
      </c>
    </row>
    <row r="243" customFormat="false" ht="180" hidden="false" customHeight="true" outlineLevel="0" collapsed="false">
      <c r="A243" s="11" t="s">
        <v>1322</v>
      </c>
      <c r="B243" s="11" t="s">
        <v>4525</v>
      </c>
      <c r="C243" s="11" t="s">
        <v>4526</v>
      </c>
      <c r="D243" s="11" t="s">
        <v>1323</v>
      </c>
      <c r="E243" s="11" t="s">
        <v>6355</v>
      </c>
      <c r="F243" s="11" t="s">
        <v>6356</v>
      </c>
      <c r="G243" s="11" t="s">
        <v>6357</v>
      </c>
      <c r="H243" s="11" t="s">
        <v>6358</v>
      </c>
      <c r="I243" s="11" t="s">
        <v>6359</v>
      </c>
      <c r="J243" s="11" t="s">
        <v>6360</v>
      </c>
      <c r="K243" s="11" t="s">
        <v>6361</v>
      </c>
      <c r="L243" s="11"/>
      <c r="M243" s="11"/>
      <c r="N243" s="11" t="s">
        <v>6362</v>
      </c>
      <c r="O243" s="11" t="n">
        <v>10</v>
      </c>
    </row>
    <row r="244" customFormat="false" ht="180" hidden="false" customHeight="true" outlineLevel="0" collapsed="false">
      <c r="A244" s="11" t="s">
        <v>1329</v>
      </c>
      <c r="B244" s="11" t="s">
        <v>4525</v>
      </c>
      <c r="C244" s="11" t="s">
        <v>4526</v>
      </c>
      <c r="D244" s="11" t="s">
        <v>1330</v>
      </c>
      <c r="E244" s="11" t="s">
        <v>6363</v>
      </c>
      <c r="F244" s="11" t="s">
        <v>6364</v>
      </c>
      <c r="G244" s="11" t="s">
        <v>6365</v>
      </c>
      <c r="H244" s="11" t="s">
        <v>6366</v>
      </c>
      <c r="I244" s="11" t="s">
        <v>6367</v>
      </c>
      <c r="J244" s="11" t="s">
        <v>4574</v>
      </c>
      <c r="K244" s="11"/>
      <c r="L244" s="11"/>
      <c r="M244" s="11" t="s">
        <v>1328</v>
      </c>
      <c r="N244" s="11" t="s">
        <v>6368</v>
      </c>
      <c r="O244" s="11" t="n">
        <v>10</v>
      </c>
    </row>
    <row r="245" customFormat="false" ht="180" hidden="false" customHeight="true" outlineLevel="0" collapsed="false">
      <c r="A245" s="11" t="s">
        <v>1332</v>
      </c>
      <c r="B245" s="11" t="s">
        <v>4525</v>
      </c>
      <c r="C245" s="11" t="s">
        <v>4526</v>
      </c>
      <c r="D245" s="11" t="s">
        <v>1333</v>
      </c>
      <c r="E245" s="11" t="s">
        <v>6369</v>
      </c>
      <c r="F245" s="11" t="s">
        <v>6370</v>
      </c>
      <c r="G245" s="11" t="s">
        <v>6371</v>
      </c>
      <c r="H245" s="11" t="s">
        <v>6372</v>
      </c>
      <c r="I245" s="11" t="s">
        <v>6373</v>
      </c>
      <c r="J245" s="11" t="s">
        <v>6374</v>
      </c>
      <c r="K245" s="11" t="s">
        <v>6373</v>
      </c>
      <c r="L245" s="11"/>
      <c r="M245" s="11"/>
      <c r="N245" s="11" t="s">
        <v>6375</v>
      </c>
      <c r="O245" s="11" t="n">
        <v>10</v>
      </c>
    </row>
    <row r="246" customFormat="false" ht="180" hidden="false" customHeight="true" outlineLevel="0" collapsed="false">
      <c r="A246" s="11" t="s">
        <v>1335</v>
      </c>
      <c r="B246" s="11" t="s">
        <v>4525</v>
      </c>
      <c r="C246" s="11" t="s">
        <v>4526</v>
      </c>
      <c r="D246" s="11" t="s">
        <v>1336</v>
      </c>
      <c r="E246" s="11" t="s">
        <v>6121</v>
      </c>
      <c r="F246" s="11" t="s">
        <v>4934</v>
      </c>
      <c r="G246" s="11" t="s">
        <v>6376</v>
      </c>
      <c r="H246" s="11" t="s">
        <v>6377</v>
      </c>
      <c r="I246" s="11" t="s">
        <v>4614</v>
      </c>
      <c r="J246" s="11"/>
      <c r="K246" s="11" t="s">
        <v>6376</v>
      </c>
      <c r="L246" s="11" t="s">
        <v>6376</v>
      </c>
      <c r="M246" s="11"/>
      <c r="N246" s="11" t="s">
        <v>6378</v>
      </c>
      <c r="O246" s="11" t="n">
        <v>10</v>
      </c>
    </row>
    <row r="247" customFormat="false" ht="180" hidden="false" customHeight="true" outlineLevel="0" collapsed="false">
      <c r="A247" s="11" t="s">
        <v>1338</v>
      </c>
      <c r="B247" s="11" t="s">
        <v>4525</v>
      </c>
      <c r="C247" s="11" t="s">
        <v>4526</v>
      </c>
      <c r="D247" s="11" t="s">
        <v>1339</v>
      </c>
      <c r="E247" s="11" t="s">
        <v>6379</v>
      </c>
      <c r="F247" s="11" t="s">
        <v>6380</v>
      </c>
      <c r="G247" s="11" t="s">
        <v>6381</v>
      </c>
      <c r="H247" s="11" t="s">
        <v>6382</v>
      </c>
      <c r="I247" s="11" t="s">
        <v>6383</v>
      </c>
      <c r="J247" s="11" t="s">
        <v>6384</v>
      </c>
      <c r="K247" s="11" t="s">
        <v>6385</v>
      </c>
      <c r="L247" s="11" t="s">
        <v>6386</v>
      </c>
      <c r="M247" s="11"/>
      <c r="N247" s="11" t="s">
        <v>6387</v>
      </c>
      <c r="O247" s="11" t="n">
        <v>10</v>
      </c>
    </row>
    <row r="248" customFormat="false" ht="180" hidden="false" customHeight="true" outlineLevel="0" collapsed="false">
      <c r="A248" s="11" t="s">
        <v>691</v>
      </c>
      <c r="B248" s="11" t="s">
        <v>4525</v>
      </c>
      <c r="C248" s="11" t="s">
        <v>4526</v>
      </c>
      <c r="D248" s="11" t="s">
        <v>6388</v>
      </c>
      <c r="E248" s="11" t="s">
        <v>5709</v>
      </c>
      <c r="F248" s="11" t="s">
        <v>5635</v>
      </c>
      <c r="G248" s="11" t="s">
        <v>6389</v>
      </c>
      <c r="H248" s="11" t="s">
        <v>6390</v>
      </c>
      <c r="I248" s="11" t="s">
        <v>4614</v>
      </c>
      <c r="J248" s="11"/>
      <c r="K248" s="11"/>
      <c r="L248" s="11" t="s">
        <v>6391</v>
      </c>
      <c r="M248" s="11"/>
      <c r="N248" s="11" t="s">
        <v>693</v>
      </c>
      <c r="O248" s="11" t="n">
        <v>10</v>
      </c>
    </row>
    <row r="249" customFormat="false" ht="180" hidden="false" customHeight="true" outlineLevel="0" collapsed="false">
      <c r="A249" s="11" t="s">
        <v>1341</v>
      </c>
      <c r="B249" s="11" t="s">
        <v>4525</v>
      </c>
      <c r="C249" s="11" t="s">
        <v>4526</v>
      </c>
      <c r="D249" s="11" t="s">
        <v>6392</v>
      </c>
      <c r="E249" s="11" t="s">
        <v>6393</v>
      </c>
      <c r="F249" s="11" t="s">
        <v>6394</v>
      </c>
      <c r="G249" s="11" t="s">
        <v>6395</v>
      </c>
      <c r="H249" s="11" t="s">
        <v>6396</v>
      </c>
      <c r="I249" s="11" t="s">
        <v>6397</v>
      </c>
      <c r="J249" s="11" t="s">
        <v>6398</v>
      </c>
      <c r="K249" s="11" t="s">
        <v>6399</v>
      </c>
      <c r="L249" s="11" t="s">
        <v>6400</v>
      </c>
      <c r="M249" s="11" t="s">
        <v>6401</v>
      </c>
      <c r="N249" s="11" t="s">
        <v>6402</v>
      </c>
      <c r="O249" s="11" t="n">
        <v>80</v>
      </c>
    </row>
    <row r="250" customFormat="false" ht="180" hidden="false" customHeight="true" outlineLevel="0" collapsed="false">
      <c r="A250" s="11" t="s">
        <v>6403</v>
      </c>
      <c r="B250" s="11" t="s">
        <v>4525</v>
      </c>
      <c r="C250" s="11" t="s">
        <v>4526</v>
      </c>
      <c r="D250" s="11" t="s">
        <v>6404</v>
      </c>
      <c r="E250" s="11" t="s">
        <v>6405</v>
      </c>
      <c r="F250" s="11" t="s">
        <v>6406</v>
      </c>
      <c r="G250" s="11" t="s">
        <v>6407</v>
      </c>
      <c r="H250" s="11" t="s">
        <v>6408</v>
      </c>
      <c r="I250" s="11" t="s">
        <v>6409</v>
      </c>
      <c r="J250" s="11" t="s">
        <v>6410</v>
      </c>
      <c r="K250" s="11"/>
      <c r="L250" s="11" t="s">
        <v>6411</v>
      </c>
      <c r="M250" s="11" t="s">
        <v>1352</v>
      </c>
      <c r="N250" s="11" t="s">
        <v>6412</v>
      </c>
      <c r="O250" s="11" t="n">
        <v>80</v>
      </c>
    </row>
    <row r="251" customFormat="false" ht="180" hidden="false" customHeight="true" outlineLevel="0" collapsed="false">
      <c r="A251" s="11" t="s">
        <v>1345</v>
      </c>
      <c r="B251" s="11" t="s">
        <v>4525</v>
      </c>
      <c r="C251" s="11" t="s">
        <v>4526</v>
      </c>
      <c r="D251" s="11" t="s">
        <v>1346</v>
      </c>
      <c r="E251" s="11" t="s">
        <v>6413</v>
      </c>
      <c r="F251" s="11" t="s">
        <v>6414</v>
      </c>
      <c r="G251" s="11" t="s">
        <v>6415</v>
      </c>
      <c r="H251" s="11" t="s">
        <v>6416</v>
      </c>
      <c r="I251" s="11" t="s">
        <v>6417</v>
      </c>
      <c r="J251" s="11" t="s">
        <v>4574</v>
      </c>
      <c r="K251" s="11"/>
      <c r="L251" s="11"/>
      <c r="M251" s="11" t="s">
        <v>1348</v>
      </c>
      <c r="N251" s="11" t="s">
        <v>6418</v>
      </c>
      <c r="O251" s="11" t="n">
        <v>10</v>
      </c>
    </row>
    <row r="252" customFormat="false" ht="180" hidden="false" customHeight="true" outlineLevel="0" collapsed="false">
      <c r="A252" s="11" t="s">
        <v>1349</v>
      </c>
      <c r="B252" s="11" t="s">
        <v>4525</v>
      </c>
      <c r="C252" s="11" t="s">
        <v>4526</v>
      </c>
      <c r="D252" s="11" t="s">
        <v>1350</v>
      </c>
      <c r="E252" s="11" t="s">
        <v>6049</v>
      </c>
      <c r="F252" s="11" t="s">
        <v>4934</v>
      </c>
      <c r="G252" s="11" t="s">
        <v>6419</v>
      </c>
      <c r="H252" s="11" t="s">
        <v>6420</v>
      </c>
      <c r="I252" s="11" t="s">
        <v>6421</v>
      </c>
      <c r="J252" s="11"/>
      <c r="K252" s="11"/>
      <c r="L252" s="11" t="s">
        <v>6422</v>
      </c>
      <c r="M252" s="11" t="s">
        <v>1352</v>
      </c>
      <c r="N252" s="11" t="s">
        <v>6423</v>
      </c>
      <c r="O252" s="11" t="n">
        <v>80</v>
      </c>
    </row>
    <row r="253" customFormat="false" ht="180" hidden="false" customHeight="true" outlineLevel="0" collapsed="false">
      <c r="A253" s="11" t="s">
        <v>1353</v>
      </c>
      <c r="B253" s="11" t="s">
        <v>4525</v>
      </c>
      <c r="C253" s="11" t="s">
        <v>4526</v>
      </c>
      <c r="D253" s="11" t="s">
        <v>1354</v>
      </c>
      <c r="E253" s="11" t="s">
        <v>6424</v>
      </c>
      <c r="F253" s="11" t="s">
        <v>4934</v>
      </c>
      <c r="G253" s="11" t="s">
        <v>6425</v>
      </c>
      <c r="H253" s="11" t="s">
        <v>6088</v>
      </c>
      <c r="I253" s="11" t="s">
        <v>6426</v>
      </c>
      <c r="J253" s="11"/>
      <c r="K253" s="11"/>
      <c r="L253" s="11"/>
      <c r="M253" s="11"/>
      <c r="N253" s="11" t="s">
        <v>6427</v>
      </c>
      <c r="O253" s="11" t="n">
        <v>10</v>
      </c>
    </row>
    <row r="254" customFormat="false" ht="180" hidden="false" customHeight="true" outlineLevel="0" collapsed="false">
      <c r="A254" s="11" t="s">
        <v>1357</v>
      </c>
      <c r="B254" s="11" t="s">
        <v>4525</v>
      </c>
      <c r="C254" s="11" t="s">
        <v>4526</v>
      </c>
      <c r="D254" s="11" t="s">
        <v>6428</v>
      </c>
      <c r="E254" s="11" t="s">
        <v>6429</v>
      </c>
      <c r="F254" s="11" t="s">
        <v>6430</v>
      </c>
      <c r="G254" s="11" t="s">
        <v>6431</v>
      </c>
      <c r="H254" s="11" t="s">
        <v>6432</v>
      </c>
      <c r="I254" s="11" t="s">
        <v>6433</v>
      </c>
      <c r="J254" s="11" t="s">
        <v>6434</v>
      </c>
      <c r="K254" s="11" t="s">
        <v>6435</v>
      </c>
      <c r="L254" s="11" t="s">
        <v>6436</v>
      </c>
      <c r="M254" s="11" t="s">
        <v>6437</v>
      </c>
      <c r="N254" s="11" t="s">
        <v>6438</v>
      </c>
      <c r="O254" s="11" t="n">
        <v>80</v>
      </c>
    </row>
    <row r="255" customFormat="false" ht="180" hidden="false" customHeight="true" outlineLevel="0" collapsed="false">
      <c r="A255" s="11" t="s">
        <v>1362</v>
      </c>
      <c r="B255" s="11" t="s">
        <v>4525</v>
      </c>
      <c r="C255" s="11" t="s">
        <v>4526</v>
      </c>
      <c r="D255" s="11" t="s">
        <v>1363</v>
      </c>
      <c r="E255" s="11" t="s">
        <v>6439</v>
      </c>
      <c r="F255" s="11" t="s">
        <v>4934</v>
      </c>
      <c r="G255" s="11" t="s">
        <v>6440</v>
      </c>
      <c r="H255" s="11" t="s">
        <v>6441</v>
      </c>
      <c r="I255" s="11" t="s">
        <v>6442</v>
      </c>
      <c r="J255" s="11"/>
      <c r="K255" s="11"/>
      <c r="L255" s="11" t="s">
        <v>6443</v>
      </c>
      <c r="M255" s="11"/>
      <c r="N255" s="11" t="s">
        <v>6444</v>
      </c>
      <c r="O255" s="11" t="n">
        <v>10</v>
      </c>
    </row>
    <row r="256" customFormat="false" ht="180" hidden="false" customHeight="true" outlineLevel="0" collapsed="false">
      <c r="A256" s="11" t="s">
        <v>1365</v>
      </c>
      <c r="B256" s="11" t="s">
        <v>4525</v>
      </c>
      <c r="C256" s="11" t="s">
        <v>4526</v>
      </c>
      <c r="D256" s="11" t="s">
        <v>1366</v>
      </c>
      <c r="E256" s="11" t="s">
        <v>6445</v>
      </c>
      <c r="F256" s="11" t="s">
        <v>4934</v>
      </c>
      <c r="G256" s="11" t="s">
        <v>6446</v>
      </c>
      <c r="H256" s="11" t="s">
        <v>6447</v>
      </c>
      <c r="I256" s="11" t="s">
        <v>6448</v>
      </c>
      <c r="J256" s="11" t="s">
        <v>4574</v>
      </c>
      <c r="K256" s="11" t="s">
        <v>6449</v>
      </c>
      <c r="L256" s="11" t="s">
        <v>6450</v>
      </c>
      <c r="M256" s="11" t="s">
        <v>6437</v>
      </c>
      <c r="N256" s="11" t="s">
        <v>6451</v>
      </c>
      <c r="O256" s="11" t="n">
        <v>80</v>
      </c>
    </row>
    <row r="257" customFormat="false" ht="180" hidden="false" customHeight="true" outlineLevel="0" collapsed="false">
      <c r="A257" s="11" t="s">
        <v>1371</v>
      </c>
      <c r="B257" s="11" t="s">
        <v>4525</v>
      </c>
      <c r="C257" s="11" t="s">
        <v>4526</v>
      </c>
      <c r="D257" s="11" t="s">
        <v>1372</v>
      </c>
      <c r="E257" s="11" t="s">
        <v>6452</v>
      </c>
      <c r="F257" s="11" t="s">
        <v>6453</v>
      </c>
      <c r="G257" s="11" t="s">
        <v>6454</v>
      </c>
      <c r="H257" s="11" t="s">
        <v>6455</v>
      </c>
      <c r="I257" s="11" t="s">
        <v>6456</v>
      </c>
      <c r="J257" s="11" t="s">
        <v>6457</v>
      </c>
      <c r="K257" s="11"/>
      <c r="L257" s="11"/>
      <c r="M257" s="11" t="s">
        <v>1352</v>
      </c>
      <c r="N257" s="11" t="s">
        <v>6458</v>
      </c>
      <c r="O257" s="11" t="n">
        <v>80</v>
      </c>
    </row>
    <row r="258" customFormat="false" ht="180" hidden="false" customHeight="true" outlineLevel="0" collapsed="false">
      <c r="A258" s="11" t="s">
        <v>697</v>
      </c>
      <c r="B258" s="11" t="s">
        <v>4525</v>
      </c>
      <c r="C258" s="11" t="s">
        <v>4526</v>
      </c>
      <c r="D258" s="11" t="s">
        <v>6459</v>
      </c>
      <c r="E258" s="11" t="s">
        <v>5709</v>
      </c>
      <c r="F258" s="11" t="s">
        <v>5635</v>
      </c>
      <c r="G258" s="11" t="s">
        <v>6460</v>
      </c>
      <c r="H258" s="11" t="s">
        <v>6461</v>
      </c>
      <c r="I258" s="11" t="s">
        <v>6462</v>
      </c>
      <c r="J258" s="11"/>
      <c r="K258" s="11"/>
      <c r="L258" s="11" t="s">
        <v>6463</v>
      </c>
      <c r="M258" s="11"/>
      <c r="N258" s="11" t="s">
        <v>699</v>
      </c>
      <c r="O258" s="11" t="n">
        <v>10</v>
      </c>
    </row>
    <row r="259" customFormat="false" ht="180" hidden="false" customHeight="true" outlineLevel="0" collapsed="false">
      <c r="A259" s="11" t="s">
        <v>1378</v>
      </c>
      <c r="B259" s="11" t="s">
        <v>4525</v>
      </c>
      <c r="C259" s="11" t="s">
        <v>4526</v>
      </c>
      <c r="D259" s="11" t="s">
        <v>1379</v>
      </c>
      <c r="E259" s="11" t="s">
        <v>6121</v>
      </c>
      <c r="F259" s="11" t="s">
        <v>6464</v>
      </c>
      <c r="G259" s="11" t="s">
        <v>6465</v>
      </c>
      <c r="H259" s="11" t="s">
        <v>6466</v>
      </c>
      <c r="I259" s="11" t="s">
        <v>4614</v>
      </c>
      <c r="J259" s="11"/>
      <c r="K259" s="11"/>
      <c r="L259" s="11"/>
      <c r="M259" s="11"/>
      <c r="N259" s="11" t="s">
        <v>6467</v>
      </c>
      <c r="O259" s="11" t="n">
        <v>10</v>
      </c>
    </row>
    <row r="260" customFormat="false" ht="180" hidden="false" customHeight="true" outlineLevel="0" collapsed="false">
      <c r="A260" s="11" t="s">
        <v>1380</v>
      </c>
      <c r="B260" s="11" t="s">
        <v>4525</v>
      </c>
      <c r="C260" s="11" t="s">
        <v>4526</v>
      </c>
      <c r="D260" s="11" t="s">
        <v>1381</v>
      </c>
      <c r="E260" s="11" t="s">
        <v>5659</v>
      </c>
      <c r="F260" s="11" t="s">
        <v>6468</v>
      </c>
      <c r="G260" s="11" t="s">
        <v>6469</v>
      </c>
      <c r="H260" s="11" t="s">
        <v>6470</v>
      </c>
      <c r="I260" s="11" t="s">
        <v>6471</v>
      </c>
      <c r="J260" s="11" t="s">
        <v>5672</v>
      </c>
      <c r="K260" s="11" t="s">
        <v>5659</v>
      </c>
      <c r="L260" s="11" t="s">
        <v>6472</v>
      </c>
      <c r="M260" s="11" t="s">
        <v>1383</v>
      </c>
      <c r="N260" s="11" t="s">
        <v>6473</v>
      </c>
      <c r="O260" s="11" t="n">
        <v>10</v>
      </c>
    </row>
    <row r="261" customFormat="false" ht="180" hidden="false" customHeight="true" outlineLevel="0" collapsed="false">
      <c r="A261" s="11" t="s">
        <v>1384</v>
      </c>
      <c r="B261" s="11" t="s">
        <v>4525</v>
      </c>
      <c r="C261" s="11" t="s">
        <v>4526</v>
      </c>
      <c r="D261" s="11" t="s">
        <v>1385</v>
      </c>
      <c r="E261" s="11" t="s">
        <v>6474</v>
      </c>
      <c r="F261" s="11" t="s">
        <v>4934</v>
      </c>
      <c r="G261" s="11" t="s">
        <v>6475</v>
      </c>
      <c r="H261" s="11" t="s">
        <v>6476</v>
      </c>
      <c r="I261" s="11" t="s">
        <v>6477</v>
      </c>
      <c r="J261" s="11" t="s">
        <v>6475</v>
      </c>
      <c r="K261" s="11"/>
      <c r="L261" s="11"/>
      <c r="M261" s="11"/>
      <c r="N261" s="11" t="s">
        <v>6478</v>
      </c>
      <c r="O261" s="11" t="n">
        <v>10</v>
      </c>
    </row>
    <row r="262" customFormat="false" ht="180" hidden="false" customHeight="true" outlineLevel="0" collapsed="false">
      <c r="A262" s="11" t="s">
        <v>1387</v>
      </c>
      <c r="B262" s="11" t="s">
        <v>4525</v>
      </c>
      <c r="C262" s="11" t="s">
        <v>4526</v>
      </c>
      <c r="D262" s="11" t="s">
        <v>6479</v>
      </c>
      <c r="E262" s="11" t="s">
        <v>6480</v>
      </c>
      <c r="F262" s="11" t="s">
        <v>4934</v>
      </c>
      <c r="G262" s="11" t="s">
        <v>6481</v>
      </c>
      <c r="H262" s="11" t="s">
        <v>6482</v>
      </c>
      <c r="I262" s="11" t="s">
        <v>6483</v>
      </c>
      <c r="J262" s="11"/>
      <c r="K262" s="11"/>
      <c r="L262" s="11"/>
      <c r="M262" s="11"/>
      <c r="N262" s="11" t="s">
        <v>6484</v>
      </c>
      <c r="O262" s="11" t="n">
        <v>10</v>
      </c>
    </row>
    <row r="263" customFormat="false" ht="180" hidden="false" customHeight="true" outlineLevel="0" collapsed="false">
      <c r="A263" s="11" t="s">
        <v>1393</v>
      </c>
      <c r="B263" s="11" t="s">
        <v>4525</v>
      </c>
      <c r="C263" s="11" t="s">
        <v>4526</v>
      </c>
      <c r="D263" s="11" t="s">
        <v>6485</v>
      </c>
      <c r="E263" s="11" t="s">
        <v>6486</v>
      </c>
      <c r="F263" s="11" t="s">
        <v>4934</v>
      </c>
      <c r="G263" s="11" t="s">
        <v>6487</v>
      </c>
      <c r="H263" s="11" t="s">
        <v>6488</v>
      </c>
      <c r="I263" s="11" t="s">
        <v>6489</v>
      </c>
      <c r="J263" s="11"/>
      <c r="K263" s="11"/>
      <c r="L263" s="11"/>
      <c r="M263" s="11"/>
      <c r="N263" s="11" t="s">
        <v>6490</v>
      </c>
      <c r="O263" s="11" t="n">
        <v>10</v>
      </c>
    </row>
    <row r="264" customFormat="false" ht="180" hidden="false" customHeight="true" outlineLevel="0" collapsed="false">
      <c r="A264" s="11" t="s">
        <v>561</v>
      </c>
      <c r="B264" s="11" t="s">
        <v>4525</v>
      </c>
      <c r="C264" s="11" t="s">
        <v>4526</v>
      </c>
      <c r="D264" s="11" t="s">
        <v>6491</v>
      </c>
      <c r="E264" s="11" t="s">
        <v>5709</v>
      </c>
      <c r="F264" s="11" t="s">
        <v>5635</v>
      </c>
      <c r="G264" s="11" t="s">
        <v>6492</v>
      </c>
      <c r="H264" s="11" t="s">
        <v>5806</v>
      </c>
      <c r="I264" s="11" t="s">
        <v>4614</v>
      </c>
      <c r="J264" s="11" t="s">
        <v>6493</v>
      </c>
      <c r="K264" s="11"/>
      <c r="L264" s="11" t="s">
        <v>6494</v>
      </c>
      <c r="M264" s="11"/>
      <c r="N264" s="11" t="s">
        <v>702</v>
      </c>
      <c r="O264" s="11" t="n">
        <v>10</v>
      </c>
    </row>
    <row r="265" customFormat="false" ht="180" hidden="false" customHeight="true" outlineLevel="0" collapsed="false">
      <c r="A265" s="11" t="s">
        <v>1396</v>
      </c>
      <c r="B265" s="11" t="s">
        <v>4525</v>
      </c>
      <c r="C265" s="11" t="s">
        <v>4526</v>
      </c>
      <c r="D265" s="11" t="s">
        <v>1397</v>
      </c>
      <c r="E265" s="11" t="s">
        <v>6495</v>
      </c>
      <c r="F265" s="11" t="s">
        <v>6496</v>
      </c>
      <c r="G265" s="11" t="s">
        <v>6497</v>
      </c>
      <c r="H265" s="11" t="s">
        <v>6498</v>
      </c>
      <c r="I265" s="11" t="s">
        <v>6499</v>
      </c>
      <c r="J265" s="11" t="s">
        <v>6500</v>
      </c>
      <c r="K265" s="11"/>
      <c r="L265" s="11" t="s">
        <v>6501</v>
      </c>
      <c r="M265" s="11" t="s">
        <v>1398</v>
      </c>
      <c r="N265" s="11" t="s">
        <v>6502</v>
      </c>
      <c r="O265" s="11" t="n">
        <v>10</v>
      </c>
    </row>
    <row r="266" customFormat="false" ht="180" hidden="false" customHeight="true" outlineLevel="0" collapsed="false">
      <c r="A266" s="11" t="s">
        <v>1399</v>
      </c>
      <c r="B266" s="11" t="s">
        <v>4525</v>
      </c>
      <c r="C266" s="11" t="s">
        <v>4526</v>
      </c>
      <c r="D266" s="11" t="s">
        <v>1400</v>
      </c>
      <c r="E266" s="11" t="s">
        <v>6503</v>
      </c>
      <c r="F266" s="11" t="s">
        <v>5788</v>
      </c>
      <c r="G266" s="11" t="s">
        <v>6504</v>
      </c>
      <c r="H266" s="11" t="s">
        <v>6505</v>
      </c>
      <c r="I266" s="11" t="s">
        <v>6506</v>
      </c>
      <c r="J266" s="11" t="s">
        <v>6507</v>
      </c>
      <c r="K266" s="11" t="s">
        <v>6508</v>
      </c>
      <c r="L266" s="11"/>
      <c r="M266" s="11" t="s">
        <v>1402</v>
      </c>
      <c r="N266" s="11" t="s">
        <v>6509</v>
      </c>
      <c r="O266" s="11" t="n">
        <v>10</v>
      </c>
    </row>
    <row r="267" customFormat="false" ht="180" hidden="false" customHeight="true" outlineLevel="0" collapsed="false">
      <c r="A267" s="11" t="s">
        <v>1403</v>
      </c>
      <c r="B267" s="11" t="s">
        <v>4525</v>
      </c>
      <c r="C267" s="11" t="s">
        <v>4526</v>
      </c>
      <c r="D267" s="11" t="s">
        <v>297</v>
      </c>
      <c r="E267" s="11" t="s">
        <v>6510</v>
      </c>
      <c r="F267" s="11" t="s">
        <v>4934</v>
      </c>
      <c r="G267" s="11" t="s">
        <v>6511</v>
      </c>
      <c r="H267" s="11" t="s">
        <v>6512</v>
      </c>
      <c r="I267" s="11" t="s">
        <v>4614</v>
      </c>
      <c r="J267" s="11" t="s">
        <v>6513</v>
      </c>
      <c r="K267" s="11"/>
      <c r="L267" s="11"/>
      <c r="M267" s="11"/>
      <c r="N267" s="11" t="s">
        <v>6514</v>
      </c>
      <c r="O267" s="11" t="n">
        <v>10</v>
      </c>
    </row>
    <row r="268" customFormat="false" ht="180" hidden="false" customHeight="true" outlineLevel="0" collapsed="false">
      <c r="A268" s="11" t="s">
        <v>1405</v>
      </c>
      <c r="B268" s="11" t="s">
        <v>4525</v>
      </c>
      <c r="C268" s="11" t="s">
        <v>4526</v>
      </c>
      <c r="D268" s="11" t="s">
        <v>1406</v>
      </c>
      <c r="E268" s="11" t="s">
        <v>6515</v>
      </c>
      <c r="F268" s="11" t="s">
        <v>6516</v>
      </c>
      <c r="G268" s="11" t="s">
        <v>6517</v>
      </c>
      <c r="H268" s="11" t="s">
        <v>6518</v>
      </c>
      <c r="I268" s="11" t="s">
        <v>6519</v>
      </c>
      <c r="J268" s="11" t="s">
        <v>6520</v>
      </c>
      <c r="K268" s="11" t="s">
        <v>6521</v>
      </c>
      <c r="L268" s="11" t="s">
        <v>6522</v>
      </c>
      <c r="M268" s="11" t="s">
        <v>1408</v>
      </c>
      <c r="N268" s="11" t="s">
        <v>6523</v>
      </c>
      <c r="O268" s="11" t="n">
        <v>10</v>
      </c>
    </row>
    <row r="269" customFormat="false" ht="180" hidden="false" customHeight="true" outlineLevel="0" collapsed="false">
      <c r="A269" s="11" t="s">
        <v>1409</v>
      </c>
      <c r="B269" s="11" t="s">
        <v>4525</v>
      </c>
      <c r="C269" s="11" t="s">
        <v>4526</v>
      </c>
      <c r="D269" s="11" t="s">
        <v>1410</v>
      </c>
      <c r="E269" s="11" t="s">
        <v>6524</v>
      </c>
      <c r="F269" s="11" t="s">
        <v>6525</v>
      </c>
      <c r="G269" s="11" t="s">
        <v>6526</v>
      </c>
      <c r="H269" s="11" t="s">
        <v>6527</v>
      </c>
      <c r="I269" s="11" t="s">
        <v>6528</v>
      </c>
      <c r="J269" s="11" t="s">
        <v>6529</v>
      </c>
      <c r="K269" s="11"/>
      <c r="L269" s="11"/>
      <c r="M269" s="11" t="s">
        <v>1398</v>
      </c>
      <c r="N269" s="11" t="s">
        <v>6530</v>
      </c>
      <c r="O269" s="11" t="n">
        <v>10</v>
      </c>
    </row>
    <row r="270" customFormat="false" ht="180" hidden="false" customHeight="true" outlineLevel="0" collapsed="false">
      <c r="A270" s="11" t="s">
        <v>1412</v>
      </c>
      <c r="B270" s="11" t="s">
        <v>4525</v>
      </c>
      <c r="C270" s="11" t="s">
        <v>4526</v>
      </c>
      <c r="D270" s="11" t="s">
        <v>1413</v>
      </c>
      <c r="E270" s="11" t="s">
        <v>6531</v>
      </c>
      <c r="F270" s="11" t="s">
        <v>6532</v>
      </c>
      <c r="G270" s="11" t="s">
        <v>6533</v>
      </c>
      <c r="H270" s="11" t="s">
        <v>6534</v>
      </c>
      <c r="I270" s="11" t="s">
        <v>6535</v>
      </c>
      <c r="J270" s="11" t="s">
        <v>6536</v>
      </c>
      <c r="K270" s="11" t="s">
        <v>6531</v>
      </c>
      <c r="L270" s="11"/>
      <c r="M270" s="11" t="s">
        <v>1398</v>
      </c>
      <c r="N270" s="11" t="s">
        <v>6537</v>
      </c>
      <c r="O270" s="11" t="n">
        <v>10</v>
      </c>
    </row>
    <row r="271" customFormat="false" ht="180" hidden="false" customHeight="true" outlineLevel="0" collapsed="false">
      <c r="A271" s="11" t="s">
        <v>565</v>
      </c>
      <c r="B271" s="11" t="s">
        <v>4525</v>
      </c>
      <c r="C271" s="11" t="s">
        <v>4526</v>
      </c>
      <c r="D271" s="11" t="s">
        <v>6538</v>
      </c>
      <c r="E271" s="11" t="s">
        <v>6539</v>
      </c>
      <c r="F271" s="11" t="s">
        <v>5635</v>
      </c>
      <c r="G271" s="11" t="s">
        <v>6540</v>
      </c>
      <c r="H271" s="11" t="s">
        <v>6541</v>
      </c>
      <c r="I271" s="11" t="s">
        <v>6542</v>
      </c>
      <c r="J271" s="11"/>
      <c r="K271" s="11"/>
      <c r="L271" s="11" t="s">
        <v>6543</v>
      </c>
      <c r="M271" s="11"/>
      <c r="N271" s="11" t="s">
        <v>705</v>
      </c>
      <c r="O271" s="11" t="n">
        <v>10</v>
      </c>
    </row>
    <row r="272" customFormat="false" ht="180" hidden="false" customHeight="true" outlineLevel="0" collapsed="false">
      <c r="A272" s="11" t="s">
        <v>1415</v>
      </c>
      <c r="B272" s="11" t="s">
        <v>4525</v>
      </c>
      <c r="C272" s="11" t="s">
        <v>4526</v>
      </c>
      <c r="D272" s="11" t="s">
        <v>1416</v>
      </c>
      <c r="E272" s="11" t="s">
        <v>5787</v>
      </c>
      <c r="F272" s="11" t="s">
        <v>6544</v>
      </c>
      <c r="G272" s="11" t="s">
        <v>6545</v>
      </c>
      <c r="H272" s="11" t="s">
        <v>6546</v>
      </c>
      <c r="I272" s="11" t="s">
        <v>6547</v>
      </c>
      <c r="J272" s="11" t="s">
        <v>6548</v>
      </c>
      <c r="K272" s="11" t="s">
        <v>5787</v>
      </c>
      <c r="L272" s="11" t="s">
        <v>6549</v>
      </c>
      <c r="M272" s="11" t="s">
        <v>1417</v>
      </c>
      <c r="N272" s="11" t="s">
        <v>6550</v>
      </c>
      <c r="O272" s="11" t="n">
        <v>10</v>
      </c>
    </row>
    <row r="273" customFormat="false" ht="180" hidden="false" customHeight="true" outlineLevel="0" collapsed="false">
      <c r="A273" s="11" t="s">
        <v>1418</v>
      </c>
      <c r="B273" s="11" t="s">
        <v>4525</v>
      </c>
      <c r="C273" s="11" t="s">
        <v>4526</v>
      </c>
      <c r="D273" s="11" t="s">
        <v>1419</v>
      </c>
      <c r="E273" s="11" t="s">
        <v>6551</v>
      </c>
      <c r="F273" s="11" t="s">
        <v>6552</v>
      </c>
      <c r="G273" s="11" t="s">
        <v>6553</v>
      </c>
      <c r="H273" s="11" t="s">
        <v>6554</v>
      </c>
      <c r="I273" s="11" t="s">
        <v>6555</v>
      </c>
      <c r="J273" s="11" t="s">
        <v>6556</v>
      </c>
      <c r="K273" s="11" t="s">
        <v>6557</v>
      </c>
      <c r="L273" s="11" t="s">
        <v>6558</v>
      </c>
      <c r="M273" s="11" t="s">
        <v>1421</v>
      </c>
      <c r="N273" s="11" t="s">
        <v>6559</v>
      </c>
      <c r="O273" s="11" t="n">
        <v>10</v>
      </c>
    </row>
    <row r="274" customFormat="false" ht="180" hidden="false" customHeight="true" outlineLevel="0" collapsed="false">
      <c r="A274" s="11" t="s">
        <v>1422</v>
      </c>
      <c r="B274" s="11" t="s">
        <v>4525</v>
      </c>
      <c r="C274" s="11" t="s">
        <v>4526</v>
      </c>
      <c r="D274" s="11" t="s">
        <v>1423</v>
      </c>
      <c r="E274" s="11" t="s">
        <v>6560</v>
      </c>
      <c r="F274" s="11" t="s">
        <v>6561</v>
      </c>
      <c r="G274" s="11" t="s">
        <v>6562</v>
      </c>
      <c r="H274" s="11" t="s">
        <v>6563</v>
      </c>
      <c r="I274" s="11" t="s">
        <v>6564</v>
      </c>
      <c r="J274" s="11" t="s">
        <v>6565</v>
      </c>
      <c r="K274" s="11" t="s">
        <v>6566</v>
      </c>
      <c r="L274" s="11" t="s">
        <v>6567</v>
      </c>
      <c r="M274" s="11" t="s">
        <v>1425</v>
      </c>
      <c r="N274" s="11" t="s">
        <v>6568</v>
      </c>
      <c r="O274" s="11" t="n">
        <v>10</v>
      </c>
    </row>
    <row r="275" customFormat="false" ht="180" hidden="false" customHeight="true" outlineLevel="0" collapsed="false">
      <c r="A275" s="11" t="s">
        <v>1426</v>
      </c>
      <c r="B275" s="11" t="s">
        <v>4525</v>
      </c>
      <c r="C275" s="11" t="s">
        <v>4526</v>
      </c>
      <c r="D275" s="11" t="s">
        <v>1427</v>
      </c>
      <c r="E275" s="11" t="s">
        <v>5570</v>
      </c>
      <c r="F275" s="11" t="s">
        <v>6569</v>
      </c>
      <c r="G275" s="11" t="s">
        <v>6570</v>
      </c>
      <c r="H275" s="11" t="s">
        <v>6571</v>
      </c>
      <c r="I275" s="11" t="s">
        <v>6572</v>
      </c>
      <c r="J275" s="11" t="s">
        <v>6573</v>
      </c>
      <c r="K275" s="11" t="s">
        <v>6574</v>
      </c>
      <c r="L275" s="11" t="s">
        <v>6575</v>
      </c>
      <c r="M275" s="11" t="s">
        <v>1429</v>
      </c>
      <c r="N275" s="11" t="s">
        <v>6576</v>
      </c>
      <c r="O275" s="11" t="n">
        <v>10</v>
      </c>
    </row>
    <row r="276" customFormat="false" ht="180" hidden="false" customHeight="true" outlineLevel="0" collapsed="false">
      <c r="A276" s="11" t="s">
        <v>1430</v>
      </c>
      <c r="B276" s="11" t="s">
        <v>4525</v>
      </c>
      <c r="C276" s="11" t="s">
        <v>4526</v>
      </c>
      <c r="D276" s="11" t="s">
        <v>1431</v>
      </c>
      <c r="E276" s="11" t="s">
        <v>6577</v>
      </c>
      <c r="F276" s="11" t="s">
        <v>6569</v>
      </c>
      <c r="G276" s="11" t="s">
        <v>6578</v>
      </c>
      <c r="H276" s="11" t="s">
        <v>6579</v>
      </c>
      <c r="I276" s="11" t="s">
        <v>6580</v>
      </c>
      <c r="J276" s="11" t="s">
        <v>6581</v>
      </c>
      <c r="K276" s="11" t="s">
        <v>6582</v>
      </c>
      <c r="L276" s="11" t="s">
        <v>6583</v>
      </c>
      <c r="M276" s="11" t="s">
        <v>6584</v>
      </c>
      <c r="N276" s="11" t="s">
        <v>6585</v>
      </c>
      <c r="O276" s="11" t="n">
        <v>10</v>
      </c>
    </row>
    <row r="277" customFormat="false" ht="180" hidden="false" customHeight="true" outlineLevel="0" collapsed="false">
      <c r="A277" s="11" t="s">
        <v>1434</v>
      </c>
      <c r="B277" s="11" t="s">
        <v>4525</v>
      </c>
      <c r="C277" s="11" t="s">
        <v>4526</v>
      </c>
      <c r="D277" s="11" t="s">
        <v>1435</v>
      </c>
      <c r="E277" s="11" t="s">
        <v>6586</v>
      </c>
      <c r="F277" s="11" t="s">
        <v>6587</v>
      </c>
      <c r="G277" s="11" t="s">
        <v>6588</v>
      </c>
      <c r="H277" s="11" t="s">
        <v>6589</v>
      </c>
      <c r="I277" s="11" t="s">
        <v>6590</v>
      </c>
      <c r="J277" s="11" t="s">
        <v>6591</v>
      </c>
      <c r="K277" s="11" t="s">
        <v>6592</v>
      </c>
      <c r="L277" s="11" t="s">
        <v>6593</v>
      </c>
      <c r="M277" s="11" t="s">
        <v>6594</v>
      </c>
      <c r="N277" s="11" t="s">
        <v>6595</v>
      </c>
      <c r="O277" s="11" t="n">
        <v>10</v>
      </c>
    </row>
    <row r="278" customFormat="false" ht="180" hidden="false" customHeight="true" outlineLevel="0" collapsed="false">
      <c r="A278" s="11" t="s">
        <v>6596</v>
      </c>
      <c r="B278" s="11" t="s">
        <v>4525</v>
      </c>
      <c r="C278" s="11" t="s">
        <v>4526</v>
      </c>
      <c r="D278" s="11" t="s">
        <v>6597</v>
      </c>
      <c r="E278" s="11" t="s">
        <v>6598</v>
      </c>
      <c r="F278" s="11" t="s">
        <v>6599</v>
      </c>
      <c r="G278" s="11" t="s">
        <v>6600</v>
      </c>
      <c r="H278" s="11" t="s">
        <v>6601</v>
      </c>
      <c r="I278" s="11" t="s">
        <v>6602</v>
      </c>
      <c r="J278" s="11" t="s">
        <v>6603</v>
      </c>
      <c r="K278" s="11"/>
      <c r="L278" s="11"/>
      <c r="M278" s="11" t="s">
        <v>6604</v>
      </c>
      <c r="N278" s="11" t="s">
        <v>6605</v>
      </c>
      <c r="O278" s="11" t="n">
        <v>10</v>
      </c>
    </row>
    <row r="279" customFormat="false" ht="180" hidden="false" customHeight="true" outlineLevel="0" collapsed="false">
      <c r="A279" s="11" t="s">
        <v>6606</v>
      </c>
      <c r="B279" s="11" t="s">
        <v>4525</v>
      </c>
      <c r="C279" s="11" t="s">
        <v>4526</v>
      </c>
      <c r="D279" s="11" t="s">
        <v>6607</v>
      </c>
      <c r="E279" s="11" t="s">
        <v>6608</v>
      </c>
      <c r="F279" s="11" t="s">
        <v>6609</v>
      </c>
      <c r="G279" s="11" t="s">
        <v>6610</v>
      </c>
      <c r="H279" s="11" t="s">
        <v>6611</v>
      </c>
      <c r="I279" s="11" t="s">
        <v>6612</v>
      </c>
      <c r="J279" s="11"/>
      <c r="K279" s="11" t="s">
        <v>6613</v>
      </c>
      <c r="L279" s="11"/>
      <c r="M279" s="11" t="s">
        <v>4307</v>
      </c>
      <c r="N279" s="11" t="s">
        <v>6614</v>
      </c>
      <c r="O279" s="11" t="n">
        <v>10</v>
      </c>
    </row>
    <row r="280" customFormat="false" ht="180" hidden="false" customHeight="true" outlineLevel="0" collapsed="false">
      <c r="A280" s="11" t="s">
        <v>6615</v>
      </c>
      <c r="B280" s="11" t="s">
        <v>4525</v>
      </c>
      <c r="C280" s="11" t="s">
        <v>4526</v>
      </c>
      <c r="D280" s="11" t="s">
        <v>6616</v>
      </c>
      <c r="E280" s="11" t="s">
        <v>6617</v>
      </c>
      <c r="F280" s="11" t="s">
        <v>6618</v>
      </c>
      <c r="G280" s="11" t="s">
        <v>6619</v>
      </c>
      <c r="H280" s="11" t="s">
        <v>6620</v>
      </c>
      <c r="I280" s="11" t="s">
        <v>6621</v>
      </c>
      <c r="J280" s="11"/>
      <c r="K280" s="11"/>
      <c r="L280" s="11"/>
      <c r="M280" s="11" t="s">
        <v>6622</v>
      </c>
      <c r="N280" s="11" t="s">
        <v>6623</v>
      </c>
      <c r="O280" s="11" t="n">
        <v>60</v>
      </c>
    </row>
    <row r="281" customFormat="false" ht="180" hidden="false" customHeight="true" outlineLevel="0" collapsed="false">
      <c r="A281" s="11" t="s">
        <v>6624</v>
      </c>
      <c r="B281" s="11" t="s">
        <v>4525</v>
      </c>
      <c r="C281" s="11" t="s">
        <v>4526</v>
      </c>
      <c r="D281" s="11" t="s">
        <v>6625</v>
      </c>
      <c r="E281" s="11" t="s">
        <v>6626</v>
      </c>
      <c r="F281" s="11" t="s">
        <v>6627</v>
      </c>
      <c r="G281" s="11" t="s">
        <v>6628</v>
      </c>
      <c r="H281" s="11" t="s">
        <v>6629</v>
      </c>
      <c r="I281" s="11" t="s">
        <v>6630</v>
      </c>
      <c r="J281" s="11"/>
      <c r="K281" s="11"/>
      <c r="L281" s="11"/>
      <c r="M281" s="11" t="s">
        <v>6631</v>
      </c>
      <c r="N281" s="11" t="s">
        <v>6632</v>
      </c>
      <c r="O281" s="11" t="n">
        <v>60</v>
      </c>
    </row>
    <row r="282" customFormat="false" ht="113.4" hidden="false" customHeight="false" outlineLevel="0" collapsed="false">
      <c r="A282" s="0" t="s">
        <v>6633</v>
      </c>
      <c r="B282" s="0" t="s">
        <v>4525</v>
      </c>
      <c r="C282" s="0" t="s">
        <v>4526</v>
      </c>
      <c r="D282" s="0" t="s">
        <v>6634</v>
      </c>
      <c r="E282" s="0" t="s">
        <v>6635</v>
      </c>
      <c r="F282" s="0" t="s">
        <v>6636</v>
      </c>
      <c r="G282" s="27" t="s">
        <v>6637</v>
      </c>
      <c r="H282" s="0" t="s">
        <v>6638</v>
      </c>
      <c r="I282" s="27" t="s">
        <v>6639</v>
      </c>
      <c r="J282" s="0" t="s">
        <v>6635</v>
      </c>
      <c r="L282" s="0" t="s">
        <v>6640</v>
      </c>
      <c r="M282" s="27" t="s">
        <v>6641</v>
      </c>
      <c r="N282" s="27" t="s">
        <v>6642</v>
      </c>
      <c r="O282" s="0" t="n">
        <v>100</v>
      </c>
    </row>
    <row r="283" customFormat="false" ht="91" hidden="false" customHeight="false" outlineLevel="0" collapsed="false">
      <c r="A283" s="0" t="s">
        <v>6643</v>
      </c>
      <c r="B283" s="0" t="s">
        <v>4525</v>
      </c>
      <c r="C283" s="0" t="s">
        <v>4526</v>
      </c>
      <c r="D283" s="0" t="s">
        <v>6644</v>
      </c>
      <c r="E283" s="0" t="s">
        <v>6645</v>
      </c>
      <c r="F283" s="0" t="s">
        <v>6646</v>
      </c>
      <c r="G283" s="27" t="s">
        <v>6647</v>
      </c>
      <c r="H283" s="27" t="s">
        <v>6648</v>
      </c>
      <c r="I283" s="27" t="s">
        <v>6649</v>
      </c>
      <c r="J283" s="0" t="s">
        <v>6650</v>
      </c>
      <c r="L283" s="0" t="s">
        <v>6651</v>
      </c>
      <c r="M283" s="27" t="s">
        <v>6652</v>
      </c>
      <c r="N283" s="27" t="s">
        <v>6653</v>
      </c>
      <c r="O283" s="0" t="n">
        <v>100</v>
      </c>
    </row>
    <row r="284" customFormat="false" ht="57.45" hidden="false" customHeight="false" outlineLevel="0" collapsed="false">
      <c r="A284" s="0" t="s">
        <v>6654</v>
      </c>
      <c r="B284" s="0" t="s">
        <v>4525</v>
      </c>
      <c r="C284" s="0" t="s">
        <v>4526</v>
      </c>
      <c r="D284" s="0" t="s">
        <v>6655</v>
      </c>
      <c r="E284" s="0" t="s">
        <v>6656</v>
      </c>
      <c r="F284" s="0" t="s">
        <v>6657</v>
      </c>
      <c r="G284" s="27" t="s">
        <v>6658</v>
      </c>
      <c r="H284" s="27" t="s">
        <v>6659</v>
      </c>
      <c r="I284" s="0" t="s">
        <v>6660</v>
      </c>
      <c r="L284" s="0" t="s">
        <v>6661</v>
      </c>
      <c r="M284" s="27" t="s">
        <v>4610</v>
      </c>
      <c r="N284" s="27" t="s">
        <v>6662</v>
      </c>
      <c r="O284" s="0" t="n">
        <v>100</v>
      </c>
    </row>
    <row r="285" customFormat="false" ht="57.45" hidden="false" customHeight="false" outlineLevel="0" collapsed="false">
      <c r="A285" s="0" t="s">
        <v>6663</v>
      </c>
      <c r="B285" s="0" t="s">
        <v>4525</v>
      </c>
      <c r="C285" s="0" t="s">
        <v>4526</v>
      </c>
      <c r="D285" s="0" t="s">
        <v>6664</v>
      </c>
      <c r="E285" s="0" t="s">
        <v>6656</v>
      </c>
      <c r="F285" s="0" t="s">
        <v>6665</v>
      </c>
      <c r="G285" s="27" t="s">
        <v>6666</v>
      </c>
      <c r="H285" s="27" t="s">
        <v>6667</v>
      </c>
      <c r="I285" s="0" t="s">
        <v>6668</v>
      </c>
      <c r="L285" s="0" t="s">
        <v>6669</v>
      </c>
      <c r="M285" s="27" t="s">
        <v>4610</v>
      </c>
      <c r="N285" s="27" t="s">
        <v>6662</v>
      </c>
      <c r="O285" s="0" t="n">
        <v>100</v>
      </c>
    </row>
    <row r="286" customFormat="false" ht="236.55" hidden="false" customHeight="false" outlineLevel="0" collapsed="false">
      <c r="A286" s="0" t="s">
        <v>6670</v>
      </c>
      <c r="B286" s="0" t="s">
        <v>4525</v>
      </c>
      <c r="C286" s="0" t="s">
        <v>4526</v>
      </c>
      <c r="D286" s="0" t="s">
        <v>6671</v>
      </c>
      <c r="E286" s="0" t="s">
        <v>6672</v>
      </c>
      <c r="F286" s="0" t="s">
        <v>6673</v>
      </c>
      <c r="G286" s="27" t="s">
        <v>6674</v>
      </c>
      <c r="H286" s="0" t="s">
        <v>6675</v>
      </c>
      <c r="I286" s="27" t="s">
        <v>6676</v>
      </c>
      <c r="J286" s="27" t="s">
        <v>6677</v>
      </c>
      <c r="K286" s="27" t="s">
        <v>6678</v>
      </c>
      <c r="L286" s="0" t="s">
        <v>4584</v>
      </c>
      <c r="M286" s="27" t="s">
        <v>6679</v>
      </c>
      <c r="N286" s="27" t="s">
        <v>6680</v>
      </c>
      <c r="O286" s="0" t="n">
        <v>100</v>
      </c>
    </row>
    <row r="287" customFormat="false" ht="91" hidden="false" customHeight="false" outlineLevel="0" collapsed="false">
      <c r="A287" s="0" t="s">
        <v>6681</v>
      </c>
      <c r="B287" s="0" t="s">
        <v>4525</v>
      </c>
      <c r="C287" s="0" t="s">
        <v>4526</v>
      </c>
      <c r="D287" s="0" t="s">
        <v>6682</v>
      </c>
      <c r="E287" s="0" t="s">
        <v>6683</v>
      </c>
      <c r="F287" s="0" t="s">
        <v>6684</v>
      </c>
      <c r="G287" s="27" t="s">
        <v>6685</v>
      </c>
      <c r="H287" s="27" t="s">
        <v>6686</v>
      </c>
      <c r="I287" s="27" t="s">
        <v>6687</v>
      </c>
      <c r="J287" s="0" t="s">
        <v>6688</v>
      </c>
      <c r="L287" s="27" t="s">
        <v>6689</v>
      </c>
      <c r="M287" s="27" t="s">
        <v>4610</v>
      </c>
      <c r="N287" s="27" t="s">
        <v>6690</v>
      </c>
      <c r="O287" s="0" t="n">
        <v>100</v>
      </c>
    </row>
    <row r="288" customFormat="false" ht="102.2" hidden="false" customHeight="false" outlineLevel="0" collapsed="false">
      <c r="A288" s="0" t="s">
        <v>6691</v>
      </c>
      <c r="B288" s="0" t="s">
        <v>4525</v>
      </c>
      <c r="C288" s="0" t="s">
        <v>4526</v>
      </c>
      <c r="D288" s="0" t="s">
        <v>6692</v>
      </c>
      <c r="E288" s="0" t="s">
        <v>6693</v>
      </c>
      <c r="F288" s="0" t="s">
        <v>6694</v>
      </c>
      <c r="G288" s="27" t="s">
        <v>6695</v>
      </c>
      <c r="H288" s="27" t="s">
        <v>6696</v>
      </c>
      <c r="I288" s="27" t="s">
        <v>6697</v>
      </c>
      <c r="J288" s="0" t="s">
        <v>6698</v>
      </c>
      <c r="L288" s="27" t="s">
        <v>6699</v>
      </c>
      <c r="M288" s="27" t="s">
        <v>4610</v>
      </c>
      <c r="N288" s="27" t="s">
        <v>6700</v>
      </c>
      <c r="O288" s="0" t="n">
        <v>100</v>
      </c>
    </row>
    <row r="289" customFormat="false" ht="91" hidden="false" customHeight="false" outlineLevel="0" collapsed="false">
      <c r="A289" s="0" t="s">
        <v>6701</v>
      </c>
      <c r="B289" s="0" t="s">
        <v>4525</v>
      </c>
      <c r="C289" s="0" t="s">
        <v>4526</v>
      </c>
      <c r="D289" s="0" t="s">
        <v>6702</v>
      </c>
      <c r="E289" s="0" t="s">
        <v>6703</v>
      </c>
      <c r="F289" s="0" t="s">
        <v>6704</v>
      </c>
      <c r="G289" s="27" t="s">
        <v>6705</v>
      </c>
      <c r="H289" s="27" t="s">
        <v>6706</v>
      </c>
      <c r="I289" s="27" t="s">
        <v>6687</v>
      </c>
      <c r="J289" s="0" t="s">
        <v>6707</v>
      </c>
      <c r="L289" s="0" t="s">
        <v>6707</v>
      </c>
      <c r="M289" s="27" t="s">
        <v>4610</v>
      </c>
      <c r="N289" s="27" t="s">
        <v>6708</v>
      </c>
      <c r="O289" s="0" t="n">
        <v>100</v>
      </c>
    </row>
    <row r="290" customFormat="false" ht="124.6" hidden="false" customHeight="false" outlineLevel="0" collapsed="false">
      <c r="A290" s="0" t="s">
        <v>6709</v>
      </c>
      <c r="B290" s="0" t="s">
        <v>4525</v>
      </c>
      <c r="C290" s="0" t="s">
        <v>4526</v>
      </c>
      <c r="D290" s="0" t="s">
        <v>6710</v>
      </c>
      <c r="E290" s="0" t="s">
        <v>6711</v>
      </c>
      <c r="F290" s="0" t="s">
        <v>6712</v>
      </c>
      <c r="G290" s="27" t="s">
        <v>6713</v>
      </c>
      <c r="H290" s="0" t="s">
        <v>6714</v>
      </c>
      <c r="I290" s="27" t="s">
        <v>6715</v>
      </c>
      <c r="J290" s="0" t="s">
        <v>6716</v>
      </c>
      <c r="K290" s="0" t="s">
        <v>4768</v>
      </c>
      <c r="L290" s="0" t="s">
        <v>6717</v>
      </c>
      <c r="M290" s="27" t="s">
        <v>6718</v>
      </c>
      <c r="N290" s="27" t="s">
        <v>6719</v>
      </c>
      <c r="O290" s="0" t="n">
        <v>100</v>
      </c>
    </row>
    <row r="291" customFormat="false" ht="15" hidden="false" customHeight="false" outlineLevel="0" collapsed="false">
      <c r="A291" s="0" t="s">
        <v>6720</v>
      </c>
      <c r="B291" s="0" t="s">
        <v>4525</v>
      </c>
      <c r="C291" s="0" t="s">
        <v>4526</v>
      </c>
      <c r="D291" s="0" t="s">
        <v>6721</v>
      </c>
      <c r="E291" s="0" t="s">
        <v>6722</v>
      </c>
      <c r="F291" s="0" t="s">
        <v>6723</v>
      </c>
      <c r="G291" s="0" t="s">
        <v>6724</v>
      </c>
      <c r="H291" s="0" t="s">
        <v>6725</v>
      </c>
      <c r="I291" s="0" t="s">
        <v>6726</v>
      </c>
      <c r="J291" s="0" t="s">
        <v>6727</v>
      </c>
      <c r="K291" s="0" t="s">
        <v>6728</v>
      </c>
      <c r="L291" s="0" t="s">
        <v>6729</v>
      </c>
      <c r="M291" s="0" t="s">
        <v>5428</v>
      </c>
      <c r="N291" s="0" t="s">
        <v>6730</v>
      </c>
      <c r="O291" s="0" t="n">
        <v>100</v>
      </c>
    </row>
    <row r="292" customFormat="false" ht="15" hidden="false" customHeight="false" outlineLevel="0" collapsed="false">
      <c r="A292" s="0" t="s">
        <v>6731</v>
      </c>
      <c r="B292" s="0" t="s">
        <v>4525</v>
      </c>
      <c r="C292" s="0" t="s">
        <v>4526</v>
      </c>
      <c r="D292" s="0" t="s">
        <v>6732</v>
      </c>
      <c r="E292" s="0" t="s">
        <v>6733</v>
      </c>
      <c r="F292" s="0" t="s">
        <v>6734</v>
      </c>
      <c r="G292" s="0" t="s">
        <v>6735</v>
      </c>
      <c r="H292" s="0" t="s">
        <v>6736</v>
      </c>
      <c r="I292" s="0" t="s">
        <v>6737</v>
      </c>
      <c r="J292" s="0" t="s">
        <v>6738</v>
      </c>
      <c r="K292" s="0" t="s">
        <v>6739</v>
      </c>
      <c r="L292" s="0" t="s">
        <v>6740</v>
      </c>
      <c r="M292" s="0" t="s">
        <v>5428</v>
      </c>
      <c r="N292" s="0" t="s">
        <v>6730</v>
      </c>
      <c r="O292" s="0" t="n">
        <v>100</v>
      </c>
    </row>
    <row r="293" customFormat="false" ht="15" hidden="false" customHeight="false" outlineLevel="0" collapsed="false">
      <c r="A293" s="0" t="s">
        <v>6741</v>
      </c>
      <c r="B293" s="0" t="s">
        <v>4525</v>
      </c>
      <c r="C293" s="0" t="s">
        <v>4526</v>
      </c>
      <c r="D293" s="0" t="s">
        <v>6742</v>
      </c>
      <c r="E293" s="0" t="s">
        <v>6743</v>
      </c>
      <c r="F293" s="0" t="s">
        <v>6744</v>
      </c>
      <c r="G293" s="0" t="s">
        <v>6745</v>
      </c>
      <c r="H293" s="0" t="s">
        <v>6746</v>
      </c>
      <c r="I293" s="0" t="s">
        <v>6747</v>
      </c>
      <c r="J293" s="0" t="s">
        <v>6748</v>
      </c>
      <c r="K293" s="0" t="s">
        <v>6749</v>
      </c>
      <c r="L293" s="0" t="s">
        <v>6750</v>
      </c>
      <c r="M293" s="0" t="s">
        <v>5428</v>
      </c>
      <c r="N293" s="0" t="s">
        <v>6730</v>
      </c>
      <c r="O293" s="0" t="n">
        <v>100</v>
      </c>
    </row>
    <row r="294" customFormat="false" ht="15" hidden="false" customHeight="false" outlineLevel="0" collapsed="false">
      <c r="A294" s="0" t="s">
        <v>6751</v>
      </c>
      <c r="B294" s="0" t="s">
        <v>4525</v>
      </c>
      <c r="C294" s="0" t="s">
        <v>4526</v>
      </c>
      <c r="D294" s="0" t="s">
        <v>6752</v>
      </c>
      <c r="E294" s="0" t="s">
        <v>6753</v>
      </c>
      <c r="F294" s="0" t="s">
        <v>6754</v>
      </c>
      <c r="G294" s="0" t="s">
        <v>6755</v>
      </c>
      <c r="H294" s="0" t="s">
        <v>6756</v>
      </c>
      <c r="I294" s="0" t="s">
        <v>6757</v>
      </c>
      <c r="J294" s="0" t="s">
        <v>6739</v>
      </c>
      <c r="K294" s="0" t="s">
        <v>6739</v>
      </c>
      <c r="L294" s="0" t="s">
        <v>6758</v>
      </c>
      <c r="M294" s="0" t="s">
        <v>5428</v>
      </c>
      <c r="N294" s="0" t="s">
        <v>6730</v>
      </c>
      <c r="O294" s="0" t="n">
        <v>100</v>
      </c>
    </row>
    <row r="295" customFormat="false" ht="15" hidden="false" customHeight="false" outlineLevel="0" collapsed="false">
      <c r="A295" s="0" t="s">
        <v>55</v>
      </c>
      <c r="B295" s="0" t="s">
        <v>4525</v>
      </c>
      <c r="C295" s="0" t="s">
        <v>4526</v>
      </c>
      <c r="D295" s="0" t="s">
        <v>6759</v>
      </c>
      <c r="E295" s="0" t="s">
        <v>6760</v>
      </c>
      <c r="F295" s="0" t="s">
        <v>6761</v>
      </c>
      <c r="G295" s="0" t="s">
        <v>6762</v>
      </c>
      <c r="H295" s="0" t="s">
        <v>6763</v>
      </c>
      <c r="I295" s="0" t="s">
        <v>6764</v>
      </c>
      <c r="J295" s="0" t="s">
        <v>6765</v>
      </c>
      <c r="K295" s="0" t="s">
        <v>6766</v>
      </c>
      <c r="L295" s="0" t="s">
        <v>6767</v>
      </c>
      <c r="M295" s="0" t="s">
        <v>52</v>
      </c>
      <c r="N295" s="0" t="s">
        <v>6768</v>
      </c>
      <c r="O295" s="0" t="n">
        <v>110</v>
      </c>
    </row>
    <row r="296" customFormat="false" ht="15" hidden="false" customHeight="false" outlineLevel="0" collapsed="false">
      <c r="A296" s="0" t="s">
        <v>6769</v>
      </c>
      <c r="B296" s="0" t="s">
        <v>4525</v>
      </c>
      <c r="C296" s="0" t="s">
        <v>4526</v>
      </c>
      <c r="D296" s="0" t="s">
        <v>6770</v>
      </c>
      <c r="E296" s="0" t="s">
        <v>6771</v>
      </c>
      <c r="F296" s="0" t="s">
        <v>6772</v>
      </c>
      <c r="G296" s="0" t="s">
        <v>6773</v>
      </c>
      <c r="H296" s="0" t="s">
        <v>6774</v>
      </c>
      <c r="I296" s="0" t="s">
        <v>6775</v>
      </c>
      <c r="J296" s="0" t="s">
        <v>6776</v>
      </c>
      <c r="K296" s="0" t="s">
        <v>6777</v>
      </c>
      <c r="L296" s="0" t="s">
        <v>6778</v>
      </c>
      <c r="M296" s="0" t="s">
        <v>6779</v>
      </c>
      <c r="N296" s="0" t="s">
        <v>6780</v>
      </c>
      <c r="O296" s="0" t="n">
        <v>110</v>
      </c>
    </row>
  </sheetData>
  <mergeCells count="2">
    <mergeCell ref="A1:O1"/>
    <mergeCell ref="A2:O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3" min="3" style="0" width="42"/>
    <col collapsed="false" customWidth="true" hidden="false" outlineLevel="0" max="4" min="4" style="0" width="68"/>
    <col collapsed="false" customWidth="true" hidden="false" outlineLevel="0" max="5" min="5" style="0" width="54"/>
  </cols>
  <sheetData>
    <row r="1" customFormat="false" ht="30" hidden="false" customHeight="true" outlineLevel="0" collapsed="false">
      <c r="A1" s="1" t="s">
        <v>6781</v>
      </c>
      <c r="B1" s="1"/>
      <c r="C1" s="1"/>
      <c r="D1" s="1"/>
      <c r="E1" s="1"/>
    </row>
    <row r="2" customFormat="false" ht="42" hidden="false" customHeight="true" outlineLevel="0" collapsed="false">
      <c r="A2" s="2" t="s">
        <v>6782</v>
      </c>
      <c r="B2" s="2"/>
      <c r="C2" s="2"/>
      <c r="D2" s="2"/>
      <c r="E2" s="2"/>
    </row>
    <row r="3" customFormat="false" ht="15" hidden="false" customHeight="false" outlineLevel="0" collapsed="false">
      <c r="A3" s="3"/>
      <c r="B3" s="3"/>
      <c r="C3" s="3"/>
      <c r="D3" s="3"/>
      <c r="E3" s="3"/>
    </row>
    <row r="5" customFormat="false" ht="38" hidden="false" customHeight="true" outlineLevel="0" collapsed="false">
      <c r="A5" s="10" t="s">
        <v>6783</v>
      </c>
      <c r="B5" s="10" t="s">
        <v>6784</v>
      </c>
      <c r="C5" s="10" t="s">
        <v>6785</v>
      </c>
      <c r="D5" s="10" t="s">
        <v>6786</v>
      </c>
      <c r="E5" s="10" t="s">
        <v>6787</v>
      </c>
    </row>
    <row r="6" customFormat="false" ht="42" hidden="false" customHeight="true" outlineLevel="0" collapsed="false">
      <c r="A6" s="11" t="s">
        <v>58</v>
      </c>
      <c r="B6" s="11" t="s">
        <v>70</v>
      </c>
      <c r="C6" s="11" t="s">
        <v>71</v>
      </c>
      <c r="D6" s="11" t="s">
        <v>6788</v>
      </c>
      <c r="E6" s="11" t="s">
        <v>75</v>
      </c>
    </row>
    <row r="7" customFormat="false" ht="42" hidden="false" customHeight="true" outlineLevel="0" collapsed="false">
      <c r="A7" s="11" t="s">
        <v>58</v>
      </c>
      <c r="B7" s="11" t="s">
        <v>77</v>
      </c>
      <c r="C7" s="11" t="s">
        <v>78</v>
      </c>
      <c r="D7" s="11" t="s">
        <v>6788</v>
      </c>
      <c r="E7" s="11" t="s">
        <v>75</v>
      </c>
    </row>
    <row r="8" customFormat="false" ht="42" hidden="false" customHeight="true" outlineLevel="0" collapsed="false">
      <c r="A8" s="11" t="s">
        <v>58</v>
      </c>
      <c r="B8" s="11" t="s">
        <v>79</v>
      </c>
      <c r="C8" s="11" t="s">
        <v>80</v>
      </c>
      <c r="D8" s="11" t="s">
        <v>6788</v>
      </c>
      <c r="E8" s="11" t="s">
        <v>75</v>
      </c>
    </row>
    <row r="9" customFormat="false" ht="42" hidden="false" customHeight="true" outlineLevel="0" collapsed="false">
      <c r="A9" s="11" t="s">
        <v>58</v>
      </c>
      <c r="B9" s="11" t="s">
        <v>82</v>
      </c>
      <c r="C9" s="11" t="s">
        <v>83</v>
      </c>
      <c r="D9" s="11" t="s">
        <v>6788</v>
      </c>
      <c r="E9" s="11" t="s">
        <v>85</v>
      </c>
    </row>
    <row r="10" customFormat="false" ht="42" hidden="false" customHeight="true" outlineLevel="0" collapsed="false">
      <c r="A10" s="11" t="s">
        <v>58</v>
      </c>
      <c r="B10" s="11" t="s">
        <v>86</v>
      </c>
      <c r="C10" s="11" t="s">
        <v>87</v>
      </c>
      <c r="D10" s="11" t="s">
        <v>6788</v>
      </c>
      <c r="E10" s="11" t="s">
        <v>75</v>
      </c>
    </row>
    <row r="11" customFormat="false" ht="42" hidden="false" customHeight="true" outlineLevel="0" collapsed="false">
      <c r="A11" s="11" t="s">
        <v>58</v>
      </c>
      <c r="B11" s="11" t="s">
        <v>88</v>
      </c>
      <c r="C11" s="11" t="s">
        <v>89</v>
      </c>
      <c r="D11" s="11" t="s">
        <v>6788</v>
      </c>
      <c r="E11" s="11" t="s">
        <v>91</v>
      </c>
    </row>
    <row r="12" customFormat="false" ht="42" hidden="false" customHeight="true" outlineLevel="0" collapsed="false">
      <c r="A12" s="11" t="s">
        <v>58</v>
      </c>
      <c r="B12" s="11" t="s">
        <v>92</v>
      </c>
      <c r="C12" s="11" t="s">
        <v>93</v>
      </c>
      <c r="D12" s="11" t="s">
        <v>6788</v>
      </c>
      <c r="E12" s="11" t="s">
        <v>75</v>
      </c>
    </row>
    <row r="13" customFormat="false" ht="42" hidden="false" customHeight="true" outlineLevel="0" collapsed="false">
      <c r="A13" s="11" t="s">
        <v>96</v>
      </c>
      <c r="B13" s="11" t="s">
        <v>108</v>
      </c>
      <c r="C13" s="11" t="s">
        <v>109</v>
      </c>
      <c r="D13" s="11" t="s">
        <v>6789</v>
      </c>
      <c r="E13" s="11" t="s">
        <v>113</v>
      </c>
    </row>
    <row r="14" customFormat="false" ht="42" hidden="false" customHeight="true" outlineLevel="0" collapsed="false">
      <c r="A14" s="11" t="s">
        <v>96</v>
      </c>
      <c r="B14" s="11" t="s">
        <v>116</v>
      </c>
      <c r="C14" s="11" t="s">
        <v>117</v>
      </c>
      <c r="D14" s="11" t="s">
        <v>6789</v>
      </c>
      <c r="E14" s="11" t="s">
        <v>121</v>
      </c>
    </row>
    <row r="15" customFormat="false" ht="42" hidden="false" customHeight="true" outlineLevel="0" collapsed="false">
      <c r="A15" s="11" t="s">
        <v>96</v>
      </c>
      <c r="B15" s="11" t="s">
        <v>122</v>
      </c>
      <c r="C15" s="11" t="s">
        <v>123</v>
      </c>
      <c r="D15" s="11" t="s">
        <v>6789</v>
      </c>
      <c r="E15" s="11" t="s">
        <v>126</v>
      </c>
    </row>
    <row r="16" customFormat="false" ht="42" hidden="false" customHeight="true" outlineLevel="0" collapsed="false">
      <c r="A16" s="11" t="s">
        <v>6790</v>
      </c>
      <c r="B16" s="11" t="s">
        <v>133</v>
      </c>
      <c r="C16" s="11" t="s">
        <v>134</v>
      </c>
      <c r="D16" s="11" t="s">
        <v>6791</v>
      </c>
      <c r="E16" s="11" t="s">
        <v>138</v>
      </c>
    </row>
    <row r="17" customFormat="false" ht="42" hidden="false" customHeight="true" outlineLevel="0" collapsed="false">
      <c r="A17" s="11" t="s">
        <v>6790</v>
      </c>
      <c r="B17" s="11" t="s">
        <v>139</v>
      </c>
      <c r="C17" s="11" t="s">
        <v>140</v>
      </c>
      <c r="D17" s="11" t="s">
        <v>6791</v>
      </c>
      <c r="E17" s="11" t="s">
        <v>144</v>
      </c>
    </row>
    <row r="18" customFormat="false" ht="42" hidden="false" customHeight="true" outlineLevel="0" collapsed="false">
      <c r="A18" s="11" t="s">
        <v>6790</v>
      </c>
      <c r="B18" s="11" t="s">
        <v>145</v>
      </c>
      <c r="C18" s="11" t="s">
        <v>146</v>
      </c>
      <c r="D18" s="11" t="s">
        <v>6791</v>
      </c>
      <c r="E18" s="11" t="s">
        <v>150</v>
      </c>
    </row>
    <row r="19" customFormat="false" ht="42" hidden="false" customHeight="true" outlineLevel="0" collapsed="false">
      <c r="A19" s="11" t="s">
        <v>154</v>
      </c>
      <c r="B19" s="11" t="s">
        <v>166</v>
      </c>
      <c r="C19" s="11" t="s">
        <v>167</v>
      </c>
      <c r="D19" s="11" t="s">
        <v>168</v>
      </c>
      <c r="E19" s="11" t="s">
        <v>173</v>
      </c>
    </row>
    <row r="20" customFormat="false" ht="42" hidden="false" customHeight="true" outlineLevel="0" collapsed="false">
      <c r="A20" s="11" t="s">
        <v>154</v>
      </c>
      <c r="B20" s="11" t="s">
        <v>176</v>
      </c>
      <c r="C20" s="11" t="s">
        <v>177</v>
      </c>
      <c r="D20" s="11" t="s">
        <v>168</v>
      </c>
      <c r="E20" s="11" t="s">
        <v>173</v>
      </c>
    </row>
    <row r="21" customFormat="false" ht="42" hidden="false" customHeight="true" outlineLevel="0" collapsed="false">
      <c r="A21" s="11" t="s">
        <v>154</v>
      </c>
      <c r="B21" s="11" t="s">
        <v>180</v>
      </c>
      <c r="C21" s="11" t="s">
        <v>181</v>
      </c>
      <c r="D21" s="11" t="s">
        <v>168</v>
      </c>
      <c r="E21" s="11" t="s">
        <v>173</v>
      </c>
    </row>
    <row r="22" customFormat="false" ht="42" hidden="false" customHeight="true" outlineLevel="0" collapsed="false">
      <c r="A22" s="11" t="s">
        <v>154</v>
      </c>
      <c r="B22" s="11" t="s">
        <v>184</v>
      </c>
      <c r="C22" s="11" t="s">
        <v>185</v>
      </c>
      <c r="D22" s="11" t="s">
        <v>168</v>
      </c>
      <c r="E22" s="11" t="s">
        <v>173</v>
      </c>
    </row>
    <row r="23" customFormat="false" ht="42" hidden="false" customHeight="true" outlineLevel="0" collapsed="false">
      <c r="A23" s="11" t="s">
        <v>154</v>
      </c>
      <c r="B23" s="11" t="s">
        <v>188</v>
      </c>
      <c r="C23" s="11" t="s">
        <v>189</v>
      </c>
      <c r="D23" s="11" t="s">
        <v>168</v>
      </c>
      <c r="E23" s="11" t="s">
        <v>173</v>
      </c>
    </row>
    <row r="24" customFormat="false" ht="42" hidden="false" customHeight="true" outlineLevel="0" collapsed="false">
      <c r="A24" s="11" t="s">
        <v>154</v>
      </c>
      <c r="B24" s="11" t="s">
        <v>192</v>
      </c>
      <c r="C24" s="11" t="s">
        <v>193</v>
      </c>
      <c r="D24" s="11" t="s">
        <v>168</v>
      </c>
      <c r="E24" s="11" t="s">
        <v>173</v>
      </c>
    </row>
    <row r="25" customFormat="false" ht="42" hidden="false" customHeight="true" outlineLevel="0" collapsed="false">
      <c r="A25" s="11" t="s">
        <v>154</v>
      </c>
      <c r="B25" s="11" t="s">
        <v>196</v>
      </c>
      <c r="C25" s="11" t="s">
        <v>197</v>
      </c>
      <c r="D25" s="11" t="s">
        <v>168</v>
      </c>
      <c r="E25" s="11" t="s">
        <v>173</v>
      </c>
    </row>
    <row r="26" customFormat="false" ht="42" hidden="false" customHeight="true" outlineLevel="0" collapsed="false">
      <c r="A26" s="11" t="s">
        <v>154</v>
      </c>
      <c r="B26" s="11" t="s">
        <v>200</v>
      </c>
      <c r="C26" s="11" t="s">
        <v>201</v>
      </c>
      <c r="D26" s="11" t="s">
        <v>168</v>
      </c>
      <c r="E26" s="11" t="s">
        <v>173</v>
      </c>
    </row>
    <row r="27" customFormat="false" ht="42" hidden="false" customHeight="true" outlineLevel="0" collapsed="false">
      <c r="A27" s="11" t="s">
        <v>154</v>
      </c>
      <c r="B27" s="11" t="s">
        <v>204</v>
      </c>
      <c r="C27" s="11" t="s">
        <v>205</v>
      </c>
      <c r="D27" s="11" t="s">
        <v>168</v>
      </c>
      <c r="E27" s="11" t="s">
        <v>173</v>
      </c>
    </row>
    <row r="28" customFormat="false" ht="42" hidden="false" customHeight="true" outlineLevel="0" collapsed="false">
      <c r="A28" s="11" t="s">
        <v>154</v>
      </c>
      <c r="B28" s="11" t="s">
        <v>208</v>
      </c>
      <c r="C28" s="11" t="s">
        <v>209</v>
      </c>
      <c r="D28" s="11" t="s">
        <v>168</v>
      </c>
      <c r="E28" s="11" t="s">
        <v>173</v>
      </c>
    </row>
    <row r="29" customFormat="false" ht="42" hidden="false" customHeight="true" outlineLevel="0" collapsed="false">
      <c r="A29" s="11" t="s">
        <v>154</v>
      </c>
      <c r="B29" s="11" t="s">
        <v>212</v>
      </c>
      <c r="C29" s="11" t="s">
        <v>213</v>
      </c>
      <c r="D29" s="11" t="s">
        <v>168</v>
      </c>
      <c r="E29" s="11" t="s">
        <v>173</v>
      </c>
    </row>
    <row r="30" customFormat="false" ht="42" hidden="false" customHeight="true" outlineLevel="0" collapsed="false">
      <c r="A30" s="11" t="s">
        <v>154</v>
      </c>
      <c r="B30" s="11" t="s">
        <v>216</v>
      </c>
      <c r="C30" s="11" t="s">
        <v>217</v>
      </c>
      <c r="D30" s="11" t="s">
        <v>168</v>
      </c>
      <c r="E30" s="11" t="s">
        <v>173</v>
      </c>
    </row>
    <row r="31" customFormat="false" ht="42" hidden="false" customHeight="true" outlineLevel="0" collapsed="false">
      <c r="A31" s="11" t="s">
        <v>154</v>
      </c>
      <c r="B31" s="11" t="s">
        <v>220</v>
      </c>
      <c r="C31" s="11" t="s">
        <v>221</v>
      </c>
      <c r="D31" s="11" t="s">
        <v>168</v>
      </c>
      <c r="E31" s="11" t="s">
        <v>173</v>
      </c>
    </row>
    <row r="32" customFormat="false" ht="42" hidden="false" customHeight="true" outlineLevel="0" collapsed="false">
      <c r="A32" s="11" t="s">
        <v>154</v>
      </c>
      <c r="B32" s="11" t="s">
        <v>224</v>
      </c>
      <c r="C32" s="11" t="s">
        <v>225</v>
      </c>
      <c r="D32" s="11" t="s">
        <v>168</v>
      </c>
      <c r="E32" s="11" t="s">
        <v>173</v>
      </c>
    </row>
    <row r="33" customFormat="false" ht="42" hidden="false" customHeight="true" outlineLevel="0" collapsed="false">
      <c r="A33" s="11" t="s">
        <v>154</v>
      </c>
      <c r="B33" s="11" t="s">
        <v>228</v>
      </c>
      <c r="C33" s="11" t="s">
        <v>229</v>
      </c>
      <c r="D33" s="11" t="s">
        <v>168</v>
      </c>
      <c r="E33" s="11" t="s">
        <v>173</v>
      </c>
    </row>
    <row r="34" customFormat="false" ht="42" hidden="false" customHeight="true" outlineLevel="0" collapsed="false">
      <c r="A34" s="11" t="s">
        <v>154</v>
      </c>
      <c r="B34" s="11" t="s">
        <v>232</v>
      </c>
      <c r="C34" s="11" t="s">
        <v>233</v>
      </c>
      <c r="D34" s="11" t="s">
        <v>168</v>
      </c>
      <c r="E34" s="11" t="s">
        <v>173</v>
      </c>
    </row>
    <row r="35" customFormat="false" ht="42" hidden="false" customHeight="true" outlineLevel="0" collapsed="false">
      <c r="A35" s="11" t="s">
        <v>154</v>
      </c>
      <c r="B35" s="11" t="s">
        <v>236</v>
      </c>
      <c r="C35" s="11" t="s">
        <v>237</v>
      </c>
      <c r="D35" s="11" t="s">
        <v>168</v>
      </c>
      <c r="E35" s="11" t="s">
        <v>173</v>
      </c>
    </row>
    <row r="36" customFormat="false" ht="42" hidden="false" customHeight="true" outlineLevel="0" collapsed="false">
      <c r="A36" s="11" t="s">
        <v>154</v>
      </c>
      <c r="B36" s="11" t="s">
        <v>240</v>
      </c>
      <c r="C36" s="11" t="s">
        <v>241</v>
      </c>
      <c r="D36" s="11" t="s">
        <v>168</v>
      </c>
      <c r="E36" s="11" t="s">
        <v>173</v>
      </c>
    </row>
    <row r="37" customFormat="false" ht="42" hidden="false" customHeight="true" outlineLevel="0" collapsed="false">
      <c r="A37" s="11" t="s">
        <v>154</v>
      </c>
      <c r="B37" s="11" t="s">
        <v>244</v>
      </c>
      <c r="C37" s="11" t="s">
        <v>245</v>
      </c>
      <c r="D37" s="11" t="s">
        <v>168</v>
      </c>
      <c r="E37" s="11" t="s">
        <v>173</v>
      </c>
    </row>
    <row r="38" customFormat="false" ht="42" hidden="false" customHeight="true" outlineLevel="0" collapsed="false">
      <c r="A38" s="11" t="s">
        <v>154</v>
      </c>
      <c r="B38" s="11" t="s">
        <v>248</v>
      </c>
      <c r="C38" s="11" t="s">
        <v>249</v>
      </c>
      <c r="D38" s="11" t="s">
        <v>168</v>
      </c>
      <c r="E38" s="11" t="s">
        <v>173</v>
      </c>
    </row>
    <row r="39" customFormat="false" ht="42" hidden="false" customHeight="true" outlineLevel="0" collapsed="false">
      <c r="A39" s="11" t="s">
        <v>154</v>
      </c>
      <c r="B39" s="11" t="s">
        <v>252</v>
      </c>
      <c r="C39" s="11" t="s">
        <v>253</v>
      </c>
      <c r="D39" s="11" t="s">
        <v>168</v>
      </c>
      <c r="E39" s="11" t="s">
        <v>173</v>
      </c>
    </row>
    <row r="40" customFormat="false" ht="42" hidden="false" customHeight="true" outlineLevel="0" collapsed="false">
      <c r="A40" s="11" t="s">
        <v>154</v>
      </c>
      <c r="B40" s="11" t="s">
        <v>255</v>
      </c>
      <c r="C40" s="11" t="s">
        <v>256</v>
      </c>
      <c r="D40" s="11" t="s">
        <v>168</v>
      </c>
      <c r="E40" s="11" t="s">
        <v>173</v>
      </c>
    </row>
    <row r="41" customFormat="false" ht="42" hidden="false" customHeight="true" outlineLevel="0" collapsed="false">
      <c r="A41" s="11" t="s">
        <v>154</v>
      </c>
      <c r="B41" s="11" t="s">
        <v>259</v>
      </c>
      <c r="C41" s="11" t="s">
        <v>260</v>
      </c>
      <c r="D41" s="11" t="s">
        <v>168</v>
      </c>
      <c r="E41" s="11" t="s">
        <v>173</v>
      </c>
    </row>
    <row r="42" customFormat="false" ht="42" hidden="false" customHeight="true" outlineLevel="0" collapsed="false">
      <c r="A42" s="11" t="s">
        <v>154</v>
      </c>
      <c r="B42" s="11" t="s">
        <v>263</v>
      </c>
      <c r="C42" s="11" t="s">
        <v>264</v>
      </c>
      <c r="D42" s="11" t="s">
        <v>168</v>
      </c>
      <c r="E42" s="11" t="s">
        <v>173</v>
      </c>
    </row>
    <row r="43" customFormat="false" ht="42" hidden="false" customHeight="true" outlineLevel="0" collapsed="false">
      <c r="A43" s="11" t="s">
        <v>154</v>
      </c>
      <c r="B43" s="11" t="s">
        <v>267</v>
      </c>
      <c r="C43" s="11" t="s">
        <v>268</v>
      </c>
      <c r="D43" s="11" t="s">
        <v>168</v>
      </c>
      <c r="E43" s="11" t="s">
        <v>173</v>
      </c>
    </row>
    <row r="44" customFormat="false" ht="42" hidden="false" customHeight="true" outlineLevel="0" collapsed="false">
      <c r="A44" s="11" t="s">
        <v>154</v>
      </c>
      <c r="B44" s="11" t="s">
        <v>271</v>
      </c>
      <c r="C44" s="11" t="s">
        <v>272</v>
      </c>
      <c r="D44" s="11" t="s">
        <v>168</v>
      </c>
      <c r="E44" s="11" t="s">
        <v>173</v>
      </c>
    </row>
    <row r="45" customFormat="false" ht="42" hidden="false" customHeight="true" outlineLevel="0" collapsed="false">
      <c r="A45" s="11" t="s">
        <v>154</v>
      </c>
      <c r="B45" s="11" t="s">
        <v>275</v>
      </c>
      <c r="C45" s="11" t="s">
        <v>276</v>
      </c>
      <c r="D45" s="11" t="s">
        <v>168</v>
      </c>
      <c r="E45" s="11" t="s">
        <v>173</v>
      </c>
    </row>
    <row r="46" customFormat="false" ht="42" hidden="false" customHeight="true" outlineLevel="0" collapsed="false">
      <c r="A46" s="11" t="s">
        <v>154</v>
      </c>
      <c r="B46" s="11" t="s">
        <v>279</v>
      </c>
      <c r="C46" s="11" t="s">
        <v>280</v>
      </c>
      <c r="D46" s="11" t="s">
        <v>168</v>
      </c>
      <c r="E46" s="11" t="s">
        <v>173</v>
      </c>
    </row>
    <row r="47" customFormat="false" ht="42" hidden="false" customHeight="true" outlineLevel="0" collapsed="false">
      <c r="A47" s="11" t="s">
        <v>154</v>
      </c>
      <c r="B47" s="11" t="s">
        <v>282</v>
      </c>
      <c r="C47" s="11" t="s">
        <v>283</v>
      </c>
      <c r="D47" s="11" t="s">
        <v>168</v>
      </c>
      <c r="E47" s="11" t="s">
        <v>173</v>
      </c>
    </row>
    <row r="48" customFormat="false" ht="42" hidden="false" customHeight="true" outlineLevel="0" collapsed="false">
      <c r="A48" s="11" t="s">
        <v>154</v>
      </c>
      <c r="B48" s="11" t="s">
        <v>285</v>
      </c>
      <c r="C48" s="11" t="s">
        <v>286</v>
      </c>
      <c r="D48" s="11" t="s">
        <v>168</v>
      </c>
      <c r="E48" s="11" t="s">
        <v>173</v>
      </c>
    </row>
    <row r="49" customFormat="false" ht="42" hidden="false" customHeight="true" outlineLevel="0" collapsed="false">
      <c r="A49" s="11" t="s">
        <v>154</v>
      </c>
      <c r="B49" s="11" t="s">
        <v>288</v>
      </c>
      <c r="C49" s="11" t="s">
        <v>289</v>
      </c>
      <c r="D49" s="11" t="s">
        <v>168</v>
      </c>
      <c r="E49" s="11" t="s">
        <v>173</v>
      </c>
    </row>
    <row r="50" customFormat="false" ht="42" hidden="false" customHeight="true" outlineLevel="0" collapsed="false">
      <c r="A50" s="11" t="s">
        <v>154</v>
      </c>
      <c r="B50" s="11" t="s">
        <v>292</v>
      </c>
      <c r="C50" s="11" t="s">
        <v>293</v>
      </c>
      <c r="D50" s="11" t="s">
        <v>168</v>
      </c>
      <c r="E50" s="11" t="s">
        <v>173</v>
      </c>
    </row>
    <row r="51" customFormat="false" ht="42" hidden="false" customHeight="true" outlineLevel="0" collapsed="false">
      <c r="A51" s="11" t="s">
        <v>154</v>
      </c>
      <c r="B51" s="11" t="s">
        <v>296</v>
      </c>
      <c r="C51" s="11" t="s">
        <v>297</v>
      </c>
      <c r="D51" s="11" t="s">
        <v>168</v>
      </c>
      <c r="E51" s="11" t="s">
        <v>173</v>
      </c>
    </row>
    <row r="52" customFormat="false" ht="42" hidden="false" customHeight="true" outlineLevel="0" collapsed="false">
      <c r="A52" s="11" t="s">
        <v>154</v>
      </c>
      <c r="B52" s="11" t="s">
        <v>300</v>
      </c>
      <c r="C52" s="11" t="s">
        <v>301</v>
      </c>
      <c r="D52" s="11" t="s">
        <v>168</v>
      </c>
      <c r="E52" s="11" t="s">
        <v>173</v>
      </c>
    </row>
    <row r="53" customFormat="false" ht="42" hidden="false" customHeight="true" outlineLevel="0" collapsed="false">
      <c r="A53" s="11" t="s">
        <v>154</v>
      </c>
      <c r="B53" s="11" t="s">
        <v>304</v>
      </c>
      <c r="C53" s="11" t="s">
        <v>305</v>
      </c>
      <c r="D53" s="11" t="s">
        <v>168</v>
      </c>
      <c r="E53" s="11" t="s">
        <v>173</v>
      </c>
    </row>
    <row r="54" customFormat="false" ht="42" hidden="false" customHeight="true" outlineLevel="0" collapsed="false">
      <c r="A54" s="11" t="s">
        <v>154</v>
      </c>
      <c r="B54" s="11" t="s">
        <v>308</v>
      </c>
      <c r="C54" s="11" t="s">
        <v>309</v>
      </c>
      <c r="D54" s="11" t="s">
        <v>168</v>
      </c>
      <c r="E54" s="11" t="s">
        <v>173</v>
      </c>
    </row>
    <row r="55" customFormat="false" ht="42" hidden="false" customHeight="true" outlineLevel="0" collapsed="false">
      <c r="A55" s="11" t="s">
        <v>154</v>
      </c>
      <c r="B55" s="11" t="s">
        <v>312</v>
      </c>
      <c r="C55" s="11" t="s">
        <v>313</v>
      </c>
      <c r="D55" s="11" t="s">
        <v>168</v>
      </c>
      <c r="E55" s="11" t="s">
        <v>173</v>
      </c>
    </row>
    <row r="56" customFormat="false" ht="42" hidden="false" customHeight="true" outlineLevel="0" collapsed="false">
      <c r="A56" s="11" t="s">
        <v>154</v>
      </c>
      <c r="B56" s="11" t="s">
        <v>316</v>
      </c>
      <c r="C56" s="11" t="s">
        <v>317</v>
      </c>
      <c r="D56" s="11" t="s">
        <v>168</v>
      </c>
      <c r="E56" s="11" t="s">
        <v>173</v>
      </c>
    </row>
    <row r="57" customFormat="false" ht="42" hidden="false" customHeight="true" outlineLevel="0" collapsed="false">
      <c r="A57" s="11" t="s">
        <v>154</v>
      </c>
      <c r="B57" s="11" t="s">
        <v>320</v>
      </c>
      <c r="C57" s="11" t="s">
        <v>321</v>
      </c>
      <c r="D57" s="11" t="s">
        <v>168</v>
      </c>
      <c r="E57" s="11" t="s">
        <v>173</v>
      </c>
    </row>
    <row r="58" customFormat="false" ht="42" hidden="false" customHeight="true" outlineLevel="0" collapsed="false">
      <c r="A58" s="11" t="s">
        <v>154</v>
      </c>
      <c r="B58" s="11" t="s">
        <v>324</v>
      </c>
      <c r="C58" s="11" t="s">
        <v>325</v>
      </c>
      <c r="D58" s="11" t="s">
        <v>168</v>
      </c>
      <c r="E58" s="11" t="s">
        <v>173</v>
      </c>
    </row>
    <row r="59" customFormat="false" ht="42" hidden="false" customHeight="true" outlineLevel="0" collapsed="false">
      <c r="A59" s="11" t="s">
        <v>154</v>
      </c>
      <c r="B59" s="11" t="s">
        <v>328</v>
      </c>
      <c r="C59" s="11" t="s">
        <v>329</v>
      </c>
      <c r="D59" s="11" t="s">
        <v>168</v>
      </c>
      <c r="E59" s="11" t="s">
        <v>173</v>
      </c>
    </row>
    <row r="60" customFormat="false" ht="42" hidden="false" customHeight="true" outlineLevel="0" collapsed="false">
      <c r="A60" s="11" t="s">
        <v>154</v>
      </c>
      <c r="B60" s="11" t="s">
        <v>125</v>
      </c>
      <c r="C60" s="11" t="s">
        <v>332</v>
      </c>
      <c r="D60" s="11" t="s">
        <v>333</v>
      </c>
      <c r="E60" s="11" t="s">
        <v>337</v>
      </c>
    </row>
    <row r="61" customFormat="false" ht="42" hidden="false" customHeight="true" outlineLevel="0" collapsed="false">
      <c r="A61" s="11" t="s">
        <v>154</v>
      </c>
      <c r="B61" s="11" t="s">
        <v>135</v>
      </c>
      <c r="C61" s="11" t="s">
        <v>339</v>
      </c>
      <c r="D61" s="11" t="s">
        <v>340</v>
      </c>
      <c r="E61" s="11" t="s">
        <v>138</v>
      </c>
    </row>
    <row r="62" customFormat="false" ht="42" hidden="false" customHeight="true" outlineLevel="0" collapsed="false">
      <c r="A62" s="11" t="s">
        <v>154</v>
      </c>
      <c r="B62" s="11" t="s">
        <v>141</v>
      </c>
      <c r="C62" s="11" t="s">
        <v>344</v>
      </c>
      <c r="D62" s="11" t="s">
        <v>340</v>
      </c>
      <c r="E62" s="11" t="s">
        <v>144</v>
      </c>
    </row>
    <row r="63" customFormat="false" ht="42" hidden="false" customHeight="true" outlineLevel="0" collapsed="false">
      <c r="A63" s="11" t="s">
        <v>154</v>
      </c>
      <c r="B63" s="11" t="s">
        <v>147</v>
      </c>
      <c r="C63" s="11" t="s">
        <v>347</v>
      </c>
      <c r="D63" s="11" t="s">
        <v>340</v>
      </c>
      <c r="E63" s="11" t="s">
        <v>150</v>
      </c>
    </row>
    <row r="64" customFormat="false" ht="42" hidden="false" customHeight="true" outlineLevel="0" collapsed="false">
      <c r="A64" s="11" t="s">
        <v>6792</v>
      </c>
      <c r="B64" s="11" t="s">
        <v>593</v>
      </c>
      <c r="C64" s="11" t="s">
        <v>594</v>
      </c>
      <c r="D64" s="11" t="s">
        <v>595</v>
      </c>
      <c r="E64" s="11" t="s">
        <v>601</v>
      </c>
    </row>
    <row r="65" customFormat="false" ht="42" hidden="false" customHeight="true" outlineLevel="0" collapsed="false">
      <c r="A65" s="11" t="s">
        <v>6792</v>
      </c>
      <c r="B65" s="11" t="s">
        <v>544</v>
      </c>
      <c r="C65" s="11" t="s">
        <v>604</v>
      </c>
      <c r="D65" s="11" t="s">
        <v>595</v>
      </c>
      <c r="E65" s="11" t="s">
        <v>548</v>
      </c>
    </row>
    <row r="66" customFormat="false" ht="42" hidden="false" customHeight="true" outlineLevel="0" collapsed="false">
      <c r="A66" s="11" t="s">
        <v>6792</v>
      </c>
      <c r="B66" s="11" t="s">
        <v>550</v>
      </c>
      <c r="C66" s="11" t="s">
        <v>609</v>
      </c>
      <c r="D66" s="11" t="s">
        <v>595</v>
      </c>
      <c r="E66" s="11" t="s">
        <v>551</v>
      </c>
    </row>
    <row r="67" customFormat="false" ht="42" hidden="false" customHeight="true" outlineLevel="0" collapsed="false">
      <c r="A67" s="11" t="s">
        <v>6792</v>
      </c>
      <c r="B67" s="11" t="s">
        <v>613</v>
      </c>
      <c r="C67" s="11" t="s">
        <v>245</v>
      </c>
      <c r="D67" s="11" t="s">
        <v>595</v>
      </c>
      <c r="E67" s="11" t="s">
        <v>615</v>
      </c>
    </row>
    <row r="68" customFormat="false" ht="42" hidden="false" customHeight="true" outlineLevel="0" collapsed="false">
      <c r="A68" s="11" t="s">
        <v>6792</v>
      </c>
      <c r="B68" s="11" t="s">
        <v>618</v>
      </c>
      <c r="C68" s="11" t="s">
        <v>619</v>
      </c>
      <c r="D68" s="11" t="s">
        <v>595</v>
      </c>
      <c r="E68" s="11" t="s">
        <v>620</v>
      </c>
    </row>
    <row r="69" customFormat="false" ht="42" hidden="false" customHeight="true" outlineLevel="0" collapsed="false">
      <c r="A69" s="11" t="s">
        <v>6792</v>
      </c>
      <c r="B69" s="11" t="s">
        <v>553</v>
      </c>
      <c r="C69" s="11" t="s">
        <v>624</v>
      </c>
      <c r="D69" s="11" t="s">
        <v>595</v>
      </c>
      <c r="E69" s="11" t="s">
        <v>554</v>
      </c>
    </row>
    <row r="70" customFormat="false" ht="42" hidden="false" customHeight="true" outlineLevel="0" collapsed="false">
      <c r="A70" s="11" t="s">
        <v>6792</v>
      </c>
      <c r="B70" s="11" t="s">
        <v>628</v>
      </c>
      <c r="C70" s="11" t="s">
        <v>629</v>
      </c>
      <c r="D70" s="11" t="s">
        <v>595</v>
      </c>
      <c r="E70" s="11" t="s">
        <v>632</v>
      </c>
    </row>
    <row r="71" customFormat="false" ht="42" hidden="false" customHeight="true" outlineLevel="0" collapsed="false">
      <c r="A71" s="11" t="s">
        <v>6792</v>
      </c>
      <c r="B71" s="11" t="s">
        <v>636</v>
      </c>
      <c r="C71" s="11" t="s">
        <v>637</v>
      </c>
      <c r="D71" s="11" t="s">
        <v>595</v>
      </c>
      <c r="E71" s="11" t="s">
        <v>640</v>
      </c>
    </row>
    <row r="72" customFormat="false" ht="42" hidden="false" customHeight="true" outlineLevel="0" collapsed="false">
      <c r="A72" s="11" t="s">
        <v>6792</v>
      </c>
      <c r="B72" s="11" t="s">
        <v>644</v>
      </c>
      <c r="C72" s="11" t="s">
        <v>645</v>
      </c>
      <c r="D72" s="11" t="s">
        <v>595</v>
      </c>
      <c r="E72" s="11" t="s">
        <v>646</v>
      </c>
    </row>
    <row r="73" customFormat="false" ht="42" hidden="false" customHeight="true" outlineLevel="0" collapsed="false">
      <c r="A73" s="11" t="s">
        <v>6792</v>
      </c>
      <c r="B73" s="11" t="s">
        <v>650</v>
      </c>
      <c r="C73" s="11" t="s">
        <v>651</v>
      </c>
      <c r="D73" s="11" t="s">
        <v>595</v>
      </c>
      <c r="E73" s="11" t="s">
        <v>652</v>
      </c>
    </row>
    <row r="74" customFormat="false" ht="42" hidden="false" customHeight="true" outlineLevel="0" collapsed="false">
      <c r="A74" s="11" t="s">
        <v>6792</v>
      </c>
      <c r="B74" s="11" t="s">
        <v>656</v>
      </c>
      <c r="C74" s="11" t="s">
        <v>657</v>
      </c>
      <c r="D74" s="11" t="s">
        <v>595</v>
      </c>
      <c r="E74" s="11" t="s">
        <v>658</v>
      </c>
    </row>
    <row r="75" customFormat="false" ht="42" hidden="false" customHeight="true" outlineLevel="0" collapsed="false">
      <c r="A75" s="11" t="s">
        <v>6792</v>
      </c>
      <c r="B75" s="11" t="s">
        <v>662</v>
      </c>
      <c r="C75" s="11" t="s">
        <v>663</v>
      </c>
      <c r="D75" s="11" t="s">
        <v>595</v>
      </c>
      <c r="E75" s="11" t="s">
        <v>664</v>
      </c>
    </row>
    <row r="76" customFormat="false" ht="42" hidden="false" customHeight="true" outlineLevel="0" collapsed="false">
      <c r="A76" s="11" t="s">
        <v>6792</v>
      </c>
      <c r="B76" s="11" t="s">
        <v>667</v>
      </c>
      <c r="C76" s="11" t="s">
        <v>668</v>
      </c>
      <c r="D76" s="11" t="s">
        <v>595</v>
      </c>
      <c r="E76" s="11" t="s">
        <v>670</v>
      </c>
    </row>
    <row r="77" customFormat="false" ht="42" hidden="false" customHeight="true" outlineLevel="0" collapsed="false">
      <c r="A77" s="11" t="s">
        <v>6792</v>
      </c>
      <c r="B77" s="11" t="s">
        <v>674</v>
      </c>
      <c r="C77" s="11" t="s">
        <v>675</v>
      </c>
      <c r="D77" s="11" t="s">
        <v>595</v>
      </c>
      <c r="E77" s="11" t="s">
        <v>676</v>
      </c>
    </row>
    <row r="78" customFormat="false" ht="42" hidden="false" customHeight="true" outlineLevel="0" collapsed="false">
      <c r="A78" s="11" t="s">
        <v>6792</v>
      </c>
      <c r="B78" s="11" t="s">
        <v>680</v>
      </c>
      <c r="C78" s="11" t="s">
        <v>681</v>
      </c>
      <c r="D78" s="11" t="s">
        <v>595</v>
      </c>
      <c r="E78" s="11" t="s">
        <v>682</v>
      </c>
    </row>
    <row r="79" customFormat="false" ht="42" hidden="false" customHeight="true" outlineLevel="0" collapsed="false">
      <c r="A79" s="11" t="s">
        <v>6792</v>
      </c>
      <c r="B79" s="11" t="s">
        <v>557</v>
      </c>
      <c r="C79" s="11" t="s">
        <v>685</v>
      </c>
      <c r="D79" s="11" t="s">
        <v>595</v>
      </c>
      <c r="E79" s="11" t="s">
        <v>558</v>
      </c>
    </row>
    <row r="80" customFormat="false" ht="42" hidden="false" customHeight="true" outlineLevel="0" collapsed="false">
      <c r="A80" s="11" t="s">
        <v>6792</v>
      </c>
      <c r="B80" s="11" t="s">
        <v>689</v>
      </c>
      <c r="C80" s="11" t="s">
        <v>690</v>
      </c>
      <c r="D80" s="11" t="s">
        <v>595</v>
      </c>
      <c r="E80" s="11" t="s">
        <v>691</v>
      </c>
    </row>
    <row r="81" customFormat="false" ht="42" hidden="false" customHeight="true" outlineLevel="0" collapsed="false">
      <c r="A81" s="11" t="s">
        <v>6792</v>
      </c>
      <c r="B81" s="11" t="s">
        <v>695</v>
      </c>
      <c r="C81" s="11" t="s">
        <v>696</v>
      </c>
      <c r="D81" s="11" t="s">
        <v>595</v>
      </c>
      <c r="E81" s="11" t="s">
        <v>697</v>
      </c>
    </row>
    <row r="82" customFormat="false" ht="42" hidden="false" customHeight="true" outlineLevel="0" collapsed="false">
      <c r="A82" s="11" t="s">
        <v>6792</v>
      </c>
      <c r="B82" s="11" t="s">
        <v>560</v>
      </c>
      <c r="C82" s="11" t="s">
        <v>700</v>
      </c>
      <c r="D82" s="11" t="s">
        <v>595</v>
      </c>
      <c r="E82" s="11" t="s">
        <v>561</v>
      </c>
    </row>
    <row r="83" customFormat="false" ht="42" hidden="false" customHeight="true" outlineLevel="0" collapsed="false">
      <c r="A83" s="11" t="s">
        <v>6792</v>
      </c>
      <c r="B83" s="11" t="s">
        <v>563</v>
      </c>
      <c r="C83" s="11" t="s">
        <v>703</v>
      </c>
      <c r="D83" s="11" t="s">
        <v>595</v>
      </c>
      <c r="E83" s="11" t="s">
        <v>565</v>
      </c>
    </row>
    <row r="84" customFormat="false" ht="42" hidden="false" customHeight="true" outlineLevel="0" collapsed="false">
      <c r="A84" s="11" t="s">
        <v>6792</v>
      </c>
      <c r="B84" s="11" t="s">
        <v>567</v>
      </c>
      <c r="C84" s="11" t="s">
        <v>706</v>
      </c>
      <c r="D84" s="11" t="s">
        <v>707</v>
      </c>
      <c r="E84" s="11" t="s">
        <v>568</v>
      </c>
    </row>
    <row r="85" customFormat="false" ht="42" hidden="false" customHeight="true" outlineLevel="0" collapsed="false">
      <c r="A85" s="11" t="s">
        <v>6792</v>
      </c>
      <c r="B85" s="11" t="s">
        <v>571</v>
      </c>
      <c r="C85" s="11" t="s">
        <v>713</v>
      </c>
      <c r="D85" s="11" t="s">
        <v>707</v>
      </c>
      <c r="E85" s="11" t="s">
        <v>572</v>
      </c>
    </row>
    <row r="86" customFormat="false" ht="42" hidden="false" customHeight="true" outlineLevel="0" collapsed="false">
      <c r="A86" s="11" t="s">
        <v>6792</v>
      </c>
      <c r="B86" s="11" t="s">
        <v>574</v>
      </c>
      <c r="C86" s="11" t="s">
        <v>718</v>
      </c>
      <c r="D86" s="11" t="s">
        <v>707</v>
      </c>
      <c r="E86" s="11" t="s">
        <v>575</v>
      </c>
    </row>
    <row r="87" customFormat="false" ht="42" hidden="false" customHeight="true" outlineLevel="0" collapsed="false">
      <c r="A87" s="11" t="s">
        <v>6793</v>
      </c>
      <c r="B87" s="11" t="s">
        <v>6794</v>
      </c>
      <c r="C87" s="11" t="s">
        <v>645</v>
      </c>
      <c r="D87" s="11" t="s">
        <v>6795</v>
      </c>
      <c r="E87" s="11" t="s">
        <v>4135</v>
      </c>
    </row>
    <row r="88" customFormat="false" ht="42" hidden="false" customHeight="true" outlineLevel="0" collapsed="false">
      <c r="A88" s="11" t="s">
        <v>6796</v>
      </c>
      <c r="B88" s="11" t="s">
        <v>1911</v>
      </c>
      <c r="C88" s="11" t="s">
        <v>6797</v>
      </c>
      <c r="D88" s="11" t="s">
        <v>6798</v>
      </c>
      <c r="E88" s="11" t="s">
        <v>4841</v>
      </c>
    </row>
    <row r="89" customFormat="false" ht="42" hidden="false" customHeight="true" outlineLevel="0" collapsed="false">
      <c r="A89" s="11" t="s">
        <v>6796</v>
      </c>
      <c r="B89" s="11" t="s">
        <v>1929</v>
      </c>
      <c r="C89" s="11" t="s">
        <v>6799</v>
      </c>
      <c r="D89" s="11" t="s">
        <v>6800</v>
      </c>
      <c r="E89" s="11" t="s">
        <v>4113</v>
      </c>
    </row>
    <row r="90" customFormat="false" ht="42" hidden="false" customHeight="true" outlineLevel="0" collapsed="false">
      <c r="A90" s="11" t="s">
        <v>959</v>
      </c>
      <c r="B90" s="11" t="s">
        <v>965</v>
      </c>
      <c r="C90" s="11" t="s">
        <v>6801</v>
      </c>
      <c r="D90" s="11" t="s">
        <v>6802</v>
      </c>
      <c r="E90" s="11" t="s">
        <v>4117</v>
      </c>
    </row>
    <row r="91" customFormat="false" ht="42" hidden="false" customHeight="true" outlineLevel="0" collapsed="false">
      <c r="A91" s="11" t="s">
        <v>959</v>
      </c>
      <c r="B91" s="11" t="s">
        <v>1167</v>
      </c>
      <c r="C91" s="11" t="s">
        <v>6803</v>
      </c>
      <c r="D91" s="11" t="s">
        <v>6804</v>
      </c>
      <c r="E91" s="11" t="s">
        <v>4117</v>
      </c>
    </row>
    <row r="92" customFormat="false" ht="42" hidden="false" customHeight="true" outlineLevel="0" collapsed="false">
      <c r="A92" s="11" t="s">
        <v>34</v>
      </c>
      <c r="B92" s="11" t="s">
        <v>4060</v>
      </c>
      <c r="C92" s="11" t="s">
        <v>6805</v>
      </c>
      <c r="D92" s="11" t="s">
        <v>6806</v>
      </c>
      <c r="E92" s="11" t="s">
        <v>4120</v>
      </c>
    </row>
    <row r="93" customFormat="false" ht="42" hidden="false" customHeight="true" outlineLevel="0" collapsed="false">
      <c r="A93" s="11" t="s">
        <v>497</v>
      </c>
      <c r="B93" s="11" t="s">
        <v>4065</v>
      </c>
      <c r="C93" s="11" t="s">
        <v>6807</v>
      </c>
      <c r="D93" s="11" t="s">
        <v>6808</v>
      </c>
      <c r="E93" s="11" t="s">
        <v>4511</v>
      </c>
    </row>
    <row r="94" customFormat="false" ht="42" hidden="false" customHeight="true" outlineLevel="0" collapsed="false">
      <c r="A94" s="11" t="s">
        <v>6809</v>
      </c>
      <c r="B94" s="11" t="s">
        <v>4170</v>
      </c>
      <c r="C94" s="11" t="s">
        <v>6810</v>
      </c>
      <c r="D94" s="11" t="s">
        <v>6811</v>
      </c>
      <c r="E94" s="11" t="s">
        <v>4174</v>
      </c>
    </row>
    <row r="95" customFormat="false" ht="42" hidden="false" customHeight="true" outlineLevel="0" collapsed="false">
      <c r="A95" s="11" t="s">
        <v>6809</v>
      </c>
      <c r="B95" s="11" t="s">
        <v>4175</v>
      </c>
      <c r="C95" s="11" t="s">
        <v>6812</v>
      </c>
      <c r="D95" s="11" t="s">
        <v>6813</v>
      </c>
      <c r="E95" s="11" t="s">
        <v>4092</v>
      </c>
    </row>
    <row r="96" customFormat="false" ht="42" hidden="false" customHeight="true" outlineLevel="0" collapsed="false">
      <c r="A96" s="11" t="s">
        <v>6809</v>
      </c>
      <c r="B96" s="11" t="s">
        <v>4178</v>
      </c>
      <c r="C96" s="11" t="s">
        <v>6814</v>
      </c>
      <c r="D96" s="11" t="s">
        <v>6815</v>
      </c>
      <c r="E96" s="11" t="s">
        <v>4181</v>
      </c>
    </row>
    <row r="97" customFormat="false" ht="42" hidden="false" customHeight="true" outlineLevel="0" collapsed="false">
      <c r="A97" s="11" t="s">
        <v>6809</v>
      </c>
      <c r="B97" s="11" t="s">
        <v>4182</v>
      </c>
      <c r="C97" s="11" t="s">
        <v>6816</v>
      </c>
      <c r="D97" s="11" t="s">
        <v>6817</v>
      </c>
      <c r="E97" s="11" t="s">
        <v>4185</v>
      </c>
    </row>
    <row r="98" customFormat="false" ht="15" hidden="false" customHeight="false" outlineLevel="0" collapsed="false">
      <c r="A98" s="0" t="s">
        <v>6818</v>
      </c>
      <c r="B98" s="0" t="s">
        <v>6819</v>
      </c>
      <c r="C98" s="0" t="s">
        <v>6819</v>
      </c>
      <c r="D98" s="0" t="s">
        <v>6820</v>
      </c>
      <c r="E98" s="0" t="s">
        <v>6821</v>
      </c>
    </row>
    <row r="99" customFormat="false" ht="15" hidden="false" customHeight="false" outlineLevel="0" collapsed="false">
      <c r="A99" s="0" t="s">
        <v>6818</v>
      </c>
      <c r="B99" s="0" t="s">
        <v>6822</v>
      </c>
      <c r="C99" s="0" t="s">
        <v>6822</v>
      </c>
      <c r="D99" s="0" t="s">
        <v>6823</v>
      </c>
      <c r="E99" s="0" t="s">
        <v>6824</v>
      </c>
    </row>
    <row r="100" customFormat="false" ht="15" hidden="false" customHeight="false" outlineLevel="0" collapsed="false">
      <c r="A100" s="0" t="s">
        <v>6818</v>
      </c>
      <c r="B100" s="0" t="s">
        <v>6825</v>
      </c>
      <c r="C100" s="0" t="s">
        <v>6825</v>
      </c>
      <c r="D100" s="0" t="s">
        <v>6826</v>
      </c>
      <c r="E100" s="0" t="s">
        <v>6827</v>
      </c>
    </row>
    <row r="101" customFormat="false" ht="15" hidden="false" customHeight="false" outlineLevel="0" collapsed="false">
      <c r="A101" s="0" t="s">
        <v>6828</v>
      </c>
      <c r="B101" s="0" t="s">
        <v>6829</v>
      </c>
      <c r="C101" s="0" t="s">
        <v>6830</v>
      </c>
      <c r="D101" s="0" t="s">
        <v>6831</v>
      </c>
      <c r="E101" s="0" t="s">
        <v>4215</v>
      </c>
    </row>
    <row r="102" customFormat="false" ht="15" hidden="false" customHeight="false" outlineLevel="0" collapsed="false">
      <c r="A102" s="0" t="s">
        <v>6828</v>
      </c>
      <c r="B102" s="0" t="s">
        <v>6832</v>
      </c>
      <c r="C102" s="0" t="s">
        <v>6833</v>
      </c>
      <c r="D102" s="0" t="s">
        <v>6834</v>
      </c>
      <c r="E102" s="0" t="s">
        <v>4215</v>
      </c>
    </row>
    <row r="103" customFormat="false" ht="15" hidden="false" customHeight="false" outlineLevel="0" collapsed="false">
      <c r="A103" s="0" t="s">
        <v>6828</v>
      </c>
      <c r="B103" s="0" t="s">
        <v>6825</v>
      </c>
      <c r="C103" s="0" t="s">
        <v>6835</v>
      </c>
      <c r="D103" s="0" t="s">
        <v>6836</v>
      </c>
      <c r="E103" s="0" t="s">
        <v>4215</v>
      </c>
    </row>
    <row r="104" customFormat="false" ht="15" hidden="false" customHeight="false" outlineLevel="0" collapsed="false">
      <c r="A104" s="0" t="s">
        <v>6837</v>
      </c>
      <c r="B104" s="0" t="s">
        <v>6838</v>
      </c>
      <c r="C104" s="0" t="s">
        <v>6839</v>
      </c>
      <c r="D104" s="0" t="s">
        <v>6840</v>
      </c>
      <c r="E104" s="0" t="s">
        <v>6841</v>
      </c>
    </row>
    <row r="105" customFormat="false" ht="15" hidden="false" customHeight="false" outlineLevel="0" collapsed="false">
      <c r="A105" s="0" t="s">
        <v>6837</v>
      </c>
      <c r="B105" s="0" t="s">
        <v>6842</v>
      </c>
      <c r="C105" s="0" t="s">
        <v>6843</v>
      </c>
      <c r="D105" s="0" t="s">
        <v>6844</v>
      </c>
      <c r="E105" s="0" t="s">
        <v>6841</v>
      </c>
    </row>
    <row r="106" customFormat="false" ht="15" hidden="false" customHeight="false" outlineLevel="0" collapsed="false">
      <c r="A106" s="0" t="s">
        <v>6845</v>
      </c>
      <c r="B106" s="0" t="s">
        <v>6846</v>
      </c>
      <c r="C106" s="0" t="s">
        <v>6846</v>
      </c>
      <c r="D106" s="0" t="s">
        <v>6847</v>
      </c>
      <c r="E106" s="0" t="s">
        <v>4215</v>
      </c>
    </row>
    <row r="107" customFormat="false" ht="15" hidden="false" customHeight="false" outlineLevel="0" collapsed="false">
      <c r="A107" s="0" t="s">
        <v>6845</v>
      </c>
      <c r="B107" s="0" t="s">
        <v>6848</v>
      </c>
      <c r="C107" s="0" t="s">
        <v>6848</v>
      </c>
      <c r="D107" s="0" t="s">
        <v>6849</v>
      </c>
      <c r="E107" s="0" t="s">
        <v>4215</v>
      </c>
    </row>
    <row r="108" customFormat="false" ht="15" hidden="false" customHeight="false" outlineLevel="0" collapsed="false">
      <c r="A108" s="0" t="s">
        <v>6845</v>
      </c>
      <c r="B108" s="0" t="s">
        <v>6850</v>
      </c>
      <c r="C108" s="0" t="s">
        <v>6850</v>
      </c>
      <c r="D108" s="0" t="s">
        <v>6849</v>
      </c>
      <c r="E108" s="0" t="s">
        <v>4215</v>
      </c>
    </row>
    <row r="109" customFormat="false" ht="15" hidden="false" customHeight="false" outlineLevel="0" collapsed="false">
      <c r="A109" s="0" t="s">
        <v>6845</v>
      </c>
      <c r="B109" s="0" t="s">
        <v>6851</v>
      </c>
      <c r="C109" s="0" t="s">
        <v>6851</v>
      </c>
      <c r="D109" s="0" t="s">
        <v>6849</v>
      </c>
      <c r="E109" s="0" t="s">
        <v>4215</v>
      </c>
    </row>
    <row r="110" customFormat="false" ht="15" hidden="false" customHeight="false" outlineLevel="0" collapsed="false">
      <c r="A110" s="0" t="s">
        <v>6845</v>
      </c>
      <c r="B110" s="0" t="s">
        <v>6852</v>
      </c>
      <c r="C110" s="0" t="s">
        <v>6852</v>
      </c>
      <c r="D110" s="0" t="s">
        <v>6849</v>
      </c>
      <c r="E110" s="0" t="s">
        <v>4215</v>
      </c>
    </row>
    <row r="111" customFormat="false" ht="15" hidden="false" customHeight="false" outlineLevel="0" collapsed="false">
      <c r="A111" s="0" t="s">
        <v>6853</v>
      </c>
      <c r="B111" s="0" t="s">
        <v>6854</v>
      </c>
      <c r="C111" s="0" t="s">
        <v>6854</v>
      </c>
      <c r="D111" s="0" t="s">
        <v>6855</v>
      </c>
      <c r="E111" s="0" t="s">
        <v>6841</v>
      </c>
    </row>
    <row r="112" customFormat="false" ht="15" hidden="false" customHeight="false" outlineLevel="0" collapsed="false">
      <c r="A112" s="0" t="s">
        <v>6853</v>
      </c>
      <c r="B112" s="0" t="s">
        <v>6856</v>
      </c>
      <c r="C112" s="0" t="s">
        <v>6856</v>
      </c>
      <c r="D112" s="0" t="s">
        <v>6855</v>
      </c>
      <c r="E112" s="0" t="s">
        <v>6841</v>
      </c>
    </row>
    <row r="113" customFormat="false" ht="15" hidden="false" customHeight="false" outlineLevel="0" collapsed="false">
      <c r="A113" s="0" t="s">
        <v>6853</v>
      </c>
      <c r="B113" s="0" t="s">
        <v>6857</v>
      </c>
      <c r="C113" s="0" t="s">
        <v>6857</v>
      </c>
      <c r="D113" s="0" t="s">
        <v>6855</v>
      </c>
      <c r="E113" s="0" t="s">
        <v>6841</v>
      </c>
    </row>
    <row r="114" customFormat="false" ht="15" hidden="false" customHeight="false" outlineLevel="0" collapsed="false">
      <c r="A114" s="0" t="s">
        <v>6853</v>
      </c>
      <c r="B114" s="0" t="s">
        <v>6858</v>
      </c>
      <c r="C114" s="0" t="s">
        <v>6858</v>
      </c>
      <c r="D114" s="0" t="s">
        <v>6855</v>
      </c>
      <c r="E114" s="0" t="s">
        <v>6841</v>
      </c>
    </row>
    <row r="115" customFormat="false" ht="15" hidden="false" customHeight="false" outlineLevel="0" collapsed="false">
      <c r="A115" s="0" t="s">
        <v>6853</v>
      </c>
      <c r="B115" s="0" t="s">
        <v>600</v>
      </c>
      <c r="C115" s="0" t="s">
        <v>600</v>
      </c>
      <c r="D115" s="0" t="s">
        <v>6855</v>
      </c>
      <c r="E115" s="0" t="s">
        <v>6841</v>
      </c>
    </row>
    <row r="116" customFormat="false" ht="15" hidden="false" customHeight="false" outlineLevel="0" collapsed="false">
      <c r="A116" s="0" t="s">
        <v>6859</v>
      </c>
      <c r="B116" s="0" t="s">
        <v>6860</v>
      </c>
      <c r="C116" s="0" t="s">
        <v>6860</v>
      </c>
      <c r="D116" s="0" t="s">
        <v>6861</v>
      </c>
      <c r="E116" s="0" t="s">
        <v>6862</v>
      </c>
    </row>
    <row r="117" customFormat="false" ht="15" hidden="false" customHeight="false" outlineLevel="0" collapsed="false">
      <c r="A117" s="0" t="s">
        <v>6859</v>
      </c>
      <c r="B117" s="0" t="s">
        <v>6863</v>
      </c>
      <c r="C117" s="0" t="s">
        <v>6863</v>
      </c>
      <c r="D117" s="0" t="s">
        <v>6861</v>
      </c>
      <c r="E117" s="0" t="s">
        <v>6862</v>
      </c>
    </row>
    <row r="118" customFormat="false" ht="15" hidden="false" customHeight="false" outlineLevel="0" collapsed="false">
      <c r="A118" s="0" t="s">
        <v>6859</v>
      </c>
      <c r="B118" s="0" t="s">
        <v>600</v>
      </c>
      <c r="C118" s="0" t="s">
        <v>600</v>
      </c>
      <c r="D118" s="0" t="s">
        <v>6861</v>
      </c>
      <c r="E118" s="0" t="s">
        <v>6862</v>
      </c>
    </row>
    <row r="119" customFormat="false" ht="15" hidden="false" customHeight="false" outlineLevel="0" collapsed="false">
      <c r="A119" s="0" t="s">
        <v>6864</v>
      </c>
      <c r="B119" s="0" t="s">
        <v>6865</v>
      </c>
      <c r="C119" s="0" t="s">
        <v>6865</v>
      </c>
      <c r="D119" s="0" t="s">
        <v>6866</v>
      </c>
      <c r="E119" s="0" t="s">
        <v>4215</v>
      </c>
    </row>
    <row r="120" customFormat="false" ht="15" hidden="false" customHeight="false" outlineLevel="0" collapsed="false">
      <c r="A120" s="0" t="s">
        <v>6864</v>
      </c>
      <c r="B120" s="0" t="s">
        <v>6867</v>
      </c>
      <c r="C120" s="0" t="s">
        <v>6867</v>
      </c>
      <c r="D120" s="0" t="s">
        <v>6866</v>
      </c>
      <c r="E120" s="0" t="s">
        <v>4215</v>
      </c>
    </row>
    <row r="121" customFormat="false" ht="15" hidden="false" customHeight="false" outlineLevel="0" collapsed="false">
      <c r="A121" s="0" t="s">
        <v>6864</v>
      </c>
      <c r="B121" s="0" t="s">
        <v>6868</v>
      </c>
      <c r="C121" s="0" t="s">
        <v>6868</v>
      </c>
      <c r="D121" s="0" t="s">
        <v>6866</v>
      </c>
      <c r="E121" s="0" t="s">
        <v>4215</v>
      </c>
    </row>
    <row r="122" customFormat="false" ht="15" hidden="false" customHeight="false" outlineLevel="0" collapsed="false">
      <c r="A122" s="0" t="s">
        <v>6864</v>
      </c>
      <c r="B122" s="0" t="s">
        <v>6869</v>
      </c>
      <c r="C122" s="0" t="s">
        <v>6869</v>
      </c>
      <c r="D122" s="0" t="s">
        <v>6866</v>
      </c>
      <c r="E122" s="0" t="s">
        <v>4215</v>
      </c>
    </row>
    <row r="123" customFormat="false" ht="15" hidden="false" customHeight="false" outlineLevel="0" collapsed="false">
      <c r="A123" s="0" t="s">
        <v>6864</v>
      </c>
      <c r="B123" s="0" t="s">
        <v>6870</v>
      </c>
      <c r="C123" s="0" t="s">
        <v>6870</v>
      </c>
      <c r="D123" s="0" t="s">
        <v>6866</v>
      </c>
      <c r="E123" s="0" t="s">
        <v>4215</v>
      </c>
    </row>
    <row r="124" customFormat="false" ht="15" hidden="false" customHeight="false" outlineLevel="0" collapsed="false">
      <c r="A124" s="0" t="s">
        <v>6864</v>
      </c>
      <c r="B124" s="0" t="s">
        <v>6871</v>
      </c>
      <c r="C124" s="0" t="s">
        <v>6871</v>
      </c>
      <c r="D124" s="0" t="s">
        <v>6866</v>
      </c>
      <c r="E124" s="0" t="s">
        <v>4215</v>
      </c>
    </row>
    <row r="125" customFormat="false" ht="15" hidden="false" customHeight="false" outlineLevel="0" collapsed="false">
      <c r="A125" s="0" t="s">
        <v>6872</v>
      </c>
      <c r="B125" s="0" t="s">
        <v>6873</v>
      </c>
      <c r="C125" s="0" t="s">
        <v>6874</v>
      </c>
      <c r="D125" s="0" t="s">
        <v>6875</v>
      </c>
      <c r="E125" s="0" t="s">
        <v>4294</v>
      </c>
    </row>
    <row r="126" customFormat="false" ht="15" hidden="false" customHeight="false" outlineLevel="0" collapsed="false">
      <c r="A126" s="0" t="s">
        <v>6872</v>
      </c>
      <c r="B126" s="0" t="s">
        <v>6876</v>
      </c>
      <c r="C126" s="0" t="s">
        <v>6877</v>
      </c>
      <c r="D126" s="0" t="s">
        <v>6878</v>
      </c>
      <c r="E126" s="0" t="s">
        <v>4294</v>
      </c>
    </row>
    <row r="127" customFormat="false" ht="15" hidden="false" customHeight="false" outlineLevel="0" collapsed="false">
      <c r="A127" s="0" t="s">
        <v>6879</v>
      </c>
      <c r="B127" s="0" t="s">
        <v>6880</v>
      </c>
      <c r="C127" s="0" t="s">
        <v>6880</v>
      </c>
      <c r="D127" s="0" t="s">
        <v>6829</v>
      </c>
      <c r="E127" s="0" t="s">
        <v>6881</v>
      </c>
    </row>
    <row r="128" customFormat="false" ht="15" hidden="false" customHeight="false" outlineLevel="0" collapsed="false">
      <c r="A128" s="0" t="s">
        <v>6879</v>
      </c>
      <c r="B128" s="0" t="s">
        <v>6882</v>
      </c>
      <c r="C128" s="0" t="s">
        <v>6882</v>
      </c>
      <c r="D128" s="0" t="s">
        <v>6832</v>
      </c>
      <c r="E128" s="0" t="s">
        <v>6883</v>
      </c>
    </row>
    <row r="129" customFormat="false" ht="15" hidden="false" customHeight="false" outlineLevel="0" collapsed="false">
      <c r="A129" s="0" t="s">
        <v>6879</v>
      </c>
      <c r="B129" s="0" t="s">
        <v>6884</v>
      </c>
      <c r="C129" s="0" t="s">
        <v>6884</v>
      </c>
      <c r="D129" s="0" t="s">
        <v>6832</v>
      </c>
      <c r="E129" s="0" t="s">
        <v>6883</v>
      </c>
    </row>
    <row r="130" customFormat="false" ht="15" hidden="false" customHeight="false" outlineLevel="0" collapsed="false">
      <c r="A130" s="0" t="s">
        <v>6879</v>
      </c>
      <c r="B130" s="0" t="s">
        <v>6885</v>
      </c>
      <c r="C130" s="0" t="s">
        <v>6885</v>
      </c>
      <c r="D130" s="0" t="s">
        <v>6832</v>
      </c>
      <c r="E130" s="0" t="s">
        <v>6883</v>
      </c>
    </row>
    <row r="131" customFormat="false" ht="15" hidden="false" customHeight="false" outlineLevel="0" collapsed="false">
      <c r="A131" s="0" t="s">
        <v>6879</v>
      </c>
      <c r="B131" s="0" t="s">
        <v>6886</v>
      </c>
      <c r="C131" s="0" t="s">
        <v>6886</v>
      </c>
      <c r="D131" s="0" t="s">
        <v>6832</v>
      </c>
      <c r="E131" s="0" t="s">
        <v>6883</v>
      </c>
    </row>
    <row r="132" customFormat="false" ht="15" hidden="false" customHeight="false" outlineLevel="0" collapsed="false">
      <c r="A132" s="0" t="s">
        <v>6879</v>
      </c>
      <c r="B132" s="0" t="s">
        <v>6887</v>
      </c>
      <c r="C132" s="0" t="s">
        <v>6887</v>
      </c>
      <c r="D132" s="0" t="s">
        <v>6832</v>
      </c>
      <c r="E132" s="0" t="s">
        <v>6883</v>
      </c>
    </row>
    <row r="133" customFormat="false" ht="15" hidden="false" customHeight="false" outlineLevel="0" collapsed="false">
      <c r="A133" s="0" t="s">
        <v>6879</v>
      </c>
      <c r="B133" s="0" t="s">
        <v>6888</v>
      </c>
      <c r="C133" s="0" t="s">
        <v>6888</v>
      </c>
      <c r="D133" s="0" t="s">
        <v>6832</v>
      </c>
      <c r="E133" s="0" t="s">
        <v>6883</v>
      </c>
    </row>
    <row r="134" customFormat="false" ht="15" hidden="false" customHeight="false" outlineLevel="0" collapsed="false">
      <c r="A134" s="0" t="s">
        <v>6879</v>
      </c>
      <c r="B134" s="0" t="s">
        <v>6889</v>
      </c>
      <c r="C134" s="0" t="s">
        <v>6889</v>
      </c>
      <c r="D134" s="0" t="s">
        <v>6832</v>
      </c>
      <c r="E134" s="0" t="s">
        <v>6883</v>
      </c>
    </row>
    <row r="135" customFormat="false" ht="15" hidden="false" customHeight="false" outlineLevel="0" collapsed="false">
      <c r="A135" s="0" t="s">
        <v>6879</v>
      </c>
      <c r="B135" s="0" t="s">
        <v>6890</v>
      </c>
      <c r="C135" s="0" t="s">
        <v>6890</v>
      </c>
      <c r="D135" s="0" t="s">
        <v>6832</v>
      </c>
      <c r="E135" s="0" t="s">
        <v>6883</v>
      </c>
    </row>
    <row r="136" customFormat="false" ht="15" hidden="false" customHeight="false" outlineLevel="0" collapsed="false">
      <c r="A136" s="0" t="s">
        <v>6879</v>
      </c>
      <c r="B136" s="0" t="s">
        <v>6891</v>
      </c>
      <c r="C136" s="0" t="s">
        <v>6891</v>
      </c>
      <c r="D136" s="0" t="s">
        <v>6832</v>
      </c>
      <c r="E136" s="0" t="s">
        <v>6883</v>
      </c>
    </row>
    <row r="137" customFormat="false" ht="15" hidden="false" customHeight="false" outlineLevel="0" collapsed="false">
      <c r="A137" s="0" t="s">
        <v>6879</v>
      </c>
      <c r="B137" s="0" t="s">
        <v>6892</v>
      </c>
      <c r="C137" s="0" t="s">
        <v>6892</v>
      </c>
      <c r="D137" s="0" t="s">
        <v>6832</v>
      </c>
      <c r="E137" s="0" t="s">
        <v>6883</v>
      </c>
    </row>
    <row r="138" customFormat="false" ht="15" hidden="false" customHeight="false" outlineLevel="0" collapsed="false">
      <c r="A138" s="0" t="s">
        <v>6879</v>
      </c>
      <c r="B138" s="0" t="s">
        <v>6893</v>
      </c>
      <c r="C138" s="0" t="s">
        <v>6893</v>
      </c>
      <c r="D138" s="0" t="s">
        <v>6825</v>
      </c>
      <c r="E138" s="0" t="s">
        <v>4215</v>
      </c>
    </row>
    <row r="139" customFormat="false" ht="15" hidden="false" customHeight="false" outlineLevel="0" collapsed="false">
      <c r="A139" s="0" t="s">
        <v>6894</v>
      </c>
      <c r="B139" s="0" t="s">
        <v>6893</v>
      </c>
      <c r="C139" s="0" t="s">
        <v>6893</v>
      </c>
      <c r="D139" s="0" t="s">
        <v>6895</v>
      </c>
      <c r="E139" s="0" t="s">
        <v>4215</v>
      </c>
    </row>
    <row r="140" customFormat="false" ht="15" hidden="false" customHeight="false" outlineLevel="0" collapsed="false">
      <c r="A140" s="0" t="s">
        <v>6894</v>
      </c>
      <c r="B140" s="0" t="s">
        <v>6896</v>
      </c>
      <c r="C140" s="0" t="s">
        <v>6896</v>
      </c>
      <c r="D140" s="0" t="s">
        <v>6897</v>
      </c>
      <c r="E140" s="0" t="s">
        <v>6862</v>
      </c>
    </row>
    <row r="141" customFormat="false" ht="15" hidden="false" customHeight="false" outlineLevel="0" collapsed="false">
      <c r="A141" s="0" t="s">
        <v>6894</v>
      </c>
      <c r="B141" s="0" t="s">
        <v>6898</v>
      </c>
      <c r="C141" s="0" t="s">
        <v>6898</v>
      </c>
      <c r="D141" s="0" t="s">
        <v>6899</v>
      </c>
      <c r="E141" s="0" t="s">
        <v>6827</v>
      </c>
    </row>
    <row r="142" customFormat="false" ht="15" hidden="false" customHeight="false" outlineLevel="0" collapsed="false">
      <c r="A142" s="0" t="s">
        <v>6894</v>
      </c>
      <c r="B142" s="0" t="s">
        <v>6900</v>
      </c>
      <c r="C142" s="0" t="s">
        <v>6900</v>
      </c>
      <c r="D142" s="0" t="s">
        <v>6901</v>
      </c>
      <c r="E142" s="0" t="s">
        <v>6902</v>
      </c>
    </row>
    <row r="143" customFormat="false" ht="15" hidden="false" customHeight="false" outlineLevel="0" collapsed="false">
      <c r="A143" s="0" t="s">
        <v>6894</v>
      </c>
      <c r="B143" s="0" t="s">
        <v>6858</v>
      </c>
      <c r="C143" s="0" t="s">
        <v>6858</v>
      </c>
      <c r="D143" s="0" t="s">
        <v>6903</v>
      </c>
      <c r="E143" s="0" t="s">
        <v>6841</v>
      </c>
    </row>
    <row r="144" customFormat="false" ht="15" hidden="false" customHeight="false" outlineLevel="0" collapsed="false">
      <c r="A144" s="0" t="s">
        <v>6894</v>
      </c>
      <c r="B144" s="0" t="s">
        <v>6904</v>
      </c>
      <c r="C144" s="0" t="s">
        <v>6904</v>
      </c>
      <c r="D144" s="0" t="s">
        <v>6905</v>
      </c>
      <c r="E144" s="0" t="s">
        <v>4215</v>
      </c>
    </row>
    <row r="145" customFormat="false" ht="15" hidden="false" customHeight="false" outlineLevel="0" collapsed="false">
      <c r="A145" s="0" t="s">
        <v>6894</v>
      </c>
      <c r="B145" s="0" t="s">
        <v>6906</v>
      </c>
      <c r="C145" s="0" t="s">
        <v>6906</v>
      </c>
      <c r="D145" s="0" t="s">
        <v>6907</v>
      </c>
      <c r="E145" s="0" t="s">
        <v>4215</v>
      </c>
    </row>
    <row r="146" customFormat="false" ht="15" hidden="false" customHeight="false" outlineLevel="0" collapsed="false">
      <c r="A146" s="0" t="s">
        <v>6894</v>
      </c>
      <c r="B146" s="0" t="s">
        <v>6908</v>
      </c>
      <c r="C146" s="0" t="s">
        <v>6908</v>
      </c>
      <c r="D146" s="0" t="s">
        <v>6909</v>
      </c>
      <c r="E146" s="0" t="s">
        <v>4215</v>
      </c>
    </row>
    <row r="147" customFormat="false" ht="15" hidden="false" customHeight="false" outlineLevel="0" collapsed="false">
      <c r="A147" s="0" t="s">
        <v>6910</v>
      </c>
      <c r="B147" s="0" t="s">
        <v>6911</v>
      </c>
      <c r="C147" s="0" t="s">
        <v>6911</v>
      </c>
      <c r="D147" s="0" t="s">
        <v>6912</v>
      </c>
      <c r="E147" s="0" t="s">
        <v>6913</v>
      </c>
    </row>
    <row r="148" customFormat="false" ht="15" hidden="false" customHeight="false" outlineLevel="0" collapsed="false">
      <c r="A148" s="0" t="s">
        <v>6910</v>
      </c>
      <c r="B148" s="0" t="s">
        <v>6914</v>
      </c>
      <c r="C148" s="0" t="s">
        <v>6914</v>
      </c>
      <c r="D148" s="0" t="s">
        <v>6912</v>
      </c>
      <c r="E148" s="0" t="s">
        <v>6913</v>
      </c>
    </row>
    <row r="149" customFormat="false" ht="15" hidden="false" customHeight="false" outlineLevel="0" collapsed="false">
      <c r="A149" s="0" t="s">
        <v>6910</v>
      </c>
      <c r="B149" s="0" t="s">
        <v>6915</v>
      </c>
      <c r="C149" s="0" t="s">
        <v>6915</v>
      </c>
      <c r="D149" s="0" t="s">
        <v>6912</v>
      </c>
      <c r="E149" s="0" t="s">
        <v>6913</v>
      </c>
    </row>
    <row r="150" customFormat="false" ht="15" hidden="false" customHeight="false" outlineLevel="0" collapsed="false">
      <c r="A150" s="0" t="s">
        <v>6910</v>
      </c>
      <c r="B150" s="0" t="s">
        <v>6916</v>
      </c>
      <c r="C150" s="0" t="s">
        <v>6916</v>
      </c>
      <c r="D150" s="0" t="s">
        <v>6912</v>
      </c>
      <c r="E150" s="0" t="s">
        <v>6913</v>
      </c>
    </row>
    <row r="151" customFormat="false" ht="15" hidden="false" customHeight="false" outlineLevel="0" collapsed="false">
      <c r="A151" s="0" t="s">
        <v>6910</v>
      </c>
      <c r="B151" s="0" t="s">
        <v>6917</v>
      </c>
      <c r="C151" s="0" t="s">
        <v>6917</v>
      </c>
      <c r="D151" s="0" t="s">
        <v>6912</v>
      </c>
      <c r="E151" s="0" t="s">
        <v>6913</v>
      </c>
    </row>
    <row r="152" customFormat="false" ht="15" hidden="false" customHeight="false" outlineLevel="0" collapsed="false">
      <c r="A152" s="0" t="s">
        <v>6910</v>
      </c>
      <c r="B152" s="0" t="s">
        <v>6918</v>
      </c>
      <c r="C152" s="0" t="s">
        <v>6918</v>
      </c>
      <c r="D152" s="0" t="s">
        <v>6912</v>
      </c>
      <c r="E152" s="0" t="s">
        <v>6913</v>
      </c>
    </row>
    <row r="153" customFormat="false" ht="15" hidden="false" customHeight="false" outlineLevel="0" collapsed="false">
      <c r="A153" s="0" t="s">
        <v>6910</v>
      </c>
      <c r="B153" s="0" t="s">
        <v>600</v>
      </c>
      <c r="C153" s="0" t="s">
        <v>600</v>
      </c>
      <c r="D153" s="0" t="s">
        <v>6912</v>
      </c>
      <c r="E153" s="0" t="s">
        <v>6913</v>
      </c>
    </row>
    <row r="154" customFormat="false" ht="15" hidden="false" customHeight="false" outlineLevel="0" collapsed="false">
      <c r="A154" s="0" t="s">
        <v>6919</v>
      </c>
      <c r="B154" s="0" t="s">
        <v>6920</v>
      </c>
      <c r="C154" s="0" t="s">
        <v>6920</v>
      </c>
      <c r="D154" s="0" t="s">
        <v>6921</v>
      </c>
      <c r="E154" s="0" t="s">
        <v>4215</v>
      </c>
    </row>
    <row r="155" customFormat="false" ht="15" hidden="false" customHeight="false" outlineLevel="0" collapsed="false">
      <c r="A155" s="0" t="s">
        <v>102</v>
      </c>
      <c r="B155" s="0" t="s">
        <v>112</v>
      </c>
      <c r="C155" s="0" t="s">
        <v>6922</v>
      </c>
      <c r="D155" s="0" t="s">
        <v>6923</v>
      </c>
      <c r="E155" s="0" t="s">
        <v>4215</v>
      </c>
    </row>
    <row r="156" customFormat="false" ht="15" hidden="false" customHeight="false" outlineLevel="0" collapsed="false">
      <c r="A156" s="0" t="s">
        <v>102</v>
      </c>
      <c r="B156" s="0" t="s">
        <v>120</v>
      </c>
      <c r="C156" s="0" t="s">
        <v>6924</v>
      </c>
      <c r="D156" s="0" t="s">
        <v>6925</v>
      </c>
      <c r="E156" s="0" t="s">
        <v>6926</v>
      </c>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66"/>
    <col collapsed="false" customWidth="true" hidden="false" outlineLevel="0" max="3" min="3" style="0" width="34"/>
    <col collapsed="false" customWidth="true" hidden="false" outlineLevel="0" max="4" min="4" style="0" width="14"/>
    <col collapsed="false" customWidth="true" hidden="false" outlineLevel="0" max="5" min="5" style="0" width="94"/>
    <col collapsed="false" customWidth="true" hidden="false" outlineLevel="0" max="6" min="6" style="0" width="70"/>
    <col collapsed="false" customWidth="true" hidden="false" outlineLevel="0" max="7" min="7" style="0" width="42"/>
    <col collapsed="false" customWidth="true" hidden="false" outlineLevel="0" max="8" min="8" style="0" width="14"/>
  </cols>
  <sheetData>
    <row r="1" customFormat="false" ht="30" hidden="false" customHeight="true" outlineLevel="0" collapsed="false">
      <c r="A1" s="1" t="s">
        <v>6927</v>
      </c>
      <c r="B1" s="1"/>
      <c r="C1" s="1"/>
      <c r="D1" s="1"/>
      <c r="E1" s="1"/>
      <c r="F1" s="1"/>
      <c r="G1" s="1"/>
      <c r="H1" s="1"/>
    </row>
    <row r="2" customFormat="false" ht="42" hidden="false" customHeight="true" outlineLevel="0" collapsed="false">
      <c r="A2" s="2" t="s">
        <v>6928</v>
      </c>
      <c r="B2" s="2"/>
      <c r="C2" s="2"/>
      <c r="D2" s="2"/>
      <c r="E2" s="2"/>
      <c r="F2" s="2"/>
      <c r="G2" s="2"/>
      <c r="H2" s="2"/>
    </row>
    <row r="3" customFormat="false" ht="15" hidden="false" customHeight="false" outlineLevel="0" collapsed="false">
      <c r="A3" s="3"/>
      <c r="B3" s="3"/>
      <c r="C3" s="3"/>
      <c r="D3" s="3"/>
      <c r="E3" s="3"/>
      <c r="F3" s="3"/>
      <c r="G3" s="3"/>
      <c r="H3" s="3"/>
    </row>
    <row r="5" customFormat="false" ht="38" hidden="false" customHeight="true" outlineLevel="0" collapsed="false">
      <c r="A5" s="10" t="s">
        <v>6929</v>
      </c>
      <c r="B5" s="10" t="s">
        <v>6930</v>
      </c>
      <c r="C5" s="10" t="s">
        <v>6931</v>
      </c>
      <c r="D5" s="10" t="s">
        <v>6932</v>
      </c>
      <c r="E5" s="10" t="s">
        <v>6933</v>
      </c>
      <c r="F5" s="10" t="s">
        <v>6934</v>
      </c>
      <c r="G5" s="10" t="s">
        <v>6935</v>
      </c>
      <c r="H5" s="10" t="s">
        <v>104</v>
      </c>
    </row>
    <row r="6" customFormat="false" ht="72" hidden="false" customHeight="true" outlineLevel="0" collapsed="false">
      <c r="A6" s="11" t="s">
        <v>6936</v>
      </c>
      <c r="B6" s="11" t="s">
        <v>6937</v>
      </c>
      <c r="C6" s="11" t="s">
        <v>6938</v>
      </c>
      <c r="D6" s="11" t="n">
        <v>100</v>
      </c>
      <c r="E6" s="11" t="s">
        <v>6939</v>
      </c>
      <c r="F6" s="11" t="s">
        <v>6940</v>
      </c>
      <c r="G6" s="11" t="s">
        <v>6941</v>
      </c>
      <c r="H6" s="12" t="s">
        <v>6942</v>
      </c>
    </row>
    <row r="7" customFormat="false" ht="72" hidden="false" customHeight="true" outlineLevel="0" collapsed="false">
      <c r="A7" s="11" t="s">
        <v>6943</v>
      </c>
      <c r="B7" s="11" t="s">
        <v>6944</v>
      </c>
      <c r="C7" s="11" t="s">
        <v>6938</v>
      </c>
      <c r="D7" s="11" t="n">
        <v>100</v>
      </c>
      <c r="E7" s="11" t="s">
        <v>6945</v>
      </c>
      <c r="F7" s="11" t="s">
        <v>6946</v>
      </c>
      <c r="G7" s="11" t="s">
        <v>6947</v>
      </c>
      <c r="H7" s="12" t="s">
        <v>6942</v>
      </c>
    </row>
    <row r="8" customFormat="false" ht="72" hidden="false" customHeight="true" outlineLevel="0" collapsed="false">
      <c r="A8" s="11" t="s">
        <v>6948</v>
      </c>
      <c r="B8" s="11" t="s">
        <v>6949</v>
      </c>
      <c r="C8" s="11" t="s">
        <v>6938</v>
      </c>
      <c r="D8" s="11" t="n">
        <v>100</v>
      </c>
      <c r="E8" s="11" t="s">
        <v>6950</v>
      </c>
      <c r="F8" s="11" t="s">
        <v>6951</v>
      </c>
      <c r="G8" s="11" t="s">
        <v>6952</v>
      </c>
      <c r="H8" s="12" t="s">
        <v>6942</v>
      </c>
    </row>
    <row r="9" customFormat="false" ht="72" hidden="false" customHeight="true" outlineLevel="0" collapsed="false">
      <c r="A9" s="11" t="s">
        <v>6953</v>
      </c>
      <c r="B9" s="11" t="s">
        <v>6954</v>
      </c>
      <c r="C9" s="11" t="s">
        <v>6938</v>
      </c>
      <c r="D9" s="11" t="n">
        <v>100</v>
      </c>
      <c r="E9" s="11" t="s">
        <v>6955</v>
      </c>
      <c r="F9" s="11" t="s">
        <v>6956</v>
      </c>
      <c r="G9" s="11" t="s">
        <v>6957</v>
      </c>
      <c r="H9" s="12" t="s">
        <v>6942</v>
      </c>
    </row>
    <row r="10" customFormat="false" ht="72" hidden="false" customHeight="true" outlineLevel="0" collapsed="false">
      <c r="A10" s="11" t="s">
        <v>6958</v>
      </c>
      <c r="B10" s="11" t="s">
        <v>6959</v>
      </c>
      <c r="C10" s="11" t="s">
        <v>6960</v>
      </c>
      <c r="D10" s="11" t="n">
        <v>50</v>
      </c>
      <c r="E10" s="11" t="s">
        <v>6961</v>
      </c>
      <c r="F10" s="11" t="s">
        <v>6962</v>
      </c>
      <c r="G10" s="11" t="s">
        <v>6963</v>
      </c>
      <c r="H10" s="12" t="s">
        <v>6942</v>
      </c>
    </row>
    <row r="11" customFormat="false" ht="72" hidden="false" customHeight="true" outlineLevel="0" collapsed="false">
      <c r="A11" s="11" t="s">
        <v>6964</v>
      </c>
      <c r="B11" s="11" t="s">
        <v>6965</v>
      </c>
      <c r="C11" s="11" t="s">
        <v>6966</v>
      </c>
      <c r="D11" s="11" t="n">
        <v>10</v>
      </c>
      <c r="E11" s="11" t="s">
        <v>6967</v>
      </c>
      <c r="F11" s="11" t="s">
        <v>6968</v>
      </c>
      <c r="G11" s="11" t="s">
        <v>6969</v>
      </c>
      <c r="H11" s="12" t="s">
        <v>6942</v>
      </c>
    </row>
    <row r="12" customFormat="false" ht="72" hidden="false" customHeight="true" outlineLevel="0" collapsed="false">
      <c r="A12" s="11" t="s">
        <v>6970</v>
      </c>
      <c r="B12" s="11" t="s">
        <v>6971</v>
      </c>
      <c r="C12" s="11" t="s">
        <v>6972</v>
      </c>
      <c r="D12" s="11" t="n">
        <v>0</v>
      </c>
      <c r="E12" s="11" t="s">
        <v>6973</v>
      </c>
      <c r="F12" s="11" t="s">
        <v>6974</v>
      </c>
      <c r="G12" s="11" t="s">
        <v>6975</v>
      </c>
      <c r="H12" s="12" t="s">
        <v>6942</v>
      </c>
    </row>
    <row r="13" customFormat="false" ht="72" hidden="false" customHeight="true" outlineLevel="0" collapsed="false">
      <c r="A13" s="11" t="s">
        <v>4511</v>
      </c>
      <c r="B13" s="11" t="s">
        <v>6976</v>
      </c>
      <c r="C13" s="11" t="s">
        <v>6977</v>
      </c>
      <c r="D13" s="11" t="n">
        <v>110</v>
      </c>
      <c r="E13" s="11" t="s">
        <v>6978</v>
      </c>
      <c r="F13" s="11" t="s">
        <v>1986</v>
      </c>
      <c r="G13" s="11" t="s">
        <v>6979</v>
      </c>
      <c r="H13" s="12" t="s">
        <v>6942</v>
      </c>
    </row>
    <row r="14" customFormat="false" ht="15" hidden="false" customHeight="false" outlineLevel="0" collapsed="false">
      <c r="A14" s="0" t="s">
        <v>6980</v>
      </c>
      <c r="B14" s="0" t="s">
        <v>6981</v>
      </c>
      <c r="C14" s="0" t="s">
        <v>6977</v>
      </c>
      <c r="D14" s="0" t="n">
        <v>120</v>
      </c>
      <c r="E14" s="0" t="s">
        <v>6982</v>
      </c>
      <c r="F14" s="0" t="s">
        <v>1986</v>
      </c>
      <c r="G14" s="0" t="s">
        <v>6979</v>
      </c>
      <c r="H14" s="0" t="s">
        <v>6942</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48"/>
    <col collapsed="false" customWidth="true" hidden="false" outlineLevel="0" max="4" min="4" style="0" width="160"/>
    <col collapsed="false" customWidth="true" hidden="false" outlineLevel="0" max="5" min="5" style="0" width="70"/>
    <col collapsed="false" customWidth="true" hidden="false" outlineLevel="0" max="6" min="6" style="0" width="86"/>
    <col collapsed="false" customWidth="true" hidden="false" outlineLevel="0" max="7" min="7" style="0" width="12"/>
  </cols>
  <sheetData>
    <row r="1" customFormat="false" ht="30" hidden="false" customHeight="true" outlineLevel="0" collapsed="false">
      <c r="A1" s="1" t="s">
        <v>6983</v>
      </c>
      <c r="B1" s="1"/>
      <c r="C1" s="1"/>
      <c r="D1" s="1"/>
      <c r="E1" s="1"/>
      <c r="F1" s="1"/>
      <c r="G1" s="1"/>
    </row>
    <row r="2" customFormat="false" ht="42" hidden="false" customHeight="true" outlineLevel="0" collapsed="false">
      <c r="A2" s="2" t="s">
        <v>6984</v>
      </c>
      <c r="B2" s="2"/>
      <c r="C2" s="2"/>
      <c r="D2" s="2"/>
      <c r="E2" s="2"/>
      <c r="F2" s="2"/>
      <c r="G2" s="2"/>
    </row>
    <row r="3" customFormat="false" ht="15" hidden="false" customHeight="false" outlineLevel="0" collapsed="false">
      <c r="A3" s="3"/>
      <c r="B3" s="3"/>
      <c r="C3" s="3"/>
      <c r="D3" s="3"/>
      <c r="E3" s="3"/>
      <c r="F3" s="3"/>
      <c r="G3" s="3"/>
    </row>
    <row r="5" customFormat="false" ht="38" hidden="false" customHeight="true" outlineLevel="0" collapsed="false">
      <c r="A5" s="10" t="s">
        <v>6985</v>
      </c>
      <c r="B5" s="10" t="s">
        <v>6986</v>
      </c>
      <c r="C5" s="10" t="s">
        <v>6987</v>
      </c>
      <c r="D5" s="10" t="s">
        <v>6988</v>
      </c>
      <c r="E5" s="10" t="s">
        <v>6989</v>
      </c>
      <c r="F5" s="10" t="s">
        <v>6990</v>
      </c>
      <c r="G5" s="10" t="s">
        <v>6991</v>
      </c>
    </row>
    <row r="6" customFormat="false" ht="104" hidden="false" customHeight="true" outlineLevel="0" collapsed="false">
      <c r="A6" s="11" t="s">
        <v>500</v>
      </c>
      <c r="B6" s="11" t="s">
        <v>70</v>
      </c>
      <c r="C6" s="11" t="s">
        <v>71</v>
      </c>
      <c r="D6" s="11" t="s">
        <v>6992</v>
      </c>
      <c r="E6" s="11" t="s">
        <v>6993</v>
      </c>
      <c r="F6" s="11" t="s">
        <v>4084</v>
      </c>
      <c r="G6" s="12" t="s">
        <v>9</v>
      </c>
    </row>
    <row r="7" customFormat="false" ht="104" hidden="false" customHeight="true" outlineLevel="0" collapsed="false">
      <c r="A7" s="11" t="s">
        <v>500</v>
      </c>
      <c r="B7" s="11" t="s">
        <v>77</v>
      </c>
      <c r="C7" s="11" t="s">
        <v>78</v>
      </c>
      <c r="D7" s="11" t="s">
        <v>6994</v>
      </c>
      <c r="E7" s="11" t="s">
        <v>6995</v>
      </c>
      <c r="F7" s="11" t="s">
        <v>4084</v>
      </c>
      <c r="G7" s="12" t="s">
        <v>9</v>
      </c>
    </row>
    <row r="8" customFormat="false" ht="104" hidden="false" customHeight="true" outlineLevel="0" collapsed="false">
      <c r="A8" s="11" t="s">
        <v>500</v>
      </c>
      <c r="B8" s="11" t="s">
        <v>79</v>
      </c>
      <c r="C8" s="11" t="s">
        <v>80</v>
      </c>
      <c r="D8" s="11" t="s">
        <v>6996</v>
      </c>
      <c r="E8" s="11" t="s">
        <v>6997</v>
      </c>
      <c r="F8" s="11" t="s">
        <v>4084</v>
      </c>
      <c r="G8" s="12" t="s">
        <v>9</v>
      </c>
    </row>
    <row r="9" customFormat="false" ht="104" hidden="false" customHeight="true" outlineLevel="0" collapsed="false">
      <c r="A9" s="11" t="s">
        <v>500</v>
      </c>
      <c r="B9" s="11" t="s">
        <v>82</v>
      </c>
      <c r="C9" s="11" t="s">
        <v>83</v>
      </c>
      <c r="D9" s="11" t="s">
        <v>6998</v>
      </c>
      <c r="E9" s="11" t="s">
        <v>6999</v>
      </c>
      <c r="F9" s="11" t="s">
        <v>4084</v>
      </c>
      <c r="G9" s="12" t="s">
        <v>9</v>
      </c>
    </row>
    <row r="10" customFormat="false" ht="104" hidden="false" customHeight="true" outlineLevel="0" collapsed="false">
      <c r="A10" s="11" t="s">
        <v>500</v>
      </c>
      <c r="B10" s="11" t="s">
        <v>86</v>
      </c>
      <c r="C10" s="11" t="s">
        <v>87</v>
      </c>
      <c r="D10" s="11" t="s">
        <v>7000</v>
      </c>
      <c r="E10" s="11" t="s">
        <v>7001</v>
      </c>
      <c r="F10" s="11" t="s">
        <v>4084</v>
      </c>
      <c r="G10" s="12" t="s">
        <v>9</v>
      </c>
    </row>
    <row r="11" customFormat="false" ht="104" hidden="false" customHeight="true" outlineLevel="0" collapsed="false">
      <c r="A11" s="11" t="s">
        <v>500</v>
      </c>
      <c r="B11" s="11" t="s">
        <v>88</v>
      </c>
      <c r="C11" s="11" t="s">
        <v>89</v>
      </c>
      <c r="D11" s="11" t="s">
        <v>7002</v>
      </c>
      <c r="E11" s="11" t="s">
        <v>7003</v>
      </c>
      <c r="F11" s="11" t="s">
        <v>4084</v>
      </c>
      <c r="G11" s="12" t="s">
        <v>9</v>
      </c>
    </row>
    <row r="12" customFormat="false" ht="104" hidden="false" customHeight="true" outlineLevel="0" collapsed="false">
      <c r="A12" s="11" t="s">
        <v>500</v>
      </c>
      <c r="B12" s="11" t="s">
        <v>92</v>
      </c>
      <c r="C12" s="11" t="s">
        <v>93</v>
      </c>
      <c r="D12" s="11" t="s">
        <v>7004</v>
      </c>
      <c r="E12" s="11" t="s">
        <v>7005</v>
      </c>
      <c r="F12" s="11" t="s">
        <v>4084</v>
      </c>
      <c r="G12" s="12" t="s">
        <v>9</v>
      </c>
    </row>
    <row r="13" customFormat="false" ht="104" hidden="false" customHeight="true" outlineLevel="0" collapsed="false">
      <c r="A13" s="11" t="s">
        <v>499</v>
      </c>
      <c r="B13" s="11" t="s">
        <v>108</v>
      </c>
      <c r="C13" s="11" t="s">
        <v>109</v>
      </c>
      <c r="D13" s="11" t="s">
        <v>7006</v>
      </c>
      <c r="E13" s="11" t="s">
        <v>7007</v>
      </c>
      <c r="F13" s="11" t="s">
        <v>4084</v>
      </c>
      <c r="G13" s="12" t="s">
        <v>9</v>
      </c>
    </row>
    <row r="14" customFormat="false" ht="104" hidden="false" customHeight="true" outlineLevel="0" collapsed="false">
      <c r="A14" s="11" t="s">
        <v>499</v>
      </c>
      <c r="B14" s="11" t="s">
        <v>116</v>
      </c>
      <c r="C14" s="11" t="s">
        <v>117</v>
      </c>
      <c r="D14" s="11" t="s">
        <v>7008</v>
      </c>
      <c r="E14" s="11" t="s">
        <v>7009</v>
      </c>
      <c r="F14" s="11" t="s">
        <v>4084</v>
      </c>
      <c r="G14" s="12" t="s">
        <v>9</v>
      </c>
    </row>
    <row r="15" customFormat="false" ht="104" hidden="false" customHeight="true" outlineLevel="0" collapsed="false">
      <c r="A15" s="11" t="s">
        <v>499</v>
      </c>
      <c r="B15" s="11" t="s">
        <v>122</v>
      </c>
      <c r="C15" s="11" t="s">
        <v>123</v>
      </c>
      <c r="D15" s="11" t="s">
        <v>7010</v>
      </c>
      <c r="E15" s="11" t="s">
        <v>7011</v>
      </c>
      <c r="F15" s="11" t="s">
        <v>4084</v>
      </c>
      <c r="G15" s="12" t="s">
        <v>9</v>
      </c>
    </row>
    <row r="16" customFormat="false" ht="104" hidden="false" customHeight="true" outlineLevel="0" collapsed="false">
      <c r="A16" s="11" t="s">
        <v>523</v>
      </c>
      <c r="B16" s="11" t="s">
        <v>133</v>
      </c>
      <c r="C16" s="11" t="s">
        <v>134</v>
      </c>
      <c r="D16" s="11" t="s">
        <v>7012</v>
      </c>
      <c r="E16" s="11" t="s">
        <v>7013</v>
      </c>
      <c r="F16" s="11" t="s">
        <v>4084</v>
      </c>
      <c r="G16" s="12" t="s">
        <v>9</v>
      </c>
    </row>
    <row r="17" customFormat="false" ht="104" hidden="false" customHeight="true" outlineLevel="0" collapsed="false">
      <c r="A17" s="11" t="s">
        <v>523</v>
      </c>
      <c r="B17" s="11" t="s">
        <v>139</v>
      </c>
      <c r="C17" s="11" t="s">
        <v>140</v>
      </c>
      <c r="D17" s="11" t="s">
        <v>7014</v>
      </c>
      <c r="E17" s="11" t="s">
        <v>7015</v>
      </c>
      <c r="F17" s="11" t="s">
        <v>4084</v>
      </c>
      <c r="G17" s="12" t="s">
        <v>9</v>
      </c>
    </row>
    <row r="18" customFormat="false" ht="104" hidden="false" customHeight="true" outlineLevel="0" collapsed="false">
      <c r="A18" s="11" t="s">
        <v>523</v>
      </c>
      <c r="B18" s="11" t="s">
        <v>145</v>
      </c>
      <c r="C18" s="11" t="s">
        <v>146</v>
      </c>
      <c r="D18" s="11" t="s">
        <v>7016</v>
      </c>
      <c r="E18" s="11" t="s">
        <v>7017</v>
      </c>
      <c r="F18" s="11" t="s">
        <v>4084</v>
      </c>
      <c r="G18" s="12" t="s">
        <v>9</v>
      </c>
    </row>
    <row r="19" customFormat="false" ht="104" hidden="false" customHeight="true" outlineLevel="0" collapsed="false">
      <c r="A19" s="11" t="s">
        <v>7018</v>
      </c>
      <c r="B19" s="11" t="s">
        <v>166</v>
      </c>
      <c r="C19" s="11" t="s">
        <v>167</v>
      </c>
      <c r="D19" s="11" t="s">
        <v>7019</v>
      </c>
      <c r="E19" s="11" t="s">
        <v>7020</v>
      </c>
      <c r="F19" s="11" t="s">
        <v>4084</v>
      </c>
      <c r="G19" s="12" t="s">
        <v>9</v>
      </c>
    </row>
    <row r="20" customFormat="false" ht="104" hidden="false" customHeight="true" outlineLevel="0" collapsed="false">
      <c r="A20" s="11" t="s">
        <v>7018</v>
      </c>
      <c r="B20" s="11" t="s">
        <v>176</v>
      </c>
      <c r="C20" s="11" t="s">
        <v>177</v>
      </c>
      <c r="D20" s="11" t="s">
        <v>7021</v>
      </c>
      <c r="E20" s="11" t="s">
        <v>7022</v>
      </c>
      <c r="F20" s="11" t="s">
        <v>4084</v>
      </c>
      <c r="G20" s="12" t="s">
        <v>9</v>
      </c>
    </row>
    <row r="21" customFormat="false" ht="104" hidden="false" customHeight="true" outlineLevel="0" collapsed="false">
      <c r="A21" s="11" t="s">
        <v>7018</v>
      </c>
      <c r="B21" s="11" t="s">
        <v>180</v>
      </c>
      <c r="C21" s="11" t="s">
        <v>181</v>
      </c>
      <c r="D21" s="11" t="s">
        <v>7023</v>
      </c>
      <c r="E21" s="11" t="s">
        <v>7024</v>
      </c>
      <c r="F21" s="11" t="s">
        <v>4084</v>
      </c>
      <c r="G21" s="12" t="s">
        <v>9</v>
      </c>
    </row>
    <row r="22" customFormat="false" ht="104" hidden="false" customHeight="true" outlineLevel="0" collapsed="false">
      <c r="A22" s="11" t="s">
        <v>7018</v>
      </c>
      <c r="B22" s="11" t="s">
        <v>184</v>
      </c>
      <c r="C22" s="11" t="s">
        <v>185</v>
      </c>
      <c r="D22" s="11" t="s">
        <v>7025</v>
      </c>
      <c r="E22" s="11" t="s">
        <v>7026</v>
      </c>
      <c r="F22" s="11" t="s">
        <v>4084</v>
      </c>
      <c r="G22" s="12" t="s">
        <v>9</v>
      </c>
    </row>
    <row r="23" customFormat="false" ht="104" hidden="false" customHeight="true" outlineLevel="0" collapsed="false">
      <c r="A23" s="11" t="s">
        <v>7018</v>
      </c>
      <c r="B23" s="11" t="s">
        <v>188</v>
      </c>
      <c r="C23" s="11" t="s">
        <v>189</v>
      </c>
      <c r="D23" s="11" t="s">
        <v>7027</v>
      </c>
      <c r="E23" s="11" t="s">
        <v>7028</v>
      </c>
      <c r="F23" s="11" t="s">
        <v>4084</v>
      </c>
      <c r="G23" s="12" t="s">
        <v>9</v>
      </c>
    </row>
    <row r="24" customFormat="false" ht="104" hidden="false" customHeight="true" outlineLevel="0" collapsed="false">
      <c r="A24" s="11" t="s">
        <v>7018</v>
      </c>
      <c r="B24" s="11" t="s">
        <v>192</v>
      </c>
      <c r="C24" s="11" t="s">
        <v>193</v>
      </c>
      <c r="D24" s="11" t="s">
        <v>7029</v>
      </c>
      <c r="E24" s="11" t="s">
        <v>7030</v>
      </c>
      <c r="F24" s="11" t="s">
        <v>4084</v>
      </c>
      <c r="G24" s="12" t="s">
        <v>9</v>
      </c>
    </row>
    <row r="25" customFormat="false" ht="104" hidden="false" customHeight="true" outlineLevel="0" collapsed="false">
      <c r="A25" s="11" t="s">
        <v>7018</v>
      </c>
      <c r="B25" s="11" t="s">
        <v>196</v>
      </c>
      <c r="C25" s="11" t="s">
        <v>197</v>
      </c>
      <c r="D25" s="11" t="s">
        <v>7031</v>
      </c>
      <c r="E25" s="11" t="s">
        <v>7032</v>
      </c>
      <c r="F25" s="11" t="s">
        <v>4084</v>
      </c>
      <c r="G25" s="12" t="s">
        <v>9</v>
      </c>
    </row>
    <row r="26" customFormat="false" ht="104" hidden="false" customHeight="true" outlineLevel="0" collapsed="false">
      <c r="A26" s="11" t="s">
        <v>7018</v>
      </c>
      <c r="B26" s="11" t="s">
        <v>200</v>
      </c>
      <c r="C26" s="11" t="s">
        <v>201</v>
      </c>
      <c r="D26" s="11" t="s">
        <v>7033</v>
      </c>
      <c r="E26" s="11" t="s">
        <v>7034</v>
      </c>
      <c r="F26" s="11" t="s">
        <v>4084</v>
      </c>
      <c r="G26" s="12" t="s">
        <v>9</v>
      </c>
    </row>
    <row r="27" customFormat="false" ht="104" hidden="false" customHeight="true" outlineLevel="0" collapsed="false">
      <c r="A27" s="11" t="s">
        <v>7018</v>
      </c>
      <c r="B27" s="11" t="s">
        <v>204</v>
      </c>
      <c r="C27" s="11" t="s">
        <v>205</v>
      </c>
      <c r="D27" s="11" t="s">
        <v>7035</v>
      </c>
      <c r="E27" s="11" t="s">
        <v>7036</v>
      </c>
      <c r="F27" s="11" t="s">
        <v>4084</v>
      </c>
      <c r="G27" s="12" t="s">
        <v>9</v>
      </c>
    </row>
    <row r="28" customFormat="false" ht="104" hidden="false" customHeight="true" outlineLevel="0" collapsed="false">
      <c r="A28" s="11" t="s">
        <v>7018</v>
      </c>
      <c r="B28" s="11" t="s">
        <v>208</v>
      </c>
      <c r="C28" s="11" t="s">
        <v>209</v>
      </c>
      <c r="D28" s="11" t="s">
        <v>7037</v>
      </c>
      <c r="E28" s="11" t="s">
        <v>7038</v>
      </c>
      <c r="F28" s="11" t="s">
        <v>4084</v>
      </c>
      <c r="G28" s="12" t="s">
        <v>9</v>
      </c>
    </row>
    <row r="29" customFormat="false" ht="104" hidden="false" customHeight="true" outlineLevel="0" collapsed="false">
      <c r="A29" s="11" t="s">
        <v>7018</v>
      </c>
      <c r="B29" s="11" t="s">
        <v>212</v>
      </c>
      <c r="C29" s="11" t="s">
        <v>213</v>
      </c>
      <c r="D29" s="11" t="s">
        <v>7039</v>
      </c>
      <c r="E29" s="11" t="s">
        <v>7040</v>
      </c>
      <c r="F29" s="11" t="s">
        <v>4084</v>
      </c>
      <c r="G29" s="12" t="s">
        <v>9</v>
      </c>
    </row>
    <row r="30" customFormat="false" ht="104" hidden="false" customHeight="true" outlineLevel="0" collapsed="false">
      <c r="A30" s="11" t="s">
        <v>7018</v>
      </c>
      <c r="B30" s="11" t="s">
        <v>216</v>
      </c>
      <c r="C30" s="11" t="s">
        <v>217</v>
      </c>
      <c r="D30" s="11" t="s">
        <v>7041</v>
      </c>
      <c r="E30" s="11" t="s">
        <v>7042</v>
      </c>
      <c r="F30" s="11" t="s">
        <v>4084</v>
      </c>
      <c r="G30" s="12" t="s">
        <v>9</v>
      </c>
    </row>
    <row r="31" customFormat="false" ht="104" hidden="false" customHeight="true" outlineLevel="0" collapsed="false">
      <c r="A31" s="11" t="s">
        <v>7018</v>
      </c>
      <c r="B31" s="11" t="s">
        <v>220</v>
      </c>
      <c r="C31" s="11" t="s">
        <v>221</v>
      </c>
      <c r="D31" s="11" t="s">
        <v>7043</v>
      </c>
      <c r="E31" s="11" t="s">
        <v>7044</v>
      </c>
      <c r="F31" s="11" t="s">
        <v>4084</v>
      </c>
      <c r="G31" s="12" t="s">
        <v>9</v>
      </c>
    </row>
    <row r="32" customFormat="false" ht="104" hidden="false" customHeight="true" outlineLevel="0" collapsed="false">
      <c r="A32" s="11" t="s">
        <v>7018</v>
      </c>
      <c r="B32" s="11" t="s">
        <v>224</v>
      </c>
      <c r="C32" s="11" t="s">
        <v>225</v>
      </c>
      <c r="D32" s="11" t="s">
        <v>7045</v>
      </c>
      <c r="E32" s="11" t="s">
        <v>7046</v>
      </c>
      <c r="F32" s="11" t="s">
        <v>4084</v>
      </c>
      <c r="G32" s="12" t="s">
        <v>9</v>
      </c>
    </row>
    <row r="33" customFormat="false" ht="104" hidden="false" customHeight="true" outlineLevel="0" collapsed="false">
      <c r="A33" s="11" t="s">
        <v>7018</v>
      </c>
      <c r="B33" s="11" t="s">
        <v>228</v>
      </c>
      <c r="C33" s="11" t="s">
        <v>229</v>
      </c>
      <c r="D33" s="11" t="s">
        <v>7047</v>
      </c>
      <c r="E33" s="11" t="s">
        <v>7048</v>
      </c>
      <c r="F33" s="11" t="s">
        <v>4084</v>
      </c>
      <c r="G33" s="12" t="s">
        <v>9</v>
      </c>
    </row>
    <row r="34" customFormat="false" ht="104" hidden="false" customHeight="true" outlineLevel="0" collapsed="false">
      <c r="A34" s="11" t="s">
        <v>7018</v>
      </c>
      <c r="B34" s="11" t="s">
        <v>232</v>
      </c>
      <c r="C34" s="11" t="s">
        <v>233</v>
      </c>
      <c r="D34" s="11" t="s">
        <v>7049</v>
      </c>
      <c r="E34" s="11" t="s">
        <v>7050</v>
      </c>
      <c r="F34" s="11" t="s">
        <v>4084</v>
      </c>
      <c r="G34" s="12" t="s">
        <v>9</v>
      </c>
    </row>
    <row r="35" customFormat="false" ht="104" hidden="false" customHeight="true" outlineLevel="0" collapsed="false">
      <c r="A35" s="11" t="s">
        <v>7018</v>
      </c>
      <c r="B35" s="11" t="s">
        <v>236</v>
      </c>
      <c r="C35" s="11" t="s">
        <v>237</v>
      </c>
      <c r="D35" s="11" t="s">
        <v>7051</v>
      </c>
      <c r="E35" s="11" t="s">
        <v>7052</v>
      </c>
      <c r="F35" s="11" t="s">
        <v>4084</v>
      </c>
      <c r="G35" s="12" t="s">
        <v>9</v>
      </c>
    </row>
    <row r="36" customFormat="false" ht="104" hidden="false" customHeight="true" outlineLevel="0" collapsed="false">
      <c r="A36" s="11" t="s">
        <v>7018</v>
      </c>
      <c r="B36" s="11" t="s">
        <v>240</v>
      </c>
      <c r="C36" s="11" t="s">
        <v>241</v>
      </c>
      <c r="D36" s="11" t="s">
        <v>7053</v>
      </c>
      <c r="E36" s="11" t="s">
        <v>7054</v>
      </c>
      <c r="F36" s="11" t="s">
        <v>4084</v>
      </c>
      <c r="G36" s="12" t="s">
        <v>9</v>
      </c>
    </row>
    <row r="37" customFormat="false" ht="104" hidden="false" customHeight="true" outlineLevel="0" collapsed="false">
      <c r="A37" s="11" t="s">
        <v>7018</v>
      </c>
      <c r="B37" s="11" t="s">
        <v>244</v>
      </c>
      <c r="C37" s="11" t="s">
        <v>245</v>
      </c>
      <c r="D37" s="11" t="s">
        <v>7055</v>
      </c>
      <c r="E37" s="11" t="s">
        <v>7056</v>
      </c>
      <c r="F37" s="11" t="s">
        <v>4084</v>
      </c>
      <c r="G37" s="12" t="s">
        <v>9</v>
      </c>
    </row>
    <row r="38" customFormat="false" ht="104" hidden="false" customHeight="true" outlineLevel="0" collapsed="false">
      <c r="A38" s="11" t="s">
        <v>7018</v>
      </c>
      <c r="B38" s="11" t="s">
        <v>248</v>
      </c>
      <c r="C38" s="11" t="s">
        <v>249</v>
      </c>
      <c r="D38" s="11" t="s">
        <v>7057</v>
      </c>
      <c r="E38" s="11" t="s">
        <v>7058</v>
      </c>
      <c r="F38" s="11" t="s">
        <v>4084</v>
      </c>
      <c r="G38" s="12" t="s">
        <v>9</v>
      </c>
    </row>
    <row r="39" customFormat="false" ht="104" hidden="false" customHeight="true" outlineLevel="0" collapsed="false">
      <c r="A39" s="11" t="s">
        <v>7018</v>
      </c>
      <c r="B39" s="11" t="s">
        <v>252</v>
      </c>
      <c r="C39" s="11" t="s">
        <v>253</v>
      </c>
      <c r="D39" s="11" t="s">
        <v>7059</v>
      </c>
      <c r="E39" s="11" t="s">
        <v>7060</v>
      </c>
      <c r="F39" s="11" t="s">
        <v>4084</v>
      </c>
      <c r="G39" s="12" t="s">
        <v>9</v>
      </c>
    </row>
    <row r="40" customFormat="false" ht="104" hidden="false" customHeight="true" outlineLevel="0" collapsed="false">
      <c r="A40" s="11" t="s">
        <v>7018</v>
      </c>
      <c r="B40" s="11" t="s">
        <v>255</v>
      </c>
      <c r="C40" s="11" t="s">
        <v>256</v>
      </c>
      <c r="D40" s="11" t="s">
        <v>7061</v>
      </c>
      <c r="E40" s="11" t="s">
        <v>7062</v>
      </c>
      <c r="F40" s="11" t="s">
        <v>4084</v>
      </c>
      <c r="G40" s="12" t="s">
        <v>9</v>
      </c>
    </row>
    <row r="41" customFormat="false" ht="104" hidden="false" customHeight="true" outlineLevel="0" collapsed="false">
      <c r="A41" s="11" t="s">
        <v>7018</v>
      </c>
      <c r="B41" s="11" t="s">
        <v>259</v>
      </c>
      <c r="C41" s="11" t="s">
        <v>260</v>
      </c>
      <c r="D41" s="11" t="s">
        <v>7063</v>
      </c>
      <c r="E41" s="11" t="s">
        <v>7064</v>
      </c>
      <c r="F41" s="11" t="s">
        <v>4084</v>
      </c>
      <c r="G41" s="12" t="s">
        <v>9</v>
      </c>
    </row>
    <row r="42" customFormat="false" ht="104" hidden="false" customHeight="true" outlineLevel="0" collapsed="false">
      <c r="A42" s="11" t="s">
        <v>7018</v>
      </c>
      <c r="B42" s="11" t="s">
        <v>263</v>
      </c>
      <c r="C42" s="11" t="s">
        <v>264</v>
      </c>
      <c r="D42" s="11" t="s">
        <v>7065</v>
      </c>
      <c r="E42" s="11" t="s">
        <v>7066</v>
      </c>
      <c r="F42" s="11" t="s">
        <v>4084</v>
      </c>
      <c r="G42" s="12" t="s">
        <v>9</v>
      </c>
    </row>
    <row r="43" customFormat="false" ht="104" hidden="false" customHeight="true" outlineLevel="0" collapsed="false">
      <c r="A43" s="11" t="s">
        <v>7018</v>
      </c>
      <c r="B43" s="11" t="s">
        <v>267</v>
      </c>
      <c r="C43" s="11" t="s">
        <v>268</v>
      </c>
      <c r="D43" s="11" t="s">
        <v>7067</v>
      </c>
      <c r="E43" s="11" t="s">
        <v>7068</v>
      </c>
      <c r="F43" s="11" t="s">
        <v>4084</v>
      </c>
      <c r="G43" s="12" t="s">
        <v>9</v>
      </c>
    </row>
    <row r="44" customFormat="false" ht="104" hidden="false" customHeight="true" outlineLevel="0" collapsed="false">
      <c r="A44" s="11" t="s">
        <v>7018</v>
      </c>
      <c r="B44" s="11" t="s">
        <v>271</v>
      </c>
      <c r="C44" s="11" t="s">
        <v>272</v>
      </c>
      <c r="D44" s="11" t="s">
        <v>7069</v>
      </c>
      <c r="E44" s="11" t="s">
        <v>7070</v>
      </c>
      <c r="F44" s="11" t="s">
        <v>4084</v>
      </c>
      <c r="G44" s="12" t="s">
        <v>9</v>
      </c>
    </row>
    <row r="45" customFormat="false" ht="104" hidden="false" customHeight="true" outlineLevel="0" collapsed="false">
      <c r="A45" s="11" t="s">
        <v>7018</v>
      </c>
      <c r="B45" s="11" t="s">
        <v>275</v>
      </c>
      <c r="C45" s="11" t="s">
        <v>276</v>
      </c>
      <c r="D45" s="11" t="s">
        <v>7071</v>
      </c>
      <c r="E45" s="11" t="s">
        <v>7072</v>
      </c>
      <c r="F45" s="11" t="s">
        <v>4084</v>
      </c>
      <c r="G45" s="12" t="s">
        <v>9</v>
      </c>
    </row>
    <row r="46" customFormat="false" ht="104" hidden="false" customHeight="true" outlineLevel="0" collapsed="false">
      <c r="A46" s="11" t="s">
        <v>7018</v>
      </c>
      <c r="B46" s="11" t="s">
        <v>279</v>
      </c>
      <c r="C46" s="11" t="s">
        <v>280</v>
      </c>
      <c r="D46" s="11" t="s">
        <v>7073</v>
      </c>
      <c r="E46" s="11" t="s">
        <v>7074</v>
      </c>
      <c r="F46" s="11" t="s">
        <v>4084</v>
      </c>
      <c r="G46" s="12" t="s">
        <v>9</v>
      </c>
    </row>
    <row r="47" customFormat="false" ht="104" hidden="false" customHeight="true" outlineLevel="0" collapsed="false">
      <c r="A47" s="11" t="s">
        <v>7018</v>
      </c>
      <c r="B47" s="11" t="s">
        <v>282</v>
      </c>
      <c r="C47" s="11" t="s">
        <v>283</v>
      </c>
      <c r="D47" s="11" t="s">
        <v>7075</v>
      </c>
      <c r="E47" s="11" t="s">
        <v>7076</v>
      </c>
      <c r="F47" s="11" t="s">
        <v>4084</v>
      </c>
      <c r="G47" s="12" t="s">
        <v>9</v>
      </c>
    </row>
    <row r="48" customFormat="false" ht="104" hidden="false" customHeight="true" outlineLevel="0" collapsed="false">
      <c r="A48" s="11" t="s">
        <v>7018</v>
      </c>
      <c r="B48" s="11" t="s">
        <v>285</v>
      </c>
      <c r="C48" s="11" t="s">
        <v>286</v>
      </c>
      <c r="D48" s="11" t="s">
        <v>7077</v>
      </c>
      <c r="E48" s="11" t="s">
        <v>7078</v>
      </c>
      <c r="F48" s="11" t="s">
        <v>4084</v>
      </c>
      <c r="G48" s="12" t="s">
        <v>9</v>
      </c>
    </row>
    <row r="49" customFormat="false" ht="104" hidden="false" customHeight="true" outlineLevel="0" collapsed="false">
      <c r="A49" s="11" t="s">
        <v>7018</v>
      </c>
      <c r="B49" s="11" t="s">
        <v>288</v>
      </c>
      <c r="C49" s="11" t="s">
        <v>289</v>
      </c>
      <c r="D49" s="11" t="s">
        <v>7079</v>
      </c>
      <c r="E49" s="11" t="s">
        <v>7080</v>
      </c>
      <c r="F49" s="11" t="s">
        <v>4084</v>
      </c>
      <c r="G49" s="12" t="s">
        <v>9</v>
      </c>
    </row>
    <row r="50" customFormat="false" ht="104" hidden="false" customHeight="true" outlineLevel="0" collapsed="false">
      <c r="A50" s="11" t="s">
        <v>7018</v>
      </c>
      <c r="B50" s="11" t="s">
        <v>292</v>
      </c>
      <c r="C50" s="11" t="s">
        <v>293</v>
      </c>
      <c r="D50" s="11" t="s">
        <v>7081</v>
      </c>
      <c r="E50" s="11" t="s">
        <v>7082</v>
      </c>
      <c r="F50" s="11" t="s">
        <v>4084</v>
      </c>
      <c r="G50" s="12" t="s">
        <v>9</v>
      </c>
    </row>
    <row r="51" customFormat="false" ht="104" hidden="false" customHeight="true" outlineLevel="0" collapsed="false">
      <c r="A51" s="11" t="s">
        <v>7018</v>
      </c>
      <c r="B51" s="11" t="s">
        <v>296</v>
      </c>
      <c r="C51" s="11" t="s">
        <v>297</v>
      </c>
      <c r="D51" s="11" t="s">
        <v>7083</v>
      </c>
      <c r="E51" s="11" t="s">
        <v>7084</v>
      </c>
      <c r="F51" s="11" t="s">
        <v>4084</v>
      </c>
      <c r="G51" s="12" t="s">
        <v>9</v>
      </c>
    </row>
    <row r="52" customFormat="false" ht="104" hidden="false" customHeight="true" outlineLevel="0" collapsed="false">
      <c r="A52" s="11" t="s">
        <v>7018</v>
      </c>
      <c r="B52" s="11" t="s">
        <v>300</v>
      </c>
      <c r="C52" s="11" t="s">
        <v>301</v>
      </c>
      <c r="D52" s="11" t="s">
        <v>7085</v>
      </c>
      <c r="E52" s="11" t="s">
        <v>7086</v>
      </c>
      <c r="F52" s="11" t="s">
        <v>4084</v>
      </c>
      <c r="G52" s="12" t="s">
        <v>9</v>
      </c>
    </row>
    <row r="53" customFormat="false" ht="104" hidden="false" customHeight="true" outlineLevel="0" collapsed="false">
      <c r="A53" s="11" t="s">
        <v>7018</v>
      </c>
      <c r="B53" s="11" t="s">
        <v>304</v>
      </c>
      <c r="C53" s="11" t="s">
        <v>305</v>
      </c>
      <c r="D53" s="11" t="s">
        <v>7087</v>
      </c>
      <c r="E53" s="11" t="s">
        <v>7088</v>
      </c>
      <c r="F53" s="11" t="s">
        <v>4084</v>
      </c>
      <c r="G53" s="12" t="s">
        <v>9</v>
      </c>
    </row>
    <row r="54" customFormat="false" ht="104" hidden="false" customHeight="true" outlineLevel="0" collapsed="false">
      <c r="A54" s="11" t="s">
        <v>7018</v>
      </c>
      <c r="B54" s="11" t="s">
        <v>308</v>
      </c>
      <c r="C54" s="11" t="s">
        <v>309</v>
      </c>
      <c r="D54" s="11" t="s">
        <v>7089</v>
      </c>
      <c r="E54" s="11" t="s">
        <v>7090</v>
      </c>
      <c r="F54" s="11" t="s">
        <v>4084</v>
      </c>
      <c r="G54" s="12" t="s">
        <v>9</v>
      </c>
    </row>
    <row r="55" customFormat="false" ht="104" hidden="false" customHeight="true" outlineLevel="0" collapsed="false">
      <c r="A55" s="11" t="s">
        <v>7018</v>
      </c>
      <c r="B55" s="11" t="s">
        <v>312</v>
      </c>
      <c r="C55" s="11" t="s">
        <v>313</v>
      </c>
      <c r="D55" s="11" t="s">
        <v>7091</v>
      </c>
      <c r="E55" s="11" t="s">
        <v>7092</v>
      </c>
      <c r="F55" s="11" t="s">
        <v>4084</v>
      </c>
      <c r="G55" s="12" t="s">
        <v>9</v>
      </c>
    </row>
    <row r="56" customFormat="false" ht="104" hidden="false" customHeight="true" outlineLevel="0" collapsed="false">
      <c r="A56" s="11" t="s">
        <v>7018</v>
      </c>
      <c r="B56" s="11" t="s">
        <v>316</v>
      </c>
      <c r="C56" s="11" t="s">
        <v>317</v>
      </c>
      <c r="D56" s="11" t="s">
        <v>7093</v>
      </c>
      <c r="E56" s="11" t="s">
        <v>7094</v>
      </c>
      <c r="F56" s="11" t="s">
        <v>4084</v>
      </c>
      <c r="G56" s="12" t="s">
        <v>9</v>
      </c>
    </row>
    <row r="57" customFormat="false" ht="104" hidden="false" customHeight="true" outlineLevel="0" collapsed="false">
      <c r="A57" s="11" t="s">
        <v>7018</v>
      </c>
      <c r="B57" s="11" t="s">
        <v>320</v>
      </c>
      <c r="C57" s="11" t="s">
        <v>321</v>
      </c>
      <c r="D57" s="11" t="s">
        <v>7095</v>
      </c>
      <c r="E57" s="11" t="s">
        <v>7096</v>
      </c>
      <c r="F57" s="11" t="s">
        <v>4084</v>
      </c>
      <c r="G57" s="12" t="s">
        <v>9</v>
      </c>
    </row>
    <row r="58" customFormat="false" ht="104" hidden="false" customHeight="true" outlineLevel="0" collapsed="false">
      <c r="A58" s="11" t="s">
        <v>7018</v>
      </c>
      <c r="B58" s="11" t="s">
        <v>324</v>
      </c>
      <c r="C58" s="11" t="s">
        <v>325</v>
      </c>
      <c r="D58" s="11" t="s">
        <v>7097</v>
      </c>
      <c r="E58" s="11" t="s">
        <v>7098</v>
      </c>
      <c r="F58" s="11" t="s">
        <v>4084</v>
      </c>
      <c r="G58" s="12" t="s">
        <v>9</v>
      </c>
    </row>
    <row r="59" customFormat="false" ht="104" hidden="false" customHeight="true" outlineLevel="0" collapsed="false">
      <c r="A59" s="11" t="s">
        <v>7018</v>
      </c>
      <c r="B59" s="11" t="s">
        <v>328</v>
      </c>
      <c r="C59" s="11" t="s">
        <v>329</v>
      </c>
      <c r="D59" s="11" t="s">
        <v>7099</v>
      </c>
      <c r="E59" s="11" t="s">
        <v>7100</v>
      </c>
      <c r="F59" s="11" t="s">
        <v>4084</v>
      </c>
      <c r="G59" s="12" t="s">
        <v>9</v>
      </c>
    </row>
    <row r="60" customFormat="false" ht="104" hidden="false" customHeight="true" outlineLevel="0" collapsed="false">
      <c r="A60" s="11" t="s">
        <v>7018</v>
      </c>
      <c r="B60" s="11" t="s">
        <v>125</v>
      </c>
      <c r="C60" s="11" t="s">
        <v>332</v>
      </c>
      <c r="D60" s="11" t="s">
        <v>7101</v>
      </c>
      <c r="E60" s="11" t="s">
        <v>7102</v>
      </c>
      <c r="F60" s="11" t="s">
        <v>4084</v>
      </c>
      <c r="G60" s="12" t="s">
        <v>9</v>
      </c>
    </row>
    <row r="61" customFormat="false" ht="104" hidden="false" customHeight="true" outlineLevel="0" collapsed="false">
      <c r="A61" s="11" t="s">
        <v>7018</v>
      </c>
      <c r="B61" s="11" t="s">
        <v>135</v>
      </c>
      <c r="C61" s="11" t="s">
        <v>339</v>
      </c>
      <c r="D61" s="11" t="s">
        <v>7103</v>
      </c>
      <c r="E61" s="11" t="s">
        <v>7104</v>
      </c>
      <c r="F61" s="11" t="s">
        <v>4084</v>
      </c>
      <c r="G61" s="12" t="s">
        <v>9</v>
      </c>
    </row>
    <row r="62" customFormat="false" ht="104" hidden="false" customHeight="true" outlineLevel="0" collapsed="false">
      <c r="A62" s="11" t="s">
        <v>7018</v>
      </c>
      <c r="B62" s="11" t="s">
        <v>141</v>
      </c>
      <c r="C62" s="11" t="s">
        <v>344</v>
      </c>
      <c r="D62" s="11" t="s">
        <v>7105</v>
      </c>
      <c r="E62" s="11" t="s">
        <v>7106</v>
      </c>
      <c r="F62" s="11" t="s">
        <v>4084</v>
      </c>
      <c r="G62" s="12" t="s">
        <v>9</v>
      </c>
    </row>
    <row r="63" customFormat="false" ht="104" hidden="false" customHeight="true" outlineLevel="0" collapsed="false">
      <c r="A63" s="11" t="s">
        <v>7018</v>
      </c>
      <c r="B63" s="11" t="s">
        <v>147</v>
      </c>
      <c r="C63" s="11" t="s">
        <v>347</v>
      </c>
      <c r="D63" s="11" t="s">
        <v>7107</v>
      </c>
      <c r="E63" s="11" t="s">
        <v>7108</v>
      </c>
      <c r="F63" s="11" t="s">
        <v>4084</v>
      </c>
      <c r="G63" s="12" t="s">
        <v>9</v>
      </c>
    </row>
    <row r="64" customFormat="false" ht="104" hidden="false" customHeight="true" outlineLevel="0" collapsed="false">
      <c r="A64" s="11" t="s">
        <v>7109</v>
      </c>
      <c r="B64" s="11" t="s">
        <v>358</v>
      </c>
      <c r="C64" s="11" t="s">
        <v>166</v>
      </c>
      <c r="D64" s="11" t="s">
        <v>7110</v>
      </c>
      <c r="E64" s="11" t="s">
        <v>7111</v>
      </c>
      <c r="F64" s="11" t="s">
        <v>4084</v>
      </c>
      <c r="G64" s="12" t="s">
        <v>9</v>
      </c>
    </row>
    <row r="65" customFormat="false" ht="104" hidden="false" customHeight="true" outlineLevel="0" collapsed="false">
      <c r="A65" s="11" t="s">
        <v>7109</v>
      </c>
      <c r="B65" s="11" t="s">
        <v>363</v>
      </c>
      <c r="C65" s="11" t="s">
        <v>166</v>
      </c>
      <c r="D65" s="11" t="s">
        <v>7112</v>
      </c>
      <c r="E65" s="11" t="s">
        <v>7113</v>
      </c>
      <c r="F65" s="11" t="s">
        <v>4084</v>
      </c>
      <c r="G65" s="12" t="s">
        <v>9</v>
      </c>
    </row>
    <row r="66" customFormat="false" ht="104" hidden="false" customHeight="true" outlineLevel="0" collapsed="false">
      <c r="A66" s="11" t="s">
        <v>7109</v>
      </c>
      <c r="B66" s="11" t="s">
        <v>364</v>
      </c>
      <c r="C66" s="11" t="s">
        <v>176</v>
      </c>
      <c r="D66" s="11" t="s">
        <v>7114</v>
      </c>
      <c r="E66" s="11" t="s">
        <v>7115</v>
      </c>
      <c r="F66" s="11" t="s">
        <v>4084</v>
      </c>
      <c r="G66" s="12" t="s">
        <v>9</v>
      </c>
    </row>
    <row r="67" customFormat="false" ht="104" hidden="false" customHeight="true" outlineLevel="0" collapsed="false">
      <c r="A67" s="11" t="s">
        <v>7109</v>
      </c>
      <c r="B67" s="11" t="s">
        <v>366</v>
      </c>
      <c r="C67" s="11" t="s">
        <v>176</v>
      </c>
      <c r="D67" s="11" t="s">
        <v>7116</v>
      </c>
      <c r="E67" s="11" t="s">
        <v>7117</v>
      </c>
      <c r="F67" s="11" t="s">
        <v>4084</v>
      </c>
      <c r="G67" s="12" t="s">
        <v>9</v>
      </c>
    </row>
    <row r="68" customFormat="false" ht="104" hidden="false" customHeight="true" outlineLevel="0" collapsed="false">
      <c r="A68" s="11" t="s">
        <v>7109</v>
      </c>
      <c r="B68" s="11" t="s">
        <v>367</v>
      </c>
      <c r="C68" s="11" t="s">
        <v>176</v>
      </c>
      <c r="D68" s="11" t="s">
        <v>7118</v>
      </c>
      <c r="E68" s="11" t="s">
        <v>7119</v>
      </c>
      <c r="F68" s="11" t="s">
        <v>4084</v>
      </c>
      <c r="G68" s="12" t="s">
        <v>9</v>
      </c>
    </row>
    <row r="69" customFormat="false" ht="104" hidden="false" customHeight="true" outlineLevel="0" collapsed="false">
      <c r="A69" s="11" t="s">
        <v>7109</v>
      </c>
      <c r="B69" s="11" t="s">
        <v>368</v>
      </c>
      <c r="C69" s="11" t="s">
        <v>180</v>
      </c>
      <c r="D69" s="11" t="s">
        <v>7120</v>
      </c>
      <c r="E69" s="11" t="s">
        <v>7121</v>
      </c>
      <c r="F69" s="11" t="s">
        <v>4084</v>
      </c>
      <c r="G69" s="12" t="s">
        <v>9</v>
      </c>
    </row>
    <row r="70" customFormat="false" ht="104" hidden="false" customHeight="true" outlineLevel="0" collapsed="false">
      <c r="A70" s="11" t="s">
        <v>7109</v>
      </c>
      <c r="B70" s="11" t="s">
        <v>370</v>
      </c>
      <c r="C70" s="11" t="s">
        <v>180</v>
      </c>
      <c r="D70" s="11" t="s">
        <v>7122</v>
      </c>
      <c r="E70" s="11" t="s">
        <v>7123</v>
      </c>
      <c r="F70" s="11" t="s">
        <v>4084</v>
      </c>
      <c r="G70" s="12" t="s">
        <v>9</v>
      </c>
    </row>
    <row r="71" customFormat="false" ht="104" hidden="false" customHeight="true" outlineLevel="0" collapsed="false">
      <c r="A71" s="11" t="s">
        <v>7109</v>
      </c>
      <c r="B71" s="11" t="s">
        <v>371</v>
      </c>
      <c r="C71" s="11" t="s">
        <v>180</v>
      </c>
      <c r="D71" s="11" t="s">
        <v>7124</v>
      </c>
      <c r="E71" s="11" t="s">
        <v>7125</v>
      </c>
      <c r="F71" s="11" t="s">
        <v>4084</v>
      </c>
      <c r="G71" s="12" t="s">
        <v>9</v>
      </c>
    </row>
    <row r="72" customFormat="false" ht="104" hidden="false" customHeight="true" outlineLevel="0" collapsed="false">
      <c r="A72" s="11" t="s">
        <v>7109</v>
      </c>
      <c r="B72" s="11" t="s">
        <v>372</v>
      </c>
      <c r="C72" s="11" t="s">
        <v>184</v>
      </c>
      <c r="D72" s="11" t="s">
        <v>7126</v>
      </c>
      <c r="E72" s="11" t="s">
        <v>7127</v>
      </c>
      <c r="F72" s="11" t="s">
        <v>4084</v>
      </c>
      <c r="G72" s="12" t="s">
        <v>9</v>
      </c>
    </row>
    <row r="73" customFormat="false" ht="104" hidden="false" customHeight="true" outlineLevel="0" collapsed="false">
      <c r="A73" s="11" t="s">
        <v>7109</v>
      </c>
      <c r="B73" s="11" t="s">
        <v>374</v>
      </c>
      <c r="C73" s="11" t="s">
        <v>184</v>
      </c>
      <c r="D73" s="11" t="s">
        <v>7128</v>
      </c>
      <c r="E73" s="11" t="s">
        <v>7129</v>
      </c>
      <c r="F73" s="11" t="s">
        <v>4084</v>
      </c>
      <c r="G73" s="12" t="s">
        <v>9</v>
      </c>
    </row>
    <row r="74" customFormat="false" ht="104" hidden="false" customHeight="true" outlineLevel="0" collapsed="false">
      <c r="A74" s="11" t="s">
        <v>7109</v>
      </c>
      <c r="B74" s="11" t="s">
        <v>375</v>
      </c>
      <c r="C74" s="11" t="s">
        <v>188</v>
      </c>
      <c r="D74" s="11" t="s">
        <v>7130</v>
      </c>
      <c r="E74" s="11" t="s">
        <v>7131</v>
      </c>
      <c r="F74" s="11" t="s">
        <v>4084</v>
      </c>
      <c r="G74" s="12" t="s">
        <v>9</v>
      </c>
    </row>
    <row r="75" customFormat="false" ht="104" hidden="false" customHeight="true" outlineLevel="0" collapsed="false">
      <c r="A75" s="11" t="s">
        <v>7109</v>
      </c>
      <c r="B75" s="11" t="s">
        <v>377</v>
      </c>
      <c r="C75" s="11" t="s">
        <v>188</v>
      </c>
      <c r="D75" s="11" t="s">
        <v>7132</v>
      </c>
      <c r="E75" s="11" t="s">
        <v>7133</v>
      </c>
      <c r="F75" s="11" t="s">
        <v>4084</v>
      </c>
      <c r="G75" s="12" t="s">
        <v>9</v>
      </c>
    </row>
    <row r="76" customFormat="false" ht="104" hidden="false" customHeight="true" outlineLevel="0" collapsed="false">
      <c r="A76" s="11" t="s">
        <v>7109</v>
      </c>
      <c r="B76" s="11" t="s">
        <v>378</v>
      </c>
      <c r="C76" s="11" t="s">
        <v>188</v>
      </c>
      <c r="D76" s="11" t="s">
        <v>7134</v>
      </c>
      <c r="E76" s="11" t="s">
        <v>7135</v>
      </c>
      <c r="F76" s="11" t="s">
        <v>4084</v>
      </c>
      <c r="G76" s="12" t="s">
        <v>9</v>
      </c>
    </row>
    <row r="77" customFormat="false" ht="104" hidden="false" customHeight="true" outlineLevel="0" collapsed="false">
      <c r="A77" s="11" t="s">
        <v>7109</v>
      </c>
      <c r="B77" s="11" t="s">
        <v>379</v>
      </c>
      <c r="C77" s="11" t="s">
        <v>192</v>
      </c>
      <c r="D77" s="11" t="s">
        <v>7136</v>
      </c>
      <c r="E77" s="11" t="s">
        <v>7137</v>
      </c>
      <c r="F77" s="11" t="s">
        <v>4084</v>
      </c>
      <c r="G77" s="12" t="s">
        <v>9</v>
      </c>
    </row>
    <row r="78" customFormat="false" ht="104" hidden="false" customHeight="true" outlineLevel="0" collapsed="false">
      <c r="A78" s="11" t="s">
        <v>7109</v>
      </c>
      <c r="B78" s="11" t="s">
        <v>381</v>
      </c>
      <c r="C78" s="11" t="s">
        <v>192</v>
      </c>
      <c r="D78" s="11" t="s">
        <v>7138</v>
      </c>
      <c r="E78" s="11" t="s">
        <v>7139</v>
      </c>
      <c r="F78" s="11" t="s">
        <v>4084</v>
      </c>
      <c r="G78" s="12" t="s">
        <v>9</v>
      </c>
    </row>
    <row r="79" customFormat="false" ht="104" hidden="false" customHeight="true" outlineLevel="0" collapsed="false">
      <c r="A79" s="11" t="s">
        <v>7109</v>
      </c>
      <c r="B79" s="11" t="s">
        <v>382</v>
      </c>
      <c r="C79" s="11" t="s">
        <v>192</v>
      </c>
      <c r="D79" s="11" t="s">
        <v>7140</v>
      </c>
      <c r="E79" s="11" t="s">
        <v>7141</v>
      </c>
      <c r="F79" s="11" t="s">
        <v>4084</v>
      </c>
      <c r="G79" s="12" t="s">
        <v>9</v>
      </c>
    </row>
    <row r="80" customFormat="false" ht="104" hidden="false" customHeight="true" outlineLevel="0" collapsed="false">
      <c r="A80" s="11" t="s">
        <v>7109</v>
      </c>
      <c r="B80" s="11" t="s">
        <v>383</v>
      </c>
      <c r="C80" s="11" t="s">
        <v>196</v>
      </c>
      <c r="D80" s="11" t="s">
        <v>7142</v>
      </c>
      <c r="E80" s="11" t="s">
        <v>7143</v>
      </c>
      <c r="F80" s="11" t="s">
        <v>4084</v>
      </c>
      <c r="G80" s="12" t="s">
        <v>9</v>
      </c>
    </row>
    <row r="81" customFormat="false" ht="104" hidden="false" customHeight="true" outlineLevel="0" collapsed="false">
      <c r="A81" s="11" t="s">
        <v>7109</v>
      </c>
      <c r="B81" s="11" t="s">
        <v>385</v>
      </c>
      <c r="C81" s="11" t="s">
        <v>196</v>
      </c>
      <c r="D81" s="11" t="s">
        <v>7144</v>
      </c>
      <c r="E81" s="11" t="s">
        <v>7145</v>
      </c>
      <c r="F81" s="11" t="s">
        <v>4084</v>
      </c>
      <c r="G81" s="12" t="s">
        <v>9</v>
      </c>
    </row>
    <row r="82" customFormat="false" ht="104" hidden="false" customHeight="true" outlineLevel="0" collapsed="false">
      <c r="A82" s="11" t="s">
        <v>7109</v>
      </c>
      <c r="B82" s="11" t="s">
        <v>386</v>
      </c>
      <c r="C82" s="11" t="s">
        <v>200</v>
      </c>
      <c r="D82" s="11" t="s">
        <v>7146</v>
      </c>
      <c r="E82" s="11" t="s">
        <v>7147</v>
      </c>
      <c r="F82" s="11" t="s">
        <v>4084</v>
      </c>
      <c r="G82" s="12" t="s">
        <v>9</v>
      </c>
    </row>
    <row r="83" customFormat="false" ht="104" hidden="false" customHeight="true" outlineLevel="0" collapsed="false">
      <c r="A83" s="11" t="s">
        <v>7109</v>
      </c>
      <c r="B83" s="11" t="s">
        <v>388</v>
      </c>
      <c r="C83" s="11" t="s">
        <v>200</v>
      </c>
      <c r="D83" s="11" t="s">
        <v>7148</v>
      </c>
      <c r="E83" s="11" t="s">
        <v>7149</v>
      </c>
      <c r="F83" s="11" t="s">
        <v>4084</v>
      </c>
      <c r="G83" s="12" t="s">
        <v>9</v>
      </c>
    </row>
    <row r="84" customFormat="false" ht="104" hidden="false" customHeight="true" outlineLevel="0" collapsed="false">
      <c r="A84" s="11" t="s">
        <v>7109</v>
      </c>
      <c r="B84" s="11" t="s">
        <v>389</v>
      </c>
      <c r="C84" s="11" t="s">
        <v>200</v>
      </c>
      <c r="D84" s="11" t="s">
        <v>7150</v>
      </c>
      <c r="E84" s="11" t="s">
        <v>7151</v>
      </c>
      <c r="F84" s="11" t="s">
        <v>4084</v>
      </c>
      <c r="G84" s="12" t="s">
        <v>9</v>
      </c>
    </row>
    <row r="85" customFormat="false" ht="104" hidden="false" customHeight="true" outlineLevel="0" collapsed="false">
      <c r="A85" s="11" t="s">
        <v>7109</v>
      </c>
      <c r="B85" s="11" t="s">
        <v>390</v>
      </c>
      <c r="C85" s="11" t="s">
        <v>204</v>
      </c>
      <c r="D85" s="11" t="s">
        <v>7152</v>
      </c>
      <c r="E85" s="11" t="s">
        <v>7153</v>
      </c>
      <c r="F85" s="11" t="s">
        <v>4084</v>
      </c>
      <c r="G85" s="12" t="s">
        <v>9</v>
      </c>
    </row>
    <row r="86" customFormat="false" ht="104" hidden="false" customHeight="true" outlineLevel="0" collapsed="false">
      <c r="A86" s="11" t="s">
        <v>7109</v>
      </c>
      <c r="B86" s="11" t="s">
        <v>392</v>
      </c>
      <c r="C86" s="11" t="s">
        <v>204</v>
      </c>
      <c r="D86" s="11" t="s">
        <v>7154</v>
      </c>
      <c r="E86" s="11" t="s">
        <v>7155</v>
      </c>
      <c r="F86" s="11" t="s">
        <v>4084</v>
      </c>
      <c r="G86" s="12" t="s">
        <v>9</v>
      </c>
    </row>
    <row r="87" customFormat="false" ht="104" hidden="false" customHeight="true" outlineLevel="0" collapsed="false">
      <c r="A87" s="11" t="s">
        <v>7109</v>
      </c>
      <c r="B87" s="11" t="s">
        <v>393</v>
      </c>
      <c r="C87" s="11" t="s">
        <v>208</v>
      </c>
      <c r="D87" s="11" t="s">
        <v>7156</v>
      </c>
      <c r="E87" s="11" t="s">
        <v>7157</v>
      </c>
      <c r="F87" s="11" t="s">
        <v>4084</v>
      </c>
      <c r="G87" s="12" t="s">
        <v>9</v>
      </c>
    </row>
    <row r="88" customFormat="false" ht="104" hidden="false" customHeight="true" outlineLevel="0" collapsed="false">
      <c r="A88" s="11" t="s">
        <v>7109</v>
      </c>
      <c r="B88" s="11" t="s">
        <v>395</v>
      </c>
      <c r="C88" s="11" t="s">
        <v>208</v>
      </c>
      <c r="D88" s="11" t="s">
        <v>7158</v>
      </c>
      <c r="E88" s="11" t="s">
        <v>7159</v>
      </c>
      <c r="F88" s="11" t="s">
        <v>4084</v>
      </c>
      <c r="G88" s="12" t="s">
        <v>9</v>
      </c>
    </row>
    <row r="89" customFormat="false" ht="104" hidden="false" customHeight="true" outlineLevel="0" collapsed="false">
      <c r="A89" s="11" t="s">
        <v>7109</v>
      </c>
      <c r="B89" s="11" t="s">
        <v>396</v>
      </c>
      <c r="C89" s="11" t="s">
        <v>208</v>
      </c>
      <c r="D89" s="11" t="s">
        <v>7160</v>
      </c>
      <c r="E89" s="11" t="s">
        <v>7161</v>
      </c>
      <c r="F89" s="11" t="s">
        <v>4084</v>
      </c>
      <c r="G89" s="12" t="s">
        <v>9</v>
      </c>
    </row>
    <row r="90" customFormat="false" ht="104" hidden="false" customHeight="true" outlineLevel="0" collapsed="false">
      <c r="A90" s="11" t="s">
        <v>7109</v>
      </c>
      <c r="B90" s="11" t="s">
        <v>397</v>
      </c>
      <c r="C90" s="11" t="s">
        <v>212</v>
      </c>
      <c r="D90" s="11" t="s">
        <v>7162</v>
      </c>
      <c r="E90" s="11" t="s">
        <v>7163</v>
      </c>
      <c r="F90" s="11" t="s">
        <v>4084</v>
      </c>
      <c r="G90" s="12" t="s">
        <v>9</v>
      </c>
    </row>
    <row r="91" customFormat="false" ht="104" hidden="false" customHeight="true" outlineLevel="0" collapsed="false">
      <c r="A91" s="11" t="s">
        <v>7109</v>
      </c>
      <c r="B91" s="11" t="s">
        <v>399</v>
      </c>
      <c r="C91" s="11" t="s">
        <v>212</v>
      </c>
      <c r="D91" s="11" t="s">
        <v>7164</v>
      </c>
      <c r="E91" s="11" t="s">
        <v>7165</v>
      </c>
      <c r="F91" s="11" t="s">
        <v>4084</v>
      </c>
      <c r="G91" s="12" t="s">
        <v>9</v>
      </c>
    </row>
    <row r="92" customFormat="false" ht="104" hidden="false" customHeight="true" outlineLevel="0" collapsed="false">
      <c r="A92" s="11" t="s">
        <v>7109</v>
      </c>
      <c r="B92" s="11" t="s">
        <v>400</v>
      </c>
      <c r="C92" s="11" t="s">
        <v>212</v>
      </c>
      <c r="D92" s="11" t="s">
        <v>7166</v>
      </c>
      <c r="E92" s="11" t="s">
        <v>7167</v>
      </c>
      <c r="F92" s="11" t="s">
        <v>4084</v>
      </c>
      <c r="G92" s="12" t="s">
        <v>9</v>
      </c>
    </row>
    <row r="93" customFormat="false" ht="104" hidden="false" customHeight="true" outlineLevel="0" collapsed="false">
      <c r="A93" s="11" t="s">
        <v>7109</v>
      </c>
      <c r="B93" s="11" t="s">
        <v>401</v>
      </c>
      <c r="C93" s="11" t="s">
        <v>216</v>
      </c>
      <c r="D93" s="11" t="s">
        <v>7168</v>
      </c>
      <c r="E93" s="11" t="s">
        <v>7169</v>
      </c>
      <c r="F93" s="11" t="s">
        <v>4084</v>
      </c>
      <c r="G93" s="12" t="s">
        <v>9</v>
      </c>
    </row>
    <row r="94" customFormat="false" ht="104" hidden="false" customHeight="true" outlineLevel="0" collapsed="false">
      <c r="A94" s="11" t="s">
        <v>7109</v>
      </c>
      <c r="B94" s="11" t="s">
        <v>403</v>
      </c>
      <c r="C94" s="11" t="s">
        <v>216</v>
      </c>
      <c r="D94" s="11" t="s">
        <v>7170</v>
      </c>
      <c r="E94" s="11" t="s">
        <v>7171</v>
      </c>
      <c r="F94" s="11" t="s">
        <v>4084</v>
      </c>
      <c r="G94" s="12" t="s">
        <v>9</v>
      </c>
    </row>
    <row r="95" customFormat="false" ht="104" hidden="false" customHeight="true" outlineLevel="0" collapsed="false">
      <c r="A95" s="11" t="s">
        <v>7109</v>
      </c>
      <c r="B95" s="11" t="s">
        <v>404</v>
      </c>
      <c r="C95" s="11" t="s">
        <v>216</v>
      </c>
      <c r="D95" s="11" t="s">
        <v>7172</v>
      </c>
      <c r="E95" s="11" t="s">
        <v>7173</v>
      </c>
      <c r="F95" s="11" t="s">
        <v>4084</v>
      </c>
      <c r="G95" s="12" t="s">
        <v>9</v>
      </c>
    </row>
    <row r="96" customFormat="false" ht="104" hidden="false" customHeight="true" outlineLevel="0" collapsed="false">
      <c r="A96" s="11" t="s">
        <v>7109</v>
      </c>
      <c r="B96" s="11" t="s">
        <v>405</v>
      </c>
      <c r="C96" s="11" t="s">
        <v>220</v>
      </c>
      <c r="D96" s="11" t="s">
        <v>7174</v>
      </c>
      <c r="E96" s="11" t="s">
        <v>7175</v>
      </c>
      <c r="F96" s="11" t="s">
        <v>4084</v>
      </c>
      <c r="G96" s="12" t="s">
        <v>9</v>
      </c>
    </row>
    <row r="97" customFormat="false" ht="104" hidden="false" customHeight="true" outlineLevel="0" collapsed="false">
      <c r="A97" s="11" t="s">
        <v>7109</v>
      </c>
      <c r="B97" s="11" t="s">
        <v>407</v>
      </c>
      <c r="C97" s="11" t="s">
        <v>220</v>
      </c>
      <c r="D97" s="11" t="s">
        <v>7176</v>
      </c>
      <c r="E97" s="11" t="s">
        <v>7177</v>
      </c>
      <c r="F97" s="11" t="s">
        <v>4084</v>
      </c>
      <c r="G97" s="12" t="s">
        <v>9</v>
      </c>
    </row>
    <row r="98" customFormat="false" ht="104" hidden="false" customHeight="true" outlineLevel="0" collapsed="false">
      <c r="A98" s="11" t="s">
        <v>7109</v>
      </c>
      <c r="B98" s="11" t="s">
        <v>408</v>
      </c>
      <c r="C98" s="11" t="s">
        <v>220</v>
      </c>
      <c r="D98" s="11" t="s">
        <v>7178</v>
      </c>
      <c r="E98" s="11" t="s">
        <v>7179</v>
      </c>
      <c r="F98" s="11" t="s">
        <v>4084</v>
      </c>
      <c r="G98" s="12" t="s">
        <v>9</v>
      </c>
    </row>
    <row r="99" customFormat="false" ht="104" hidden="false" customHeight="true" outlineLevel="0" collapsed="false">
      <c r="A99" s="11" t="s">
        <v>7109</v>
      </c>
      <c r="B99" s="11" t="s">
        <v>409</v>
      </c>
      <c r="C99" s="11" t="s">
        <v>224</v>
      </c>
      <c r="D99" s="11" t="s">
        <v>7180</v>
      </c>
      <c r="E99" s="11" t="s">
        <v>7181</v>
      </c>
      <c r="F99" s="11" t="s">
        <v>4084</v>
      </c>
      <c r="G99" s="12" t="s">
        <v>9</v>
      </c>
    </row>
    <row r="100" customFormat="false" ht="104" hidden="false" customHeight="true" outlineLevel="0" collapsed="false">
      <c r="A100" s="11" t="s">
        <v>7109</v>
      </c>
      <c r="B100" s="11" t="s">
        <v>411</v>
      </c>
      <c r="C100" s="11" t="s">
        <v>224</v>
      </c>
      <c r="D100" s="11" t="s">
        <v>7182</v>
      </c>
      <c r="E100" s="11" t="s">
        <v>7183</v>
      </c>
      <c r="F100" s="11" t="s">
        <v>4084</v>
      </c>
      <c r="G100" s="12" t="s">
        <v>9</v>
      </c>
    </row>
    <row r="101" customFormat="false" ht="104" hidden="false" customHeight="true" outlineLevel="0" collapsed="false">
      <c r="A101" s="11" t="s">
        <v>7109</v>
      </c>
      <c r="B101" s="11" t="s">
        <v>412</v>
      </c>
      <c r="C101" s="11" t="s">
        <v>228</v>
      </c>
      <c r="D101" s="11" t="s">
        <v>7184</v>
      </c>
      <c r="E101" s="11" t="s">
        <v>7185</v>
      </c>
      <c r="F101" s="11" t="s">
        <v>4084</v>
      </c>
      <c r="G101" s="12" t="s">
        <v>9</v>
      </c>
    </row>
    <row r="102" customFormat="false" ht="104" hidden="false" customHeight="true" outlineLevel="0" collapsed="false">
      <c r="A102" s="11" t="s">
        <v>7109</v>
      </c>
      <c r="B102" s="11" t="s">
        <v>414</v>
      </c>
      <c r="C102" s="11" t="s">
        <v>228</v>
      </c>
      <c r="D102" s="11" t="s">
        <v>7186</v>
      </c>
      <c r="E102" s="11" t="s">
        <v>7187</v>
      </c>
      <c r="F102" s="11" t="s">
        <v>4084</v>
      </c>
      <c r="G102" s="12" t="s">
        <v>9</v>
      </c>
    </row>
    <row r="103" customFormat="false" ht="104" hidden="false" customHeight="true" outlineLevel="0" collapsed="false">
      <c r="A103" s="11" t="s">
        <v>7109</v>
      </c>
      <c r="B103" s="11" t="s">
        <v>415</v>
      </c>
      <c r="C103" s="11" t="s">
        <v>232</v>
      </c>
      <c r="D103" s="11" t="s">
        <v>7188</v>
      </c>
      <c r="E103" s="11" t="s">
        <v>7189</v>
      </c>
      <c r="F103" s="11" t="s">
        <v>4084</v>
      </c>
      <c r="G103" s="12" t="s">
        <v>9</v>
      </c>
    </row>
    <row r="104" customFormat="false" ht="104" hidden="false" customHeight="true" outlineLevel="0" collapsed="false">
      <c r="A104" s="11" t="s">
        <v>7109</v>
      </c>
      <c r="B104" s="11" t="s">
        <v>417</v>
      </c>
      <c r="C104" s="11" t="s">
        <v>236</v>
      </c>
      <c r="D104" s="11" t="s">
        <v>7190</v>
      </c>
      <c r="E104" s="11" t="s">
        <v>7191</v>
      </c>
      <c r="F104" s="11" t="s">
        <v>4084</v>
      </c>
      <c r="G104" s="12" t="s">
        <v>9</v>
      </c>
    </row>
    <row r="105" customFormat="false" ht="104" hidden="false" customHeight="true" outlineLevel="0" collapsed="false">
      <c r="A105" s="11" t="s">
        <v>7109</v>
      </c>
      <c r="B105" s="11" t="s">
        <v>419</v>
      </c>
      <c r="C105" s="11" t="s">
        <v>240</v>
      </c>
      <c r="D105" s="11" t="s">
        <v>7192</v>
      </c>
      <c r="E105" s="11" t="s">
        <v>7193</v>
      </c>
      <c r="F105" s="11" t="s">
        <v>4084</v>
      </c>
      <c r="G105" s="12" t="s">
        <v>9</v>
      </c>
    </row>
    <row r="106" customFormat="false" ht="104" hidden="false" customHeight="true" outlineLevel="0" collapsed="false">
      <c r="A106" s="11" t="s">
        <v>7109</v>
      </c>
      <c r="B106" s="11" t="s">
        <v>421</v>
      </c>
      <c r="C106" s="11" t="s">
        <v>244</v>
      </c>
      <c r="D106" s="11" t="s">
        <v>7194</v>
      </c>
      <c r="E106" s="11" t="s">
        <v>7195</v>
      </c>
      <c r="F106" s="11" t="s">
        <v>4084</v>
      </c>
      <c r="G106" s="12" t="s">
        <v>9</v>
      </c>
    </row>
    <row r="107" customFormat="false" ht="104" hidden="false" customHeight="true" outlineLevel="0" collapsed="false">
      <c r="A107" s="11" t="s">
        <v>7109</v>
      </c>
      <c r="B107" s="11" t="s">
        <v>423</v>
      </c>
      <c r="C107" s="11" t="s">
        <v>244</v>
      </c>
      <c r="D107" s="11" t="s">
        <v>7196</v>
      </c>
      <c r="E107" s="11" t="s">
        <v>7197</v>
      </c>
      <c r="F107" s="11" t="s">
        <v>4084</v>
      </c>
      <c r="G107" s="12" t="s">
        <v>9</v>
      </c>
    </row>
    <row r="108" customFormat="false" ht="104" hidden="false" customHeight="true" outlineLevel="0" collapsed="false">
      <c r="A108" s="11" t="s">
        <v>7109</v>
      </c>
      <c r="B108" s="11" t="s">
        <v>424</v>
      </c>
      <c r="C108" s="11" t="s">
        <v>248</v>
      </c>
      <c r="D108" s="11" t="s">
        <v>7198</v>
      </c>
      <c r="E108" s="11" t="s">
        <v>7199</v>
      </c>
      <c r="F108" s="11" t="s">
        <v>4084</v>
      </c>
      <c r="G108" s="12" t="s">
        <v>9</v>
      </c>
    </row>
    <row r="109" customFormat="false" ht="104" hidden="false" customHeight="true" outlineLevel="0" collapsed="false">
      <c r="A109" s="11" t="s">
        <v>7109</v>
      </c>
      <c r="B109" s="11" t="s">
        <v>426</v>
      </c>
      <c r="C109" s="11" t="s">
        <v>248</v>
      </c>
      <c r="D109" s="11" t="s">
        <v>7200</v>
      </c>
      <c r="E109" s="11" t="s">
        <v>7201</v>
      </c>
      <c r="F109" s="11" t="s">
        <v>4084</v>
      </c>
      <c r="G109" s="12" t="s">
        <v>9</v>
      </c>
    </row>
    <row r="110" customFormat="false" ht="104" hidden="false" customHeight="true" outlineLevel="0" collapsed="false">
      <c r="A110" s="11" t="s">
        <v>7109</v>
      </c>
      <c r="B110" s="11" t="s">
        <v>427</v>
      </c>
      <c r="C110" s="11" t="s">
        <v>252</v>
      </c>
      <c r="D110" s="11" t="s">
        <v>7202</v>
      </c>
      <c r="E110" s="11" t="s">
        <v>7203</v>
      </c>
      <c r="F110" s="11" t="s">
        <v>4084</v>
      </c>
      <c r="G110" s="12" t="s">
        <v>9</v>
      </c>
    </row>
    <row r="111" customFormat="false" ht="104" hidden="false" customHeight="true" outlineLevel="0" collapsed="false">
      <c r="A111" s="11" t="s">
        <v>7109</v>
      </c>
      <c r="B111" s="11" t="s">
        <v>429</v>
      </c>
      <c r="C111" s="11" t="s">
        <v>252</v>
      </c>
      <c r="D111" s="11" t="s">
        <v>7204</v>
      </c>
      <c r="E111" s="11" t="s">
        <v>7205</v>
      </c>
      <c r="F111" s="11" t="s">
        <v>4084</v>
      </c>
      <c r="G111" s="12" t="s">
        <v>9</v>
      </c>
    </row>
    <row r="112" customFormat="false" ht="104" hidden="false" customHeight="true" outlineLevel="0" collapsed="false">
      <c r="A112" s="11" t="s">
        <v>7109</v>
      </c>
      <c r="B112" s="11" t="s">
        <v>430</v>
      </c>
      <c r="C112" s="11" t="s">
        <v>255</v>
      </c>
      <c r="D112" s="11" t="s">
        <v>7206</v>
      </c>
      <c r="E112" s="11" t="s">
        <v>7207</v>
      </c>
      <c r="F112" s="11" t="s">
        <v>4084</v>
      </c>
      <c r="G112" s="12" t="s">
        <v>9</v>
      </c>
    </row>
    <row r="113" customFormat="false" ht="104" hidden="false" customHeight="true" outlineLevel="0" collapsed="false">
      <c r="A113" s="11" t="s">
        <v>7109</v>
      </c>
      <c r="B113" s="11" t="s">
        <v>432</v>
      </c>
      <c r="C113" s="11" t="s">
        <v>255</v>
      </c>
      <c r="D113" s="11" t="s">
        <v>7208</v>
      </c>
      <c r="E113" s="11" t="s">
        <v>7209</v>
      </c>
      <c r="F113" s="11" t="s">
        <v>4084</v>
      </c>
      <c r="G113" s="12" t="s">
        <v>9</v>
      </c>
    </row>
    <row r="114" customFormat="false" ht="104" hidden="false" customHeight="true" outlineLevel="0" collapsed="false">
      <c r="A114" s="11" t="s">
        <v>7109</v>
      </c>
      <c r="B114" s="11" t="s">
        <v>433</v>
      </c>
      <c r="C114" s="11" t="s">
        <v>259</v>
      </c>
      <c r="D114" s="11" t="s">
        <v>7210</v>
      </c>
      <c r="E114" s="11" t="s">
        <v>7211</v>
      </c>
      <c r="F114" s="11" t="s">
        <v>4084</v>
      </c>
      <c r="G114" s="12" t="s">
        <v>9</v>
      </c>
    </row>
    <row r="115" customFormat="false" ht="104" hidden="false" customHeight="true" outlineLevel="0" collapsed="false">
      <c r="A115" s="11" t="s">
        <v>7109</v>
      </c>
      <c r="B115" s="11" t="s">
        <v>435</v>
      </c>
      <c r="C115" s="11" t="s">
        <v>263</v>
      </c>
      <c r="D115" s="11" t="s">
        <v>7212</v>
      </c>
      <c r="E115" s="11" t="s">
        <v>7213</v>
      </c>
      <c r="F115" s="11" t="s">
        <v>4084</v>
      </c>
      <c r="G115" s="12" t="s">
        <v>9</v>
      </c>
    </row>
    <row r="116" customFormat="false" ht="104" hidden="false" customHeight="true" outlineLevel="0" collapsed="false">
      <c r="A116" s="11" t="s">
        <v>7109</v>
      </c>
      <c r="B116" s="11" t="s">
        <v>437</v>
      </c>
      <c r="C116" s="11" t="s">
        <v>267</v>
      </c>
      <c r="D116" s="11" t="s">
        <v>7214</v>
      </c>
      <c r="E116" s="11" t="s">
        <v>7215</v>
      </c>
      <c r="F116" s="11" t="s">
        <v>4084</v>
      </c>
      <c r="G116" s="12" t="s">
        <v>9</v>
      </c>
    </row>
    <row r="117" customFormat="false" ht="104" hidden="false" customHeight="true" outlineLevel="0" collapsed="false">
      <c r="A117" s="11" t="s">
        <v>7109</v>
      </c>
      <c r="B117" s="11" t="s">
        <v>439</v>
      </c>
      <c r="C117" s="11" t="s">
        <v>271</v>
      </c>
      <c r="D117" s="11" t="s">
        <v>7216</v>
      </c>
      <c r="E117" s="11" t="s">
        <v>7217</v>
      </c>
      <c r="F117" s="11" t="s">
        <v>4084</v>
      </c>
      <c r="G117" s="12" t="s">
        <v>9</v>
      </c>
    </row>
    <row r="118" customFormat="false" ht="104" hidden="false" customHeight="true" outlineLevel="0" collapsed="false">
      <c r="A118" s="11" t="s">
        <v>7109</v>
      </c>
      <c r="B118" s="11" t="s">
        <v>441</v>
      </c>
      <c r="C118" s="11" t="s">
        <v>271</v>
      </c>
      <c r="D118" s="11" t="s">
        <v>7218</v>
      </c>
      <c r="E118" s="11" t="s">
        <v>7219</v>
      </c>
      <c r="F118" s="11" t="s">
        <v>4084</v>
      </c>
      <c r="G118" s="12" t="s">
        <v>9</v>
      </c>
    </row>
    <row r="119" customFormat="false" ht="104" hidden="false" customHeight="true" outlineLevel="0" collapsed="false">
      <c r="A119" s="11" t="s">
        <v>7109</v>
      </c>
      <c r="B119" s="11" t="s">
        <v>442</v>
      </c>
      <c r="C119" s="11" t="s">
        <v>275</v>
      </c>
      <c r="D119" s="11" t="s">
        <v>7220</v>
      </c>
      <c r="E119" s="11" t="s">
        <v>7221</v>
      </c>
      <c r="F119" s="11" t="s">
        <v>4084</v>
      </c>
      <c r="G119" s="12" t="s">
        <v>9</v>
      </c>
    </row>
    <row r="120" customFormat="false" ht="104" hidden="false" customHeight="true" outlineLevel="0" collapsed="false">
      <c r="A120" s="11" t="s">
        <v>7109</v>
      </c>
      <c r="B120" s="11" t="s">
        <v>444</v>
      </c>
      <c r="C120" s="11" t="s">
        <v>279</v>
      </c>
      <c r="D120" s="11" t="s">
        <v>7222</v>
      </c>
      <c r="E120" s="11" t="s">
        <v>7223</v>
      </c>
      <c r="F120" s="11" t="s">
        <v>4084</v>
      </c>
      <c r="G120" s="12" t="s">
        <v>9</v>
      </c>
    </row>
    <row r="121" customFormat="false" ht="104" hidden="false" customHeight="true" outlineLevel="0" collapsed="false">
      <c r="A121" s="11" t="s">
        <v>7109</v>
      </c>
      <c r="B121" s="11" t="s">
        <v>446</v>
      </c>
      <c r="C121" s="11" t="s">
        <v>282</v>
      </c>
      <c r="D121" s="11" t="s">
        <v>7224</v>
      </c>
      <c r="E121" s="11" t="s">
        <v>7225</v>
      </c>
      <c r="F121" s="11" t="s">
        <v>4084</v>
      </c>
      <c r="G121" s="12" t="s">
        <v>9</v>
      </c>
    </row>
    <row r="122" customFormat="false" ht="104" hidden="false" customHeight="true" outlineLevel="0" collapsed="false">
      <c r="A122" s="11" t="s">
        <v>7109</v>
      </c>
      <c r="B122" s="11" t="s">
        <v>448</v>
      </c>
      <c r="C122" s="11" t="s">
        <v>285</v>
      </c>
      <c r="D122" s="11" t="s">
        <v>7226</v>
      </c>
      <c r="E122" s="11" t="s">
        <v>7227</v>
      </c>
      <c r="F122" s="11" t="s">
        <v>4084</v>
      </c>
      <c r="G122" s="12" t="s">
        <v>9</v>
      </c>
    </row>
    <row r="123" customFormat="false" ht="104" hidden="false" customHeight="true" outlineLevel="0" collapsed="false">
      <c r="A123" s="11" t="s">
        <v>7109</v>
      </c>
      <c r="B123" s="11" t="s">
        <v>450</v>
      </c>
      <c r="C123" s="11" t="s">
        <v>285</v>
      </c>
      <c r="D123" s="11" t="s">
        <v>7228</v>
      </c>
      <c r="E123" s="11" t="s">
        <v>7229</v>
      </c>
      <c r="F123" s="11" t="s">
        <v>4084</v>
      </c>
      <c r="G123" s="12" t="s">
        <v>9</v>
      </c>
    </row>
    <row r="124" customFormat="false" ht="104" hidden="false" customHeight="true" outlineLevel="0" collapsed="false">
      <c r="A124" s="11" t="s">
        <v>7109</v>
      </c>
      <c r="B124" s="11" t="s">
        <v>451</v>
      </c>
      <c r="C124" s="11" t="s">
        <v>288</v>
      </c>
      <c r="D124" s="11" t="s">
        <v>7230</v>
      </c>
      <c r="E124" s="11" t="s">
        <v>7231</v>
      </c>
      <c r="F124" s="11" t="s">
        <v>4084</v>
      </c>
      <c r="G124" s="12" t="s">
        <v>9</v>
      </c>
    </row>
    <row r="125" customFormat="false" ht="104" hidden="false" customHeight="true" outlineLevel="0" collapsed="false">
      <c r="A125" s="11" t="s">
        <v>7109</v>
      </c>
      <c r="B125" s="11" t="s">
        <v>453</v>
      </c>
      <c r="C125" s="11" t="s">
        <v>288</v>
      </c>
      <c r="D125" s="11" t="s">
        <v>7232</v>
      </c>
      <c r="E125" s="11" t="s">
        <v>7233</v>
      </c>
      <c r="F125" s="11" t="s">
        <v>4084</v>
      </c>
      <c r="G125" s="12" t="s">
        <v>9</v>
      </c>
    </row>
    <row r="126" customFormat="false" ht="104" hidden="false" customHeight="true" outlineLevel="0" collapsed="false">
      <c r="A126" s="11" t="s">
        <v>7109</v>
      </c>
      <c r="B126" s="11" t="s">
        <v>454</v>
      </c>
      <c r="C126" s="11" t="s">
        <v>292</v>
      </c>
      <c r="D126" s="11" t="s">
        <v>7234</v>
      </c>
      <c r="E126" s="11" t="s">
        <v>7235</v>
      </c>
      <c r="F126" s="11" t="s">
        <v>4084</v>
      </c>
      <c r="G126" s="12" t="s">
        <v>9</v>
      </c>
    </row>
    <row r="127" customFormat="false" ht="104" hidden="false" customHeight="true" outlineLevel="0" collapsed="false">
      <c r="A127" s="11" t="s">
        <v>7109</v>
      </c>
      <c r="B127" s="11" t="s">
        <v>456</v>
      </c>
      <c r="C127" s="11" t="s">
        <v>292</v>
      </c>
      <c r="D127" s="11" t="s">
        <v>7236</v>
      </c>
      <c r="E127" s="11" t="s">
        <v>7237</v>
      </c>
      <c r="F127" s="11" t="s">
        <v>4084</v>
      </c>
      <c r="G127" s="12" t="s">
        <v>9</v>
      </c>
    </row>
    <row r="128" customFormat="false" ht="104" hidden="false" customHeight="true" outlineLevel="0" collapsed="false">
      <c r="A128" s="11" t="s">
        <v>7109</v>
      </c>
      <c r="B128" s="11" t="s">
        <v>457</v>
      </c>
      <c r="C128" s="11" t="s">
        <v>292</v>
      </c>
      <c r="D128" s="11" t="s">
        <v>7238</v>
      </c>
      <c r="E128" s="11" t="s">
        <v>7239</v>
      </c>
      <c r="F128" s="11" t="s">
        <v>4084</v>
      </c>
      <c r="G128" s="12" t="s">
        <v>9</v>
      </c>
    </row>
    <row r="129" customFormat="false" ht="104" hidden="false" customHeight="true" outlineLevel="0" collapsed="false">
      <c r="A129" s="11" t="s">
        <v>7109</v>
      </c>
      <c r="B129" s="11" t="s">
        <v>458</v>
      </c>
      <c r="C129" s="11" t="s">
        <v>292</v>
      </c>
      <c r="D129" s="11" t="s">
        <v>7240</v>
      </c>
      <c r="E129" s="11" t="s">
        <v>7241</v>
      </c>
      <c r="F129" s="11" t="s">
        <v>4084</v>
      </c>
      <c r="G129" s="12" t="s">
        <v>9</v>
      </c>
    </row>
    <row r="130" customFormat="false" ht="104" hidden="false" customHeight="true" outlineLevel="0" collapsed="false">
      <c r="A130" s="11" t="s">
        <v>7109</v>
      </c>
      <c r="B130" s="11" t="s">
        <v>459</v>
      </c>
      <c r="C130" s="11" t="s">
        <v>296</v>
      </c>
      <c r="D130" s="11" t="s">
        <v>7242</v>
      </c>
      <c r="E130" s="11" t="s">
        <v>7243</v>
      </c>
      <c r="F130" s="11" t="s">
        <v>4084</v>
      </c>
      <c r="G130" s="12" t="s">
        <v>9</v>
      </c>
    </row>
    <row r="131" customFormat="false" ht="104" hidden="false" customHeight="true" outlineLevel="0" collapsed="false">
      <c r="A131" s="11" t="s">
        <v>7109</v>
      </c>
      <c r="B131" s="11" t="s">
        <v>461</v>
      </c>
      <c r="C131" s="11" t="s">
        <v>296</v>
      </c>
      <c r="D131" s="11" t="s">
        <v>7244</v>
      </c>
      <c r="E131" s="11" t="s">
        <v>7245</v>
      </c>
      <c r="F131" s="11" t="s">
        <v>4084</v>
      </c>
      <c r="G131" s="12" t="s">
        <v>9</v>
      </c>
    </row>
    <row r="132" customFormat="false" ht="104" hidden="false" customHeight="true" outlineLevel="0" collapsed="false">
      <c r="A132" s="11" t="s">
        <v>7109</v>
      </c>
      <c r="B132" s="11" t="s">
        <v>462</v>
      </c>
      <c r="C132" s="11" t="s">
        <v>296</v>
      </c>
      <c r="D132" s="11" t="s">
        <v>7246</v>
      </c>
      <c r="E132" s="11" t="s">
        <v>7247</v>
      </c>
      <c r="F132" s="11" t="s">
        <v>4084</v>
      </c>
      <c r="G132" s="12" t="s">
        <v>9</v>
      </c>
    </row>
    <row r="133" customFormat="false" ht="104" hidden="false" customHeight="true" outlineLevel="0" collapsed="false">
      <c r="A133" s="11" t="s">
        <v>7109</v>
      </c>
      <c r="B133" s="11" t="s">
        <v>463</v>
      </c>
      <c r="C133" s="11" t="s">
        <v>300</v>
      </c>
      <c r="D133" s="11" t="s">
        <v>7248</v>
      </c>
      <c r="E133" s="11" t="s">
        <v>7249</v>
      </c>
      <c r="F133" s="11" t="s">
        <v>4084</v>
      </c>
      <c r="G133" s="12" t="s">
        <v>9</v>
      </c>
    </row>
    <row r="134" customFormat="false" ht="104" hidden="false" customHeight="true" outlineLevel="0" collapsed="false">
      <c r="A134" s="11" t="s">
        <v>7109</v>
      </c>
      <c r="B134" s="11" t="s">
        <v>465</v>
      </c>
      <c r="C134" s="11" t="s">
        <v>300</v>
      </c>
      <c r="D134" s="11" t="s">
        <v>7250</v>
      </c>
      <c r="E134" s="11" t="s">
        <v>7251</v>
      </c>
      <c r="F134" s="11" t="s">
        <v>4084</v>
      </c>
      <c r="G134" s="12" t="s">
        <v>9</v>
      </c>
    </row>
    <row r="135" customFormat="false" ht="104" hidden="false" customHeight="true" outlineLevel="0" collapsed="false">
      <c r="A135" s="11" t="s">
        <v>7109</v>
      </c>
      <c r="B135" s="11" t="s">
        <v>466</v>
      </c>
      <c r="C135" s="11" t="s">
        <v>304</v>
      </c>
      <c r="D135" s="11" t="s">
        <v>7252</v>
      </c>
      <c r="E135" s="11" t="s">
        <v>7253</v>
      </c>
      <c r="F135" s="11" t="s">
        <v>4084</v>
      </c>
      <c r="G135" s="12" t="s">
        <v>9</v>
      </c>
    </row>
    <row r="136" customFormat="false" ht="104" hidden="false" customHeight="true" outlineLevel="0" collapsed="false">
      <c r="A136" s="11" t="s">
        <v>7109</v>
      </c>
      <c r="B136" s="11" t="s">
        <v>468</v>
      </c>
      <c r="C136" s="11" t="s">
        <v>304</v>
      </c>
      <c r="D136" s="11" t="s">
        <v>7254</v>
      </c>
      <c r="E136" s="11" t="s">
        <v>7255</v>
      </c>
      <c r="F136" s="11" t="s">
        <v>4084</v>
      </c>
      <c r="G136" s="12" t="s">
        <v>9</v>
      </c>
    </row>
    <row r="137" customFormat="false" ht="104" hidden="false" customHeight="true" outlineLevel="0" collapsed="false">
      <c r="A137" s="11" t="s">
        <v>7109</v>
      </c>
      <c r="B137" s="11" t="s">
        <v>469</v>
      </c>
      <c r="C137" s="11" t="s">
        <v>304</v>
      </c>
      <c r="D137" s="11" t="s">
        <v>7256</v>
      </c>
      <c r="E137" s="11" t="s">
        <v>7257</v>
      </c>
      <c r="F137" s="11" t="s">
        <v>4084</v>
      </c>
      <c r="G137" s="12" t="s">
        <v>9</v>
      </c>
    </row>
    <row r="138" customFormat="false" ht="104" hidden="false" customHeight="true" outlineLevel="0" collapsed="false">
      <c r="A138" s="11" t="s">
        <v>7109</v>
      </c>
      <c r="B138" s="11" t="s">
        <v>470</v>
      </c>
      <c r="C138" s="11" t="s">
        <v>308</v>
      </c>
      <c r="D138" s="11" t="s">
        <v>7258</v>
      </c>
      <c r="E138" s="11" t="s">
        <v>7259</v>
      </c>
      <c r="F138" s="11" t="s">
        <v>4084</v>
      </c>
      <c r="G138" s="12" t="s">
        <v>9</v>
      </c>
    </row>
    <row r="139" customFormat="false" ht="104" hidden="false" customHeight="true" outlineLevel="0" collapsed="false">
      <c r="A139" s="11" t="s">
        <v>7109</v>
      </c>
      <c r="B139" s="11" t="s">
        <v>472</v>
      </c>
      <c r="C139" s="11" t="s">
        <v>308</v>
      </c>
      <c r="D139" s="11" t="s">
        <v>7260</v>
      </c>
      <c r="E139" s="11" t="s">
        <v>7261</v>
      </c>
      <c r="F139" s="11" t="s">
        <v>4084</v>
      </c>
      <c r="G139" s="12" t="s">
        <v>9</v>
      </c>
    </row>
    <row r="140" customFormat="false" ht="104" hidden="false" customHeight="true" outlineLevel="0" collapsed="false">
      <c r="A140" s="11" t="s">
        <v>7109</v>
      </c>
      <c r="B140" s="11" t="s">
        <v>473</v>
      </c>
      <c r="C140" s="11" t="s">
        <v>312</v>
      </c>
      <c r="D140" s="11" t="s">
        <v>7262</v>
      </c>
      <c r="E140" s="11" t="s">
        <v>7263</v>
      </c>
      <c r="F140" s="11" t="s">
        <v>4084</v>
      </c>
      <c r="G140" s="12" t="s">
        <v>9</v>
      </c>
    </row>
    <row r="141" customFormat="false" ht="104" hidden="false" customHeight="true" outlineLevel="0" collapsed="false">
      <c r="A141" s="11" t="s">
        <v>7109</v>
      </c>
      <c r="B141" s="11" t="s">
        <v>475</v>
      </c>
      <c r="C141" s="11" t="s">
        <v>316</v>
      </c>
      <c r="D141" s="11" t="s">
        <v>7264</v>
      </c>
      <c r="E141" s="11" t="s">
        <v>7265</v>
      </c>
      <c r="F141" s="11" t="s">
        <v>4084</v>
      </c>
      <c r="G141" s="12" t="s">
        <v>9</v>
      </c>
    </row>
    <row r="142" customFormat="false" ht="104" hidden="false" customHeight="true" outlineLevel="0" collapsed="false">
      <c r="A142" s="11" t="s">
        <v>7109</v>
      </c>
      <c r="B142" s="11" t="s">
        <v>477</v>
      </c>
      <c r="C142" s="11" t="s">
        <v>316</v>
      </c>
      <c r="D142" s="11" t="s">
        <v>7266</v>
      </c>
      <c r="E142" s="11" t="s">
        <v>7267</v>
      </c>
      <c r="F142" s="11" t="s">
        <v>4084</v>
      </c>
      <c r="G142" s="12" t="s">
        <v>9</v>
      </c>
    </row>
    <row r="143" customFormat="false" ht="104" hidden="false" customHeight="true" outlineLevel="0" collapsed="false">
      <c r="A143" s="11" t="s">
        <v>7109</v>
      </c>
      <c r="B143" s="11" t="s">
        <v>478</v>
      </c>
      <c r="C143" s="11" t="s">
        <v>320</v>
      </c>
      <c r="D143" s="11" t="s">
        <v>7268</v>
      </c>
      <c r="E143" s="11" t="s">
        <v>7269</v>
      </c>
      <c r="F143" s="11" t="s">
        <v>4084</v>
      </c>
      <c r="G143" s="12" t="s">
        <v>9</v>
      </c>
    </row>
    <row r="144" customFormat="false" ht="104" hidden="false" customHeight="true" outlineLevel="0" collapsed="false">
      <c r="A144" s="11" t="s">
        <v>7109</v>
      </c>
      <c r="B144" s="11" t="s">
        <v>480</v>
      </c>
      <c r="C144" s="11" t="s">
        <v>320</v>
      </c>
      <c r="D144" s="11" t="s">
        <v>7270</v>
      </c>
      <c r="E144" s="11" t="s">
        <v>7271</v>
      </c>
      <c r="F144" s="11" t="s">
        <v>4084</v>
      </c>
      <c r="G144" s="12" t="s">
        <v>9</v>
      </c>
    </row>
    <row r="145" customFormat="false" ht="104" hidden="false" customHeight="true" outlineLevel="0" collapsed="false">
      <c r="A145" s="11" t="s">
        <v>7109</v>
      </c>
      <c r="B145" s="11" t="s">
        <v>481</v>
      </c>
      <c r="C145" s="11" t="s">
        <v>324</v>
      </c>
      <c r="D145" s="11" t="s">
        <v>7272</v>
      </c>
      <c r="E145" s="11" t="s">
        <v>7273</v>
      </c>
      <c r="F145" s="11" t="s">
        <v>4084</v>
      </c>
      <c r="G145" s="12" t="s">
        <v>9</v>
      </c>
    </row>
    <row r="146" customFormat="false" ht="104" hidden="false" customHeight="true" outlineLevel="0" collapsed="false">
      <c r="A146" s="11" t="s">
        <v>7109</v>
      </c>
      <c r="B146" s="11" t="s">
        <v>483</v>
      </c>
      <c r="C146" s="11" t="s">
        <v>324</v>
      </c>
      <c r="D146" s="11" t="s">
        <v>7274</v>
      </c>
      <c r="E146" s="11" t="s">
        <v>7275</v>
      </c>
      <c r="F146" s="11" t="s">
        <v>4084</v>
      </c>
      <c r="G146" s="12" t="s">
        <v>9</v>
      </c>
    </row>
    <row r="147" customFormat="false" ht="104" hidden="false" customHeight="true" outlineLevel="0" collapsed="false">
      <c r="A147" s="11" t="s">
        <v>7109</v>
      </c>
      <c r="B147" s="11" t="s">
        <v>484</v>
      </c>
      <c r="C147" s="11" t="s">
        <v>328</v>
      </c>
      <c r="D147" s="11" t="s">
        <v>7276</v>
      </c>
      <c r="E147" s="11" t="s">
        <v>7277</v>
      </c>
      <c r="F147" s="11" t="s">
        <v>4084</v>
      </c>
      <c r="G147" s="12" t="s">
        <v>9</v>
      </c>
    </row>
    <row r="148" customFormat="false" ht="104" hidden="false" customHeight="true" outlineLevel="0" collapsed="false">
      <c r="A148" s="11" t="s">
        <v>7278</v>
      </c>
      <c r="B148" s="11" t="s">
        <v>498</v>
      </c>
      <c r="C148" s="11" t="s">
        <v>116</v>
      </c>
      <c r="D148" s="11" t="s">
        <v>7279</v>
      </c>
      <c r="E148" s="11" t="s">
        <v>7280</v>
      </c>
      <c r="F148" s="11" t="s">
        <v>4084</v>
      </c>
      <c r="G148" s="12" t="s">
        <v>9</v>
      </c>
    </row>
    <row r="149" customFormat="false" ht="104" hidden="false" customHeight="true" outlineLevel="0" collapsed="false">
      <c r="A149" s="11" t="s">
        <v>7278</v>
      </c>
      <c r="B149" s="11" t="s">
        <v>506</v>
      </c>
      <c r="C149" s="11" t="s">
        <v>116</v>
      </c>
      <c r="D149" s="11" t="s">
        <v>7281</v>
      </c>
      <c r="E149" s="11" t="s">
        <v>7282</v>
      </c>
      <c r="F149" s="11" t="s">
        <v>4084</v>
      </c>
      <c r="G149" s="12" t="s">
        <v>9</v>
      </c>
    </row>
    <row r="150" customFormat="false" ht="104" hidden="false" customHeight="true" outlineLevel="0" collapsed="false">
      <c r="A150" s="11" t="s">
        <v>7278</v>
      </c>
      <c r="B150" s="11" t="s">
        <v>507</v>
      </c>
      <c r="C150" s="11" t="s">
        <v>116</v>
      </c>
      <c r="D150" s="11" t="s">
        <v>7283</v>
      </c>
      <c r="E150" s="11" t="s">
        <v>7284</v>
      </c>
      <c r="F150" s="11" t="s">
        <v>4084</v>
      </c>
      <c r="G150" s="12" t="s">
        <v>9</v>
      </c>
    </row>
    <row r="151" customFormat="false" ht="104" hidden="false" customHeight="true" outlineLevel="0" collapsed="false">
      <c r="A151" s="11" t="s">
        <v>7278</v>
      </c>
      <c r="B151" s="11" t="s">
        <v>508</v>
      </c>
      <c r="C151" s="11" t="s">
        <v>122</v>
      </c>
      <c r="D151" s="11" t="s">
        <v>7285</v>
      </c>
      <c r="E151" s="11" t="s">
        <v>7286</v>
      </c>
      <c r="F151" s="11" t="s">
        <v>4084</v>
      </c>
      <c r="G151" s="12" t="s">
        <v>9</v>
      </c>
    </row>
    <row r="152" customFormat="false" ht="104" hidden="false" customHeight="true" outlineLevel="0" collapsed="false">
      <c r="A152" s="11" t="s">
        <v>7278</v>
      </c>
      <c r="B152" s="11" t="s">
        <v>511</v>
      </c>
      <c r="C152" s="11" t="s">
        <v>122</v>
      </c>
      <c r="D152" s="11" t="s">
        <v>7287</v>
      </c>
      <c r="E152" s="11" t="s">
        <v>7288</v>
      </c>
      <c r="F152" s="11" t="s">
        <v>4084</v>
      </c>
      <c r="G152" s="12" t="s">
        <v>9</v>
      </c>
    </row>
    <row r="153" customFormat="false" ht="104" hidden="false" customHeight="true" outlineLevel="0" collapsed="false">
      <c r="A153" s="11" t="s">
        <v>7278</v>
      </c>
      <c r="B153" s="11" t="s">
        <v>512</v>
      </c>
      <c r="C153" s="11" t="s">
        <v>122</v>
      </c>
      <c r="D153" s="11" t="s">
        <v>7289</v>
      </c>
      <c r="E153" s="11" t="s">
        <v>7290</v>
      </c>
      <c r="F153" s="11" t="s">
        <v>4084</v>
      </c>
      <c r="G153" s="12" t="s">
        <v>9</v>
      </c>
    </row>
    <row r="154" customFormat="false" ht="104" hidden="false" customHeight="true" outlineLevel="0" collapsed="false">
      <c r="A154" s="11" t="s">
        <v>7278</v>
      </c>
      <c r="B154" s="11" t="s">
        <v>513</v>
      </c>
      <c r="C154" s="11" t="s">
        <v>122</v>
      </c>
      <c r="D154" s="11" t="s">
        <v>7291</v>
      </c>
      <c r="E154" s="11" t="s">
        <v>7292</v>
      </c>
      <c r="F154" s="11" t="s">
        <v>4084</v>
      </c>
      <c r="G154" s="12" t="s">
        <v>9</v>
      </c>
    </row>
    <row r="155" customFormat="false" ht="104" hidden="false" customHeight="true" outlineLevel="0" collapsed="false">
      <c r="A155" s="11" t="s">
        <v>7278</v>
      </c>
      <c r="B155" s="11" t="s">
        <v>514</v>
      </c>
      <c r="C155" s="11" t="s">
        <v>122</v>
      </c>
      <c r="D155" s="11" t="s">
        <v>7293</v>
      </c>
      <c r="E155" s="11" t="s">
        <v>7294</v>
      </c>
      <c r="F155" s="11" t="s">
        <v>4084</v>
      </c>
      <c r="G155" s="12" t="s">
        <v>9</v>
      </c>
    </row>
    <row r="156" customFormat="false" ht="104" hidden="false" customHeight="true" outlineLevel="0" collapsed="false">
      <c r="A156" s="11" t="s">
        <v>7278</v>
      </c>
      <c r="B156" s="11" t="s">
        <v>515</v>
      </c>
      <c r="C156" s="11" t="s">
        <v>122</v>
      </c>
      <c r="D156" s="11" t="s">
        <v>7295</v>
      </c>
      <c r="E156" s="11" t="s">
        <v>7296</v>
      </c>
      <c r="F156" s="11" t="s">
        <v>4084</v>
      </c>
      <c r="G156" s="12" t="s">
        <v>9</v>
      </c>
    </row>
    <row r="157" customFormat="false" ht="104" hidden="false" customHeight="true" outlineLevel="0" collapsed="false">
      <c r="A157" s="11" t="s">
        <v>7278</v>
      </c>
      <c r="B157" s="11" t="s">
        <v>516</v>
      </c>
      <c r="C157" s="11" t="s">
        <v>122</v>
      </c>
      <c r="D157" s="11" t="s">
        <v>7297</v>
      </c>
      <c r="E157" s="11" t="s">
        <v>7298</v>
      </c>
      <c r="F157" s="11" t="s">
        <v>4084</v>
      </c>
      <c r="G157" s="12" t="s">
        <v>9</v>
      </c>
    </row>
    <row r="158" customFormat="false" ht="104" hidden="false" customHeight="true" outlineLevel="0" collapsed="false">
      <c r="A158" s="11" t="s">
        <v>7278</v>
      </c>
      <c r="B158" s="11" t="s">
        <v>520</v>
      </c>
      <c r="C158" s="11" t="s">
        <v>122</v>
      </c>
      <c r="D158" s="11" t="s">
        <v>7299</v>
      </c>
      <c r="E158" s="11" t="s">
        <v>7300</v>
      </c>
      <c r="F158" s="11" t="s">
        <v>4084</v>
      </c>
      <c r="G158" s="12" t="s">
        <v>9</v>
      </c>
    </row>
    <row r="159" customFormat="false" ht="104" hidden="false" customHeight="true" outlineLevel="0" collapsed="false">
      <c r="A159" s="11" t="s">
        <v>7278</v>
      </c>
      <c r="B159" s="11" t="s">
        <v>522</v>
      </c>
      <c r="C159" s="11" t="s">
        <v>133</v>
      </c>
      <c r="D159" s="11" t="s">
        <v>7301</v>
      </c>
      <c r="E159" s="11" t="s">
        <v>7302</v>
      </c>
      <c r="F159" s="11" t="s">
        <v>4084</v>
      </c>
      <c r="G159" s="12" t="s">
        <v>9</v>
      </c>
    </row>
    <row r="160" customFormat="false" ht="104" hidden="false" customHeight="true" outlineLevel="0" collapsed="false">
      <c r="A160" s="11" t="s">
        <v>7278</v>
      </c>
      <c r="B160" s="11" t="s">
        <v>525</v>
      </c>
      <c r="C160" s="11" t="s">
        <v>133</v>
      </c>
      <c r="D160" s="11" t="s">
        <v>7303</v>
      </c>
      <c r="E160" s="11" t="s">
        <v>7304</v>
      </c>
      <c r="F160" s="11" t="s">
        <v>4084</v>
      </c>
      <c r="G160" s="12" t="s">
        <v>9</v>
      </c>
    </row>
    <row r="161" customFormat="false" ht="104" hidden="false" customHeight="true" outlineLevel="0" collapsed="false">
      <c r="A161" s="11" t="s">
        <v>7278</v>
      </c>
      <c r="B161" s="11" t="s">
        <v>526</v>
      </c>
      <c r="C161" s="11" t="s">
        <v>133</v>
      </c>
      <c r="D161" s="11" t="s">
        <v>7305</v>
      </c>
      <c r="E161" s="11" t="s">
        <v>7306</v>
      </c>
      <c r="F161" s="11" t="s">
        <v>4084</v>
      </c>
      <c r="G161" s="12" t="s">
        <v>9</v>
      </c>
    </row>
    <row r="162" customFormat="false" ht="104" hidden="false" customHeight="true" outlineLevel="0" collapsed="false">
      <c r="A162" s="11" t="s">
        <v>7278</v>
      </c>
      <c r="B162" s="11" t="s">
        <v>527</v>
      </c>
      <c r="C162" s="11" t="s">
        <v>133</v>
      </c>
      <c r="D162" s="11" t="s">
        <v>7307</v>
      </c>
      <c r="E162" s="11" t="s">
        <v>7308</v>
      </c>
      <c r="F162" s="11" t="s">
        <v>4084</v>
      </c>
      <c r="G162" s="12" t="s">
        <v>9</v>
      </c>
    </row>
    <row r="163" customFormat="false" ht="104" hidden="false" customHeight="true" outlineLevel="0" collapsed="false">
      <c r="A163" s="11" t="s">
        <v>7278</v>
      </c>
      <c r="B163" s="11" t="s">
        <v>528</v>
      </c>
      <c r="C163" s="11" t="s">
        <v>133</v>
      </c>
      <c r="D163" s="11" t="s">
        <v>7309</v>
      </c>
      <c r="E163" s="11" t="s">
        <v>7310</v>
      </c>
      <c r="F163" s="11" t="s">
        <v>4084</v>
      </c>
      <c r="G163" s="12" t="s">
        <v>9</v>
      </c>
    </row>
    <row r="164" customFormat="false" ht="104" hidden="false" customHeight="true" outlineLevel="0" collapsed="false">
      <c r="A164" s="11" t="s">
        <v>7278</v>
      </c>
      <c r="B164" s="11" t="s">
        <v>529</v>
      </c>
      <c r="C164" s="11" t="s">
        <v>133</v>
      </c>
      <c r="D164" s="11" t="s">
        <v>7311</v>
      </c>
      <c r="E164" s="11" t="s">
        <v>7312</v>
      </c>
      <c r="F164" s="11" t="s">
        <v>4084</v>
      </c>
      <c r="G164" s="12" t="s">
        <v>9</v>
      </c>
    </row>
    <row r="165" customFormat="false" ht="104" hidden="false" customHeight="true" outlineLevel="0" collapsed="false">
      <c r="A165" s="11" t="s">
        <v>7278</v>
      </c>
      <c r="B165" s="11" t="s">
        <v>530</v>
      </c>
      <c r="C165" s="11" t="s">
        <v>139</v>
      </c>
      <c r="D165" s="11" t="s">
        <v>7313</v>
      </c>
      <c r="E165" s="11" t="s">
        <v>7314</v>
      </c>
      <c r="F165" s="11" t="s">
        <v>4084</v>
      </c>
      <c r="G165" s="12" t="s">
        <v>9</v>
      </c>
    </row>
    <row r="166" customFormat="false" ht="104" hidden="false" customHeight="true" outlineLevel="0" collapsed="false">
      <c r="A166" s="11" t="s">
        <v>7278</v>
      </c>
      <c r="B166" s="11" t="s">
        <v>531</v>
      </c>
      <c r="C166" s="11" t="s">
        <v>139</v>
      </c>
      <c r="D166" s="11" t="s">
        <v>7315</v>
      </c>
      <c r="E166" s="11" t="s">
        <v>7316</v>
      </c>
      <c r="F166" s="11" t="s">
        <v>4084</v>
      </c>
      <c r="G166" s="12" t="s">
        <v>9</v>
      </c>
    </row>
    <row r="167" customFormat="false" ht="104" hidden="false" customHeight="true" outlineLevel="0" collapsed="false">
      <c r="A167" s="11" t="s">
        <v>7278</v>
      </c>
      <c r="B167" s="11" t="s">
        <v>532</v>
      </c>
      <c r="C167" s="11" t="s">
        <v>139</v>
      </c>
      <c r="D167" s="11" t="s">
        <v>7317</v>
      </c>
      <c r="E167" s="11" t="s">
        <v>7318</v>
      </c>
      <c r="F167" s="11" t="s">
        <v>4084</v>
      </c>
      <c r="G167" s="12" t="s">
        <v>9</v>
      </c>
    </row>
    <row r="168" customFormat="false" ht="104" hidden="false" customHeight="true" outlineLevel="0" collapsed="false">
      <c r="A168" s="11" t="s">
        <v>7278</v>
      </c>
      <c r="B168" s="11" t="s">
        <v>533</v>
      </c>
      <c r="C168" s="11" t="s">
        <v>139</v>
      </c>
      <c r="D168" s="11" t="s">
        <v>7319</v>
      </c>
      <c r="E168" s="11" t="s">
        <v>7320</v>
      </c>
      <c r="F168" s="11" t="s">
        <v>4084</v>
      </c>
      <c r="G168" s="12" t="s">
        <v>9</v>
      </c>
    </row>
    <row r="169" customFormat="false" ht="104" hidden="false" customHeight="true" outlineLevel="0" collapsed="false">
      <c r="A169" s="11" t="s">
        <v>7278</v>
      </c>
      <c r="B169" s="11" t="s">
        <v>534</v>
      </c>
      <c r="C169" s="11" t="s">
        <v>139</v>
      </c>
      <c r="D169" s="11" t="s">
        <v>7321</v>
      </c>
      <c r="E169" s="11" t="s">
        <v>7322</v>
      </c>
      <c r="F169" s="11" t="s">
        <v>4084</v>
      </c>
      <c r="G169" s="12" t="s">
        <v>9</v>
      </c>
    </row>
    <row r="170" customFormat="false" ht="104" hidden="false" customHeight="true" outlineLevel="0" collapsed="false">
      <c r="A170" s="11" t="s">
        <v>7278</v>
      </c>
      <c r="B170" s="11" t="s">
        <v>535</v>
      </c>
      <c r="C170" s="11" t="s">
        <v>139</v>
      </c>
      <c r="D170" s="11" t="s">
        <v>7323</v>
      </c>
      <c r="E170" s="11" t="s">
        <v>7324</v>
      </c>
      <c r="F170" s="11" t="s">
        <v>4084</v>
      </c>
      <c r="G170" s="12" t="s">
        <v>9</v>
      </c>
    </row>
    <row r="171" customFormat="false" ht="104" hidden="false" customHeight="true" outlineLevel="0" collapsed="false">
      <c r="A171" s="11" t="s">
        <v>7278</v>
      </c>
      <c r="B171" s="11" t="s">
        <v>536</v>
      </c>
      <c r="C171" s="11" t="s">
        <v>145</v>
      </c>
      <c r="D171" s="11" t="s">
        <v>7325</v>
      </c>
      <c r="E171" s="11" t="s">
        <v>7326</v>
      </c>
      <c r="F171" s="11" t="s">
        <v>4084</v>
      </c>
      <c r="G171" s="12" t="s">
        <v>9</v>
      </c>
    </row>
    <row r="172" customFormat="false" ht="104" hidden="false" customHeight="true" outlineLevel="0" collapsed="false">
      <c r="A172" s="11" t="s">
        <v>7278</v>
      </c>
      <c r="B172" s="11" t="s">
        <v>537</v>
      </c>
      <c r="C172" s="11" t="s">
        <v>145</v>
      </c>
      <c r="D172" s="11" t="s">
        <v>7327</v>
      </c>
      <c r="E172" s="11" t="s">
        <v>7328</v>
      </c>
      <c r="F172" s="11" t="s">
        <v>4084</v>
      </c>
      <c r="G172" s="12" t="s">
        <v>9</v>
      </c>
    </row>
    <row r="173" customFormat="false" ht="104" hidden="false" customHeight="true" outlineLevel="0" collapsed="false">
      <c r="A173" s="11" t="s">
        <v>7278</v>
      </c>
      <c r="B173" s="11" t="s">
        <v>538</v>
      </c>
      <c r="C173" s="11" t="s">
        <v>145</v>
      </c>
      <c r="D173" s="11" t="s">
        <v>7329</v>
      </c>
      <c r="E173" s="11" t="s">
        <v>7330</v>
      </c>
      <c r="F173" s="11" t="s">
        <v>4084</v>
      </c>
      <c r="G173" s="12" t="s">
        <v>9</v>
      </c>
    </row>
    <row r="174" customFormat="false" ht="104" hidden="false" customHeight="true" outlineLevel="0" collapsed="false">
      <c r="A174" s="11" t="s">
        <v>7278</v>
      </c>
      <c r="B174" s="11" t="s">
        <v>539</v>
      </c>
      <c r="C174" s="11" t="s">
        <v>145</v>
      </c>
      <c r="D174" s="11" t="s">
        <v>7331</v>
      </c>
      <c r="E174" s="11" t="s">
        <v>7332</v>
      </c>
      <c r="F174" s="11" t="s">
        <v>4084</v>
      </c>
      <c r="G174" s="12" t="s">
        <v>9</v>
      </c>
    </row>
    <row r="175" customFormat="false" ht="104" hidden="false" customHeight="true" outlineLevel="0" collapsed="false">
      <c r="A175" s="11" t="s">
        <v>7278</v>
      </c>
      <c r="B175" s="11" t="s">
        <v>540</v>
      </c>
      <c r="C175" s="11" t="s">
        <v>145</v>
      </c>
      <c r="D175" s="11" t="s">
        <v>7333</v>
      </c>
      <c r="E175" s="11" t="s">
        <v>7334</v>
      </c>
      <c r="F175" s="11" t="s">
        <v>4084</v>
      </c>
      <c r="G175" s="12" t="s">
        <v>9</v>
      </c>
    </row>
    <row r="176" customFormat="false" ht="104" hidden="false" customHeight="true" outlineLevel="0" collapsed="false">
      <c r="A176" s="11" t="s">
        <v>7278</v>
      </c>
      <c r="B176" s="11" t="s">
        <v>541</v>
      </c>
      <c r="C176" s="11" t="s">
        <v>145</v>
      </c>
      <c r="D176" s="11" t="s">
        <v>7335</v>
      </c>
      <c r="E176" s="11" t="s">
        <v>7336</v>
      </c>
      <c r="F176" s="11" t="s">
        <v>4084</v>
      </c>
      <c r="G176" s="12" t="s">
        <v>9</v>
      </c>
    </row>
    <row r="177" customFormat="false" ht="104" hidden="false" customHeight="true" outlineLevel="0" collapsed="false">
      <c r="A177" s="11" t="s">
        <v>7278</v>
      </c>
      <c r="B177" s="11" t="s">
        <v>542</v>
      </c>
      <c r="C177" s="11" t="s">
        <v>544</v>
      </c>
      <c r="D177" s="11" t="s">
        <v>7337</v>
      </c>
      <c r="E177" s="11" t="s">
        <v>7338</v>
      </c>
      <c r="F177" s="11" t="s">
        <v>4084</v>
      </c>
      <c r="G177" s="12" t="s">
        <v>9</v>
      </c>
    </row>
    <row r="178" customFormat="false" ht="104" hidden="false" customHeight="true" outlineLevel="0" collapsed="false">
      <c r="A178" s="11" t="s">
        <v>7278</v>
      </c>
      <c r="B178" s="11" t="s">
        <v>549</v>
      </c>
      <c r="C178" s="11" t="s">
        <v>550</v>
      </c>
      <c r="D178" s="11" t="s">
        <v>7339</v>
      </c>
      <c r="E178" s="11" t="s">
        <v>7340</v>
      </c>
      <c r="F178" s="11" t="s">
        <v>4084</v>
      </c>
      <c r="G178" s="12" t="s">
        <v>9</v>
      </c>
    </row>
    <row r="179" customFormat="false" ht="104" hidden="false" customHeight="true" outlineLevel="0" collapsed="false">
      <c r="A179" s="11" t="s">
        <v>7278</v>
      </c>
      <c r="B179" s="11" t="s">
        <v>552</v>
      </c>
      <c r="C179" s="11" t="s">
        <v>553</v>
      </c>
      <c r="D179" s="11" t="s">
        <v>7341</v>
      </c>
      <c r="E179" s="11" t="s">
        <v>7342</v>
      </c>
      <c r="F179" s="11" t="s">
        <v>4084</v>
      </c>
      <c r="G179" s="12" t="s">
        <v>9</v>
      </c>
    </row>
    <row r="180" customFormat="false" ht="104" hidden="false" customHeight="true" outlineLevel="0" collapsed="false">
      <c r="A180" s="11" t="s">
        <v>7278</v>
      </c>
      <c r="B180" s="11" t="s">
        <v>555</v>
      </c>
      <c r="C180" s="11" t="s">
        <v>553</v>
      </c>
      <c r="D180" s="11" t="s">
        <v>7343</v>
      </c>
      <c r="E180" s="11" t="s">
        <v>7344</v>
      </c>
      <c r="F180" s="11" t="s">
        <v>4084</v>
      </c>
      <c r="G180" s="12" t="s">
        <v>9</v>
      </c>
    </row>
    <row r="181" customFormat="false" ht="104" hidden="false" customHeight="true" outlineLevel="0" collapsed="false">
      <c r="A181" s="11" t="s">
        <v>7278</v>
      </c>
      <c r="B181" s="11" t="s">
        <v>556</v>
      </c>
      <c r="C181" s="11" t="s">
        <v>557</v>
      </c>
      <c r="D181" s="11" t="s">
        <v>7345</v>
      </c>
      <c r="E181" s="11" t="s">
        <v>7346</v>
      </c>
      <c r="F181" s="11" t="s">
        <v>4084</v>
      </c>
      <c r="G181" s="12" t="s">
        <v>9</v>
      </c>
    </row>
    <row r="182" customFormat="false" ht="104" hidden="false" customHeight="true" outlineLevel="0" collapsed="false">
      <c r="A182" s="11" t="s">
        <v>7278</v>
      </c>
      <c r="B182" s="11" t="s">
        <v>559</v>
      </c>
      <c r="C182" s="11" t="s">
        <v>560</v>
      </c>
      <c r="D182" s="11" t="s">
        <v>7347</v>
      </c>
      <c r="E182" s="11" t="s">
        <v>7348</v>
      </c>
      <c r="F182" s="11" t="s">
        <v>4084</v>
      </c>
      <c r="G182" s="12" t="s">
        <v>9</v>
      </c>
    </row>
    <row r="183" customFormat="false" ht="104" hidden="false" customHeight="true" outlineLevel="0" collapsed="false">
      <c r="A183" s="11" t="s">
        <v>7278</v>
      </c>
      <c r="B183" s="11" t="s">
        <v>562</v>
      </c>
      <c r="C183" s="11" t="s">
        <v>563</v>
      </c>
      <c r="D183" s="11" t="s">
        <v>7349</v>
      </c>
      <c r="E183" s="11" t="s">
        <v>7350</v>
      </c>
      <c r="F183" s="11" t="s">
        <v>4084</v>
      </c>
      <c r="G183" s="12" t="s">
        <v>9</v>
      </c>
    </row>
    <row r="184" customFormat="false" ht="104" hidden="false" customHeight="true" outlineLevel="0" collapsed="false">
      <c r="A184" s="11" t="s">
        <v>7278</v>
      </c>
      <c r="B184" s="11" t="s">
        <v>566</v>
      </c>
      <c r="C184" s="11" t="s">
        <v>567</v>
      </c>
      <c r="D184" s="11" t="s">
        <v>7351</v>
      </c>
      <c r="E184" s="11" t="s">
        <v>7352</v>
      </c>
      <c r="F184" s="11" t="s">
        <v>4084</v>
      </c>
      <c r="G184" s="12" t="s">
        <v>9</v>
      </c>
    </row>
    <row r="185" customFormat="false" ht="104" hidden="false" customHeight="true" outlineLevel="0" collapsed="false">
      <c r="A185" s="11" t="s">
        <v>7278</v>
      </c>
      <c r="B185" s="11" t="s">
        <v>569</v>
      </c>
      <c r="C185" s="11" t="s">
        <v>567</v>
      </c>
      <c r="D185" s="11" t="s">
        <v>7353</v>
      </c>
      <c r="E185" s="11" t="s">
        <v>7354</v>
      </c>
      <c r="F185" s="11" t="s">
        <v>4084</v>
      </c>
      <c r="G185" s="12" t="s">
        <v>9</v>
      </c>
    </row>
    <row r="186" customFormat="false" ht="104" hidden="false" customHeight="true" outlineLevel="0" collapsed="false">
      <c r="A186" s="11" t="s">
        <v>7278</v>
      </c>
      <c r="B186" s="11" t="s">
        <v>570</v>
      </c>
      <c r="C186" s="11" t="s">
        <v>571</v>
      </c>
      <c r="D186" s="11" t="s">
        <v>7355</v>
      </c>
      <c r="E186" s="11" t="s">
        <v>7356</v>
      </c>
      <c r="F186" s="11" t="s">
        <v>4084</v>
      </c>
      <c r="G186" s="12" t="s">
        <v>9</v>
      </c>
    </row>
    <row r="187" customFormat="false" ht="104" hidden="false" customHeight="true" outlineLevel="0" collapsed="false">
      <c r="A187" s="11" t="s">
        <v>7278</v>
      </c>
      <c r="B187" s="11" t="s">
        <v>573</v>
      </c>
      <c r="C187" s="11" t="s">
        <v>574</v>
      </c>
      <c r="D187" s="11" t="s">
        <v>7357</v>
      </c>
      <c r="E187" s="11" t="s">
        <v>7358</v>
      </c>
      <c r="F187" s="11" t="s">
        <v>4084</v>
      </c>
      <c r="G187" s="12" t="s">
        <v>9</v>
      </c>
    </row>
    <row r="188" customFormat="false" ht="104" hidden="false" customHeight="true" outlineLevel="0" collapsed="false">
      <c r="A188" s="11" t="s">
        <v>7278</v>
      </c>
      <c r="B188" s="11" t="s">
        <v>576</v>
      </c>
      <c r="C188" s="11" t="s">
        <v>574</v>
      </c>
      <c r="D188" s="11" t="s">
        <v>7359</v>
      </c>
      <c r="E188" s="11" t="s">
        <v>7360</v>
      </c>
      <c r="F188" s="11" t="s">
        <v>4084</v>
      </c>
      <c r="G188" s="12" t="s">
        <v>9</v>
      </c>
    </row>
    <row r="189" customFormat="false" ht="104" hidden="false" customHeight="true" outlineLevel="0" collapsed="false">
      <c r="A189" s="11" t="s">
        <v>7278</v>
      </c>
      <c r="B189" s="11" t="s">
        <v>577</v>
      </c>
      <c r="C189" s="11" t="s">
        <v>574</v>
      </c>
      <c r="D189" s="11" t="s">
        <v>7361</v>
      </c>
      <c r="E189" s="11" t="s">
        <v>7362</v>
      </c>
      <c r="F189" s="11" t="s">
        <v>4084</v>
      </c>
      <c r="G189" s="12" t="s">
        <v>9</v>
      </c>
    </row>
    <row r="190" customFormat="false" ht="104" hidden="false" customHeight="true" outlineLevel="0" collapsed="false">
      <c r="A190" s="11" t="s">
        <v>7278</v>
      </c>
      <c r="B190" s="11" t="s">
        <v>578</v>
      </c>
      <c r="C190" s="11" t="s">
        <v>574</v>
      </c>
      <c r="D190" s="11" t="s">
        <v>7363</v>
      </c>
      <c r="E190" s="11" t="s">
        <v>7364</v>
      </c>
      <c r="F190" s="11" t="s">
        <v>4084</v>
      </c>
      <c r="G190" s="12" t="s">
        <v>9</v>
      </c>
    </row>
    <row r="191" customFormat="false" ht="104" hidden="false" customHeight="true" outlineLevel="0" collapsed="false">
      <c r="A191" s="11" t="s">
        <v>3996</v>
      </c>
      <c r="B191" s="11" t="s">
        <v>593</v>
      </c>
      <c r="C191" s="11" t="s">
        <v>594</v>
      </c>
      <c r="D191" s="11" t="s">
        <v>7365</v>
      </c>
      <c r="E191" s="11" t="s">
        <v>7366</v>
      </c>
      <c r="F191" s="11" t="s">
        <v>4084</v>
      </c>
      <c r="G191" s="12" t="s">
        <v>9</v>
      </c>
    </row>
    <row r="192" customFormat="false" ht="104" hidden="false" customHeight="true" outlineLevel="0" collapsed="false">
      <c r="A192" s="11" t="s">
        <v>3996</v>
      </c>
      <c r="B192" s="11" t="s">
        <v>544</v>
      </c>
      <c r="C192" s="11" t="s">
        <v>604</v>
      </c>
      <c r="D192" s="11" t="s">
        <v>7367</v>
      </c>
      <c r="E192" s="11" t="s">
        <v>7368</v>
      </c>
      <c r="F192" s="11" t="s">
        <v>4084</v>
      </c>
      <c r="G192" s="12" t="s">
        <v>9</v>
      </c>
    </row>
    <row r="193" customFormat="false" ht="104" hidden="false" customHeight="true" outlineLevel="0" collapsed="false">
      <c r="A193" s="11" t="s">
        <v>3996</v>
      </c>
      <c r="B193" s="11" t="s">
        <v>550</v>
      </c>
      <c r="C193" s="11" t="s">
        <v>609</v>
      </c>
      <c r="D193" s="11" t="s">
        <v>7369</v>
      </c>
      <c r="E193" s="11" t="s">
        <v>7370</v>
      </c>
      <c r="F193" s="11" t="s">
        <v>4084</v>
      </c>
      <c r="G193" s="12" t="s">
        <v>9</v>
      </c>
    </row>
    <row r="194" customFormat="false" ht="104" hidden="false" customHeight="true" outlineLevel="0" collapsed="false">
      <c r="A194" s="11" t="s">
        <v>3996</v>
      </c>
      <c r="B194" s="11" t="s">
        <v>613</v>
      </c>
      <c r="C194" s="11" t="s">
        <v>245</v>
      </c>
      <c r="D194" s="11" t="s">
        <v>7371</v>
      </c>
      <c r="E194" s="11" t="s">
        <v>7372</v>
      </c>
      <c r="F194" s="11" t="s">
        <v>4084</v>
      </c>
      <c r="G194" s="12" t="s">
        <v>9</v>
      </c>
    </row>
    <row r="195" customFormat="false" ht="104" hidden="false" customHeight="true" outlineLevel="0" collapsed="false">
      <c r="A195" s="11" t="s">
        <v>3996</v>
      </c>
      <c r="B195" s="11" t="s">
        <v>618</v>
      </c>
      <c r="C195" s="11" t="s">
        <v>619</v>
      </c>
      <c r="D195" s="11" t="s">
        <v>7373</v>
      </c>
      <c r="E195" s="11" t="s">
        <v>7374</v>
      </c>
      <c r="F195" s="11" t="s">
        <v>4084</v>
      </c>
      <c r="G195" s="12" t="s">
        <v>9</v>
      </c>
    </row>
    <row r="196" customFormat="false" ht="104" hidden="false" customHeight="true" outlineLevel="0" collapsed="false">
      <c r="A196" s="11" t="s">
        <v>3996</v>
      </c>
      <c r="B196" s="11" t="s">
        <v>553</v>
      </c>
      <c r="C196" s="11" t="s">
        <v>624</v>
      </c>
      <c r="D196" s="11" t="s">
        <v>7375</v>
      </c>
      <c r="E196" s="11" t="s">
        <v>7376</v>
      </c>
      <c r="F196" s="11" t="s">
        <v>4084</v>
      </c>
      <c r="G196" s="12" t="s">
        <v>9</v>
      </c>
    </row>
    <row r="197" customFormat="false" ht="104" hidden="false" customHeight="true" outlineLevel="0" collapsed="false">
      <c r="A197" s="11" t="s">
        <v>3996</v>
      </c>
      <c r="B197" s="11" t="s">
        <v>628</v>
      </c>
      <c r="C197" s="11" t="s">
        <v>629</v>
      </c>
      <c r="D197" s="11" t="s">
        <v>7377</v>
      </c>
      <c r="E197" s="11" t="s">
        <v>7378</v>
      </c>
      <c r="F197" s="11" t="s">
        <v>4084</v>
      </c>
      <c r="G197" s="12" t="s">
        <v>9</v>
      </c>
    </row>
    <row r="198" customFormat="false" ht="104" hidden="false" customHeight="true" outlineLevel="0" collapsed="false">
      <c r="A198" s="11" t="s">
        <v>3996</v>
      </c>
      <c r="B198" s="11" t="s">
        <v>636</v>
      </c>
      <c r="C198" s="11" t="s">
        <v>637</v>
      </c>
      <c r="D198" s="11" t="s">
        <v>7379</v>
      </c>
      <c r="E198" s="11" t="s">
        <v>7380</v>
      </c>
      <c r="F198" s="11" t="s">
        <v>4084</v>
      </c>
      <c r="G198" s="12" t="s">
        <v>9</v>
      </c>
    </row>
    <row r="199" customFormat="false" ht="104" hidden="false" customHeight="true" outlineLevel="0" collapsed="false">
      <c r="A199" s="11" t="s">
        <v>3996</v>
      </c>
      <c r="B199" s="11" t="s">
        <v>644</v>
      </c>
      <c r="C199" s="11" t="s">
        <v>645</v>
      </c>
      <c r="D199" s="11" t="s">
        <v>7381</v>
      </c>
      <c r="E199" s="11" t="s">
        <v>7382</v>
      </c>
      <c r="F199" s="11" t="s">
        <v>4084</v>
      </c>
      <c r="G199" s="12" t="s">
        <v>9</v>
      </c>
    </row>
    <row r="200" customFormat="false" ht="104" hidden="false" customHeight="true" outlineLevel="0" collapsed="false">
      <c r="A200" s="11" t="s">
        <v>3996</v>
      </c>
      <c r="B200" s="11" t="s">
        <v>650</v>
      </c>
      <c r="C200" s="11" t="s">
        <v>651</v>
      </c>
      <c r="D200" s="11" t="s">
        <v>7383</v>
      </c>
      <c r="E200" s="11" t="s">
        <v>7384</v>
      </c>
      <c r="F200" s="11" t="s">
        <v>4084</v>
      </c>
      <c r="G200" s="12" t="s">
        <v>9</v>
      </c>
    </row>
    <row r="201" customFormat="false" ht="104" hidden="false" customHeight="true" outlineLevel="0" collapsed="false">
      <c r="A201" s="11" t="s">
        <v>3996</v>
      </c>
      <c r="B201" s="11" t="s">
        <v>656</v>
      </c>
      <c r="C201" s="11" t="s">
        <v>657</v>
      </c>
      <c r="D201" s="11" t="s">
        <v>7385</v>
      </c>
      <c r="E201" s="11" t="s">
        <v>7386</v>
      </c>
      <c r="F201" s="11" t="s">
        <v>4084</v>
      </c>
      <c r="G201" s="12" t="s">
        <v>9</v>
      </c>
    </row>
    <row r="202" customFormat="false" ht="104" hidden="false" customHeight="true" outlineLevel="0" collapsed="false">
      <c r="A202" s="11" t="s">
        <v>3996</v>
      </c>
      <c r="B202" s="11" t="s">
        <v>662</v>
      </c>
      <c r="C202" s="11" t="s">
        <v>663</v>
      </c>
      <c r="D202" s="11" t="s">
        <v>7387</v>
      </c>
      <c r="E202" s="11" t="s">
        <v>7388</v>
      </c>
      <c r="F202" s="11" t="s">
        <v>4084</v>
      </c>
      <c r="G202" s="12" t="s">
        <v>9</v>
      </c>
    </row>
    <row r="203" customFormat="false" ht="104" hidden="false" customHeight="true" outlineLevel="0" collapsed="false">
      <c r="A203" s="11" t="s">
        <v>3996</v>
      </c>
      <c r="B203" s="11" t="s">
        <v>667</v>
      </c>
      <c r="C203" s="11" t="s">
        <v>668</v>
      </c>
      <c r="D203" s="11" t="s">
        <v>7389</v>
      </c>
      <c r="E203" s="11" t="s">
        <v>7390</v>
      </c>
      <c r="F203" s="11" t="s">
        <v>4084</v>
      </c>
      <c r="G203" s="12" t="s">
        <v>9</v>
      </c>
    </row>
    <row r="204" customFormat="false" ht="104" hidden="false" customHeight="true" outlineLevel="0" collapsed="false">
      <c r="A204" s="11" t="s">
        <v>3996</v>
      </c>
      <c r="B204" s="11" t="s">
        <v>674</v>
      </c>
      <c r="C204" s="11" t="s">
        <v>675</v>
      </c>
      <c r="D204" s="11" t="s">
        <v>7391</v>
      </c>
      <c r="E204" s="11" t="s">
        <v>7392</v>
      </c>
      <c r="F204" s="11" t="s">
        <v>4084</v>
      </c>
      <c r="G204" s="12" t="s">
        <v>9</v>
      </c>
    </row>
    <row r="205" customFormat="false" ht="104" hidden="false" customHeight="true" outlineLevel="0" collapsed="false">
      <c r="A205" s="11" t="s">
        <v>3996</v>
      </c>
      <c r="B205" s="11" t="s">
        <v>680</v>
      </c>
      <c r="C205" s="11" t="s">
        <v>681</v>
      </c>
      <c r="D205" s="11" t="s">
        <v>7393</v>
      </c>
      <c r="E205" s="11" t="s">
        <v>7394</v>
      </c>
      <c r="F205" s="11" t="s">
        <v>4084</v>
      </c>
      <c r="G205" s="12" t="s">
        <v>9</v>
      </c>
    </row>
    <row r="206" customFormat="false" ht="104" hidden="false" customHeight="true" outlineLevel="0" collapsed="false">
      <c r="A206" s="11" t="s">
        <v>3996</v>
      </c>
      <c r="B206" s="11" t="s">
        <v>557</v>
      </c>
      <c r="C206" s="11" t="s">
        <v>685</v>
      </c>
      <c r="D206" s="11" t="s">
        <v>7395</v>
      </c>
      <c r="E206" s="11" t="s">
        <v>7396</v>
      </c>
      <c r="F206" s="11" t="s">
        <v>4084</v>
      </c>
      <c r="G206" s="12" t="s">
        <v>9</v>
      </c>
    </row>
    <row r="207" customFormat="false" ht="104" hidden="false" customHeight="true" outlineLevel="0" collapsed="false">
      <c r="A207" s="11" t="s">
        <v>3996</v>
      </c>
      <c r="B207" s="11" t="s">
        <v>689</v>
      </c>
      <c r="C207" s="11" t="s">
        <v>690</v>
      </c>
      <c r="D207" s="11" t="s">
        <v>7397</v>
      </c>
      <c r="E207" s="11" t="s">
        <v>7398</v>
      </c>
      <c r="F207" s="11" t="s">
        <v>4084</v>
      </c>
      <c r="G207" s="12" t="s">
        <v>9</v>
      </c>
    </row>
    <row r="208" customFormat="false" ht="104" hidden="false" customHeight="true" outlineLevel="0" collapsed="false">
      <c r="A208" s="11" t="s">
        <v>3996</v>
      </c>
      <c r="B208" s="11" t="s">
        <v>695</v>
      </c>
      <c r="C208" s="11" t="s">
        <v>696</v>
      </c>
      <c r="D208" s="11" t="s">
        <v>7399</v>
      </c>
      <c r="E208" s="11" t="s">
        <v>7400</v>
      </c>
      <c r="F208" s="11" t="s">
        <v>4084</v>
      </c>
      <c r="G208" s="12" t="s">
        <v>9</v>
      </c>
    </row>
    <row r="209" customFormat="false" ht="104" hidden="false" customHeight="true" outlineLevel="0" collapsed="false">
      <c r="A209" s="11" t="s">
        <v>3996</v>
      </c>
      <c r="B209" s="11" t="s">
        <v>560</v>
      </c>
      <c r="C209" s="11" t="s">
        <v>700</v>
      </c>
      <c r="D209" s="11" t="s">
        <v>7401</v>
      </c>
      <c r="E209" s="11" t="s">
        <v>7402</v>
      </c>
      <c r="F209" s="11" t="s">
        <v>4084</v>
      </c>
      <c r="G209" s="12" t="s">
        <v>9</v>
      </c>
    </row>
    <row r="210" customFormat="false" ht="104" hidden="false" customHeight="true" outlineLevel="0" collapsed="false">
      <c r="A210" s="11" t="s">
        <v>3996</v>
      </c>
      <c r="B210" s="11" t="s">
        <v>563</v>
      </c>
      <c r="C210" s="11" t="s">
        <v>703</v>
      </c>
      <c r="D210" s="11" t="s">
        <v>7403</v>
      </c>
      <c r="E210" s="11" t="s">
        <v>7404</v>
      </c>
      <c r="F210" s="11" t="s">
        <v>4084</v>
      </c>
      <c r="G210" s="12" t="s">
        <v>9</v>
      </c>
    </row>
    <row r="211" customFormat="false" ht="104" hidden="false" customHeight="true" outlineLevel="0" collapsed="false">
      <c r="A211" s="11" t="s">
        <v>3996</v>
      </c>
      <c r="B211" s="11" t="s">
        <v>567</v>
      </c>
      <c r="C211" s="11" t="s">
        <v>706</v>
      </c>
      <c r="D211" s="11" t="s">
        <v>7405</v>
      </c>
      <c r="E211" s="11" t="s">
        <v>7406</v>
      </c>
      <c r="F211" s="11" t="s">
        <v>4084</v>
      </c>
      <c r="G211" s="12" t="s">
        <v>9</v>
      </c>
    </row>
    <row r="212" customFormat="false" ht="104" hidden="false" customHeight="true" outlineLevel="0" collapsed="false">
      <c r="A212" s="11" t="s">
        <v>3996</v>
      </c>
      <c r="B212" s="11" t="s">
        <v>571</v>
      </c>
      <c r="C212" s="11" t="s">
        <v>713</v>
      </c>
      <c r="D212" s="11" t="s">
        <v>7407</v>
      </c>
      <c r="E212" s="11" t="s">
        <v>7408</v>
      </c>
      <c r="F212" s="11" t="s">
        <v>4084</v>
      </c>
      <c r="G212" s="12" t="s">
        <v>9</v>
      </c>
    </row>
    <row r="213" customFormat="false" ht="104" hidden="false" customHeight="true" outlineLevel="0" collapsed="false">
      <c r="A213" s="11" t="s">
        <v>3996</v>
      </c>
      <c r="B213" s="11" t="s">
        <v>574</v>
      </c>
      <c r="C213" s="11" t="s">
        <v>718</v>
      </c>
      <c r="D213" s="11" t="s">
        <v>7409</v>
      </c>
      <c r="E213" s="11" t="s">
        <v>7410</v>
      </c>
      <c r="F213" s="11" t="s">
        <v>4084</v>
      </c>
      <c r="G213" s="12" t="s">
        <v>9</v>
      </c>
    </row>
    <row r="214" customFormat="false" ht="104" hidden="false" customHeight="true" outlineLevel="0" collapsed="false">
      <c r="A214" s="11" t="s">
        <v>7411</v>
      </c>
      <c r="B214" s="11" t="s">
        <v>783</v>
      </c>
      <c r="C214" s="11" t="s">
        <v>7412</v>
      </c>
      <c r="D214" s="11" t="s">
        <v>7413</v>
      </c>
      <c r="E214" s="11" t="s">
        <v>7414</v>
      </c>
      <c r="F214" s="11" t="s">
        <v>4084</v>
      </c>
      <c r="G214" s="12" t="s">
        <v>9</v>
      </c>
    </row>
    <row r="215" customFormat="false" ht="104" hidden="false" customHeight="true" outlineLevel="0" collapsed="false">
      <c r="A215" s="11" t="s">
        <v>7411</v>
      </c>
      <c r="B215" s="11" t="s">
        <v>785</v>
      </c>
      <c r="C215" s="11" t="s">
        <v>7415</v>
      </c>
      <c r="D215" s="11" t="s">
        <v>7416</v>
      </c>
      <c r="E215" s="11" t="s">
        <v>7417</v>
      </c>
      <c r="F215" s="11" t="s">
        <v>4084</v>
      </c>
      <c r="G215" s="12" t="s">
        <v>9</v>
      </c>
    </row>
    <row r="216" customFormat="false" ht="104" hidden="false" customHeight="true" outlineLevel="0" collapsed="false">
      <c r="A216" s="11" t="s">
        <v>7411</v>
      </c>
      <c r="B216" s="11" t="s">
        <v>786</v>
      </c>
      <c r="C216" s="11" t="s">
        <v>7418</v>
      </c>
      <c r="D216" s="11" t="s">
        <v>7419</v>
      </c>
      <c r="E216" s="11" t="s">
        <v>7420</v>
      </c>
      <c r="F216" s="11" t="s">
        <v>4084</v>
      </c>
      <c r="G216" s="12" t="s">
        <v>9</v>
      </c>
    </row>
    <row r="217" customFormat="false" ht="104" hidden="false" customHeight="true" outlineLevel="0" collapsed="false">
      <c r="A217" s="11" t="s">
        <v>7411</v>
      </c>
      <c r="B217" s="11" t="s">
        <v>787</v>
      </c>
      <c r="C217" s="11" t="s">
        <v>7421</v>
      </c>
      <c r="D217" s="11" t="s">
        <v>7422</v>
      </c>
      <c r="E217" s="11" t="s">
        <v>7423</v>
      </c>
      <c r="F217" s="11" t="s">
        <v>4084</v>
      </c>
      <c r="G217" s="12" t="s">
        <v>9</v>
      </c>
    </row>
    <row r="218" customFormat="false" ht="104" hidden="false" customHeight="true" outlineLevel="0" collapsed="false">
      <c r="A218" s="11" t="s">
        <v>7411</v>
      </c>
      <c r="B218" s="11" t="s">
        <v>788</v>
      </c>
      <c r="C218" s="11" t="s">
        <v>7424</v>
      </c>
      <c r="D218" s="11" t="s">
        <v>7425</v>
      </c>
      <c r="E218" s="11" t="s">
        <v>7426</v>
      </c>
      <c r="F218" s="11" t="s">
        <v>4084</v>
      </c>
      <c r="G218" s="12" t="s">
        <v>9</v>
      </c>
    </row>
    <row r="219" customFormat="false" ht="104" hidden="false" customHeight="true" outlineLevel="0" collapsed="false">
      <c r="A219" s="11" t="s">
        <v>7411</v>
      </c>
      <c r="B219" s="11" t="s">
        <v>789</v>
      </c>
      <c r="C219" s="11" t="s">
        <v>7427</v>
      </c>
      <c r="D219" s="11" t="s">
        <v>7428</v>
      </c>
      <c r="E219" s="11" t="s">
        <v>7429</v>
      </c>
      <c r="F219" s="11" t="s">
        <v>4084</v>
      </c>
      <c r="G219" s="12" t="s">
        <v>9</v>
      </c>
    </row>
    <row r="220" customFormat="false" ht="104" hidden="false" customHeight="true" outlineLevel="0" collapsed="false">
      <c r="A220" s="11" t="s">
        <v>7411</v>
      </c>
      <c r="B220" s="11" t="s">
        <v>790</v>
      </c>
      <c r="C220" s="11" t="s">
        <v>7430</v>
      </c>
      <c r="D220" s="11" t="s">
        <v>7431</v>
      </c>
      <c r="E220" s="11" t="s">
        <v>7432</v>
      </c>
      <c r="F220" s="11" t="s">
        <v>4084</v>
      </c>
      <c r="G220" s="12" t="s">
        <v>9</v>
      </c>
    </row>
    <row r="221" customFormat="false" ht="104" hidden="false" customHeight="true" outlineLevel="0" collapsed="false">
      <c r="A221" s="11" t="s">
        <v>7411</v>
      </c>
      <c r="B221" s="11" t="s">
        <v>792</v>
      </c>
      <c r="C221" s="11" t="s">
        <v>7433</v>
      </c>
      <c r="D221" s="11" t="s">
        <v>7434</v>
      </c>
      <c r="E221" s="11" t="s">
        <v>7435</v>
      </c>
      <c r="F221" s="11" t="s">
        <v>4084</v>
      </c>
      <c r="G221" s="12" t="s">
        <v>9</v>
      </c>
    </row>
    <row r="222" customFormat="false" ht="104" hidden="false" customHeight="true" outlineLevel="0" collapsed="false">
      <c r="A222" s="11" t="s">
        <v>7411</v>
      </c>
      <c r="B222" s="11" t="s">
        <v>793</v>
      </c>
      <c r="C222" s="11" t="s">
        <v>7436</v>
      </c>
      <c r="D222" s="11" t="s">
        <v>7437</v>
      </c>
      <c r="E222" s="11" t="s">
        <v>7438</v>
      </c>
      <c r="F222" s="11" t="s">
        <v>4084</v>
      </c>
      <c r="G222" s="12" t="s">
        <v>9</v>
      </c>
    </row>
    <row r="223" customFormat="false" ht="104" hidden="false" customHeight="true" outlineLevel="0" collapsed="false">
      <c r="A223" s="11" t="s">
        <v>7411</v>
      </c>
      <c r="B223" s="11" t="s">
        <v>794</v>
      </c>
      <c r="C223" s="11" t="s">
        <v>7439</v>
      </c>
      <c r="D223" s="11" t="s">
        <v>7440</v>
      </c>
      <c r="E223" s="11" t="s">
        <v>7441</v>
      </c>
      <c r="F223" s="11" t="s">
        <v>4084</v>
      </c>
      <c r="G223" s="12" t="s">
        <v>9</v>
      </c>
    </row>
    <row r="224" customFormat="false" ht="104" hidden="false" customHeight="true" outlineLevel="0" collapsed="false">
      <c r="A224" s="11" t="s">
        <v>7411</v>
      </c>
      <c r="B224" s="11" t="s">
        <v>795</v>
      </c>
      <c r="C224" s="11" t="s">
        <v>7442</v>
      </c>
      <c r="D224" s="11" t="s">
        <v>7443</v>
      </c>
      <c r="E224" s="11" t="s">
        <v>7444</v>
      </c>
      <c r="F224" s="11" t="s">
        <v>4084</v>
      </c>
      <c r="G224" s="12" t="s">
        <v>9</v>
      </c>
    </row>
    <row r="225" customFormat="false" ht="104" hidden="false" customHeight="true" outlineLevel="0" collapsed="false">
      <c r="A225" s="11" t="s">
        <v>7411</v>
      </c>
      <c r="B225" s="11" t="s">
        <v>796</v>
      </c>
      <c r="C225" s="11" t="s">
        <v>7445</v>
      </c>
      <c r="D225" s="11" t="s">
        <v>7446</v>
      </c>
      <c r="E225" s="11" t="s">
        <v>7447</v>
      </c>
      <c r="F225" s="11" t="s">
        <v>4084</v>
      </c>
      <c r="G225" s="12" t="s">
        <v>9</v>
      </c>
    </row>
    <row r="226" customFormat="false" ht="104" hidden="false" customHeight="true" outlineLevel="0" collapsed="false">
      <c r="A226" s="11" t="s">
        <v>7411</v>
      </c>
      <c r="B226" s="11" t="s">
        <v>797</v>
      </c>
      <c r="C226" s="11" t="s">
        <v>7448</v>
      </c>
      <c r="D226" s="11" t="s">
        <v>7449</v>
      </c>
      <c r="E226" s="11" t="s">
        <v>7450</v>
      </c>
      <c r="F226" s="11" t="s">
        <v>4084</v>
      </c>
      <c r="G226" s="12" t="s">
        <v>9</v>
      </c>
    </row>
    <row r="227" customFormat="false" ht="104" hidden="false" customHeight="true" outlineLevel="0" collapsed="false">
      <c r="A227" s="11" t="s">
        <v>7411</v>
      </c>
      <c r="B227" s="11" t="s">
        <v>798</v>
      </c>
      <c r="C227" s="11" t="s">
        <v>7451</v>
      </c>
      <c r="D227" s="11" t="s">
        <v>7452</v>
      </c>
      <c r="E227" s="11" t="s">
        <v>7453</v>
      </c>
      <c r="F227" s="11" t="s">
        <v>4084</v>
      </c>
      <c r="G227" s="12" t="s">
        <v>9</v>
      </c>
    </row>
    <row r="228" customFormat="false" ht="104" hidden="false" customHeight="true" outlineLevel="0" collapsed="false">
      <c r="A228" s="11" t="s">
        <v>7411</v>
      </c>
      <c r="B228" s="11" t="s">
        <v>800</v>
      </c>
      <c r="C228" s="11" t="s">
        <v>7454</v>
      </c>
      <c r="D228" s="11" t="s">
        <v>7455</v>
      </c>
      <c r="E228" s="11" t="s">
        <v>7456</v>
      </c>
      <c r="F228" s="11" t="s">
        <v>4084</v>
      </c>
      <c r="G228" s="12" t="s">
        <v>9</v>
      </c>
    </row>
    <row r="229" customFormat="false" ht="104" hidden="false" customHeight="true" outlineLevel="0" collapsed="false">
      <c r="A229" s="11" t="s">
        <v>7411</v>
      </c>
      <c r="B229" s="11" t="s">
        <v>801</v>
      </c>
      <c r="C229" s="11" t="s">
        <v>7457</v>
      </c>
      <c r="D229" s="11" t="s">
        <v>7458</v>
      </c>
      <c r="E229" s="11" t="s">
        <v>7459</v>
      </c>
      <c r="F229" s="11" t="s">
        <v>4084</v>
      </c>
      <c r="G229" s="12" t="s">
        <v>9</v>
      </c>
    </row>
    <row r="230" customFormat="false" ht="104" hidden="false" customHeight="true" outlineLevel="0" collapsed="false">
      <c r="A230" s="11" t="s">
        <v>7411</v>
      </c>
      <c r="B230" s="11" t="s">
        <v>802</v>
      </c>
      <c r="C230" s="11" t="s">
        <v>7460</v>
      </c>
      <c r="D230" s="11" t="s">
        <v>7461</v>
      </c>
      <c r="E230" s="11" t="s">
        <v>7462</v>
      </c>
      <c r="F230" s="11" t="s">
        <v>4084</v>
      </c>
      <c r="G230" s="12" t="s">
        <v>9</v>
      </c>
    </row>
    <row r="231" customFormat="false" ht="104" hidden="false" customHeight="true" outlineLevel="0" collapsed="false">
      <c r="A231" s="11" t="s">
        <v>7411</v>
      </c>
      <c r="B231" s="11" t="s">
        <v>803</v>
      </c>
      <c r="C231" s="11" t="s">
        <v>7463</v>
      </c>
      <c r="D231" s="11" t="s">
        <v>7464</v>
      </c>
      <c r="E231" s="11" t="s">
        <v>7465</v>
      </c>
      <c r="F231" s="11" t="s">
        <v>4084</v>
      </c>
      <c r="G231" s="12" t="s">
        <v>9</v>
      </c>
    </row>
    <row r="232" customFormat="false" ht="104" hidden="false" customHeight="true" outlineLevel="0" collapsed="false">
      <c r="A232" s="11" t="s">
        <v>7411</v>
      </c>
      <c r="B232" s="11" t="s">
        <v>804</v>
      </c>
      <c r="C232" s="11" t="s">
        <v>7466</v>
      </c>
      <c r="D232" s="11" t="s">
        <v>7467</v>
      </c>
      <c r="E232" s="11" t="s">
        <v>7468</v>
      </c>
      <c r="F232" s="11" t="s">
        <v>4084</v>
      </c>
      <c r="G232" s="12" t="s">
        <v>9</v>
      </c>
    </row>
    <row r="233" customFormat="false" ht="104" hidden="false" customHeight="true" outlineLevel="0" collapsed="false">
      <c r="A233" s="11" t="s">
        <v>7411</v>
      </c>
      <c r="B233" s="11" t="s">
        <v>805</v>
      </c>
      <c r="C233" s="11" t="s">
        <v>7469</v>
      </c>
      <c r="D233" s="11" t="s">
        <v>7470</v>
      </c>
      <c r="E233" s="11" t="s">
        <v>7471</v>
      </c>
      <c r="F233" s="11" t="s">
        <v>4084</v>
      </c>
      <c r="G233" s="12" t="s">
        <v>9</v>
      </c>
    </row>
    <row r="234" customFormat="false" ht="104" hidden="false" customHeight="true" outlineLevel="0" collapsed="false">
      <c r="A234" s="11" t="s">
        <v>7411</v>
      </c>
      <c r="B234" s="11" t="s">
        <v>807</v>
      </c>
      <c r="C234" s="11" t="s">
        <v>7472</v>
      </c>
      <c r="D234" s="11" t="s">
        <v>7473</v>
      </c>
      <c r="E234" s="11" t="s">
        <v>7474</v>
      </c>
      <c r="F234" s="11" t="s">
        <v>4084</v>
      </c>
      <c r="G234" s="12" t="s">
        <v>9</v>
      </c>
    </row>
    <row r="235" customFormat="false" ht="104" hidden="false" customHeight="true" outlineLevel="0" collapsed="false">
      <c r="A235" s="11" t="s">
        <v>7411</v>
      </c>
      <c r="B235" s="11" t="s">
        <v>808</v>
      </c>
      <c r="C235" s="11" t="s">
        <v>7475</v>
      </c>
      <c r="D235" s="11" t="s">
        <v>7476</v>
      </c>
      <c r="E235" s="11" t="s">
        <v>7477</v>
      </c>
      <c r="F235" s="11" t="s">
        <v>4084</v>
      </c>
      <c r="G235" s="12" t="s">
        <v>9</v>
      </c>
    </row>
    <row r="236" customFormat="false" ht="104" hidden="false" customHeight="true" outlineLevel="0" collapsed="false">
      <c r="A236" s="11" t="s">
        <v>7411</v>
      </c>
      <c r="B236" s="11" t="s">
        <v>809</v>
      </c>
      <c r="C236" s="11" t="s">
        <v>7478</v>
      </c>
      <c r="D236" s="11" t="s">
        <v>7479</v>
      </c>
      <c r="E236" s="11" t="s">
        <v>7480</v>
      </c>
      <c r="F236" s="11" t="s">
        <v>4084</v>
      </c>
      <c r="G236" s="12" t="s">
        <v>9</v>
      </c>
    </row>
    <row r="237" customFormat="false" ht="104" hidden="false" customHeight="true" outlineLevel="0" collapsed="false">
      <c r="A237" s="11" t="s">
        <v>7411</v>
      </c>
      <c r="B237" s="11" t="s">
        <v>810</v>
      </c>
      <c r="C237" s="11" t="s">
        <v>7481</v>
      </c>
      <c r="D237" s="11" t="s">
        <v>7482</v>
      </c>
      <c r="E237" s="11" t="s">
        <v>7483</v>
      </c>
      <c r="F237" s="11" t="s">
        <v>4084</v>
      </c>
      <c r="G237" s="12" t="s">
        <v>9</v>
      </c>
    </row>
    <row r="238" customFormat="false" ht="104" hidden="false" customHeight="true" outlineLevel="0" collapsed="false">
      <c r="A238" s="11" t="s">
        <v>7411</v>
      </c>
      <c r="B238" s="11" t="s">
        <v>811</v>
      </c>
      <c r="C238" s="11" t="s">
        <v>7484</v>
      </c>
      <c r="D238" s="11" t="s">
        <v>7485</v>
      </c>
      <c r="E238" s="11" t="s">
        <v>7486</v>
      </c>
      <c r="F238" s="11" t="s">
        <v>4084</v>
      </c>
      <c r="G238" s="12" t="s">
        <v>9</v>
      </c>
    </row>
    <row r="239" customFormat="false" ht="104" hidden="false" customHeight="true" outlineLevel="0" collapsed="false">
      <c r="A239" s="11" t="s">
        <v>7411</v>
      </c>
      <c r="B239" s="11" t="s">
        <v>812</v>
      </c>
      <c r="C239" s="11" t="s">
        <v>7487</v>
      </c>
      <c r="D239" s="11" t="s">
        <v>7488</v>
      </c>
      <c r="E239" s="11" t="s">
        <v>7489</v>
      </c>
      <c r="F239" s="11" t="s">
        <v>4084</v>
      </c>
      <c r="G239" s="12" t="s">
        <v>9</v>
      </c>
    </row>
    <row r="240" customFormat="false" ht="104" hidden="false" customHeight="true" outlineLevel="0" collapsed="false">
      <c r="A240" s="11" t="s">
        <v>7411</v>
      </c>
      <c r="B240" s="11" t="s">
        <v>814</v>
      </c>
      <c r="C240" s="11" t="s">
        <v>7490</v>
      </c>
      <c r="D240" s="11" t="s">
        <v>7491</v>
      </c>
      <c r="E240" s="11" t="s">
        <v>7492</v>
      </c>
      <c r="F240" s="11" t="s">
        <v>4084</v>
      </c>
      <c r="G240" s="12" t="s">
        <v>9</v>
      </c>
    </row>
    <row r="241" customFormat="false" ht="104" hidden="false" customHeight="true" outlineLevel="0" collapsed="false">
      <c r="A241" s="11" t="s">
        <v>7411</v>
      </c>
      <c r="B241" s="11" t="s">
        <v>815</v>
      </c>
      <c r="C241" s="11" t="s">
        <v>7493</v>
      </c>
      <c r="D241" s="11" t="s">
        <v>7494</v>
      </c>
      <c r="E241" s="11" t="s">
        <v>7495</v>
      </c>
      <c r="F241" s="11" t="s">
        <v>4084</v>
      </c>
      <c r="G241" s="12" t="s">
        <v>9</v>
      </c>
    </row>
    <row r="242" customFormat="false" ht="104" hidden="false" customHeight="true" outlineLevel="0" collapsed="false">
      <c r="A242" s="11" t="s">
        <v>7411</v>
      </c>
      <c r="B242" s="11" t="s">
        <v>816</v>
      </c>
      <c r="C242" s="11" t="s">
        <v>7496</v>
      </c>
      <c r="D242" s="11" t="s">
        <v>7497</v>
      </c>
      <c r="E242" s="11" t="s">
        <v>7498</v>
      </c>
      <c r="F242" s="11" t="s">
        <v>4084</v>
      </c>
      <c r="G242" s="12" t="s">
        <v>9</v>
      </c>
    </row>
    <row r="243" customFormat="false" ht="104" hidden="false" customHeight="true" outlineLevel="0" collapsed="false">
      <c r="A243" s="11" t="s">
        <v>7411</v>
      </c>
      <c r="B243" s="11" t="s">
        <v>817</v>
      </c>
      <c r="C243" s="11" t="s">
        <v>7499</v>
      </c>
      <c r="D243" s="11" t="s">
        <v>7500</v>
      </c>
      <c r="E243" s="11" t="s">
        <v>7501</v>
      </c>
      <c r="F243" s="11" t="s">
        <v>4084</v>
      </c>
      <c r="G243" s="12" t="s">
        <v>9</v>
      </c>
    </row>
    <row r="244" customFormat="false" ht="104" hidden="false" customHeight="true" outlineLevel="0" collapsed="false">
      <c r="A244" s="11" t="s">
        <v>7411</v>
      </c>
      <c r="B244" s="11" t="s">
        <v>818</v>
      </c>
      <c r="C244" s="11" t="s">
        <v>7502</v>
      </c>
      <c r="D244" s="11" t="s">
        <v>7503</v>
      </c>
      <c r="E244" s="11" t="s">
        <v>7504</v>
      </c>
      <c r="F244" s="11" t="s">
        <v>4084</v>
      </c>
      <c r="G244" s="12" t="s">
        <v>9</v>
      </c>
    </row>
    <row r="245" customFormat="false" ht="104" hidden="false" customHeight="true" outlineLevel="0" collapsed="false">
      <c r="A245" s="11" t="s">
        <v>7411</v>
      </c>
      <c r="B245" s="11" t="s">
        <v>819</v>
      </c>
      <c r="C245" s="11" t="s">
        <v>7505</v>
      </c>
      <c r="D245" s="11" t="s">
        <v>7506</v>
      </c>
      <c r="E245" s="11" t="s">
        <v>7507</v>
      </c>
      <c r="F245" s="11" t="s">
        <v>4084</v>
      </c>
      <c r="G245" s="12" t="s">
        <v>9</v>
      </c>
    </row>
    <row r="246" customFormat="false" ht="104" hidden="false" customHeight="true" outlineLevel="0" collapsed="false">
      <c r="A246" s="11" t="s">
        <v>7411</v>
      </c>
      <c r="B246" s="11" t="s">
        <v>821</v>
      </c>
      <c r="C246" s="11" t="s">
        <v>7508</v>
      </c>
      <c r="D246" s="11" t="s">
        <v>7509</v>
      </c>
      <c r="E246" s="11" t="s">
        <v>7510</v>
      </c>
      <c r="F246" s="11" t="s">
        <v>4084</v>
      </c>
      <c r="G246" s="12" t="s">
        <v>9</v>
      </c>
    </row>
    <row r="247" customFormat="false" ht="104" hidden="false" customHeight="true" outlineLevel="0" collapsed="false">
      <c r="A247" s="11" t="s">
        <v>7411</v>
      </c>
      <c r="B247" s="11" t="s">
        <v>822</v>
      </c>
      <c r="C247" s="11" t="s">
        <v>7511</v>
      </c>
      <c r="D247" s="11" t="s">
        <v>7512</v>
      </c>
      <c r="E247" s="11" t="s">
        <v>7513</v>
      </c>
      <c r="F247" s="11" t="s">
        <v>4084</v>
      </c>
      <c r="G247" s="12" t="s">
        <v>9</v>
      </c>
    </row>
    <row r="248" customFormat="false" ht="104" hidden="false" customHeight="true" outlineLevel="0" collapsed="false">
      <c r="A248" s="11" t="s">
        <v>7411</v>
      </c>
      <c r="B248" s="11" t="s">
        <v>823</v>
      </c>
      <c r="C248" s="11" t="s">
        <v>7514</v>
      </c>
      <c r="D248" s="11" t="s">
        <v>7515</v>
      </c>
      <c r="E248" s="11" t="s">
        <v>7516</v>
      </c>
      <c r="F248" s="11" t="s">
        <v>4084</v>
      </c>
      <c r="G248" s="12" t="s">
        <v>9</v>
      </c>
    </row>
    <row r="249" customFormat="false" ht="104" hidden="false" customHeight="true" outlineLevel="0" collapsed="false">
      <c r="A249" s="11" t="s">
        <v>7411</v>
      </c>
      <c r="B249" s="11" t="s">
        <v>824</v>
      </c>
      <c r="C249" s="11" t="s">
        <v>7517</v>
      </c>
      <c r="D249" s="11" t="s">
        <v>7518</v>
      </c>
      <c r="E249" s="11" t="s">
        <v>7519</v>
      </c>
      <c r="F249" s="11" t="s">
        <v>4084</v>
      </c>
      <c r="G249" s="12" t="s">
        <v>9</v>
      </c>
    </row>
    <row r="250" customFormat="false" ht="104" hidden="false" customHeight="true" outlineLevel="0" collapsed="false">
      <c r="A250" s="11" t="s">
        <v>7411</v>
      </c>
      <c r="B250" s="11" t="s">
        <v>825</v>
      </c>
      <c r="C250" s="11" t="s">
        <v>7520</v>
      </c>
      <c r="D250" s="11" t="s">
        <v>7521</v>
      </c>
      <c r="E250" s="11" t="s">
        <v>7522</v>
      </c>
      <c r="F250" s="11" t="s">
        <v>4084</v>
      </c>
      <c r="G250" s="12" t="s">
        <v>9</v>
      </c>
    </row>
    <row r="251" customFormat="false" ht="104" hidden="false" customHeight="true" outlineLevel="0" collapsed="false">
      <c r="A251" s="11" t="s">
        <v>7411</v>
      </c>
      <c r="B251" s="11" t="s">
        <v>826</v>
      </c>
      <c r="C251" s="11" t="s">
        <v>7523</v>
      </c>
      <c r="D251" s="11" t="s">
        <v>7524</v>
      </c>
      <c r="E251" s="11" t="s">
        <v>7525</v>
      </c>
      <c r="F251" s="11" t="s">
        <v>4084</v>
      </c>
      <c r="G251" s="12" t="s">
        <v>9</v>
      </c>
    </row>
    <row r="252" customFormat="false" ht="104" hidden="false" customHeight="true" outlineLevel="0" collapsed="false">
      <c r="A252" s="11" t="s">
        <v>7411</v>
      </c>
      <c r="B252" s="11" t="s">
        <v>828</v>
      </c>
      <c r="C252" s="11" t="s">
        <v>7526</v>
      </c>
      <c r="D252" s="11" t="s">
        <v>7527</v>
      </c>
      <c r="E252" s="11" t="s">
        <v>7528</v>
      </c>
      <c r="F252" s="11" t="s">
        <v>4084</v>
      </c>
      <c r="G252" s="12" t="s">
        <v>9</v>
      </c>
    </row>
    <row r="253" customFormat="false" ht="104" hidden="false" customHeight="true" outlineLevel="0" collapsed="false">
      <c r="A253" s="11" t="s">
        <v>7411</v>
      </c>
      <c r="B253" s="11" t="s">
        <v>829</v>
      </c>
      <c r="C253" s="11" t="s">
        <v>7529</v>
      </c>
      <c r="D253" s="11" t="s">
        <v>7530</v>
      </c>
      <c r="E253" s="11" t="s">
        <v>7531</v>
      </c>
      <c r="F253" s="11" t="s">
        <v>4084</v>
      </c>
      <c r="G253" s="12" t="s">
        <v>9</v>
      </c>
    </row>
    <row r="254" customFormat="false" ht="104" hidden="false" customHeight="true" outlineLevel="0" collapsed="false">
      <c r="A254" s="11" t="s">
        <v>7411</v>
      </c>
      <c r="B254" s="11" t="s">
        <v>830</v>
      </c>
      <c r="C254" s="11" t="s">
        <v>7532</v>
      </c>
      <c r="D254" s="11" t="s">
        <v>7533</v>
      </c>
      <c r="E254" s="11" t="s">
        <v>7534</v>
      </c>
      <c r="F254" s="11" t="s">
        <v>4084</v>
      </c>
      <c r="G254" s="12" t="s">
        <v>9</v>
      </c>
    </row>
    <row r="255" customFormat="false" ht="104" hidden="false" customHeight="true" outlineLevel="0" collapsed="false">
      <c r="A255" s="11" t="s">
        <v>7411</v>
      </c>
      <c r="B255" s="11" t="s">
        <v>831</v>
      </c>
      <c r="C255" s="11" t="s">
        <v>7535</v>
      </c>
      <c r="D255" s="11" t="s">
        <v>7536</v>
      </c>
      <c r="E255" s="11" t="s">
        <v>7537</v>
      </c>
      <c r="F255" s="11" t="s">
        <v>4084</v>
      </c>
      <c r="G255" s="12" t="s">
        <v>9</v>
      </c>
    </row>
    <row r="256" customFormat="false" ht="104" hidden="false" customHeight="true" outlineLevel="0" collapsed="false">
      <c r="A256" s="11" t="s">
        <v>7411</v>
      </c>
      <c r="B256" s="11" t="s">
        <v>832</v>
      </c>
      <c r="C256" s="11" t="s">
        <v>7538</v>
      </c>
      <c r="D256" s="11" t="s">
        <v>7539</v>
      </c>
      <c r="E256" s="11" t="s">
        <v>7540</v>
      </c>
      <c r="F256" s="11" t="s">
        <v>4084</v>
      </c>
      <c r="G256" s="12" t="s">
        <v>9</v>
      </c>
    </row>
    <row r="257" customFormat="false" ht="104" hidden="false" customHeight="true" outlineLevel="0" collapsed="false">
      <c r="A257" s="11" t="s">
        <v>7411</v>
      </c>
      <c r="B257" s="11" t="s">
        <v>833</v>
      </c>
      <c r="C257" s="11" t="s">
        <v>7541</v>
      </c>
      <c r="D257" s="11" t="s">
        <v>7542</v>
      </c>
      <c r="E257" s="11" t="s">
        <v>7543</v>
      </c>
      <c r="F257" s="11" t="s">
        <v>4084</v>
      </c>
      <c r="G257" s="12" t="s">
        <v>9</v>
      </c>
    </row>
    <row r="258" customFormat="false" ht="104" hidden="false" customHeight="true" outlineLevel="0" collapsed="false">
      <c r="A258" s="11" t="s">
        <v>7411</v>
      </c>
      <c r="B258" s="11" t="s">
        <v>835</v>
      </c>
      <c r="C258" s="11" t="s">
        <v>7544</v>
      </c>
      <c r="D258" s="11" t="s">
        <v>7545</v>
      </c>
      <c r="E258" s="11" t="s">
        <v>7546</v>
      </c>
      <c r="F258" s="11" t="s">
        <v>4084</v>
      </c>
      <c r="G258" s="12" t="s">
        <v>9</v>
      </c>
    </row>
    <row r="259" customFormat="false" ht="104" hidden="false" customHeight="true" outlineLevel="0" collapsed="false">
      <c r="A259" s="11" t="s">
        <v>7411</v>
      </c>
      <c r="B259" s="11" t="s">
        <v>836</v>
      </c>
      <c r="C259" s="11" t="s">
        <v>7547</v>
      </c>
      <c r="D259" s="11" t="s">
        <v>7548</v>
      </c>
      <c r="E259" s="11" t="s">
        <v>7549</v>
      </c>
      <c r="F259" s="11" t="s">
        <v>4084</v>
      </c>
      <c r="G259" s="12" t="s">
        <v>9</v>
      </c>
    </row>
    <row r="260" customFormat="false" ht="104" hidden="false" customHeight="true" outlineLevel="0" collapsed="false">
      <c r="A260" s="11" t="s">
        <v>7411</v>
      </c>
      <c r="B260" s="11" t="s">
        <v>837</v>
      </c>
      <c r="C260" s="11" t="s">
        <v>7550</v>
      </c>
      <c r="D260" s="11" t="s">
        <v>7551</v>
      </c>
      <c r="E260" s="11" t="s">
        <v>7552</v>
      </c>
      <c r="F260" s="11" t="s">
        <v>4084</v>
      </c>
      <c r="G260" s="12" t="s">
        <v>9</v>
      </c>
    </row>
    <row r="261" customFormat="false" ht="104" hidden="false" customHeight="true" outlineLevel="0" collapsed="false">
      <c r="A261" s="11" t="s">
        <v>7411</v>
      </c>
      <c r="B261" s="11" t="s">
        <v>838</v>
      </c>
      <c r="C261" s="11" t="s">
        <v>7553</v>
      </c>
      <c r="D261" s="11" t="s">
        <v>7554</v>
      </c>
      <c r="E261" s="11" t="s">
        <v>7555</v>
      </c>
      <c r="F261" s="11" t="s">
        <v>4084</v>
      </c>
      <c r="G261" s="12" t="s">
        <v>9</v>
      </c>
    </row>
    <row r="262" customFormat="false" ht="104" hidden="false" customHeight="true" outlineLevel="0" collapsed="false">
      <c r="A262" s="11" t="s">
        <v>7411</v>
      </c>
      <c r="B262" s="11" t="s">
        <v>839</v>
      </c>
      <c r="C262" s="11" t="s">
        <v>7556</v>
      </c>
      <c r="D262" s="11" t="s">
        <v>7557</v>
      </c>
      <c r="E262" s="11" t="s">
        <v>7558</v>
      </c>
      <c r="F262" s="11" t="s">
        <v>4084</v>
      </c>
      <c r="G262" s="12" t="s">
        <v>9</v>
      </c>
    </row>
    <row r="263" customFormat="false" ht="104" hidden="false" customHeight="true" outlineLevel="0" collapsed="false">
      <c r="A263" s="11" t="s">
        <v>7411</v>
      </c>
      <c r="B263" s="11" t="s">
        <v>840</v>
      </c>
      <c r="C263" s="11" t="s">
        <v>7559</v>
      </c>
      <c r="D263" s="11" t="s">
        <v>7560</v>
      </c>
      <c r="E263" s="11" t="s">
        <v>7561</v>
      </c>
      <c r="F263" s="11" t="s">
        <v>4084</v>
      </c>
      <c r="G263" s="12" t="s">
        <v>9</v>
      </c>
    </row>
    <row r="264" customFormat="false" ht="104" hidden="false" customHeight="true" outlineLevel="0" collapsed="false">
      <c r="A264" s="11" t="s">
        <v>7411</v>
      </c>
      <c r="B264" s="11" t="s">
        <v>842</v>
      </c>
      <c r="C264" s="11" t="s">
        <v>7562</v>
      </c>
      <c r="D264" s="11" t="s">
        <v>7563</v>
      </c>
      <c r="E264" s="11" t="s">
        <v>7564</v>
      </c>
      <c r="F264" s="11" t="s">
        <v>4084</v>
      </c>
      <c r="G264" s="12" t="s">
        <v>9</v>
      </c>
    </row>
    <row r="265" customFormat="false" ht="104" hidden="false" customHeight="true" outlineLevel="0" collapsed="false">
      <c r="A265" s="11" t="s">
        <v>7411</v>
      </c>
      <c r="B265" s="11" t="s">
        <v>843</v>
      </c>
      <c r="C265" s="11" t="s">
        <v>7565</v>
      </c>
      <c r="D265" s="11" t="s">
        <v>7566</v>
      </c>
      <c r="E265" s="11" t="s">
        <v>7567</v>
      </c>
      <c r="F265" s="11" t="s">
        <v>4084</v>
      </c>
      <c r="G265" s="12" t="s">
        <v>9</v>
      </c>
    </row>
    <row r="266" customFormat="false" ht="104" hidden="false" customHeight="true" outlineLevel="0" collapsed="false">
      <c r="A266" s="11" t="s">
        <v>7411</v>
      </c>
      <c r="B266" s="11" t="s">
        <v>844</v>
      </c>
      <c r="C266" s="11" t="s">
        <v>7568</v>
      </c>
      <c r="D266" s="11" t="s">
        <v>7569</v>
      </c>
      <c r="E266" s="11" t="s">
        <v>7570</v>
      </c>
      <c r="F266" s="11" t="s">
        <v>4084</v>
      </c>
      <c r="G266" s="12" t="s">
        <v>9</v>
      </c>
    </row>
    <row r="267" customFormat="false" ht="104" hidden="false" customHeight="true" outlineLevel="0" collapsed="false">
      <c r="A267" s="11" t="s">
        <v>7411</v>
      </c>
      <c r="B267" s="11" t="s">
        <v>845</v>
      </c>
      <c r="C267" s="11" t="s">
        <v>7571</v>
      </c>
      <c r="D267" s="11" t="s">
        <v>7572</v>
      </c>
      <c r="E267" s="11" t="s">
        <v>7573</v>
      </c>
      <c r="F267" s="11" t="s">
        <v>4084</v>
      </c>
      <c r="G267" s="12" t="s">
        <v>9</v>
      </c>
    </row>
    <row r="268" customFormat="false" ht="104" hidden="false" customHeight="true" outlineLevel="0" collapsed="false">
      <c r="A268" s="11" t="s">
        <v>7411</v>
      </c>
      <c r="B268" s="11" t="s">
        <v>846</v>
      </c>
      <c r="C268" s="11" t="s">
        <v>7574</v>
      </c>
      <c r="D268" s="11" t="s">
        <v>7575</v>
      </c>
      <c r="E268" s="11" t="s">
        <v>7576</v>
      </c>
      <c r="F268" s="11" t="s">
        <v>4084</v>
      </c>
      <c r="G268" s="12" t="s">
        <v>9</v>
      </c>
    </row>
    <row r="269" customFormat="false" ht="104" hidden="false" customHeight="true" outlineLevel="0" collapsed="false">
      <c r="A269" s="11" t="s">
        <v>7411</v>
      </c>
      <c r="B269" s="11" t="s">
        <v>847</v>
      </c>
      <c r="C269" s="11" t="s">
        <v>7577</v>
      </c>
      <c r="D269" s="11" t="s">
        <v>7578</v>
      </c>
      <c r="E269" s="11" t="s">
        <v>7579</v>
      </c>
      <c r="F269" s="11" t="s">
        <v>4084</v>
      </c>
      <c r="G269" s="12" t="s">
        <v>9</v>
      </c>
    </row>
    <row r="270" customFormat="false" ht="104" hidden="false" customHeight="true" outlineLevel="0" collapsed="false">
      <c r="A270" s="11" t="s">
        <v>7411</v>
      </c>
      <c r="B270" s="11" t="s">
        <v>849</v>
      </c>
      <c r="C270" s="11" t="s">
        <v>7580</v>
      </c>
      <c r="D270" s="11" t="s">
        <v>7581</v>
      </c>
      <c r="E270" s="11" t="s">
        <v>7582</v>
      </c>
      <c r="F270" s="11" t="s">
        <v>4084</v>
      </c>
      <c r="G270" s="12" t="s">
        <v>9</v>
      </c>
    </row>
    <row r="271" customFormat="false" ht="104" hidden="false" customHeight="true" outlineLevel="0" collapsed="false">
      <c r="A271" s="11" t="s">
        <v>7411</v>
      </c>
      <c r="B271" s="11" t="s">
        <v>850</v>
      </c>
      <c r="C271" s="11" t="s">
        <v>7583</v>
      </c>
      <c r="D271" s="11" t="s">
        <v>7584</v>
      </c>
      <c r="E271" s="11" t="s">
        <v>7585</v>
      </c>
      <c r="F271" s="11" t="s">
        <v>4084</v>
      </c>
      <c r="G271" s="12" t="s">
        <v>9</v>
      </c>
    </row>
    <row r="272" customFormat="false" ht="104" hidden="false" customHeight="true" outlineLevel="0" collapsed="false">
      <c r="A272" s="11" t="s">
        <v>7411</v>
      </c>
      <c r="B272" s="11" t="s">
        <v>851</v>
      </c>
      <c r="C272" s="11" t="s">
        <v>7586</v>
      </c>
      <c r="D272" s="11" t="s">
        <v>7587</v>
      </c>
      <c r="E272" s="11" t="s">
        <v>7588</v>
      </c>
      <c r="F272" s="11" t="s">
        <v>4084</v>
      </c>
      <c r="G272" s="12" t="s">
        <v>9</v>
      </c>
    </row>
    <row r="273" customFormat="false" ht="104" hidden="false" customHeight="true" outlineLevel="0" collapsed="false">
      <c r="A273" s="11" t="s">
        <v>7411</v>
      </c>
      <c r="B273" s="11" t="s">
        <v>852</v>
      </c>
      <c r="C273" s="11" t="s">
        <v>7589</v>
      </c>
      <c r="D273" s="11" t="s">
        <v>7590</v>
      </c>
      <c r="E273" s="11" t="s">
        <v>7591</v>
      </c>
      <c r="F273" s="11" t="s">
        <v>4084</v>
      </c>
      <c r="G273" s="12" t="s">
        <v>9</v>
      </c>
    </row>
    <row r="274" customFormat="false" ht="104" hidden="false" customHeight="true" outlineLevel="0" collapsed="false">
      <c r="A274" s="11" t="s">
        <v>7411</v>
      </c>
      <c r="B274" s="11" t="s">
        <v>853</v>
      </c>
      <c r="C274" s="11" t="s">
        <v>7592</v>
      </c>
      <c r="D274" s="11" t="s">
        <v>7593</v>
      </c>
      <c r="E274" s="11" t="s">
        <v>7594</v>
      </c>
      <c r="F274" s="11" t="s">
        <v>4084</v>
      </c>
      <c r="G274" s="12" t="s">
        <v>9</v>
      </c>
    </row>
    <row r="275" customFormat="false" ht="104" hidden="false" customHeight="true" outlineLevel="0" collapsed="false">
      <c r="A275" s="11" t="s">
        <v>7411</v>
      </c>
      <c r="B275" s="11" t="s">
        <v>854</v>
      </c>
      <c r="C275" s="11" t="s">
        <v>7595</v>
      </c>
      <c r="D275" s="11" t="s">
        <v>7596</v>
      </c>
      <c r="E275" s="11" t="s">
        <v>7597</v>
      </c>
      <c r="F275" s="11" t="s">
        <v>4084</v>
      </c>
      <c r="G275" s="12" t="s">
        <v>9</v>
      </c>
    </row>
    <row r="276" customFormat="false" ht="104" hidden="false" customHeight="true" outlineLevel="0" collapsed="false">
      <c r="A276" s="11" t="s">
        <v>7411</v>
      </c>
      <c r="B276" s="11" t="s">
        <v>856</v>
      </c>
      <c r="C276" s="11" t="s">
        <v>7598</v>
      </c>
      <c r="D276" s="11" t="s">
        <v>7599</v>
      </c>
      <c r="E276" s="11" t="s">
        <v>7600</v>
      </c>
      <c r="F276" s="11" t="s">
        <v>4084</v>
      </c>
      <c r="G276" s="12" t="s">
        <v>9</v>
      </c>
    </row>
    <row r="277" customFormat="false" ht="104" hidden="false" customHeight="true" outlineLevel="0" collapsed="false">
      <c r="A277" s="11" t="s">
        <v>7411</v>
      </c>
      <c r="B277" s="11" t="s">
        <v>857</v>
      </c>
      <c r="C277" s="11" t="s">
        <v>7601</v>
      </c>
      <c r="D277" s="11" t="s">
        <v>7602</v>
      </c>
      <c r="E277" s="11" t="s">
        <v>7603</v>
      </c>
      <c r="F277" s="11" t="s">
        <v>4084</v>
      </c>
      <c r="G277" s="12" t="s">
        <v>9</v>
      </c>
    </row>
    <row r="278" customFormat="false" ht="104" hidden="false" customHeight="true" outlineLevel="0" collapsed="false">
      <c r="A278" s="11" t="s">
        <v>7411</v>
      </c>
      <c r="B278" s="11" t="s">
        <v>858</v>
      </c>
      <c r="C278" s="11" t="s">
        <v>7604</v>
      </c>
      <c r="D278" s="11" t="s">
        <v>7605</v>
      </c>
      <c r="E278" s="11" t="s">
        <v>7606</v>
      </c>
      <c r="F278" s="11" t="s">
        <v>4084</v>
      </c>
      <c r="G278" s="12" t="s">
        <v>9</v>
      </c>
    </row>
    <row r="279" customFormat="false" ht="104" hidden="false" customHeight="true" outlineLevel="0" collapsed="false">
      <c r="A279" s="11" t="s">
        <v>7411</v>
      </c>
      <c r="B279" s="11" t="s">
        <v>859</v>
      </c>
      <c r="C279" s="11" t="s">
        <v>7607</v>
      </c>
      <c r="D279" s="11" t="s">
        <v>7608</v>
      </c>
      <c r="E279" s="11" t="s">
        <v>7609</v>
      </c>
      <c r="F279" s="11" t="s">
        <v>4084</v>
      </c>
      <c r="G279" s="12" t="s">
        <v>9</v>
      </c>
    </row>
    <row r="280" customFormat="false" ht="104" hidden="false" customHeight="true" outlineLevel="0" collapsed="false">
      <c r="A280" s="11" t="s">
        <v>7411</v>
      </c>
      <c r="B280" s="11" t="s">
        <v>860</v>
      </c>
      <c r="C280" s="11" t="s">
        <v>7610</v>
      </c>
      <c r="D280" s="11" t="s">
        <v>7611</v>
      </c>
      <c r="E280" s="11" t="s">
        <v>7612</v>
      </c>
      <c r="F280" s="11" t="s">
        <v>4084</v>
      </c>
      <c r="G280" s="12" t="s">
        <v>9</v>
      </c>
    </row>
    <row r="281" customFormat="false" ht="104" hidden="false" customHeight="true" outlineLevel="0" collapsed="false">
      <c r="A281" s="11" t="s">
        <v>7411</v>
      </c>
      <c r="B281" s="11" t="s">
        <v>861</v>
      </c>
      <c r="C281" s="11" t="s">
        <v>7613</v>
      </c>
      <c r="D281" s="11" t="s">
        <v>7614</v>
      </c>
      <c r="E281" s="11" t="s">
        <v>7615</v>
      </c>
      <c r="F281" s="11" t="s">
        <v>4084</v>
      </c>
      <c r="G281" s="12" t="s">
        <v>9</v>
      </c>
    </row>
    <row r="282" customFormat="false" ht="104" hidden="false" customHeight="true" outlineLevel="0" collapsed="false">
      <c r="A282" s="11" t="s">
        <v>7411</v>
      </c>
      <c r="B282" s="11" t="s">
        <v>863</v>
      </c>
      <c r="C282" s="11" t="s">
        <v>7616</v>
      </c>
      <c r="D282" s="11" t="s">
        <v>7617</v>
      </c>
      <c r="E282" s="11" t="s">
        <v>7618</v>
      </c>
      <c r="F282" s="11" t="s">
        <v>4084</v>
      </c>
      <c r="G282" s="12" t="s">
        <v>9</v>
      </c>
    </row>
    <row r="283" customFormat="false" ht="104" hidden="false" customHeight="true" outlineLevel="0" collapsed="false">
      <c r="A283" s="11" t="s">
        <v>7411</v>
      </c>
      <c r="B283" s="11" t="s">
        <v>864</v>
      </c>
      <c r="C283" s="11" t="s">
        <v>7619</v>
      </c>
      <c r="D283" s="11" t="s">
        <v>7620</v>
      </c>
      <c r="E283" s="11" t="s">
        <v>7621</v>
      </c>
      <c r="F283" s="11" t="s">
        <v>4084</v>
      </c>
      <c r="G283" s="12" t="s">
        <v>9</v>
      </c>
    </row>
    <row r="284" customFormat="false" ht="104" hidden="false" customHeight="true" outlineLevel="0" collapsed="false">
      <c r="A284" s="11" t="s">
        <v>7411</v>
      </c>
      <c r="B284" s="11" t="s">
        <v>865</v>
      </c>
      <c r="C284" s="11" t="s">
        <v>7622</v>
      </c>
      <c r="D284" s="11" t="s">
        <v>7623</v>
      </c>
      <c r="E284" s="11" t="s">
        <v>7624</v>
      </c>
      <c r="F284" s="11" t="s">
        <v>4084</v>
      </c>
      <c r="G284" s="12" t="s">
        <v>9</v>
      </c>
    </row>
    <row r="285" customFormat="false" ht="104" hidden="false" customHeight="true" outlineLevel="0" collapsed="false">
      <c r="A285" s="11" t="s">
        <v>7411</v>
      </c>
      <c r="B285" s="11" t="s">
        <v>866</v>
      </c>
      <c r="C285" s="11" t="s">
        <v>7625</v>
      </c>
      <c r="D285" s="11" t="s">
        <v>7626</v>
      </c>
      <c r="E285" s="11" t="s">
        <v>7627</v>
      </c>
      <c r="F285" s="11" t="s">
        <v>4084</v>
      </c>
      <c r="G285" s="12" t="s">
        <v>9</v>
      </c>
    </row>
    <row r="286" customFormat="false" ht="104" hidden="false" customHeight="true" outlineLevel="0" collapsed="false">
      <c r="A286" s="11" t="s">
        <v>7411</v>
      </c>
      <c r="B286" s="11" t="s">
        <v>867</v>
      </c>
      <c r="C286" s="11" t="s">
        <v>7628</v>
      </c>
      <c r="D286" s="11" t="s">
        <v>7629</v>
      </c>
      <c r="E286" s="11" t="s">
        <v>7630</v>
      </c>
      <c r="F286" s="11" t="s">
        <v>4084</v>
      </c>
      <c r="G286" s="12" t="s">
        <v>9</v>
      </c>
    </row>
    <row r="287" customFormat="false" ht="104" hidden="false" customHeight="true" outlineLevel="0" collapsed="false">
      <c r="A287" s="11" t="s">
        <v>7411</v>
      </c>
      <c r="B287" s="11" t="s">
        <v>868</v>
      </c>
      <c r="C287" s="11" t="s">
        <v>7631</v>
      </c>
      <c r="D287" s="11" t="s">
        <v>7632</v>
      </c>
      <c r="E287" s="11" t="s">
        <v>7633</v>
      </c>
      <c r="F287" s="11" t="s">
        <v>4084</v>
      </c>
      <c r="G287" s="12" t="s">
        <v>9</v>
      </c>
    </row>
    <row r="288" customFormat="false" ht="104" hidden="false" customHeight="true" outlineLevel="0" collapsed="false">
      <c r="A288" s="11" t="s">
        <v>7411</v>
      </c>
      <c r="B288" s="11" t="s">
        <v>870</v>
      </c>
      <c r="C288" s="11" t="s">
        <v>7634</v>
      </c>
      <c r="D288" s="11" t="s">
        <v>7635</v>
      </c>
      <c r="E288" s="11" t="s">
        <v>7636</v>
      </c>
      <c r="F288" s="11" t="s">
        <v>4084</v>
      </c>
      <c r="G288" s="12" t="s">
        <v>9</v>
      </c>
    </row>
    <row r="289" customFormat="false" ht="104" hidden="false" customHeight="true" outlineLevel="0" collapsed="false">
      <c r="A289" s="11" t="s">
        <v>7411</v>
      </c>
      <c r="B289" s="11" t="s">
        <v>871</v>
      </c>
      <c r="C289" s="11" t="s">
        <v>7637</v>
      </c>
      <c r="D289" s="11" t="s">
        <v>7638</v>
      </c>
      <c r="E289" s="11" t="s">
        <v>7639</v>
      </c>
      <c r="F289" s="11" t="s">
        <v>4084</v>
      </c>
      <c r="G289" s="12" t="s">
        <v>9</v>
      </c>
    </row>
    <row r="290" customFormat="false" ht="104" hidden="false" customHeight="true" outlineLevel="0" collapsed="false">
      <c r="A290" s="11" t="s">
        <v>7411</v>
      </c>
      <c r="B290" s="11" t="s">
        <v>872</v>
      </c>
      <c r="C290" s="11" t="s">
        <v>7640</v>
      </c>
      <c r="D290" s="11" t="s">
        <v>7641</v>
      </c>
      <c r="E290" s="11" t="s">
        <v>7642</v>
      </c>
      <c r="F290" s="11" t="s">
        <v>4084</v>
      </c>
      <c r="G290" s="12" t="s">
        <v>9</v>
      </c>
    </row>
    <row r="291" customFormat="false" ht="104" hidden="false" customHeight="true" outlineLevel="0" collapsed="false">
      <c r="A291" s="11" t="s">
        <v>7411</v>
      </c>
      <c r="B291" s="11" t="s">
        <v>873</v>
      </c>
      <c r="C291" s="11" t="s">
        <v>7643</v>
      </c>
      <c r="D291" s="11" t="s">
        <v>7644</v>
      </c>
      <c r="E291" s="11" t="s">
        <v>7645</v>
      </c>
      <c r="F291" s="11" t="s">
        <v>4084</v>
      </c>
      <c r="G291" s="12" t="s">
        <v>9</v>
      </c>
    </row>
    <row r="292" customFormat="false" ht="104" hidden="false" customHeight="true" outlineLevel="0" collapsed="false">
      <c r="A292" s="11" t="s">
        <v>7411</v>
      </c>
      <c r="B292" s="11" t="s">
        <v>874</v>
      </c>
      <c r="C292" s="11" t="s">
        <v>7646</v>
      </c>
      <c r="D292" s="11" t="s">
        <v>7647</v>
      </c>
      <c r="E292" s="11" t="s">
        <v>7648</v>
      </c>
      <c r="F292" s="11" t="s">
        <v>4084</v>
      </c>
      <c r="G292" s="12" t="s">
        <v>9</v>
      </c>
    </row>
    <row r="293" customFormat="false" ht="104" hidden="false" customHeight="true" outlineLevel="0" collapsed="false">
      <c r="A293" s="11" t="s">
        <v>7411</v>
      </c>
      <c r="B293" s="11" t="s">
        <v>875</v>
      </c>
      <c r="C293" s="11" t="s">
        <v>7649</v>
      </c>
      <c r="D293" s="11" t="s">
        <v>7650</v>
      </c>
      <c r="E293" s="11" t="s">
        <v>7651</v>
      </c>
      <c r="F293" s="11" t="s">
        <v>4084</v>
      </c>
      <c r="G293" s="12" t="s">
        <v>9</v>
      </c>
    </row>
    <row r="294" customFormat="false" ht="104" hidden="false" customHeight="true" outlineLevel="0" collapsed="false">
      <c r="A294" s="11" t="s">
        <v>7411</v>
      </c>
      <c r="B294" s="11" t="s">
        <v>877</v>
      </c>
      <c r="C294" s="11" t="s">
        <v>7652</v>
      </c>
      <c r="D294" s="11" t="s">
        <v>7653</v>
      </c>
      <c r="E294" s="11" t="s">
        <v>7654</v>
      </c>
      <c r="F294" s="11" t="s">
        <v>4084</v>
      </c>
      <c r="G294" s="12" t="s">
        <v>9</v>
      </c>
    </row>
    <row r="295" customFormat="false" ht="104" hidden="false" customHeight="true" outlineLevel="0" collapsed="false">
      <c r="A295" s="11" t="s">
        <v>7411</v>
      </c>
      <c r="B295" s="11" t="s">
        <v>878</v>
      </c>
      <c r="C295" s="11" t="s">
        <v>7655</v>
      </c>
      <c r="D295" s="11" t="s">
        <v>7656</v>
      </c>
      <c r="E295" s="11" t="s">
        <v>7657</v>
      </c>
      <c r="F295" s="11" t="s">
        <v>4084</v>
      </c>
      <c r="G295" s="12" t="s">
        <v>9</v>
      </c>
    </row>
    <row r="296" customFormat="false" ht="104" hidden="false" customHeight="true" outlineLevel="0" collapsed="false">
      <c r="A296" s="11" t="s">
        <v>7411</v>
      </c>
      <c r="B296" s="11" t="s">
        <v>879</v>
      </c>
      <c r="C296" s="11" t="s">
        <v>7658</v>
      </c>
      <c r="D296" s="11" t="s">
        <v>7659</v>
      </c>
      <c r="E296" s="11" t="s">
        <v>7660</v>
      </c>
      <c r="F296" s="11" t="s">
        <v>4084</v>
      </c>
      <c r="G296" s="12" t="s">
        <v>9</v>
      </c>
    </row>
    <row r="297" customFormat="false" ht="104" hidden="false" customHeight="true" outlineLevel="0" collapsed="false">
      <c r="A297" s="11" t="s">
        <v>7411</v>
      </c>
      <c r="B297" s="11" t="s">
        <v>880</v>
      </c>
      <c r="C297" s="11" t="s">
        <v>7661</v>
      </c>
      <c r="D297" s="11" t="s">
        <v>7662</v>
      </c>
      <c r="E297" s="11" t="s">
        <v>7663</v>
      </c>
      <c r="F297" s="11" t="s">
        <v>4084</v>
      </c>
      <c r="G297" s="12" t="s">
        <v>9</v>
      </c>
    </row>
    <row r="298" customFormat="false" ht="104" hidden="false" customHeight="true" outlineLevel="0" collapsed="false">
      <c r="A298" s="11" t="s">
        <v>7411</v>
      </c>
      <c r="B298" s="11" t="s">
        <v>881</v>
      </c>
      <c r="C298" s="11" t="s">
        <v>7664</v>
      </c>
      <c r="D298" s="11" t="s">
        <v>7665</v>
      </c>
      <c r="E298" s="11" t="s">
        <v>7666</v>
      </c>
      <c r="F298" s="11" t="s">
        <v>4084</v>
      </c>
      <c r="G298" s="12" t="s">
        <v>9</v>
      </c>
    </row>
    <row r="299" customFormat="false" ht="104" hidden="false" customHeight="true" outlineLevel="0" collapsed="false">
      <c r="A299" s="11" t="s">
        <v>7411</v>
      </c>
      <c r="B299" s="11" t="s">
        <v>882</v>
      </c>
      <c r="C299" s="11" t="s">
        <v>7667</v>
      </c>
      <c r="D299" s="11" t="s">
        <v>7668</v>
      </c>
      <c r="E299" s="11" t="s">
        <v>7669</v>
      </c>
      <c r="F299" s="11" t="s">
        <v>4084</v>
      </c>
      <c r="G299" s="12" t="s">
        <v>9</v>
      </c>
    </row>
    <row r="300" customFormat="false" ht="104" hidden="false" customHeight="true" outlineLevel="0" collapsed="false">
      <c r="A300" s="11" t="s">
        <v>7411</v>
      </c>
      <c r="B300" s="11" t="s">
        <v>883</v>
      </c>
      <c r="C300" s="11" t="s">
        <v>7670</v>
      </c>
      <c r="D300" s="11" t="s">
        <v>7671</v>
      </c>
      <c r="E300" s="11" t="s">
        <v>7672</v>
      </c>
      <c r="F300" s="11" t="s">
        <v>4084</v>
      </c>
      <c r="G300" s="12" t="s">
        <v>9</v>
      </c>
    </row>
    <row r="301" customFormat="false" ht="104" hidden="false" customHeight="true" outlineLevel="0" collapsed="false">
      <c r="A301" s="11" t="s">
        <v>7411</v>
      </c>
      <c r="B301" s="11" t="s">
        <v>885</v>
      </c>
      <c r="C301" s="11" t="s">
        <v>7673</v>
      </c>
      <c r="D301" s="11" t="s">
        <v>7674</v>
      </c>
      <c r="E301" s="11" t="s">
        <v>7675</v>
      </c>
      <c r="F301" s="11" t="s">
        <v>4084</v>
      </c>
      <c r="G301" s="12" t="s">
        <v>9</v>
      </c>
    </row>
    <row r="302" customFormat="false" ht="104" hidden="false" customHeight="true" outlineLevel="0" collapsed="false">
      <c r="A302" s="11" t="s">
        <v>7411</v>
      </c>
      <c r="B302" s="11" t="s">
        <v>886</v>
      </c>
      <c r="C302" s="11" t="s">
        <v>7676</v>
      </c>
      <c r="D302" s="11" t="s">
        <v>7677</v>
      </c>
      <c r="E302" s="11" t="s">
        <v>7678</v>
      </c>
      <c r="F302" s="11" t="s">
        <v>4084</v>
      </c>
      <c r="G302" s="12" t="s">
        <v>9</v>
      </c>
    </row>
    <row r="303" customFormat="false" ht="104" hidden="false" customHeight="true" outlineLevel="0" collapsed="false">
      <c r="A303" s="11" t="s">
        <v>7411</v>
      </c>
      <c r="B303" s="11" t="s">
        <v>887</v>
      </c>
      <c r="C303" s="11" t="s">
        <v>7679</v>
      </c>
      <c r="D303" s="11" t="s">
        <v>7680</v>
      </c>
      <c r="E303" s="11" t="s">
        <v>7681</v>
      </c>
      <c r="F303" s="11" t="s">
        <v>4084</v>
      </c>
      <c r="G303" s="12" t="s">
        <v>9</v>
      </c>
    </row>
    <row r="304" customFormat="false" ht="104" hidden="false" customHeight="true" outlineLevel="0" collapsed="false">
      <c r="A304" s="11" t="s">
        <v>7411</v>
      </c>
      <c r="B304" s="11" t="s">
        <v>888</v>
      </c>
      <c r="C304" s="11" t="s">
        <v>7682</v>
      </c>
      <c r="D304" s="11" t="s">
        <v>7683</v>
      </c>
      <c r="E304" s="11" t="s">
        <v>7684</v>
      </c>
      <c r="F304" s="11" t="s">
        <v>4084</v>
      </c>
      <c r="G304" s="12" t="s">
        <v>9</v>
      </c>
    </row>
    <row r="305" customFormat="false" ht="104" hidden="false" customHeight="true" outlineLevel="0" collapsed="false">
      <c r="A305" s="11" t="s">
        <v>7411</v>
      </c>
      <c r="B305" s="11" t="s">
        <v>889</v>
      </c>
      <c r="C305" s="11" t="s">
        <v>7685</v>
      </c>
      <c r="D305" s="11" t="s">
        <v>7686</v>
      </c>
      <c r="E305" s="11" t="s">
        <v>7687</v>
      </c>
      <c r="F305" s="11" t="s">
        <v>4084</v>
      </c>
      <c r="G305" s="12" t="s">
        <v>9</v>
      </c>
    </row>
    <row r="306" customFormat="false" ht="104" hidden="false" customHeight="true" outlineLevel="0" collapsed="false">
      <c r="A306" s="11" t="s">
        <v>7411</v>
      </c>
      <c r="B306" s="11" t="s">
        <v>890</v>
      </c>
      <c r="C306" s="11" t="s">
        <v>7688</v>
      </c>
      <c r="D306" s="11" t="s">
        <v>7689</v>
      </c>
      <c r="E306" s="11" t="s">
        <v>7690</v>
      </c>
      <c r="F306" s="11" t="s">
        <v>4084</v>
      </c>
      <c r="G306" s="12" t="s">
        <v>9</v>
      </c>
    </row>
    <row r="307" customFormat="false" ht="104" hidden="false" customHeight="true" outlineLevel="0" collapsed="false">
      <c r="A307" s="11" t="s">
        <v>7411</v>
      </c>
      <c r="B307" s="11" t="s">
        <v>892</v>
      </c>
      <c r="C307" s="11" t="s">
        <v>7691</v>
      </c>
      <c r="D307" s="11" t="s">
        <v>7692</v>
      </c>
      <c r="E307" s="11" t="s">
        <v>7693</v>
      </c>
      <c r="F307" s="11" t="s">
        <v>4084</v>
      </c>
      <c r="G307" s="12" t="s">
        <v>9</v>
      </c>
    </row>
    <row r="308" customFormat="false" ht="104" hidden="false" customHeight="true" outlineLevel="0" collapsed="false">
      <c r="A308" s="11" t="s">
        <v>7411</v>
      </c>
      <c r="B308" s="11" t="s">
        <v>893</v>
      </c>
      <c r="C308" s="11" t="s">
        <v>7694</v>
      </c>
      <c r="D308" s="11" t="s">
        <v>7695</v>
      </c>
      <c r="E308" s="11" t="s">
        <v>7696</v>
      </c>
      <c r="F308" s="11" t="s">
        <v>4084</v>
      </c>
      <c r="G308" s="12" t="s">
        <v>9</v>
      </c>
    </row>
    <row r="309" customFormat="false" ht="104" hidden="false" customHeight="true" outlineLevel="0" collapsed="false">
      <c r="A309" s="11" t="s">
        <v>7411</v>
      </c>
      <c r="B309" s="11" t="s">
        <v>894</v>
      </c>
      <c r="C309" s="11" t="s">
        <v>7697</v>
      </c>
      <c r="D309" s="11" t="s">
        <v>7698</v>
      </c>
      <c r="E309" s="11" t="s">
        <v>7699</v>
      </c>
      <c r="F309" s="11" t="s">
        <v>4084</v>
      </c>
      <c r="G309" s="12" t="s">
        <v>9</v>
      </c>
    </row>
    <row r="310" customFormat="false" ht="104" hidden="false" customHeight="true" outlineLevel="0" collapsed="false">
      <c r="A310" s="11" t="s">
        <v>7411</v>
      </c>
      <c r="B310" s="11" t="s">
        <v>895</v>
      </c>
      <c r="C310" s="11" t="s">
        <v>7700</v>
      </c>
      <c r="D310" s="11" t="s">
        <v>7701</v>
      </c>
      <c r="E310" s="11" t="s">
        <v>7702</v>
      </c>
      <c r="F310" s="11" t="s">
        <v>4084</v>
      </c>
      <c r="G310" s="12" t="s">
        <v>9</v>
      </c>
    </row>
    <row r="311" customFormat="false" ht="104" hidden="false" customHeight="true" outlineLevel="0" collapsed="false">
      <c r="A311" s="11" t="s">
        <v>7411</v>
      </c>
      <c r="B311" s="11" t="s">
        <v>896</v>
      </c>
      <c r="C311" s="11" t="s">
        <v>7703</v>
      </c>
      <c r="D311" s="11" t="s">
        <v>7704</v>
      </c>
      <c r="E311" s="11" t="s">
        <v>7705</v>
      </c>
      <c r="F311" s="11" t="s">
        <v>4084</v>
      </c>
      <c r="G311" s="12" t="s">
        <v>9</v>
      </c>
    </row>
    <row r="312" customFormat="false" ht="104" hidden="false" customHeight="true" outlineLevel="0" collapsed="false">
      <c r="A312" s="11" t="s">
        <v>7411</v>
      </c>
      <c r="B312" s="11" t="s">
        <v>897</v>
      </c>
      <c r="C312" s="11" t="s">
        <v>7706</v>
      </c>
      <c r="D312" s="11" t="s">
        <v>7707</v>
      </c>
      <c r="E312" s="11" t="s">
        <v>7708</v>
      </c>
      <c r="F312" s="11" t="s">
        <v>4084</v>
      </c>
      <c r="G312" s="12" t="s">
        <v>9</v>
      </c>
    </row>
    <row r="313" customFormat="false" ht="104" hidden="false" customHeight="true" outlineLevel="0" collapsed="false">
      <c r="A313" s="11" t="s">
        <v>7411</v>
      </c>
      <c r="B313" s="11" t="s">
        <v>898</v>
      </c>
      <c r="C313" s="11" t="s">
        <v>7709</v>
      </c>
      <c r="D313" s="11" t="s">
        <v>7710</v>
      </c>
      <c r="E313" s="11" t="s">
        <v>7711</v>
      </c>
      <c r="F313" s="11" t="s">
        <v>4084</v>
      </c>
      <c r="G313" s="12" t="s">
        <v>9</v>
      </c>
    </row>
    <row r="314" customFormat="false" ht="104" hidden="false" customHeight="true" outlineLevel="0" collapsed="false">
      <c r="A314" s="11" t="s">
        <v>7411</v>
      </c>
      <c r="B314" s="11" t="s">
        <v>900</v>
      </c>
      <c r="C314" s="11" t="s">
        <v>7712</v>
      </c>
      <c r="D314" s="11" t="s">
        <v>7713</v>
      </c>
      <c r="E314" s="11" t="s">
        <v>7714</v>
      </c>
      <c r="F314" s="11" t="s">
        <v>4084</v>
      </c>
      <c r="G314" s="12" t="s">
        <v>9</v>
      </c>
    </row>
    <row r="315" customFormat="false" ht="104" hidden="false" customHeight="true" outlineLevel="0" collapsed="false">
      <c r="A315" s="11" t="s">
        <v>7411</v>
      </c>
      <c r="B315" s="11" t="s">
        <v>901</v>
      </c>
      <c r="C315" s="11" t="s">
        <v>7715</v>
      </c>
      <c r="D315" s="11" t="s">
        <v>7716</v>
      </c>
      <c r="E315" s="11" t="s">
        <v>7717</v>
      </c>
      <c r="F315" s="11" t="s">
        <v>4084</v>
      </c>
      <c r="G315" s="12" t="s">
        <v>9</v>
      </c>
    </row>
    <row r="316" customFormat="false" ht="104" hidden="false" customHeight="true" outlineLevel="0" collapsed="false">
      <c r="A316" s="11" t="s">
        <v>7411</v>
      </c>
      <c r="B316" s="11" t="s">
        <v>902</v>
      </c>
      <c r="C316" s="11" t="s">
        <v>7718</v>
      </c>
      <c r="D316" s="11" t="s">
        <v>7719</v>
      </c>
      <c r="E316" s="11" t="s">
        <v>7720</v>
      </c>
      <c r="F316" s="11" t="s">
        <v>4084</v>
      </c>
      <c r="G316" s="12" t="s">
        <v>9</v>
      </c>
    </row>
    <row r="317" customFormat="false" ht="104" hidden="false" customHeight="true" outlineLevel="0" collapsed="false">
      <c r="A317" s="11" t="s">
        <v>7411</v>
      </c>
      <c r="B317" s="11" t="s">
        <v>903</v>
      </c>
      <c r="C317" s="11" t="s">
        <v>7721</v>
      </c>
      <c r="D317" s="11" t="s">
        <v>7722</v>
      </c>
      <c r="E317" s="11" t="s">
        <v>7723</v>
      </c>
      <c r="F317" s="11" t="s">
        <v>4084</v>
      </c>
      <c r="G317" s="12" t="s">
        <v>9</v>
      </c>
    </row>
    <row r="318" customFormat="false" ht="104" hidden="false" customHeight="true" outlineLevel="0" collapsed="false">
      <c r="A318" s="11" t="s">
        <v>7411</v>
      </c>
      <c r="B318" s="11" t="s">
        <v>904</v>
      </c>
      <c r="C318" s="11" t="s">
        <v>7724</v>
      </c>
      <c r="D318" s="11" t="s">
        <v>7725</v>
      </c>
      <c r="E318" s="11" t="s">
        <v>7726</v>
      </c>
      <c r="F318" s="11" t="s">
        <v>4084</v>
      </c>
      <c r="G318" s="12" t="s">
        <v>9</v>
      </c>
    </row>
    <row r="319" customFormat="false" ht="104" hidden="false" customHeight="true" outlineLevel="0" collapsed="false">
      <c r="A319" s="11" t="s">
        <v>7411</v>
      </c>
      <c r="B319" s="11" t="s">
        <v>905</v>
      </c>
      <c r="C319" s="11" t="s">
        <v>7727</v>
      </c>
      <c r="D319" s="11" t="s">
        <v>7728</v>
      </c>
      <c r="E319" s="11" t="s">
        <v>7729</v>
      </c>
      <c r="F319" s="11" t="s">
        <v>4084</v>
      </c>
      <c r="G319" s="12" t="s">
        <v>9</v>
      </c>
    </row>
    <row r="320" customFormat="false" ht="104" hidden="false" customHeight="true" outlineLevel="0" collapsed="false">
      <c r="A320" s="11" t="s">
        <v>7411</v>
      </c>
      <c r="B320" s="11" t="s">
        <v>906</v>
      </c>
      <c r="C320" s="11" t="s">
        <v>7730</v>
      </c>
      <c r="D320" s="11" t="s">
        <v>7731</v>
      </c>
      <c r="E320" s="11" t="s">
        <v>7732</v>
      </c>
      <c r="F320" s="11" t="s">
        <v>4084</v>
      </c>
      <c r="G320" s="12" t="s">
        <v>9</v>
      </c>
    </row>
    <row r="321" customFormat="false" ht="104" hidden="false" customHeight="true" outlineLevel="0" collapsed="false">
      <c r="A321" s="11" t="s">
        <v>7411</v>
      </c>
      <c r="B321" s="11" t="s">
        <v>908</v>
      </c>
      <c r="C321" s="11" t="s">
        <v>7733</v>
      </c>
      <c r="D321" s="11" t="s">
        <v>7734</v>
      </c>
      <c r="E321" s="11" t="s">
        <v>7735</v>
      </c>
      <c r="F321" s="11" t="s">
        <v>4084</v>
      </c>
      <c r="G321" s="12" t="s">
        <v>9</v>
      </c>
    </row>
    <row r="322" customFormat="false" ht="104" hidden="false" customHeight="true" outlineLevel="0" collapsed="false">
      <c r="A322" s="11" t="s">
        <v>7411</v>
      </c>
      <c r="B322" s="11" t="s">
        <v>909</v>
      </c>
      <c r="C322" s="11" t="s">
        <v>7736</v>
      </c>
      <c r="D322" s="11" t="s">
        <v>7737</v>
      </c>
      <c r="E322" s="11" t="s">
        <v>7738</v>
      </c>
      <c r="F322" s="11" t="s">
        <v>4084</v>
      </c>
      <c r="G322" s="12" t="s">
        <v>9</v>
      </c>
    </row>
    <row r="323" customFormat="false" ht="104" hidden="false" customHeight="true" outlineLevel="0" collapsed="false">
      <c r="A323" s="11" t="s">
        <v>7411</v>
      </c>
      <c r="B323" s="11" t="s">
        <v>910</v>
      </c>
      <c r="C323" s="11" t="s">
        <v>7739</v>
      </c>
      <c r="D323" s="11" t="s">
        <v>7740</v>
      </c>
      <c r="E323" s="11" t="s">
        <v>7741</v>
      </c>
      <c r="F323" s="11" t="s">
        <v>4084</v>
      </c>
      <c r="G323" s="12" t="s">
        <v>9</v>
      </c>
    </row>
    <row r="324" customFormat="false" ht="104" hidden="false" customHeight="true" outlineLevel="0" collapsed="false">
      <c r="A324" s="11" t="s">
        <v>7411</v>
      </c>
      <c r="B324" s="11" t="s">
        <v>911</v>
      </c>
      <c r="C324" s="11" t="s">
        <v>7742</v>
      </c>
      <c r="D324" s="11" t="s">
        <v>7743</v>
      </c>
      <c r="E324" s="11" t="s">
        <v>7744</v>
      </c>
      <c r="F324" s="11" t="s">
        <v>4084</v>
      </c>
      <c r="G324" s="12" t="s">
        <v>9</v>
      </c>
    </row>
    <row r="325" customFormat="false" ht="104" hidden="false" customHeight="true" outlineLevel="0" collapsed="false">
      <c r="A325" s="11" t="s">
        <v>7411</v>
      </c>
      <c r="B325" s="11" t="s">
        <v>912</v>
      </c>
      <c r="C325" s="11" t="s">
        <v>7745</v>
      </c>
      <c r="D325" s="11" t="s">
        <v>7746</v>
      </c>
      <c r="E325" s="11" t="s">
        <v>7747</v>
      </c>
      <c r="F325" s="11" t="s">
        <v>4084</v>
      </c>
      <c r="G325" s="12" t="s">
        <v>9</v>
      </c>
    </row>
    <row r="326" customFormat="false" ht="104" hidden="false" customHeight="true" outlineLevel="0" collapsed="false">
      <c r="A326" s="11" t="s">
        <v>7411</v>
      </c>
      <c r="B326" s="11" t="s">
        <v>913</v>
      </c>
      <c r="C326" s="11" t="s">
        <v>7748</v>
      </c>
      <c r="D326" s="11" t="s">
        <v>7749</v>
      </c>
      <c r="E326" s="11" t="s">
        <v>7750</v>
      </c>
      <c r="F326" s="11" t="s">
        <v>4084</v>
      </c>
      <c r="G326" s="12" t="s">
        <v>9</v>
      </c>
    </row>
    <row r="327" customFormat="false" ht="104" hidden="false" customHeight="true" outlineLevel="0" collapsed="false">
      <c r="A327" s="11" t="s">
        <v>7411</v>
      </c>
      <c r="B327" s="11" t="s">
        <v>915</v>
      </c>
      <c r="C327" s="11" t="s">
        <v>7751</v>
      </c>
      <c r="D327" s="11" t="s">
        <v>7752</v>
      </c>
      <c r="E327" s="11" t="s">
        <v>7753</v>
      </c>
      <c r="F327" s="11" t="s">
        <v>4084</v>
      </c>
      <c r="G327" s="12" t="s">
        <v>9</v>
      </c>
    </row>
    <row r="328" customFormat="false" ht="104" hidden="false" customHeight="true" outlineLevel="0" collapsed="false">
      <c r="A328" s="11" t="s">
        <v>7411</v>
      </c>
      <c r="B328" s="11" t="s">
        <v>916</v>
      </c>
      <c r="C328" s="11" t="s">
        <v>7754</v>
      </c>
      <c r="D328" s="11" t="s">
        <v>7755</v>
      </c>
      <c r="E328" s="11" t="s">
        <v>7756</v>
      </c>
      <c r="F328" s="11" t="s">
        <v>4084</v>
      </c>
      <c r="G328" s="12" t="s">
        <v>9</v>
      </c>
    </row>
    <row r="329" customFormat="false" ht="104" hidden="false" customHeight="true" outlineLevel="0" collapsed="false">
      <c r="A329" s="11" t="s">
        <v>7411</v>
      </c>
      <c r="B329" s="11" t="s">
        <v>917</v>
      </c>
      <c r="C329" s="11" t="s">
        <v>7757</v>
      </c>
      <c r="D329" s="11" t="s">
        <v>7758</v>
      </c>
      <c r="E329" s="11" t="s">
        <v>7759</v>
      </c>
      <c r="F329" s="11" t="s">
        <v>4084</v>
      </c>
      <c r="G329" s="12" t="s">
        <v>9</v>
      </c>
    </row>
    <row r="330" customFormat="false" ht="104" hidden="false" customHeight="true" outlineLevel="0" collapsed="false">
      <c r="A330" s="11" t="s">
        <v>7411</v>
      </c>
      <c r="B330" s="11" t="s">
        <v>918</v>
      </c>
      <c r="C330" s="11" t="s">
        <v>7760</v>
      </c>
      <c r="D330" s="11" t="s">
        <v>7761</v>
      </c>
      <c r="E330" s="11" t="s">
        <v>7762</v>
      </c>
      <c r="F330" s="11" t="s">
        <v>4084</v>
      </c>
      <c r="G330" s="12" t="s">
        <v>9</v>
      </c>
    </row>
    <row r="331" customFormat="false" ht="104" hidden="false" customHeight="true" outlineLevel="0" collapsed="false">
      <c r="A331" s="11" t="s">
        <v>7411</v>
      </c>
      <c r="B331" s="11" t="s">
        <v>919</v>
      </c>
      <c r="C331" s="11" t="s">
        <v>7763</v>
      </c>
      <c r="D331" s="11" t="s">
        <v>7764</v>
      </c>
      <c r="E331" s="11" t="s">
        <v>7765</v>
      </c>
      <c r="F331" s="11" t="s">
        <v>4084</v>
      </c>
      <c r="G331" s="12" t="s">
        <v>9</v>
      </c>
    </row>
    <row r="332" customFormat="false" ht="104" hidden="false" customHeight="true" outlineLevel="0" collapsed="false">
      <c r="A332" s="11" t="s">
        <v>7411</v>
      </c>
      <c r="B332" s="11" t="s">
        <v>920</v>
      </c>
      <c r="C332" s="11" t="s">
        <v>7766</v>
      </c>
      <c r="D332" s="11" t="s">
        <v>7767</v>
      </c>
      <c r="E332" s="11" t="s">
        <v>7768</v>
      </c>
      <c r="F332" s="11" t="s">
        <v>4084</v>
      </c>
      <c r="G332" s="12" t="s">
        <v>9</v>
      </c>
    </row>
    <row r="333" customFormat="false" ht="104" hidden="false" customHeight="true" outlineLevel="0" collapsed="false">
      <c r="A333" s="11" t="s">
        <v>7411</v>
      </c>
      <c r="B333" s="11" t="s">
        <v>922</v>
      </c>
      <c r="C333" s="11" t="s">
        <v>7769</v>
      </c>
      <c r="D333" s="11" t="s">
        <v>7770</v>
      </c>
      <c r="E333" s="11" t="s">
        <v>7771</v>
      </c>
      <c r="F333" s="11" t="s">
        <v>4084</v>
      </c>
      <c r="G333" s="12" t="s">
        <v>9</v>
      </c>
    </row>
    <row r="334" customFormat="false" ht="104" hidden="false" customHeight="true" outlineLevel="0" collapsed="false">
      <c r="A334" s="11" t="s">
        <v>7411</v>
      </c>
      <c r="B334" s="11" t="s">
        <v>923</v>
      </c>
      <c r="C334" s="11" t="s">
        <v>7772</v>
      </c>
      <c r="D334" s="11" t="s">
        <v>7773</v>
      </c>
      <c r="E334" s="11" t="s">
        <v>7774</v>
      </c>
      <c r="F334" s="11" t="s">
        <v>4084</v>
      </c>
      <c r="G334" s="12" t="s">
        <v>9</v>
      </c>
    </row>
    <row r="335" customFormat="false" ht="104" hidden="false" customHeight="true" outlineLevel="0" collapsed="false">
      <c r="A335" s="11" t="s">
        <v>7411</v>
      </c>
      <c r="B335" s="11" t="s">
        <v>924</v>
      </c>
      <c r="C335" s="11" t="s">
        <v>7775</v>
      </c>
      <c r="D335" s="11" t="s">
        <v>7776</v>
      </c>
      <c r="E335" s="11" t="s">
        <v>7777</v>
      </c>
      <c r="F335" s="11" t="s">
        <v>4084</v>
      </c>
      <c r="G335" s="12" t="s">
        <v>9</v>
      </c>
    </row>
    <row r="336" customFormat="false" ht="104" hidden="false" customHeight="true" outlineLevel="0" collapsed="false">
      <c r="A336" s="11" t="s">
        <v>7411</v>
      </c>
      <c r="B336" s="11" t="s">
        <v>925</v>
      </c>
      <c r="C336" s="11" t="s">
        <v>7778</v>
      </c>
      <c r="D336" s="11" t="s">
        <v>7779</v>
      </c>
      <c r="E336" s="11" t="s">
        <v>7780</v>
      </c>
      <c r="F336" s="11" t="s">
        <v>4084</v>
      </c>
      <c r="G336" s="12" t="s">
        <v>9</v>
      </c>
    </row>
    <row r="337" customFormat="false" ht="104" hidden="false" customHeight="true" outlineLevel="0" collapsed="false">
      <c r="A337" s="11" t="s">
        <v>7411</v>
      </c>
      <c r="B337" s="11" t="s">
        <v>926</v>
      </c>
      <c r="C337" s="11" t="s">
        <v>7781</v>
      </c>
      <c r="D337" s="11" t="s">
        <v>7782</v>
      </c>
      <c r="E337" s="11" t="s">
        <v>7783</v>
      </c>
      <c r="F337" s="11" t="s">
        <v>4084</v>
      </c>
      <c r="G337" s="12" t="s">
        <v>9</v>
      </c>
    </row>
    <row r="338" customFormat="false" ht="104" hidden="false" customHeight="true" outlineLevel="0" collapsed="false">
      <c r="A338" s="11" t="s">
        <v>7411</v>
      </c>
      <c r="B338" s="11" t="s">
        <v>927</v>
      </c>
      <c r="C338" s="11" t="s">
        <v>7784</v>
      </c>
      <c r="D338" s="11" t="s">
        <v>7785</v>
      </c>
      <c r="E338" s="11" t="s">
        <v>7786</v>
      </c>
      <c r="F338" s="11" t="s">
        <v>4084</v>
      </c>
      <c r="G338" s="12" t="s">
        <v>9</v>
      </c>
    </row>
    <row r="339" customFormat="false" ht="104" hidden="false" customHeight="true" outlineLevel="0" collapsed="false">
      <c r="A339" s="11" t="s">
        <v>7411</v>
      </c>
      <c r="B339" s="11" t="s">
        <v>929</v>
      </c>
      <c r="C339" s="11" t="s">
        <v>7787</v>
      </c>
      <c r="D339" s="11" t="s">
        <v>7788</v>
      </c>
      <c r="E339" s="11" t="s">
        <v>7789</v>
      </c>
      <c r="F339" s="11" t="s">
        <v>4084</v>
      </c>
      <c r="G339" s="12" t="s">
        <v>9</v>
      </c>
    </row>
    <row r="340" customFormat="false" ht="104" hidden="false" customHeight="true" outlineLevel="0" collapsed="false">
      <c r="A340" s="11" t="s">
        <v>7411</v>
      </c>
      <c r="B340" s="11" t="s">
        <v>930</v>
      </c>
      <c r="C340" s="11" t="s">
        <v>7790</v>
      </c>
      <c r="D340" s="11" t="s">
        <v>7791</v>
      </c>
      <c r="E340" s="11" t="s">
        <v>7792</v>
      </c>
      <c r="F340" s="11" t="s">
        <v>4084</v>
      </c>
      <c r="G340" s="12" t="s">
        <v>9</v>
      </c>
    </row>
    <row r="341" customFormat="false" ht="104" hidden="false" customHeight="true" outlineLevel="0" collapsed="false">
      <c r="A341" s="11" t="s">
        <v>7411</v>
      </c>
      <c r="B341" s="11" t="s">
        <v>931</v>
      </c>
      <c r="C341" s="11" t="s">
        <v>7793</v>
      </c>
      <c r="D341" s="11" t="s">
        <v>7794</v>
      </c>
      <c r="E341" s="11" t="s">
        <v>7795</v>
      </c>
      <c r="F341" s="11" t="s">
        <v>4084</v>
      </c>
      <c r="G341" s="12" t="s">
        <v>9</v>
      </c>
    </row>
    <row r="342" customFormat="false" ht="104" hidden="false" customHeight="true" outlineLevel="0" collapsed="false">
      <c r="A342" s="11" t="s">
        <v>7411</v>
      </c>
      <c r="B342" s="11" t="s">
        <v>932</v>
      </c>
      <c r="C342" s="11" t="s">
        <v>7796</v>
      </c>
      <c r="D342" s="11" t="s">
        <v>7797</v>
      </c>
      <c r="E342" s="11" t="s">
        <v>7798</v>
      </c>
      <c r="F342" s="11" t="s">
        <v>4084</v>
      </c>
      <c r="G342" s="12" t="s">
        <v>9</v>
      </c>
    </row>
    <row r="343" customFormat="false" ht="104" hidden="false" customHeight="true" outlineLevel="0" collapsed="false">
      <c r="A343" s="11" t="s">
        <v>7411</v>
      </c>
      <c r="B343" s="11" t="s">
        <v>933</v>
      </c>
      <c r="C343" s="11" t="s">
        <v>7799</v>
      </c>
      <c r="D343" s="11" t="s">
        <v>7800</v>
      </c>
      <c r="E343" s="11" t="s">
        <v>7801</v>
      </c>
      <c r="F343" s="11" t="s">
        <v>4084</v>
      </c>
      <c r="G343" s="12" t="s">
        <v>9</v>
      </c>
    </row>
    <row r="344" customFormat="false" ht="104" hidden="false" customHeight="true" outlineLevel="0" collapsed="false">
      <c r="A344" s="11" t="s">
        <v>7411</v>
      </c>
      <c r="B344" s="11" t="s">
        <v>934</v>
      </c>
      <c r="C344" s="11" t="s">
        <v>7802</v>
      </c>
      <c r="D344" s="11" t="s">
        <v>7803</v>
      </c>
      <c r="E344" s="11" t="s">
        <v>7804</v>
      </c>
      <c r="F344" s="11" t="s">
        <v>4084</v>
      </c>
      <c r="G344" s="12" t="s">
        <v>9</v>
      </c>
    </row>
    <row r="345" customFormat="false" ht="104" hidden="false" customHeight="true" outlineLevel="0" collapsed="false">
      <c r="A345" s="11" t="s">
        <v>7411</v>
      </c>
      <c r="B345" s="11" t="s">
        <v>936</v>
      </c>
      <c r="C345" s="11" t="s">
        <v>7805</v>
      </c>
      <c r="D345" s="11" t="s">
        <v>7806</v>
      </c>
      <c r="E345" s="11" t="s">
        <v>7807</v>
      </c>
      <c r="F345" s="11" t="s">
        <v>4084</v>
      </c>
      <c r="G345" s="12" t="s">
        <v>9</v>
      </c>
    </row>
    <row r="346" customFormat="false" ht="104" hidden="false" customHeight="true" outlineLevel="0" collapsed="false">
      <c r="A346" s="11" t="s">
        <v>7411</v>
      </c>
      <c r="B346" s="11" t="s">
        <v>937</v>
      </c>
      <c r="C346" s="11" t="s">
        <v>7808</v>
      </c>
      <c r="D346" s="11" t="s">
        <v>7809</v>
      </c>
      <c r="E346" s="11" t="s">
        <v>7810</v>
      </c>
      <c r="F346" s="11" t="s">
        <v>4084</v>
      </c>
      <c r="G346" s="12" t="s">
        <v>9</v>
      </c>
    </row>
    <row r="347" customFormat="false" ht="104" hidden="false" customHeight="true" outlineLevel="0" collapsed="false">
      <c r="A347" s="11" t="s">
        <v>7411</v>
      </c>
      <c r="B347" s="11" t="s">
        <v>938</v>
      </c>
      <c r="C347" s="11" t="s">
        <v>7811</v>
      </c>
      <c r="D347" s="11" t="s">
        <v>7812</v>
      </c>
      <c r="E347" s="11" t="s">
        <v>7813</v>
      </c>
      <c r="F347" s="11" t="s">
        <v>4084</v>
      </c>
      <c r="G347" s="12" t="s">
        <v>9</v>
      </c>
    </row>
    <row r="348" customFormat="false" ht="104" hidden="false" customHeight="true" outlineLevel="0" collapsed="false">
      <c r="A348" s="11" t="s">
        <v>7411</v>
      </c>
      <c r="B348" s="11" t="s">
        <v>939</v>
      </c>
      <c r="C348" s="11" t="s">
        <v>7814</v>
      </c>
      <c r="D348" s="11" t="s">
        <v>7815</v>
      </c>
      <c r="E348" s="11" t="s">
        <v>7816</v>
      </c>
      <c r="F348" s="11" t="s">
        <v>4084</v>
      </c>
      <c r="G348" s="12" t="s">
        <v>9</v>
      </c>
    </row>
    <row r="349" customFormat="false" ht="104" hidden="false" customHeight="true" outlineLevel="0" collapsed="false">
      <c r="A349" s="11" t="s">
        <v>7411</v>
      </c>
      <c r="B349" s="11" t="s">
        <v>940</v>
      </c>
      <c r="C349" s="11" t="s">
        <v>7817</v>
      </c>
      <c r="D349" s="11" t="s">
        <v>7818</v>
      </c>
      <c r="E349" s="11" t="s">
        <v>7819</v>
      </c>
      <c r="F349" s="11" t="s">
        <v>4084</v>
      </c>
      <c r="G349" s="12" t="s">
        <v>9</v>
      </c>
    </row>
    <row r="350" customFormat="false" ht="104" hidden="false" customHeight="true" outlineLevel="0" collapsed="false">
      <c r="A350" s="11" t="s">
        <v>7411</v>
      </c>
      <c r="B350" s="11" t="s">
        <v>941</v>
      </c>
      <c r="C350" s="11" t="s">
        <v>7820</v>
      </c>
      <c r="D350" s="11" t="s">
        <v>7821</v>
      </c>
      <c r="E350" s="11" t="s">
        <v>7822</v>
      </c>
      <c r="F350" s="11" t="s">
        <v>4084</v>
      </c>
      <c r="G350" s="12" t="s">
        <v>9</v>
      </c>
    </row>
    <row r="351" customFormat="false" ht="104" hidden="false" customHeight="true" outlineLevel="0" collapsed="false">
      <c r="A351" s="11" t="s">
        <v>7411</v>
      </c>
      <c r="B351" s="11" t="s">
        <v>943</v>
      </c>
      <c r="C351" s="11" t="s">
        <v>7823</v>
      </c>
      <c r="D351" s="11" t="s">
        <v>7824</v>
      </c>
      <c r="E351" s="11" t="s">
        <v>7825</v>
      </c>
      <c r="F351" s="11" t="s">
        <v>4084</v>
      </c>
      <c r="G351" s="12" t="s">
        <v>9</v>
      </c>
    </row>
    <row r="352" customFormat="false" ht="104" hidden="false" customHeight="true" outlineLevel="0" collapsed="false">
      <c r="A352" s="11" t="s">
        <v>7411</v>
      </c>
      <c r="B352" s="11" t="s">
        <v>944</v>
      </c>
      <c r="C352" s="11" t="s">
        <v>7826</v>
      </c>
      <c r="D352" s="11" t="s">
        <v>7827</v>
      </c>
      <c r="E352" s="11" t="s">
        <v>7828</v>
      </c>
      <c r="F352" s="11" t="s">
        <v>4084</v>
      </c>
      <c r="G352" s="12" t="s">
        <v>9</v>
      </c>
    </row>
    <row r="353" customFormat="false" ht="104" hidden="false" customHeight="true" outlineLevel="0" collapsed="false">
      <c r="A353" s="11" t="s">
        <v>7411</v>
      </c>
      <c r="B353" s="11" t="s">
        <v>945</v>
      </c>
      <c r="C353" s="11" t="s">
        <v>7829</v>
      </c>
      <c r="D353" s="11" t="s">
        <v>7830</v>
      </c>
      <c r="E353" s="11" t="s">
        <v>7831</v>
      </c>
      <c r="F353" s="11" t="s">
        <v>4084</v>
      </c>
      <c r="G353" s="12" t="s">
        <v>9</v>
      </c>
    </row>
    <row r="354" customFormat="false" ht="104" hidden="false" customHeight="true" outlineLevel="0" collapsed="false">
      <c r="A354" s="11" t="s">
        <v>7411</v>
      </c>
      <c r="B354" s="11" t="s">
        <v>946</v>
      </c>
      <c r="C354" s="11" t="s">
        <v>7832</v>
      </c>
      <c r="D354" s="11" t="s">
        <v>7833</v>
      </c>
      <c r="E354" s="11" t="s">
        <v>7834</v>
      </c>
      <c r="F354" s="11" t="s">
        <v>4084</v>
      </c>
      <c r="G354" s="12" t="s">
        <v>9</v>
      </c>
    </row>
    <row r="355" customFormat="false" ht="104" hidden="false" customHeight="true" outlineLevel="0" collapsed="false">
      <c r="A355" s="11" t="s">
        <v>7411</v>
      </c>
      <c r="B355" s="11" t="s">
        <v>947</v>
      </c>
      <c r="C355" s="11" t="s">
        <v>7835</v>
      </c>
      <c r="D355" s="11" t="s">
        <v>7836</v>
      </c>
      <c r="E355" s="11" t="s">
        <v>7837</v>
      </c>
      <c r="F355" s="11" t="s">
        <v>4084</v>
      </c>
      <c r="G355" s="12" t="s">
        <v>9</v>
      </c>
    </row>
    <row r="356" customFormat="false" ht="104" hidden="false" customHeight="true" outlineLevel="0" collapsed="false">
      <c r="A356" s="11" t="s">
        <v>7411</v>
      </c>
      <c r="B356" s="11" t="s">
        <v>948</v>
      </c>
      <c r="C356" s="11" t="s">
        <v>7838</v>
      </c>
      <c r="D356" s="11" t="s">
        <v>7839</v>
      </c>
      <c r="E356" s="11" t="s">
        <v>7840</v>
      </c>
      <c r="F356" s="11" t="s">
        <v>4084</v>
      </c>
      <c r="G356" s="12" t="s">
        <v>9</v>
      </c>
    </row>
    <row r="357" customFormat="false" ht="104" hidden="false" customHeight="true" outlineLevel="0" collapsed="false">
      <c r="A357" s="11" t="s">
        <v>7411</v>
      </c>
      <c r="B357" s="11" t="s">
        <v>949</v>
      </c>
      <c r="C357" s="11" t="s">
        <v>7841</v>
      </c>
      <c r="D357" s="11" t="s">
        <v>7842</v>
      </c>
      <c r="E357" s="11" t="s">
        <v>7843</v>
      </c>
      <c r="F357" s="11" t="s">
        <v>4084</v>
      </c>
      <c r="G357" s="12" t="s">
        <v>9</v>
      </c>
    </row>
    <row r="358" customFormat="false" ht="104" hidden="false" customHeight="true" outlineLevel="0" collapsed="false">
      <c r="A358" s="11" t="s">
        <v>7844</v>
      </c>
      <c r="B358" s="11" t="s">
        <v>961</v>
      </c>
      <c r="C358" s="11" t="s">
        <v>962</v>
      </c>
      <c r="D358" s="11" t="s">
        <v>7845</v>
      </c>
      <c r="E358" s="11" t="s">
        <v>7846</v>
      </c>
      <c r="F358" s="11" t="s">
        <v>4084</v>
      </c>
      <c r="G358" s="12" t="s">
        <v>9</v>
      </c>
    </row>
    <row r="359" customFormat="false" ht="104" hidden="false" customHeight="true" outlineLevel="0" collapsed="false">
      <c r="A359" s="11" t="s">
        <v>7844</v>
      </c>
      <c r="B359" s="11" t="s">
        <v>967</v>
      </c>
      <c r="C359" s="11" t="s">
        <v>968</v>
      </c>
      <c r="D359" s="11" t="s">
        <v>7847</v>
      </c>
      <c r="E359" s="11" t="s">
        <v>7848</v>
      </c>
      <c r="F359" s="11" t="s">
        <v>4084</v>
      </c>
      <c r="G359" s="12" t="s">
        <v>9</v>
      </c>
    </row>
    <row r="360" customFormat="false" ht="104" hidden="false" customHeight="true" outlineLevel="0" collapsed="false">
      <c r="A360" s="11" t="s">
        <v>7844</v>
      </c>
      <c r="B360" s="11" t="s">
        <v>973</v>
      </c>
      <c r="C360" s="11" t="s">
        <v>974</v>
      </c>
      <c r="D360" s="11" t="s">
        <v>7849</v>
      </c>
      <c r="E360" s="11" t="s">
        <v>7850</v>
      </c>
      <c r="F360" s="11" t="s">
        <v>4084</v>
      </c>
      <c r="G360" s="12" t="s">
        <v>9</v>
      </c>
    </row>
    <row r="361" customFormat="false" ht="104" hidden="false" customHeight="true" outlineLevel="0" collapsed="false">
      <c r="A361" s="11" t="s">
        <v>7844</v>
      </c>
      <c r="B361" s="11" t="s">
        <v>977</v>
      </c>
      <c r="C361" s="11" t="s">
        <v>978</v>
      </c>
      <c r="D361" s="11" t="s">
        <v>7851</v>
      </c>
      <c r="E361" s="11" t="s">
        <v>7852</v>
      </c>
      <c r="F361" s="11" t="s">
        <v>4084</v>
      </c>
      <c r="G361" s="12" t="s">
        <v>9</v>
      </c>
    </row>
    <row r="362" customFormat="false" ht="104" hidden="false" customHeight="true" outlineLevel="0" collapsed="false">
      <c r="A362" s="11" t="s">
        <v>7844</v>
      </c>
      <c r="B362" s="11" t="s">
        <v>981</v>
      </c>
      <c r="C362" s="11" t="s">
        <v>982</v>
      </c>
      <c r="D362" s="11" t="s">
        <v>7853</v>
      </c>
      <c r="E362" s="11" t="s">
        <v>7854</v>
      </c>
      <c r="F362" s="11" t="s">
        <v>4084</v>
      </c>
      <c r="G362" s="12" t="s">
        <v>9</v>
      </c>
    </row>
    <row r="363" customFormat="false" ht="104" hidden="false" customHeight="true" outlineLevel="0" collapsed="false">
      <c r="A363" s="11" t="s">
        <v>7844</v>
      </c>
      <c r="B363" s="11" t="s">
        <v>985</v>
      </c>
      <c r="C363" s="11" t="s">
        <v>986</v>
      </c>
      <c r="D363" s="11" t="s">
        <v>7855</v>
      </c>
      <c r="E363" s="11" t="s">
        <v>7856</v>
      </c>
      <c r="F363" s="11" t="s">
        <v>4084</v>
      </c>
      <c r="G363" s="12" t="s">
        <v>9</v>
      </c>
    </row>
    <row r="364" customFormat="false" ht="104" hidden="false" customHeight="true" outlineLevel="0" collapsed="false">
      <c r="A364" s="11" t="s">
        <v>7844</v>
      </c>
      <c r="B364" s="11" t="s">
        <v>989</v>
      </c>
      <c r="C364" s="11" t="s">
        <v>990</v>
      </c>
      <c r="D364" s="11" t="s">
        <v>7857</v>
      </c>
      <c r="E364" s="11" t="s">
        <v>7858</v>
      </c>
      <c r="F364" s="11" t="s">
        <v>4084</v>
      </c>
      <c r="G364" s="12" t="s">
        <v>9</v>
      </c>
    </row>
    <row r="365" customFormat="false" ht="104" hidden="false" customHeight="true" outlineLevel="0" collapsed="false">
      <c r="A365" s="11" t="s">
        <v>7844</v>
      </c>
      <c r="B365" s="11" t="s">
        <v>993</v>
      </c>
      <c r="C365" s="11" t="s">
        <v>994</v>
      </c>
      <c r="D365" s="11" t="s">
        <v>7859</v>
      </c>
      <c r="E365" s="11" t="s">
        <v>7860</v>
      </c>
      <c r="F365" s="11" t="s">
        <v>4084</v>
      </c>
      <c r="G365" s="12" t="s">
        <v>9</v>
      </c>
    </row>
    <row r="366" customFormat="false" ht="104" hidden="false" customHeight="true" outlineLevel="0" collapsed="false">
      <c r="A366" s="11" t="s">
        <v>7844</v>
      </c>
      <c r="B366" s="11" t="s">
        <v>997</v>
      </c>
      <c r="C366" s="11" t="s">
        <v>998</v>
      </c>
      <c r="D366" s="11" t="s">
        <v>7861</v>
      </c>
      <c r="E366" s="11" t="s">
        <v>7862</v>
      </c>
      <c r="F366" s="11" t="s">
        <v>4084</v>
      </c>
      <c r="G366" s="12" t="s">
        <v>9</v>
      </c>
    </row>
    <row r="367" customFormat="false" ht="104" hidden="false" customHeight="true" outlineLevel="0" collapsed="false">
      <c r="A367" s="11" t="s">
        <v>7844</v>
      </c>
      <c r="B367" s="11" t="s">
        <v>1001</v>
      </c>
      <c r="C367" s="11" t="s">
        <v>1002</v>
      </c>
      <c r="D367" s="11" t="s">
        <v>7863</v>
      </c>
      <c r="E367" s="11" t="s">
        <v>7864</v>
      </c>
      <c r="F367" s="11" t="s">
        <v>4084</v>
      </c>
      <c r="G367" s="12" t="s">
        <v>9</v>
      </c>
    </row>
    <row r="368" customFormat="false" ht="104" hidden="false" customHeight="true" outlineLevel="0" collapsed="false">
      <c r="A368" s="11" t="s">
        <v>7844</v>
      </c>
      <c r="B368" s="11" t="s">
        <v>1006</v>
      </c>
      <c r="C368" s="11" t="s">
        <v>1007</v>
      </c>
      <c r="D368" s="11" t="s">
        <v>7865</v>
      </c>
      <c r="E368" s="11" t="s">
        <v>7866</v>
      </c>
      <c r="F368" s="11" t="s">
        <v>4084</v>
      </c>
      <c r="G368" s="12" t="s">
        <v>9</v>
      </c>
    </row>
    <row r="369" customFormat="false" ht="104" hidden="false" customHeight="true" outlineLevel="0" collapsed="false">
      <c r="A369" s="11" t="s">
        <v>7844</v>
      </c>
      <c r="B369" s="11" t="s">
        <v>1009</v>
      </c>
      <c r="C369" s="11" t="s">
        <v>1010</v>
      </c>
      <c r="D369" s="11" t="s">
        <v>7867</v>
      </c>
      <c r="E369" s="11" t="s">
        <v>7868</v>
      </c>
      <c r="F369" s="11" t="s">
        <v>4084</v>
      </c>
      <c r="G369" s="12" t="s">
        <v>9</v>
      </c>
    </row>
    <row r="370" customFormat="false" ht="104" hidden="false" customHeight="true" outlineLevel="0" collapsed="false">
      <c r="A370" s="11" t="s">
        <v>7844</v>
      </c>
      <c r="B370" s="11" t="s">
        <v>1013</v>
      </c>
      <c r="C370" s="11" t="s">
        <v>1014</v>
      </c>
      <c r="D370" s="11" t="s">
        <v>7869</v>
      </c>
      <c r="E370" s="11" t="s">
        <v>7870</v>
      </c>
      <c r="F370" s="11" t="s">
        <v>4084</v>
      </c>
      <c r="G370" s="12" t="s">
        <v>9</v>
      </c>
    </row>
    <row r="371" customFormat="false" ht="104" hidden="false" customHeight="true" outlineLevel="0" collapsed="false">
      <c r="A371" s="11" t="s">
        <v>7844</v>
      </c>
      <c r="B371" s="11" t="s">
        <v>1017</v>
      </c>
      <c r="C371" s="11" t="s">
        <v>1018</v>
      </c>
      <c r="D371" s="11" t="s">
        <v>7871</v>
      </c>
      <c r="E371" s="11" t="s">
        <v>7872</v>
      </c>
      <c r="F371" s="11" t="s">
        <v>4084</v>
      </c>
      <c r="G371" s="12" t="s">
        <v>9</v>
      </c>
    </row>
    <row r="372" customFormat="false" ht="104" hidden="false" customHeight="true" outlineLevel="0" collapsed="false">
      <c r="A372" s="11" t="s">
        <v>7844</v>
      </c>
      <c r="B372" s="11" t="s">
        <v>1021</v>
      </c>
      <c r="C372" s="11" t="s">
        <v>1022</v>
      </c>
      <c r="D372" s="11" t="s">
        <v>7873</v>
      </c>
      <c r="E372" s="11" t="s">
        <v>7874</v>
      </c>
      <c r="F372" s="11" t="s">
        <v>4084</v>
      </c>
      <c r="G372" s="12" t="s">
        <v>9</v>
      </c>
    </row>
    <row r="373" customFormat="false" ht="104" hidden="false" customHeight="true" outlineLevel="0" collapsed="false">
      <c r="A373" s="11" t="s">
        <v>7844</v>
      </c>
      <c r="B373" s="11" t="s">
        <v>1024</v>
      </c>
      <c r="C373" s="11" t="s">
        <v>1025</v>
      </c>
      <c r="D373" s="11" t="s">
        <v>7875</v>
      </c>
      <c r="E373" s="11" t="s">
        <v>7876</v>
      </c>
      <c r="F373" s="11" t="s">
        <v>4084</v>
      </c>
      <c r="G373" s="12" t="s">
        <v>9</v>
      </c>
    </row>
    <row r="374" customFormat="false" ht="104" hidden="false" customHeight="true" outlineLevel="0" collapsed="false">
      <c r="A374" s="11" t="s">
        <v>7844</v>
      </c>
      <c r="B374" s="11" t="s">
        <v>1027</v>
      </c>
      <c r="C374" s="11" t="s">
        <v>1028</v>
      </c>
      <c r="D374" s="11" t="s">
        <v>7877</v>
      </c>
      <c r="E374" s="11" t="s">
        <v>7878</v>
      </c>
      <c r="F374" s="11" t="s">
        <v>4084</v>
      </c>
      <c r="G374" s="12" t="s">
        <v>9</v>
      </c>
    </row>
    <row r="375" customFormat="false" ht="104" hidden="false" customHeight="true" outlineLevel="0" collapsed="false">
      <c r="A375" s="11" t="s">
        <v>7844</v>
      </c>
      <c r="B375" s="11" t="s">
        <v>1031</v>
      </c>
      <c r="C375" s="11" t="s">
        <v>1032</v>
      </c>
      <c r="D375" s="11" t="s">
        <v>7879</v>
      </c>
      <c r="E375" s="11" t="s">
        <v>7880</v>
      </c>
      <c r="F375" s="11" t="s">
        <v>4084</v>
      </c>
      <c r="G375" s="12" t="s">
        <v>9</v>
      </c>
    </row>
    <row r="376" customFormat="false" ht="104" hidden="false" customHeight="true" outlineLevel="0" collapsed="false">
      <c r="A376" s="11" t="s">
        <v>7844</v>
      </c>
      <c r="B376" s="11" t="s">
        <v>1034</v>
      </c>
      <c r="C376" s="11" t="s">
        <v>1035</v>
      </c>
      <c r="D376" s="11" t="s">
        <v>7881</v>
      </c>
      <c r="E376" s="11" t="s">
        <v>7882</v>
      </c>
      <c r="F376" s="11" t="s">
        <v>4084</v>
      </c>
      <c r="G376" s="12" t="s">
        <v>9</v>
      </c>
    </row>
    <row r="377" customFormat="false" ht="104" hidden="false" customHeight="true" outlineLevel="0" collapsed="false">
      <c r="A377" s="11" t="s">
        <v>7844</v>
      </c>
      <c r="B377" s="11" t="s">
        <v>1037</v>
      </c>
      <c r="C377" s="11" t="s">
        <v>1038</v>
      </c>
      <c r="D377" s="11" t="s">
        <v>7883</v>
      </c>
      <c r="E377" s="11" t="s">
        <v>7884</v>
      </c>
      <c r="F377" s="11" t="s">
        <v>4084</v>
      </c>
      <c r="G377" s="12" t="s">
        <v>9</v>
      </c>
    </row>
    <row r="378" customFormat="false" ht="104" hidden="false" customHeight="true" outlineLevel="0" collapsed="false">
      <c r="A378" s="11" t="s">
        <v>7844</v>
      </c>
      <c r="B378" s="11" t="s">
        <v>1040</v>
      </c>
      <c r="C378" s="11" t="s">
        <v>1041</v>
      </c>
      <c r="D378" s="11" t="s">
        <v>7885</v>
      </c>
      <c r="E378" s="11" t="s">
        <v>7886</v>
      </c>
      <c r="F378" s="11" t="s">
        <v>4084</v>
      </c>
      <c r="G378" s="12" t="s">
        <v>9</v>
      </c>
    </row>
    <row r="379" customFormat="false" ht="104" hidden="false" customHeight="true" outlineLevel="0" collapsed="false">
      <c r="A379" s="11" t="s">
        <v>7844</v>
      </c>
      <c r="B379" s="11" t="s">
        <v>1043</v>
      </c>
      <c r="C379" s="11" t="s">
        <v>1044</v>
      </c>
      <c r="D379" s="11" t="s">
        <v>7887</v>
      </c>
      <c r="E379" s="11" t="s">
        <v>7888</v>
      </c>
      <c r="F379" s="11" t="s">
        <v>4084</v>
      </c>
      <c r="G379" s="12" t="s">
        <v>9</v>
      </c>
    </row>
    <row r="380" customFormat="false" ht="104" hidden="false" customHeight="true" outlineLevel="0" collapsed="false">
      <c r="A380" s="11" t="s">
        <v>7844</v>
      </c>
      <c r="B380" s="11" t="s">
        <v>1047</v>
      </c>
      <c r="C380" s="11" t="s">
        <v>1048</v>
      </c>
      <c r="D380" s="11" t="s">
        <v>7889</v>
      </c>
      <c r="E380" s="11" t="s">
        <v>7890</v>
      </c>
      <c r="F380" s="11" t="s">
        <v>4084</v>
      </c>
      <c r="G380" s="12" t="s">
        <v>9</v>
      </c>
    </row>
    <row r="381" customFormat="false" ht="104" hidden="false" customHeight="true" outlineLevel="0" collapsed="false">
      <c r="A381" s="11" t="s">
        <v>7844</v>
      </c>
      <c r="B381" s="11" t="s">
        <v>1050</v>
      </c>
      <c r="C381" s="11" t="s">
        <v>1051</v>
      </c>
      <c r="D381" s="11" t="s">
        <v>7891</v>
      </c>
      <c r="E381" s="11" t="s">
        <v>7892</v>
      </c>
      <c r="F381" s="11" t="s">
        <v>4084</v>
      </c>
      <c r="G381" s="12" t="s">
        <v>9</v>
      </c>
    </row>
    <row r="382" customFormat="false" ht="104" hidden="false" customHeight="true" outlineLevel="0" collapsed="false">
      <c r="A382" s="11" t="s">
        <v>7844</v>
      </c>
      <c r="B382" s="11" t="s">
        <v>1052</v>
      </c>
      <c r="C382" s="11" t="s">
        <v>1053</v>
      </c>
      <c r="D382" s="11" t="s">
        <v>7893</v>
      </c>
      <c r="E382" s="11" t="s">
        <v>7894</v>
      </c>
      <c r="F382" s="11" t="s">
        <v>4084</v>
      </c>
      <c r="G382" s="12" t="s">
        <v>9</v>
      </c>
    </row>
    <row r="383" customFormat="false" ht="104" hidden="false" customHeight="true" outlineLevel="0" collapsed="false">
      <c r="A383" s="11" t="s">
        <v>7844</v>
      </c>
      <c r="B383" s="11" t="s">
        <v>1056</v>
      </c>
      <c r="C383" s="11" t="s">
        <v>1057</v>
      </c>
      <c r="D383" s="11" t="s">
        <v>7895</v>
      </c>
      <c r="E383" s="11" t="s">
        <v>7896</v>
      </c>
      <c r="F383" s="11" t="s">
        <v>4084</v>
      </c>
      <c r="G383" s="12" t="s">
        <v>9</v>
      </c>
    </row>
    <row r="384" customFormat="false" ht="104" hidden="false" customHeight="true" outlineLevel="0" collapsed="false">
      <c r="A384" s="11" t="s">
        <v>7844</v>
      </c>
      <c r="B384" s="11" t="s">
        <v>1059</v>
      </c>
      <c r="C384" s="11" t="s">
        <v>1060</v>
      </c>
      <c r="D384" s="11" t="s">
        <v>7897</v>
      </c>
      <c r="E384" s="11" t="s">
        <v>7898</v>
      </c>
      <c r="F384" s="11" t="s">
        <v>4084</v>
      </c>
      <c r="G384" s="12" t="s">
        <v>9</v>
      </c>
    </row>
    <row r="385" customFormat="false" ht="104" hidden="false" customHeight="true" outlineLevel="0" collapsed="false">
      <c r="A385" s="11" t="s">
        <v>7844</v>
      </c>
      <c r="B385" s="11" t="s">
        <v>1063</v>
      </c>
      <c r="C385" s="11" t="s">
        <v>1064</v>
      </c>
      <c r="D385" s="11" t="s">
        <v>7899</v>
      </c>
      <c r="E385" s="11" t="s">
        <v>7900</v>
      </c>
      <c r="F385" s="11" t="s">
        <v>4084</v>
      </c>
      <c r="G385" s="12" t="s">
        <v>9</v>
      </c>
    </row>
    <row r="386" customFormat="false" ht="104" hidden="false" customHeight="true" outlineLevel="0" collapsed="false">
      <c r="A386" s="11" t="s">
        <v>7844</v>
      </c>
      <c r="B386" s="11" t="s">
        <v>1066</v>
      </c>
      <c r="C386" s="11" t="s">
        <v>1067</v>
      </c>
      <c r="D386" s="11" t="s">
        <v>7901</v>
      </c>
      <c r="E386" s="11" t="s">
        <v>7902</v>
      </c>
      <c r="F386" s="11" t="s">
        <v>4084</v>
      </c>
      <c r="G386" s="12" t="s">
        <v>9</v>
      </c>
    </row>
    <row r="387" customFormat="false" ht="104" hidden="false" customHeight="true" outlineLevel="0" collapsed="false">
      <c r="A387" s="11" t="s">
        <v>7844</v>
      </c>
      <c r="B387" s="11" t="s">
        <v>1070</v>
      </c>
      <c r="C387" s="11" t="s">
        <v>1071</v>
      </c>
      <c r="D387" s="11" t="s">
        <v>7903</v>
      </c>
      <c r="E387" s="11" t="s">
        <v>7904</v>
      </c>
      <c r="F387" s="11" t="s">
        <v>4084</v>
      </c>
      <c r="G387" s="12" t="s">
        <v>9</v>
      </c>
    </row>
    <row r="388" customFormat="false" ht="104" hidden="false" customHeight="true" outlineLevel="0" collapsed="false">
      <c r="A388" s="11" t="s">
        <v>7844</v>
      </c>
      <c r="B388" s="11" t="s">
        <v>1072</v>
      </c>
      <c r="C388" s="11" t="s">
        <v>1073</v>
      </c>
      <c r="D388" s="11" t="s">
        <v>7905</v>
      </c>
      <c r="E388" s="11" t="s">
        <v>7906</v>
      </c>
      <c r="F388" s="11" t="s">
        <v>4084</v>
      </c>
      <c r="G388" s="12" t="s">
        <v>9</v>
      </c>
    </row>
    <row r="389" customFormat="false" ht="104" hidden="false" customHeight="true" outlineLevel="0" collapsed="false">
      <c r="A389" s="11" t="s">
        <v>7844</v>
      </c>
      <c r="B389" s="11" t="s">
        <v>1075</v>
      </c>
      <c r="C389" s="11" t="s">
        <v>1076</v>
      </c>
      <c r="D389" s="11" t="s">
        <v>7907</v>
      </c>
      <c r="E389" s="11" t="s">
        <v>7908</v>
      </c>
      <c r="F389" s="11" t="s">
        <v>4084</v>
      </c>
      <c r="G389" s="12" t="s">
        <v>9</v>
      </c>
    </row>
    <row r="390" customFormat="false" ht="104" hidden="false" customHeight="true" outlineLevel="0" collapsed="false">
      <c r="A390" s="11" t="s">
        <v>7844</v>
      </c>
      <c r="B390" s="11" t="s">
        <v>1078</v>
      </c>
      <c r="C390" s="11" t="s">
        <v>1079</v>
      </c>
      <c r="D390" s="11" t="s">
        <v>7909</v>
      </c>
      <c r="E390" s="11" t="s">
        <v>7910</v>
      </c>
      <c r="F390" s="11" t="s">
        <v>4084</v>
      </c>
      <c r="G390" s="12" t="s">
        <v>9</v>
      </c>
    </row>
    <row r="391" customFormat="false" ht="104" hidden="false" customHeight="true" outlineLevel="0" collapsed="false">
      <c r="A391" s="11" t="s">
        <v>7844</v>
      </c>
      <c r="B391" s="11" t="s">
        <v>1081</v>
      </c>
      <c r="C391" s="11" t="s">
        <v>1082</v>
      </c>
      <c r="D391" s="11" t="s">
        <v>7911</v>
      </c>
      <c r="E391" s="11" t="s">
        <v>7912</v>
      </c>
      <c r="F391" s="11" t="s">
        <v>4084</v>
      </c>
      <c r="G391" s="12" t="s">
        <v>9</v>
      </c>
    </row>
    <row r="392" customFormat="false" ht="104" hidden="false" customHeight="true" outlineLevel="0" collapsed="false">
      <c r="A392" s="11" t="s">
        <v>7844</v>
      </c>
      <c r="B392" s="11" t="s">
        <v>1084</v>
      </c>
      <c r="C392" s="11" t="s">
        <v>1085</v>
      </c>
      <c r="D392" s="11" t="s">
        <v>7913</v>
      </c>
      <c r="E392" s="11" t="s">
        <v>7914</v>
      </c>
      <c r="F392" s="11" t="s">
        <v>4084</v>
      </c>
      <c r="G392" s="12" t="s">
        <v>9</v>
      </c>
    </row>
    <row r="393" customFormat="false" ht="104" hidden="false" customHeight="true" outlineLevel="0" collapsed="false">
      <c r="A393" s="11" t="s">
        <v>7844</v>
      </c>
      <c r="B393" s="11" t="s">
        <v>1088</v>
      </c>
      <c r="C393" s="11" t="s">
        <v>1089</v>
      </c>
      <c r="D393" s="11" t="s">
        <v>7915</v>
      </c>
      <c r="E393" s="11" t="s">
        <v>7916</v>
      </c>
      <c r="F393" s="11" t="s">
        <v>4084</v>
      </c>
      <c r="G393" s="12" t="s">
        <v>9</v>
      </c>
    </row>
    <row r="394" customFormat="false" ht="104" hidden="false" customHeight="true" outlineLevel="0" collapsed="false">
      <c r="A394" s="11" t="s">
        <v>7844</v>
      </c>
      <c r="B394" s="11" t="s">
        <v>1091</v>
      </c>
      <c r="C394" s="11" t="s">
        <v>1092</v>
      </c>
      <c r="D394" s="11" t="s">
        <v>7917</v>
      </c>
      <c r="E394" s="11" t="s">
        <v>7918</v>
      </c>
      <c r="F394" s="11" t="s">
        <v>4084</v>
      </c>
      <c r="G394" s="12" t="s">
        <v>9</v>
      </c>
    </row>
    <row r="395" customFormat="false" ht="104" hidden="false" customHeight="true" outlineLevel="0" collapsed="false">
      <c r="A395" s="11" t="s">
        <v>7844</v>
      </c>
      <c r="B395" s="11" t="s">
        <v>1095</v>
      </c>
      <c r="C395" s="11" t="s">
        <v>1096</v>
      </c>
      <c r="D395" s="11" t="s">
        <v>7919</v>
      </c>
      <c r="E395" s="11" t="s">
        <v>7920</v>
      </c>
      <c r="F395" s="11" t="s">
        <v>4084</v>
      </c>
      <c r="G395" s="12" t="s">
        <v>9</v>
      </c>
    </row>
    <row r="396" customFormat="false" ht="104" hidden="false" customHeight="true" outlineLevel="0" collapsed="false">
      <c r="A396" s="11" t="s">
        <v>7844</v>
      </c>
      <c r="B396" s="11" t="s">
        <v>1098</v>
      </c>
      <c r="C396" s="11" t="s">
        <v>1099</v>
      </c>
      <c r="D396" s="11" t="s">
        <v>7921</v>
      </c>
      <c r="E396" s="11" t="s">
        <v>7922</v>
      </c>
      <c r="F396" s="11" t="s">
        <v>4084</v>
      </c>
      <c r="G396" s="12" t="s">
        <v>9</v>
      </c>
    </row>
    <row r="397" customFormat="false" ht="104" hidden="false" customHeight="true" outlineLevel="0" collapsed="false">
      <c r="A397" s="11" t="s">
        <v>7844</v>
      </c>
      <c r="B397" s="11" t="s">
        <v>1102</v>
      </c>
      <c r="C397" s="11" t="s">
        <v>1103</v>
      </c>
      <c r="D397" s="11" t="s">
        <v>7923</v>
      </c>
      <c r="E397" s="11" t="s">
        <v>7924</v>
      </c>
      <c r="F397" s="11" t="s">
        <v>4084</v>
      </c>
      <c r="G397" s="12" t="s">
        <v>9</v>
      </c>
    </row>
    <row r="398" customFormat="false" ht="104" hidden="false" customHeight="true" outlineLevel="0" collapsed="false">
      <c r="A398" s="11" t="s">
        <v>7844</v>
      </c>
      <c r="B398" s="11" t="s">
        <v>1106</v>
      </c>
      <c r="C398" s="11" t="s">
        <v>1107</v>
      </c>
      <c r="D398" s="11" t="s">
        <v>7925</v>
      </c>
      <c r="E398" s="11" t="s">
        <v>7926</v>
      </c>
      <c r="F398" s="11" t="s">
        <v>4084</v>
      </c>
      <c r="G398" s="12" t="s">
        <v>9</v>
      </c>
    </row>
    <row r="399" customFormat="false" ht="104" hidden="false" customHeight="true" outlineLevel="0" collapsed="false">
      <c r="A399" s="11" t="s">
        <v>7844</v>
      </c>
      <c r="B399" s="11" t="s">
        <v>1110</v>
      </c>
      <c r="C399" s="11" t="s">
        <v>1111</v>
      </c>
      <c r="D399" s="11" t="s">
        <v>7927</v>
      </c>
      <c r="E399" s="11" t="s">
        <v>7928</v>
      </c>
      <c r="F399" s="11" t="s">
        <v>4084</v>
      </c>
      <c r="G399" s="12" t="s">
        <v>9</v>
      </c>
    </row>
    <row r="400" customFormat="false" ht="104" hidden="false" customHeight="true" outlineLevel="0" collapsed="false">
      <c r="A400" s="11" t="s">
        <v>7844</v>
      </c>
      <c r="B400" s="11" t="s">
        <v>1113</v>
      </c>
      <c r="C400" s="11" t="s">
        <v>1114</v>
      </c>
      <c r="D400" s="11" t="s">
        <v>7929</v>
      </c>
      <c r="E400" s="11" t="s">
        <v>7930</v>
      </c>
      <c r="F400" s="11" t="s">
        <v>4084</v>
      </c>
      <c r="G400" s="12" t="s">
        <v>9</v>
      </c>
    </row>
    <row r="401" customFormat="false" ht="104" hidden="false" customHeight="true" outlineLevel="0" collapsed="false">
      <c r="A401" s="11" t="s">
        <v>7844</v>
      </c>
      <c r="B401" s="11" t="s">
        <v>1117</v>
      </c>
      <c r="C401" s="11" t="s">
        <v>1118</v>
      </c>
      <c r="D401" s="11" t="s">
        <v>7931</v>
      </c>
      <c r="E401" s="11" t="s">
        <v>7932</v>
      </c>
      <c r="F401" s="11" t="s">
        <v>4084</v>
      </c>
      <c r="G401" s="12" t="s">
        <v>9</v>
      </c>
    </row>
    <row r="402" customFormat="false" ht="104" hidden="false" customHeight="true" outlineLevel="0" collapsed="false">
      <c r="A402" s="11" t="s">
        <v>7844</v>
      </c>
      <c r="B402" s="11" t="s">
        <v>1121</v>
      </c>
      <c r="C402" s="11" t="s">
        <v>1122</v>
      </c>
      <c r="D402" s="11" t="s">
        <v>7933</v>
      </c>
      <c r="E402" s="11" t="s">
        <v>7934</v>
      </c>
      <c r="F402" s="11" t="s">
        <v>4084</v>
      </c>
      <c r="G402" s="12" t="s">
        <v>9</v>
      </c>
    </row>
    <row r="403" customFormat="false" ht="104" hidden="false" customHeight="true" outlineLevel="0" collapsed="false">
      <c r="A403" s="11" t="s">
        <v>7844</v>
      </c>
      <c r="B403" s="11" t="s">
        <v>1124</v>
      </c>
      <c r="C403" s="11" t="s">
        <v>1125</v>
      </c>
      <c r="D403" s="11" t="s">
        <v>7935</v>
      </c>
      <c r="E403" s="11" t="s">
        <v>7936</v>
      </c>
      <c r="F403" s="11" t="s">
        <v>4084</v>
      </c>
      <c r="G403" s="12" t="s">
        <v>9</v>
      </c>
    </row>
    <row r="404" customFormat="false" ht="104" hidden="false" customHeight="true" outlineLevel="0" collapsed="false">
      <c r="A404" s="11" t="s">
        <v>7844</v>
      </c>
      <c r="B404" s="11" t="s">
        <v>1128</v>
      </c>
      <c r="C404" s="11" t="s">
        <v>1129</v>
      </c>
      <c r="D404" s="11" t="s">
        <v>7937</v>
      </c>
      <c r="E404" s="11" t="s">
        <v>7938</v>
      </c>
      <c r="F404" s="11" t="s">
        <v>4084</v>
      </c>
      <c r="G404" s="12" t="s">
        <v>9</v>
      </c>
    </row>
    <row r="405" customFormat="false" ht="104" hidden="false" customHeight="true" outlineLevel="0" collapsed="false">
      <c r="A405" s="11" t="s">
        <v>7844</v>
      </c>
      <c r="B405" s="11" t="s">
        <v>1133</v>
      </c>
      <c r="C405" s="11" t="s">
        <v>1134</v>
      </c>
      <c r="D405" s="11" t="s">
        <v>7939</v>
      </c>
      <c r="E405" s="11" t="s">
        <v>7940</v>
      </c>
      <c r="F405" s="11" t="s">
        <v>4084</v>
      </c>
      <c r="G405" s="12" t="s">
        <v>9</v>
      </c>
    </row>
    <row r="406" customFormat="false" ht="104" hidden="false" customHeight="true" outlineLevel="0" collapsed="false">
      <c r="A406" s="11" t="s">
        <v>7844</v>
      </c>
      <c r="B406" s="11" t="s">
        <v>1138</v>
      </c>
      <c r="C406" s="11" t="s">
        <v>1139</v>
      </c>
      <c r="D406" s="11" t="s">
        <v>7941</v>
      </c>
      <c r="E406" s="11" t="s">
        <v>7942</v>
      </c>
      <c r="F406" s="11" t="s">
        <v>4084</v>
      </c>
      <c r="G406" s="12" t="s">
        <v>9</v>
      </c>
    </row>
    <row r="407" customFormat="false" ht="104" hidden="false" customHeight="true" outlineLevel="0" collapsed="false">
      <c r="A407" s="11" t="s">
        <v>7844</v>
      </c>
      <c r="B407" s="11" t="s">
        <v>1142</v>
      </c>
      <c r="C407" s="11" t="s">
        <v>1143</v>
      </c>
      <c r="D407" s="11" t="s">
        <v>7943</v>
      </c>
      <c r="E407" s="11" t="s">
        <v>7944</v>
      </c>
      <c r="F407" s="11" t="s">
        <v>4084</v>
      </c>
      <c r="G407" s="12" t="s">
        <v>9</v>
      </c>
    </row>
    <row r="408" customFormat="false" ht="104" hidden="false" customHeight="true" outlineLevel="0" collapsed="false">
      <c r="A408" s="11" t="s">
        <v>7844</v>
      </c>
      <c r="B408" s="11" t="s">
        <v>1146</v>
      </c>
      <c r="C408" s="11" t="s">
        <v>1147</v>
      </c>
      <c r="D408" s="11" t="s">
        <v>7945</v>
      </c>
      <c r="E408" s="11" t="s">
        <v>7946</v>
      </c>
      <c r="F408" s="11" t="s">
        <v>4084</v>
      </c>
      <c r="G408" s="12" t="s">
        <v>9</v>
      </c>
    </row>
    <row r="409" customFormat="false" ht="104" hidden="false" customHeight="true" outlineLevel="0" collapsed="false">
      <c r="A409" s="11" t="s">
        <v>7844</v>
      </c>
      <c r="B409" s="11" t="s">
        <v>1151</v>
      </c>
      <c r="C409" s="11" t="s">
        <v>1152</v>
      </c>
      <c r="D409" s="11" t="s">
        <v>7947</v>
      </c>
      <c r="E409" s="11" t="s">
        <v>7948</v>
      </c>
      <c r="F409" s="11" t="s">
        <v>4084</v>
      </c>
      <c r="G409" s="12" t="s">
        <v>9</v>
      </c>
    </row>
    <row r="410" customFormat="false" ht="104" hidden="false" customHeight="true" outlineLevel="0" collapsed="false">
      <c r="A410" s="11" t="s">
        <v>7844</v>
      </c>
      <c r="B410" s="11" t="s">
        <v>1154</v>
      </c>
      <c r="C410" s="11" t="s">
        <v>1155</v>
      </c>
      <c r="D410" s="11" t="s">
        <v>7949</v>
      </c>
      <c r="E410" s="11" t="s">
        <v>7950</v>
      </c>
      <c r="F410" s="11" t="s">
        <v>4084</v>
      </c>
      <c r="G410" s="12" t="s">
        <v>9</v>
      </c>
    </row>
    <row r="411" customFormat="false" ht="104" hidden="false" customHeight="true" outlineLevel="0" collapsed="false">
      <c r="A411" s="11" t="s">
        <v>7844</v>
      </c>
      <c r="B411" s="11" t="s">
        <v>1157</v>
      </c>
      <c r="C411" s="11" t="s">
        <v>1158</v>
      </c>
      <c r="D411" s="11" t="s">
        <v>7951</v>
      </c>
      <c r="E411" s="11" t="s">
        <v>7952</v>
      </c>
      <c r="F411" s="11" t="s">
        <v>4084</v>
      </c>
      <c r="G411" s="12" t="s">
        <v>9</v>
      </c>
    </row>
    <row r="412" customFormat="false" ht="104" hidden="false" customHeight="true" outlineLevel="0" collapsed="false">
      <c r="A412" s="11" t="s">
        <v>7844</v>
      </c>
      <c r="B412" s="11" t="s">
        <v>1160</v>
      </c>
      <c r="C412" s="11" t="s">
        <v>1161</v>
      </c>
      <c r="D412" s="11" t="s">
        <v>7953</v>
      </c>
      <c r="E412" s="11" t="s">
        <v>7954</v>
      </c>
      <c r="F412" s="11" t="s">
        <v>4084</v>
      </c>
      <c r="G412" s="12" t="s">
        <v>9</v>
      </c>
    </row>
    <row r="413" customFormat="false" ht="104" hidden="false" customHeight="true" outlineLevel="0" collapsed="false">
      <c r="A413" s="11" t="s">
        <v>7844</v>
      </c>
      <c r="B413" s="11" t="s">
        <v>1164</v>
      </c>
      <c r="C413" s="11" t="s">
        <v>1165</v>
      </c>
      <c r="D413" s="11" t="s">
        <v>7955</v>
      </c>
      <c r="E413" s="11" t="s">
        <v>7956</v>
      </c>
      <c r="F413" s="11" t="s">
        <v>4084</v>
      </c>
      <c r="G413" s="12" t="s">
        <v>9</v>
      </c>
    </row>
    <row r="414" customFormat="false" ht="104" hidden="false" customHeight="true" outlineLevel="0" collapsed="false">
      <c r="A414" s="11" t="s">
        <v>7844</v>
      </c>
      <c r="B414" s="11" t="s">
        <v>1170</v>
      </c>
      <c r="C414" s="11" t="s">
        <v>1171</v>
      </c>
      <c r="D414" s="11" t="s">
        <v>7957</v>
      </c>
      <c r="E414" s="11" t="s">
        <v>7958</v>
      </c>
      <c r="F414" s="11" t="s">
        <v>4084</v>
      </c>
      <c r="G414" s="12" t="s">
        <v>9</v>
      </c>
    </row>
    <row r="415" customFormat="false" ht="104" hidden="false" customHeight="true" outlineLevel="0" collapsed="false">
      <c r="A415" s="11" t="s">
        <v>7844</v>
      </c>
      <c r="B415" s="11" t="s">
        <v>1174</v>
      </c>
      <c r="C415" s="11" t="s">
        <v>1175</v>
      </c>
      <c r="D415" s="11" t="s">
        <v>7959</v>
      </c>
      <c r="E415" s="11" t="s">
        <v>7960</v>
      </c>
      <c r="F415" s="11" t="s">
        <v>4084</v>
      </c>
      <c r="G415" s="12" t="s">
        <v>9</v>
      </c>
    </row>
    <row r="416" customFormat="false" ht="104" hidden="false" customHeight="true" outlineLevel="0" collapsed="false">
      <c r="A416" s="11" t="s">
        <v>7844</v>
      </c>
      <c r="B416" s="11" t="s">
        <v>1178</v>
      </c>
      <c r="C416" s="11" t="s">
        <v>1179</v>
      </c>
      <c r="D416" s="11" t="s">
        <v>7961</v>
      </c>
      <c r="E416" s="11" t="s">
        <v>7962</v>
      </c>
      <c r="F416" s="11" t="s">
        <v>4084</v>
      </c>
      <c r="G416" s="12" t="s">
        <v>9</v>
      </c>
    </row>
    <row r="417" customFormat="false" ht="104" hidden="false" customHeight="true" outlineLevel="0" collapsed="false">
      <c r="A417" s="11" t="s">
        <v>7844</v>
      </c>
      <c r="B417" s="11" t="s">
        <v>1181</v>
      </c>
      <c r="C417" s="11" t="s">
        <v>1182</v>
      </c>
      <c r="D417" s="11" t="s">
        <v>7963</v>
      </c>
      <c r="E417" s="11" t="s">
        <v>7964</v>
      </c>
      <c r="F417" s="11" t="s">
        <v>4084</v>
      </c>
      <c r="G417" s="12" t="s">
        <v>9</v>
      </c>
    </row>
    <row r="418" customFormat="false" ht="104" hidden="false" customHeight="true" outlineLevel="0" collapsed="false">
      <c r="A418" s="11" t="s">
        <v>7844</v>
      </c>
      <c r="B418" s="11" t="s">
        <v>1184</v>
      </c>
      <c r="C418" s="11" t="s">
        <v>1185</v>
      </c>
      <c r="D418" s="11" t="s">
        <v>7965</v>
      </c>
      <c r="E418" s="11" t="s">
        <v>7966</v>
      </c>
      <c r="F418" s="11" t="s">
        <v>4084</v>
      </c>
      <c r="G418" s="12" t="s">
        <v>9</v>
      </c>
    </row>
    <row r="419" customFormat="false" ht="104" hidden="false" customHeight="true" outlineLevel="0" collapsed="false">
      <c r="A419" s="11" t="s">
        <v>7844</v>
      </c>
      <c r="B419" s="11" t="s">
        <v>1187</v>
      </c>
      <c r="C419" s="11" t="s">
        <v>1188</v>
      </c>
      <c r="D419" s="11" t="s">
        <v>7967</v>
      </c>
      <c r="E419" s="11" t="s">
        <v>7968</v>
      </c>
      <c r="F419" s="11" t="s">
        <v>4084</v>
      </c>
      <c r="G419" s="12" t="s">
        <v>9</v>
      </c>
    </row>
    <row r="420" customFormat="false" ht="104" hidden="false" customHeight="true" outlineLevel="0" collapsed="false">
      <c r="A420" s="11" t="s">
        <v>7844</v>
      </c>
      <c r="B420" s="11" t="s">
        <v>1191</v>
      </c>
      <c r="C420" s="11" t="s">
        <v>1192</v>
      </c>
      <c r="D420" s="11" t="s">
        <v>7969</v>
      </c>
      <c r="E420" s="11" t="s">
        <v>7970</v>
      </c>
      <c r="F420" s="11" t="s">
        <v>4084</v>
      </c>
      <c r="G420" s="12" t="s">
        <v>9</v>
      </c>
    </row>
    <row r="421" customFormat="false" ht="104" hidden="false" customHeight="true" outlineLevel="0" collapsed="false">
      <c r="A421" s="11" t="s">
        <v>7844</v>
      </c>
      <c r="B421" s="11" t="s">
        <v>1194</v>
      </c>
      <c r="C421" s="11" t="s">
        <v>1195</v>
      </c>
      <c r="D421" s="11" t="s">
        <v>7971</v>
      </c>
      <c r="E421" s="11" t="s">
        <v>7972</v>
      </c>
      <c r="F421" s="11" t="s">
        <v>4084</v>
      </c>
      <c r="G421" s="12" t="s">
        <v>9</v>
      </c>
    </row>
    <row r="422" customFormat="false" ht="104" hidden="false" customHeight="true" outlineLevel="0" collapsed="false">
      <c r="A422" s="11" t="s">
        <v>7844</v>
      </c>
      <c r="B422" s="11" t="s">
        <v>1198</v>
      </c>
      <c r="C422" s="11" t="s">
        <v>1199</v>
      </c>
      <c r="D422" s="11" t="s">
        <v>7973</v>
      </c>
      <c r="E422" s="11" t="s">
        <v>7974</v>
      </c>
      <c r="F422" s="11" t="s">
        <v>4084</v>
      </c>
      <c r="G422" s="12" t="s">
        <v>9</v>
      </c>
    </row>
    <row r="423" customFormat="false" ht="104" hidden="false" customHeight="true" outlineLevel="0" collapsed="false">
      <c r="A423" s="11" t="s">
        <v>7844</v>
      </c>
      <c r="B423" s="11" t="s">
        <v>1201</v>
      </c>
      <c r="C423" s="11" t="s">
        <v>1202</v>
      </c>
      <c r="D423" s="11" t="s">
        <v>7975</v>
      </c>
      <c r="E423" s="11" t="s">
        <v>7976</v>
      </c>
      <c r="F423" s="11" t="s">
        <v>4084</v>
      </c>
      <c r="G423" s="12" t="s">
        <v>9</v>
      </c>
    </row>
    <row r="424" customFormat="false" ht="104" hidden="false" customHeight="true" outlineLevel="0" collapsed="false">
      <c r="A424" s="11" t="s">
        <v>7844</v>
      </c>
      <c r="B424" s="11" t="s">
        <v>1204</v>
      </c>
      <c r="C424" s="11" t="s">
        <v>1205</v>
      </c>
      <c r="D424" s="11" t="s">
        <v>7977</v>
      </c>
      <c r="E424" s="11" t="s">
        <v>7978</v>
      </c>
      <c r="F424" s="11" t="s">
        <v>4084</v>
      </c>
      <c r="G424" s="12" t="s">
        <v>9</v>
      </c>
    </row>
    <row r="425" customFormat="false" ht="104" hidden="false" customHeight="true" outlineLevel="0" collapsed="false">
      <c r="A425" s="11" t="s">
        <v>7844</v>
      </c>
      <c r="B425" s="11" t="s">
        <v>1207</v>
      </c>
      <c r="C425" s="11" t="s">
        <v>1208</v>
      </c>
      <c r="D425" s="11" t="s">
        <v>7979</v>
      </c>
      <c r="E425" s="11" t="s">
        <v>7980</v>
      </c>
      <c r="F425" s="11" t="s">
        <v>4084</v>
      </c>
      <c r="G425" s="12" t="s">
        <v>9</v>
      </c>
    </row>
    <row r="426" customFormat="false" ht="104" hidden="false" customHeight="true" outlineLevel="0" collapsed="false">
      <c r="A426" s="11" t="s">
        <v>7844</v>
      </c>
      <c r="B426" s="11" t="s">
        <v>1211</v>
      </c>
      <c r="C426" s="11" t="s">
        <v>1212</v>
      </c>
      <c r="D426" s="11" t="s">
        <v>7981</v>
      </c>
      <c r="E426" s="11" t="s">
        <v>7982</v>
      </c>
      <c r="F426" s="11" t="s">
        <v>4084</v>
      </c>
      <c r="G426" s="12" t="s">
        <v>9</v>
      </c>
    </row>
    <row r="427" customFormat="false" ht="104" hidden="false" customHeight="true" outlineLevel="0" collapsed="false">
      <c r="A427" s="11" t="s">
        <v>7844</v>
      </c>
      <c r="B427" s="11" t="s">
        <v>1215</v>
      </c>
      <c r="C427" s="11" t="s">
        <v>1216</v>
      </c>
      <c r="D427" s="11" t="s">
        <v>7983</v>
      </c>
      <c r="E427" s="11" t="s">
        <v>7984</v>
      </c>
      <c r="F427" s="11" t="s">
        <v>4084</v>
      </c>
      <c r="G427" s="12" t="s">
        <v>9</v>
      </c>
    </row>
    <row r="428" customFormat="false" ht="104" hidden="false" customHeight="true" outlineLevel="0" collapsed="false">
      <c r="A428" s="11" t="s">
        <v>7844</v>
      </c>
      <c r="B428" s="11" t="s">
        <v>1218</v>
      </c>
      <c r="C428" s="11" t="s">
        <v>1219</v>
      </c>
      <c r="D428" s="11" t="s">
        <v>7985</v>
      </c>
      <c r="E428" s="11" t="s">
        <v>7986</v>
      </c>
      <c r="F428" s="11" t="s">
        <v>4084</v>
      </c>
      <c r="G428" s="12" t="s">
        <v>9</v>
      </c>
    </row>
    <row r="429" customFormat="false" ht="104" hidden="false" customHeight="true" outlineLevel="0" collapsed="false">
      <c r="A429" s="11" t="s">
        <v>7844</v>
      </c>
      <c r="B429" s="11" t="s">
        <v>1220</v>
      </c>
      <c r="C429" s="11" t="s">
        <v>1221</v>
      </c>
      <c r="D429" s="11" t="s">
        <v>7987</v>
      </c>
      <c r="E429" s="11" t="s">
        <v>7988</v>
      </c>
      <c r="F429" s="11" t="s">
        <v>4084</v>
      </c>
      <c r="G429" s="12" t="s">
        <v>9</v>
      </c>
    </row>
    <row r="430" customFormat="false" ht="104" hidden="false" customHeight="true" outlineLevel="0" collapsed="false">
      <c r="A430" s="11" t="s">
        <v>7844</v>
      </c>
      <c r="B430" s="11" t="s">
        <v>1223</v>
      </c>
      <c r="C430" s="11" t="s">
        <v>1224</v>
      </c>
      <c r="D430" s="11" t="s">
        <v>7989</v>
      </c>
      <c r="E430" s="11" t="s">
        <v>7990</v>
      </c>
      <c r="F430" s="11" t="s">
        <v>4084</v>
      </c>
      <c r="G430" s="12" t="s">
        <v>9</v>
      </c>
    </row>
    <row r="431" customFormat="false" ht="104" hidden="false" customHeight="true" outlineLevel="0" collapsed="false">
      <c r="A431" s="11" t="s">
        <v>7844</v>
      </c>
      <c r="B431" s="11" t="s">
        <v>1227</v>
      </c>
      <c r="C431" s="11" t="s">
        <v>1228</v>
      </c>
      <c r="D431" s="11" t="s">
        <v>7991</v>
      </c>
      <c r="E431" s="11" t="s">
        <v>7992</v>
      </c>
      <c r="F431" s="11" t="s">
        <v>4084</v>
      </c>
      <c r="G431" s="12" t="s">
        <v>9</v>
      </c>
    </row>
    <row r="432" customFormat="false" ht="104" hidden="false" customHeight="true" outlineLevel="0" collapsed="false">
      <c r="A432" s="11" t="s">
        <v>7844</v>
      </c>
      <c r="B432" s="11" t="s">
        <v>1230</v>
      </c>
      <c r="C432" s="11" t="s">
        <v>1161</v>
      </c>
      <c r="D432" s="11" t="s">
        <v>7993</v>
      </c>
      <c r="E432" s="11" t="s">
        <v>7994</v>
      </c>
      <c r="F432" s="11" t="s">
        <v>4084</v>
      </c>
      <c r="G432" s="12" t="s">
        <v>9</v>
      </c>
    </row>
    <row r="433" customFormat="false" ht="104" hidden="false" customHeight="true" outlineLevel="0" collapsed="false">
      <c r="A433" s="11" t="s">
        <v>7844</v>
      </c>
      <c r="B433" s="11" t="s">
        <v>1233</v>
      </c>
      <c r="C433" s="11" t="s">
        <v>1234</v>
      </c>
      <c r="D433" s="11" t="s">
        <v>7995</v>
      </c>
      <c r="E433" s="11" t="s">
        <v>7996</v>
      </c>
      <c r="F433" s="11" t="s">
        <v>4084</v>
      </c>
      <c r="G433" s="12" t="s">
        <v>9</v>
      </c>
    </row>
    <row r="434" customFormat="false" ht="104" hidden="false" customHeight="true" outlineLevel="0" collapsed="false">
      <c r="A434" s="11" t="s">
        <v>7844</v>
      </c>
      <c r="B434" s="11" t="s">
        <v>1236</v>
      </c>
      <c r="C434" s="11" t="s">
        <v>1237</v>
      </c>
      <c r="D434" s="11" t="s">
        <v>7997</v>
      </c>
      <c r="E434" s="11" t="s">
        <v>7998</v>
      </c>
      <c r="F434" s="11" t="s">
        <v>4084</v>
      </c>
      <c r="G434" s="12" t="s">
        <v>9</v>
      </c>
    </row>
    <row r="435" customFormat="false" ht="104" hidden="false" customHeight="true" outlineLevel="0" collapsed="false">
      <c r="A435" s="11" t="s">
        <v>7844</v>
      </c>
      <c r="B435" s="11" t="s">
        <v>1239</v>
      </c>
      <c r="C435" s="11" t="s">
        <v>1240</v>
      </c>
      <c r="D435" s="11" t="s">
        <v>7999</v>
      </c>
      <c r="E435" s="11" t="s">
        <v>8000</v>
      </c>
      <c r="F435" s="11" t="s">
        <v>4084</v>
      </c>
      <c r="G435" s="12" t="s">
        <v>9</v>
      </c>
    </row>
    <row r="436" customFormat="false" ht="104" hidden="false" customHeight="true" outlineLevel="0" collapsed="false">
      <c r="A436" s="11" t="s">
        <v>7844</v>
      </c>
      <c r="B436" s="11" t="s">
        <v>1242</v>
      </c>
      <c r="C436" s="11" t="s">
        <v>1243</v>
      </c>
      <c r="D436" s="11" t="s">
        <v>8001</v>
      </c>
      <c r="E436" s="11" t="s">
        <v>8002</v>
      </c>
      <c r="F436" s="11" t="s">
        <v>4084</v>
      </c>
      <c r="G436" s="12" t="s">
        <v>9</v>
      </c>
    </row>
    <row r="437" customFormat="false" ht="104" hidden="false" customHeight="true" outlineLevel="0" collapsed="false">
      <c r="A437" s="11" t="s">
        <v>7844</v>
      </c>
      <c r="B437" s="11" t="s">
        <v>1246</v>
      </c>
      <c r="C437" s="11" t="s">
        <v>1247</v>
      </c>
      <c r="D437" s="11" t="s">
        <v>8003</v>
      </c>
      <c r="E437" s="11" t="s">
        <v>8004</v>
      </c>
      <c r="F437" s="11" t="s">
        <v>4084</v>
      </c>
      <c r="G437" s="12" t="s">
        <v>9</v>
      </c>
    </row>
    <row r="438" customFormat="false" ht="104" hidden="false" customHeight="true" outlineLevel="0" collapsed="false">
      <c r="A438" s="11" t="s">
        <v>7844</v>
      </c>
      <c r="B438" s="11" t="s">
        <v>1250</v>
      </c>
      <c r="C438" s="11" t="s">
        <v>1251</v>
      </c>
      <c r="D438" s="11" t="s">
        <v>8005</v>
      </c>
      <c r="E438" s="11" t="s">
        <v>8006</v>
      </c>
      <c r="F438" s="11" t="s">
        <v>4084</v>
      </c>
      <c r="G438" s="12" t="s">
        <v>9</v>
      </c>
    </row>
    <row r="439" customFormat="false" ht="104" hidden="false" customHeight="true" outlineLevel="0" collapsed="false">
      <c r="A439" s="11" t="s">
        <v>7844</v>
      </c>
      <c r="B439" s="11" t="s">
        <v>1253</v>
      </c>
      <c r="C439" s="11" t="s">
        <v>1254</v>
      </c>
      <c r="D439" s="11" t="s">
        <v>8007</v>
      </c>
      <c r="E439" s="11" t="s">
        <v>8008</v>
      </c>
      <c r="F439" s="11" t="s">
        <v>4084</v>
      </c>
      <c r="G439" s="12" t="s">
        <v>9</v>
      </c>
    </row>
    <row r="440" customFormat="false" ht="104" hidden="false" customHeight="true" outlineLevel="0" collapsed="false">
      <c r="A440" s="11" t="s">
        <v>7844</v>
      </c>
      <c r="B440" s="11" t="s">
        <v>1256</v>
      </c>
      <c r="C440" s="11" t="s">
        <v>1257</v>
      </c>
      <c r="D440" s="11" t="s">
        <v>8009</v>
      </c>
      <c r="E440" s="11" t="s">
        <v>8010</v>
      </c>
      <c r="F440" s="11" t="s">
        <v>4084</v>
      </c>
      <c r="G440" s="12" t="s">
        <v>9</v>
      </c>
    </row>
    <row r="441" customFormat="false" ht="104" hidden="false" customHeight="true" outlineLevel="0" collapsed="false">
      <c r="A441" s="11" t="s">
        <v>7844</v>
      </c>
      <c r="B441" s="11" t="s">
        <v>1259</v>
      </c>
      <c r="C441" s="11" t="s">
        <v>1260</v>
      </c>
      <c r="D441" s="11" t="s">
        <v>8011</v>
      </c>
      <c r="E441" s="11" t="s">
        <v>8012</v>
      </c>
      <c r="F441" s="11" t="s">
        <v>4084</v>
      </c>
      <c r="G441" s="12" t="s">
        <v>9</v>
      </c>
    </row>
    <row r="442" customFormat="false" ht="104" hidden="false" customHeight="true" outlineLevel="0" collapsed="false">
      <c r="A442" s="11" t="s">
        <v>7844</v>
      </c>
      <c r="B442" s="11" t="s">
        <v>1262</v>
      </c>
      <c r="C442" s="11" t="s">
        <v>1263</v>
      </c>
      <c r="D442" s="11" t="s">
        <v>8013</v>
      </c>
      <c r="E442" s="11" t="s">
        <v>8014</v>
      </c>
      <c r="F442" s="11" t="s">
        <v>4084</v>
      </c>
      <c r="G442" s="12" t="s">
        <v>9</v>
      </c>
    </row>
    <row r="443" customFormat="false" ht="104" hidden="false" customHeight="true" outlineLevel="0" collapsed="false">
      <c r="A443" s="11" t="s">
        <v>7844</v>
      </c>
      <c r="B443" s="11" t="s">
        <v>1265</v>
      </c>
      <c r="C443" s="11" t="s">
        <v>1266</v>
      </c>
      <c r="D443" s="11" t="s">
        <v>8015</v>
      </c>
      <c r="E443" s="11" t="s">
        <v>8016</v>
      </c>
      <c r="F443" s="11" t="s">
        <v>4084</v>
      </c>
      <c r="G443" s="12" t="s">
        <v>9</v>
      </c>
    </row>
    <row r="444" customFormat="false" ht="104" hidden="false" customHeight="true" outlineLevel="0" collapsed="false">
      <c r="A444" s="11" t="s">
        <v>7844</v>
      </c>
      <c r="B444" s="11" t="s">
        <v>1268</v>
      </c>
      <c r="C444" s="11" t="s">
        <v>1269</v>
      </c>
      <c r="D444" s="11" t="s">
        <v>8017</v>
      </c>
      <c r="E444" s="11" t="s">
        <v>8018</v>
      </c>
      <c r="F444" s="11" t="s">
        <v>4084</v>
      </c>
      <c r="G444" s="12" t="s">
        <v>9</v>
      </c>
    </row>
    <row r="445" customFormat="false" ht="104" hidden="false" customHeight="true" outlineLevel="0" collapsed="false">
      <c r="A445" s="11" t="s">
        <v>7844</v>
      </c>
      <c r="B445" s="11" t="s">
        <v>1271</v>
      </c>
      <c r="C445" s="11" t="s">
        <v>1272</v>
      </c>
      <c r="D445" s="11" t="s">
        <v>8019</v>
      </c>
      <c r="E445" s="11" t="s">
        <v>8020</v>
      </c>
      <c r="F445" s="11" t="s">
        <v>4084</v>
      </c>
      <c r="G445" s="12" t="s">
        <v>9</v>
      </c>
    </row>
    <row r="446" customFormat="false" ht="104" hidden="false" customHeight="true" outlineLevel="0" collapsed="false">
      <c r="A446" s="11" t="s">
        <v>7844</v>
      </c>
      <c r="B446" s="11" t="s">
        <v>1275</v>
      </c>
      <c r="C446" s="11" t="s">
        <v>1276</v>
      </c>
      <c r="D446" s="11" t="s">
        <v>8021</v>
      </c>
      <c r="E446" s="11" t="s">
        <v>8022</v>
      </c>
      <c r="F446" s="11" t="s">
        <v>4084</v>
      </c>
      <c r="G446" s="12" t="s">
        <v>9</v>
      </c>
    </row>
    <row r="447" customFormat="false" ht="104" hidden="false" customHeight="true" outlineLevel="0" collapsed="false">
      <c r="A447" s="11" t="s">
        <v>7844</v>
      </c>
      <c r="B447" s="11" t="s">
        <v>1279</v>
      </c>
      <c r="C447" s="11" t="s">
        <v>1280</v>
      </c>
      <c r="D447" s="11" t="s">
        <v>8023</v>
      </c>
      <c r="E447" s="11" t="s">
        <v>8024</v>
      </c>
      <c r="F447" s="11" t="s">
        <v>4084</v>
      </c>
      <c r="G447" s="12" t="s">
        <v>9</v>
      </c>
    </row>
    <row r="448" customFormat="false" ht="104" hidden="false" customHeight="true" outlineLevel="0" collapsed="false">
      <c r="A448" s="11" t="s">
        <v>7844</v>
      </c>
      <c r="B448" s="11" t="s">
        <v>1282</v>
      </c>
      <c r="C448" s="11" t="s">
        <v>1283</v>
      </c>
      <c r="D448" s="11" t="s">
        <v>8025</v>
      </c>
      <c r="E448" s="11" t="s">
        <v>8026</v>
      </c>
      <c r="F448" s="11" t="s">
        <v>4084</v>
      </c>
      <c r="G448" s="12" t="s">
        <v>9</v>
      </c>
    </row>
    <row r="449" customFormat="false" ht="104" hidden="false" customHeight="true" outlineLevel="0" collapsed="false">
      <c r="A449" s="11" t="s">
        <v>7844</v>
      </c>
      <c r="B449" s="11" t="s">
        <v>1285</v>
      </c>
      <c r="C449" s="11" t="s">
        <v>1286</v>
      </c>
      <c r="D449" s="11" t="s">
        <v>8027</v>
      </c>
      <c r="E449" s="11" t="s">
        <v>8028</v>
      </c>
      <c r="F449" s="11" t="s">
        <v>4084</v>
      </c>
      <c r="G449" s="12" t="s">
        <v>9</v>
      </c>
    </row>
    <row r="450" customFormat="false" ht="104" hidden="false" customHeight="true" outlineLevel="0" collapsed="false">
      <c r="A450" s="11" t="s">
        <v>7844</v>
      </c>
      <c r="B450" s="11" t="s">
        <v>1289</v>
      </c>
      <c r="C450" s="11" t="s">
        <v>1290</v>
      </c>
      <c r="D450" s="11" t="s">
        <v>8029</v>
      </c>
      <c r="E450" s="11" t="s">
        <v>8030</v>
      </c>
      <c r="F450" s="11" t="s">
        <v>4084</v>
      </c>
      <c r="G450" s="12" t="s">
        <v>9</v>
      </c>
    </row>
    <row r="451" customFormat="false" ht="104" hidden="false" customHeight="true" outlineLevel="0" collapsed="false">
      <c r="A451" s="11" t="s">
        <v>7844</v>
      </c>
      <c r="B451" s="11" t="s">
        <v>1292</v>
      </c>
      <c r="C451" s="11" t="s">
        <v>1293</v>
      </c>
      <c r="D451" s="11" t="s">
        <v>8031</v>
      </c>
      <c r="E451" s="11" t="s">
        <v>8032</v>
      </c>
      <c r="F451" s="11" t="s">
        <v>4084</v>
      </c>
      <c r="G451" s="12" t="s">
        <v>9</v>
      </c>
    </row>
    <row r="452" customFormat="false" ht="104" hidden="false" customHeight="true" outlineLevel="0" collapsed="false">
      <c r="A452" s="11" t="s">
        <v>7844</v>
      </c>
      <c r="B452" s="11" t="s">
        <v>1296</v>
      </c>
      <c r="C452" s="11" t="s">
        <v>1297</v>
      </c>
      <c r="D452" s="11" t="s">
        <v>8033</v>
      </c>
      <c r="E452" s="11" t="s">
        <v>8034</v>
      </c>
      <c r="F452" s="11" t="s">
        <v>4084</v>
      </c>
      <c r="G452" s="12" t="s">
        <v>9</v>
      </c>
    </row>
    <row r="453" customFormat="false" ht="104" hidden="false" customHeight="true" outlineLevel="0" collapsed="false">
      <c r="A453" s="11" t="s">
        <v>7844</v>
      </c>
      <c r="B453" s="11" t="s">
        <v>1300</v>
      </c>
      <c r="C453" s="11" t="s">
        <v>1301</v>
      </c>
      <c r="D453" s="11" t="s">
        <v>8035</v>
      </c>
      <c r="E453" s="11" t="s">
        <v>8036</v>
      </c>
      <c r="F453" s="11" t="s">
        <v>4084</v>
      </c>
      <c r="G453" s="12" t="s">
        <v>9</v>
      </c>
    </row>
    <row r="454" customFormat="false" ht="104" hidden="false" customHeight="true" outlineLevel="0" collapsed="false">
      <c r="A454" s="11" t="s">
        <v>7844</v>
      </c>
      <c r="B454" s="11" t="s">
        <v>1303</v>
      </c>
      <c r="C454" s="11" t="s">
        <v>1304</v>
      </c>
      <c r="D454" s="11" t="s">
        <v>8037</v>
      </c>
      <c r="E454" s="11" t="s">
        <v>8038</v>
      </c>
      <c r="F454" s="11" t="s">
        <v>4084</v>
      </c>
      <c r="G454" s="12" t="s">
        <v>9</v>
      </c>
    </row>
    <row r="455" customFormat="false" ht="104" hidden="false" customHeight="true" outlineLevel="0" collapsed="false">
      <c r="A455" s="11" t="s">
        <v>7844</v>
      </c>
      <c r="B455" s="11" t="s">
        <v>1306</v>
      </c>
      <c r="C455" s="11" t="s">
        <v>1307</v>
      </c>
      <c r="D455" s="11" t="s">
        <v>8039</v>
      </c>
      <c r="E455" s="11" t="s">
        <v>8040</v>
      </c>
      <c r="F455" s="11" t="s">
        <v>4084</v>
      </c>
      <c r="G455" s="12" t="s">
        <v>9</v>
      </c>
    </row>
    <row r="456" customFormat="false" ht="104" hidden="false" customHeight="true" outlineLevel="0" collapsed="false">
      <c r="A456" s="11" t="s">
        <v>7844</v>
      </c>
      <c r="B456" s="11" t="s">
        <v>1310</v>
      </c>
      <c r="C456" s="11" t="s">
        <v>1311</v>
      </c>
      <c r="D456" s="11" t="s">
        <v>8041</v>
      </c>
      <c r="E456" s="11" t="s">
        <v>8042</v>
      </c>
      <c r="F456" s="11" t="s">
        <v>4084</v>
      </c>
      <c r="G456" s="12" t="s">
        <v>9</v>
      </c>
    </row>
    <row r="457" customFormat="false" ht="104" hidden="false" customHeight="true" outlineLevel="0" collapsed="false">
      <c r="A457" s="11" t="s">
        <v>7844</v>
      </c>
      <c r="B457" s="11" t="s">
        <v>1313</v>
      </c>
      <c r="C457" s="11" t="s">
        <v>1314</v>
      </c>
      <c r="D457" s="11" t="s">
        <v>8043</v>
      </c>
      <c r="E457" s="11" t="s">
        <v>8044</v>
      </c>
      <c r="F457" s="11" t="s">
        <v>4084</v>
      </c>
      <c r="G457" s="12" t="s">
        <v>9</v>
      </c>
    </row>
    <row r="458" customFormat="false" ht="104" hidden="false" customHeight="true" outlineLevel="0" collapsed="false">
      <c r="A458" s="11" t="s">
        <v>7844</v>
      </c>
      <c r="B458" s="11" t="s">
        <v>1316</v>
      </c>
      <c r="C458" s="11" t="s">
        <v>1317</v>
      </c>
      <c r="D458" s="11" t="s">
        <v>8045</v>
      </c>
      <c r="E458" s="11" t="s">
        <v>8046</v>
      </c>
      <c r="F458" s="11" t="s">
        <v>4084</v>
      </c>
      <c r="G458" s="12" t="s">
        <v>9</v>
      </c>
    </row>
    <row r="459" customFormat="false" ht="104" hidden="false" customHeight="true" outlineLevel="0" collapsed="false">
      <c r="A459" s="11" t="s">
        <v>7844</v>
      </c>
      <c r="B459" s="11" t="s">
        <v>1320</v>
      </c>
      <c r="C459" s="11" t="s">
        <v>1321</v>
      </c>
      <c r="D459" s="11" t="s">
        <v>8047</v>
      </c>
      <c r="E459" s="11" t="s">
        <v>8048</v>
      </c>
      <c r="F459" s="11" t="s">
        <v>4084</v>
      </c>
      <c r="G459" s="12" t="s">
        <v>9</v>
      </c>
    </row>
    <row r="460" customFormat="false" ht="104" hidden="false" customHeight="true" outlineLevel="0" collapsed="false">
      <c r="A460" s="11" t="s">
        <v>7844</v>
      </c>
      <c r="B460" s="11" t="s">
        <v>1322</v>
      </c>
      <c r="C460" s="11" t="s">
        <v>1323</v>
      </c>
      <c r="D460" s="11" t="s">
        <v>8049</v>
      </c>
      <c r="E460" s="11" t="s">
        <v>8050</v>
      </c>
      <c r="F460" s="11" t="s">
        <v>4084</v>
      </c>
      <c r="G460" s="12" t="s">
        <v>9</v>
      </c>
    </row>
    <row r="461" customFormat="false" ht="104" hidden="false" customHeight="true" outlineLevel="0" collapsed="false">
      <c r="A461" s="11" t="s">
        <v>7844</v>
      </c>
      <c r="B461" s="11" t="s">
        <v>1325</v>
      </c>
      <c r="C461" s="11" t="s">
        <v>1326</v>
      </c>
      <c r="D461" s="11" t="s">
        <v>8051</v>
      </c>
      <c r="E461" s="11" t="s">
        <v>8052</v>
      </c>
      <c r="F461" s="11" t="s">
        <v>4084</v>
      </c>
      <c r="G461" s="12" t="s">
        <v>9</v>
      </c>
    </row>
    <row r="462" customFormat="false" ht="104" hidden="false" customHeight="true" outlineLevel="0" collapsed="false">
      <c r="A462" s="11" t="s">
        <v>7844</v>
      </c>
      <c r="B462" s="11" t="s">
        <v>1329</v>
      </c>
      <c r="C462" s="11" t="s">
        <v>1330</v>
      </c>
      <c r="D462" s="11" t="s">
        <v>8053</v>
      </c>
      <c r="E462" s="11" t="s">
        <v>8054</v>
      </c>
      <c r="F462" s="11" t="s">
        <v>4084</v>
      </c>
      <c r="G462" s="12" t="s">
        <v>9</v>
      </c>
    </row>
    <row r="463" customFormat="false" ht="104" hidden="false" customHeight="true" outlineLevel="0" collapsed="false">
      <c r="A463" s="11" t="s">
        <v>7844</v>
      </c>
      <c r="B463" s="11" t="s">
        <v>1332</v>
      </c>
      <c r="C463" s="11" t="s">
        <v>1333</v>
      </c>
      <c r="D463" s="11" t="s">
        <v>8055</v>
      </c>
      <c r="E463" s="11" t="s">
        <v>8056</v>
      </c>
      <c r="F463" s="11" t="s">
        <v>4084</v>
      </c>
      <c r="G463" s="12" t="s">
        <v>9</v>
      </c>
    </row>
    <row r="464" customFormat="false" ht="104" hidden="false" customHeight="true" outlineLevel="0" collapsed="false">
      <c r="A464" s="11" t="s">
        <v>7844</v>
      </c>
      <c r="B464" s="11" t="s">
        <v>1335</v>
      </c>
      <c r="C464" s="11" t="s">
        <v>1336</v>
      </c>
      <c r="D464" s="11" t="s">
        <v>8057</v>
      </c>
      <c r="E464" s="11" t="s">
        <v>8058</v>
      </c>
      <c r="F464" s="11" t="s">
        <v>4084</v>
      </c>
      <c r="G464" s="12" t="s">
        <v>9</v>
      </c>
    </row>
    <row r="465" customFormat="false" ht="104" hidden="false" customHeight="true" outlineLevel="0" collapsed="false">
      <c r="A465" s="11" t="s">
        <v>7844</v>
      </c>
      <c r="B465" s="11" t="s">
        <v>1338</v>
      </c>
      <c r="C465" s="11" t="s">
        <v>1339</v>
      </c>
      <c r="D465" s="11" t="s">
        <v>8059</v>
      </c>
      <c r="E465" s="11" t="s">
        <v>8060</v>
      </c>
      <c r="F465" s="11" t="s">
        <v>4084</v>
      </c>
      <c r="G465" s="12" t="s">
        <v>9</v>
      </c>
    </row>
    <row r="466" customFormat="false" ht="104" hidden="false" customHeight="true" outlineLevel="0" collapsed="false">
      <c r="A466" s="11" t="s">
        <v>7844</v>
      </c>
      <c r="B466" s="11" t="s">
        <v>1341</v>
      </c>
      <c r="C466" s="11" t="s">
        <v>1342</v>
      </c>
      <c r="D466" s="11" t="s">
        <v>8061</v>
      </c>
      <c r="E466" s="11" t="s">
        <v>8062</v>
      </c>
      <c r="F466" s="11" t="s">
        <v>4084</v>
      </c>
      <c r="G466" s="12" t="s">
        <v>9</v>
      </c>
    </row>
    <row r="467" customFormat="false" ht="104" hidden="false" customHeight="true" outlineLevel="0" collapsed="false">
      <c r="A467" s="11" t="s">
        <v>7844</v>
      </c>
      <c r="B467" s="11" t="s">
        <v>1345</v>
      </c>
      <c r="C467" s="11" t="s">
        <v>1346</v>
      </c>
      <c r="D467" s="11" t="s">
        <v>8063</v>
      </c>
      <c r="E467" s="11" t="s">
        <v>8064</v>
      </c>
      <c r="F467" s="11" t="s">
        <v>4084</v>
      </c>
      <c r="G467" s="12" t="s">
        <v>9</v>
      </c>
    </row>
    <row r="468" customFormat="false" ht="104" hidden="false" customHeight="true" outlineLevel="0" collapsed="false">
      <c r="A468" s="11" t="s">
        <v>7844</v>
      </c>
      <c r="B468" s="11" t="s">
        <v>1349</v>
      </c>
      <c r="C468" s="11" t="s">
        <v>1350</v>
      </c>
      <c r="D468" s="11" t="s">
        <v>8065</v>
      </c>
      <c r="E468" s="11" t="s">
        <v>8066</v>
      </c>
      <c r="F468" s="11" t="s">
        <v>4084</v>
      </c>
      <c r="G468" s="12" t="s">
        <v>9</v>
      </c>
    </row>
    <row r="469" customFormat="false" ht="104" hidden="false" customHeight="true" outlineLevel="0" collapsed="false">
      <c r="A469" s="11" t="s">
        <v>7844</v>
      </c>
      <c r="B469" s="11" t="s">
        <v>1353</v>
      </c>
      <c r="C469" s="11" t="s">
        <v>1354</v>
      </c>
      <c r="D469" s="11" t="s">
        <v>8067</v>
      </c>
      <c r="E469" s="11" t="s">
        <v>8068</v>
      </c>
      <c r="F469" s="11" t="s">
        <v>4084</v>
      </c>
      <c r="G469" s="12" t="s">
        <v>9</v>
      </c>
    </row>
    <row r="470" customFormat="false" ht="104" hidden="false" customHeight="true" outlineLevel="0" collapsed="false">
      <c r="A470" s="11" t="s">
        <v>7844</v>
      </c>
      <c r="B470" s="11" t="s">
        <v>1357</v>
      </c>
      <c r="C470" s="11" t="s">
        <v>1358</v>
      </c>
      <c r="D470" s="11" t="s">
        <v>8069</v>
      </c>
      <c r="E470" s="11" t="s">
        <v>8070</v>
      </c>
      <c r="F470" s="11" t="s">
        <v>4084</v>
      </c>
      <c r="G470" s="12" t="s">
        <v>9</v>
      </c>
    </row>
    <row r="471" customFormat="false" ht="104" hidden="false" customHeight="true" outlineLevel="0" collapsed="false">
      <c r="A471" s="11" t="s">
        <v>7844</v>
      </c>
      <c r="B471" s="11" t="s">
        <v>1362</v>
      </c>
      <c r="C471" s="11" t="s">
        <v>1363</v>
      </c>
      <c r="D471" s="11" t="s">
        <v>8071</v>
      </c>
      <c r="E471" s="11" t="s">
        <v>8072</v>
      </c>
      <c r="F471" s="11" t="s">
        <v>4084</v>
      </c>
      <c r="G471" s="12" t="s">
        <v>9</v>
      </c>
    </row>
    <row r="472" customFormat="false" ht="104" hidden="false" customHeight="true" outlineLevel="0" collapsed="false">
      <c r="A472" s="11" t="s">
        <v>7844</v>
      </c>
      <c r="B472" s="11" t="s">
        <v>1365</v>
      </c>
      <c r="C472" s="11" t="s">
        <v>1366</v>
      </c>
      <c r="D472" s="11" t="s">
        <v>8073</v>
      </c>
      <c r="E472" s="11" t="s">
        <v>8074</v>
      </c>
      <c r="F472" s="11" t="s">
        <v>4084</v>
      </c>
      <c r="G472" s="12" t="s">
        <v>9</v>
      </c>
    </row>
    <row r="473" customFormat="false" ht="104" hidden="false" customHeight="true" outlineLevel="0" collapsed="false">
      <c r="A473" s="11" t="s">
        <v>7844</v>
      </c>
      <c r="B473" s="11" t="s">
        <v>1368</v>
      </c>
      <c r="C473" s="11" t="s">
        <v>1369</v>
      </c>
      <c r="D473" s="11" t="s">
        <v>8075</v>
      </c>
      <c r="E473" s="11" t="s">
        <v>8076</v>
      </c>
      <c r="F473" s="11" t="s">
        <v>4084</v>
      </c>
      <c r="G473" s="12" t="s">
        <v>9</v>
      </c>
    </row>
    <row r="474" customFormat="false" ht="104" hidden="false" customHeight="true" outlineLevel="0" collapsed="false">
      <c r="A474" s="11" t="s">
        <v>7844</v>
      </c>
      <c r="B474" s="11" t="s">
        <v>1371</v>
      </c>
      <c r="C474" s="11" t="s">
        <v>1372</v>
      </c>
      <c r="D474" s="11" t="s">
        <v>8077</v>
      </c>
      <c r="E474" s="11" t="s">
        <v>8078</v>
      </c>
      <c r="F474" s="11" t="s">
        <v>4084</v>
      </c>
      <c r="G474" s="12" t="s">
        <v>9</v>
      </c>
    </row>
    <row r="475" customFormat="false" ht="104" hidden="false" customHeight="true" outlineLevel="0" collapsed="false">
      <c r="A475" s="11" t="s">
        <v>7844</v>
      </c>
      <c r="B475" s="11" t="s">
        <v>1374</v>
      </c>
      <c r="C475" s="11" t="s">
        <v>1375</v>
      </c>
      <c r="D475" s="11" t="s">
        <v>8079</v>
      </c>
      <c r="E475" s="11" t="s">
        <v>8080</v>
      </c>
      <c r="F475" s="11" t="s">
        <v>4084</v>
      </c>
      <c r="G475" s="12" t="s">
        <v>9</v>
      </c>
    </row>
    <row r="476" customFormat="false" ht="104" hidden="false" customHeight="true" outlineLevel="0" collapsed="false">
      <c r="A476" s="11" t="s">
        <v>7844</v>
      </c>
      <c r="B476" s="11" t="s">
        <v>1378</v>
      </c>
      <c r="C476" s="11" t="s">
        <v>1379</v>
      </c>
      <c r="D476" s="11" t="s">
        <v>8081</v>
      </c>
      <c r="E476" s="11" t="s">
        <v>8082</v>
      </c>
      <c r="F476" s="11" t="s">
        <v>4084</v>
      </c>
      <c r="G476" s="12" t="s">
        <v>9</v>
      </c>
    </row>
    <row r="477" customFormat="false" ht="104" hidden="false" customHeight="true" outlineLevel="0" collapsed="false">
      <c r="A477" s="11" t="s">
        <v>7844</v>
      </c>
      <c r="B477" s="11" t="s">
        <v>1380</v>
      </c>
      <c r="C477" s="11" t="s">
        <v>1381</v>
      </c>
      <c r="D477" s="11" t="s">
        <v>8083</v>
      </c>
      <c r="E477" s="11" t="s">
        <v>8084</v>
      </c>
      <c r="F477" s="11" t="s">
        <v>4084</v>
      </c>
      <c r="G477" s="12" t="s">
        <v>9</v>
      </c>
    </row>
    <row r="478" customFormat="false" ht="104" hidden="false" customHeight="true" outlineLevel="0" collapsed="false">
      <c r="A478" s="11" t="s">
        <v>7844</v>
      </c>
      <c r="B478" s="11" t="s">
        <v>1384</v>
      </c>
      <c r="C478" s="11" t="s">
        <v>1385</v>
      </c>
      <c r="D478" s="11" t="s">
        <v>8085</v>
      </c>
      <c r="E478" s="11" t="s">
        <v>8086</v>
      </c>
      <c r="F478" s="11" t="s">
        <v>4084</v>
      </c>
      <c r="G478" s="12" t="s">
        <v>9</v>
      </c>
    </row>
    <row r="479" customFormat="false" ht="104" hidden="false" customHeight="true" outlineLevel="0" collapsed="false">
      <c r="A479" s="11" t="s">
        <v>7844</v>
      </c>
      <c r="B479" s="11" t="s">
        <v>1387</v>
      </c>
      <c r="C479" s="11" t="s">
        <v>1388</v>
      </c>
      <c r="D479" s="11" t="s">
        <v>8087</v>
      </c>
      <c r="E479" s="11" t="s">
        <v>8088</v>
      </c>
      <c r="F479" s="11" t="s">
        <v>4084</v>
      </c>
      <c r="G479" s="12" t="s">
        <v>9</v>
      </c>
    </row>
    <row r="480" customFormat="false" ht="104" hidden="false" customHeight="true" outlineLevel="0" collapsed="false">
      <c r="A480" s="11" t="s">
        <v>7844</v>
      </c>
      <c r="B480" s="11" t="s">
        <v>1390</v>
      </c>
      <c r="C480" s="11" t="s">
        <v>1391</v>
      </c>
      <c r="D480" s="11" t="s">
        <v>8089</v>
      </c>
      <c r="E480" s="11" t="s">
        <v>8090</v>
      </c>
      <c r="F480" s="11" t="s">
        <v>4084</v>
      </c>
      <c r="G480" s="12" t="s">
        <v>9</v>
      </c>
    </row>
    <row r="481" customFormat="false" ht="104" hidden="false" customHeight="true" outlineLevel="0" collapsed="false">
      <c r="A481" s="11" t="s">
        <v>7844</v>
      </c>
      <c r="B481" s="11" t="s">
        <v>1393</v>
      </c>
      <c r="C481" s="11" t="s">
        <v>1394</v>
      </c>
      <c r="D481" s="11" t="s">
        <v>8091</v>
      </c>
      <c r="E481" s="11" t="s">
        <v>8092</v>
      </c>
      <c r="F481" s="11" t="s">
        <v>4084</v>
      </c>
      <c r="G481" s="12" t="s">
        <v>9</v>
      </c>
    </row>
    <row r="482" customFormat="false" ht="104" hidden="false" customHeight="true" outlineLevel="0" collapsed="false">
      <c r="A482" s="11" t="s">
        <v>7844</v>
      </c>
      <c r="B482" s="11" t="s">
        <v>1396</v>
      </c>
      <c r="C482" s="11" t="s">
        <v>1397</v>
      </c>
      <c r="D482" s="11" t="s">
        <v>8093</v>
      </c>
      <c r="E482" s="11" t="s">
        <v>8094</v>
      </c>
      <c r="F482" s="11" t="s">
        <v>4084</v>
      </c>
      <c r="G482" s="12" t="s">
        <v>9</v>
      </c>
    </row>
    <row r="483" customFormat="false" ht="104" hidden="false" customHeight="true" outlineLevel="0" collapsed="false">
      <c r="A483" s="11" t="s">
        <v>7844</v>
      </c>
      <c r="B483" s="11" t="s">
        <v>1399</v>
      </c>
      <c r="C483" s="11" t="s">
        <v>1400</v>
      </c>
      <c r="D483" s="11" t="s">
        <v>8095</v>
      </c>
      <c r="E483" s="11" t="s">
        <v>8096</v>
      </c>
      <c r="F483" s="11" t="s">
        <v>4084</v>
      </c>
      <c r="G483" s="12" t="s">
        <v>9</v>
      </c>
    </row>
    <row r="484" customFormat="false" ht="104" hidden="false" customHeight="true" outlineLevel="0" collapsed="false">
      <c r="A484" s="11" t="s">
        <v>7844</v>
      </c>
      <c r="B484" s="11" t="s">
        <v>1403</v>
      </c>
      <c r="C484" s="11" t="s">
        <v>297</v>
      </c>
      <c r="D484" s="11" t="s">
        <v>8097</v>
      </c>
      <c r="E484" s="11" t="s">
        <v>8098</v>
      </c>
      <c r="F484" s="11" t="s">
        <v>4084</v>
      </c>
      <c r="G484" s="12" t="s">
        <v>9</v>
      </c>
    </row>
    <row r="485" customFormat="false" ht="104" hidden="false" customHeight="true" outlineLevel="0" collapsed="false">
      <c r="A485" s="11" t="s">
        <v>7844</v>
      </c>
      <c r="B485" s="11" t="s">
        <v>1405</v>
      </c>
      <c r="C485" s="11" t="s">
        <v>1406</v>
      </c>
      <c r="D485" s="11" t="s">
        <v>8099</v>
      </c>
      <c r="E485" s="11" t="s">
        <v>8100</v>
      </c>
      <c r="F485" s="11" t="s">
        <v>4084</v>
      </c>
      <c r="G485" s="12" t="s">
        <v>9</v>
      </c>
    </row>
    <row r="486" customFormat="false" ht="104" hidden="false" customHeight="true" outlineLevel="0" collapsed="false">
      <c r="A486" s="11" t="s">
        <v>7844</v>
      </c>
      <c r="B486" s="11" t="s">
        <v>1409</v>
      </c>
      <c r="C486" s="11" t="s">
        <v>1410</v>
      </c>
      <c r="D486" s="11" t="s">
        <v>8101</v>
      </c>
      <c r="E486" s="11" t="s">
        <v>8102</v>
      </c>
      <c r="F486" s="11" t="s">
        <v>4084</v>
      </c>
      <c r="G486" s="12" t="s">
        <v>9</v>
      </c>
    </row>
    <row r="487" customFormat="false" ht="104" hidden="false" customHeight="true" outlineLevel="0" collapsed="false">
      <c r="A487" s="11" t="s">
        <v>7844</v>
      </c>
      <c r="B487" s="11" t="s">
        <v>1412</v>
      </c>
      <c r="C487" s="11" t="s">
        <v>1413</v>
      </c>
      <c r="D487" s="11" t="s">
        <v>8103</v>
      </c>
      <c r="E487" s="11" t="s">
        <v>8104</v>
      </c>
      <c r="F487" s="11" t="s">
        <v>4084</v>
      </c>
      <c r="G487" s="12" t="s">
        <v>9</v>
      </c>
    </row>
    <row r="488" customFormat="false" ht="104" hidden="false" customHeight="true" outlineLevel="0" collapsed="false">
      <c r="A488" s="11" t="s">
        <v>7844</v>
      </c>
      <c r="B488" s="11" t="s">
        <v>1415</v>
      </c>
      <c r="C488" s="11" t="s">
        <v>1416</v>
      </c>
      <c r="D488" s="11" t="s">
        <v>8105</v>
      </c>
      <c r="E488" s="11" t="s">
        <v>8106</v>
      </c>
      <c r="F488" s="11" t="s">
        <v>4084</v>
      </c>
      <c r="G488" s="12" t="s">
        <v>9</v>
      </c>
    </row>
    <row r="489" customFormat="false" ht="104" hidden="false" customHeight="true" outlineLevel="0" collapsed="false">
      <c r="A489" s="11" t="s">
        <v>7844</v>
      </c>
      <c r="B489" s="11" t="s">
        <v>1418</v>
      </c>
      <c r="C489" s="11" t="s">
        <v>1419</v>
      </c>
      <c r="D489" s="11" t="s">
        <v>8107</v>
      </c>
      <c r="E489" s="11" t="s">
        <v>8108</v>
      </c>
      <c r="F489" s="11" t="s">
        <v>4084</v>
      </c>
      <c r="G489" s="12" t="s">
        <v>9</v>
      </c>
    </row>
    <row r="490" customFormat="false" ht="104" hidden="false" customHeight="true" outlineLevel="0" collapsed="false">
      <c r="A490" s="11" t="s">
        <v>7844</v>
      </c>
      <c r="B490" s="11" t="s">
        <v>1422</v>
      </c>
      <c r="C490" s="11" t="s">
        <v>1423</v>
      </c>
      <c r="D490" s="11" t="s">
        <v>8109</v>
      </c>
      <c r="E490" s="11" t="s">
        <v>8110</v>
      </c>
      <c r="F490" s="11" t="s">
        <v>4084</v>
      </c>
      <c r="G490" s="12" t="s">
        <v>9</v>
      </c>
    </row>
    <row r="491" customFormat="false" ht="104" hidden="false" customHeight="true" outlineLevel="0" collapsed="false">
      <c r="A491" s="11" t="s">
        <v>7844</v>
      </c>
      <c r="B491" s="11" t="s">
        <v>1426</v>
      </c>
      <c r="C491" s="11" t="s">
        <v>1427</v>
      </c>
      <c r="D491" s="11" t="s">
        <v>8111</v>
      </c>
      <c r="E491" s="11" t="s">
        <v>8112</v>
      </c>
      <c r="F491" s="11" t="s">
        <v>4084</v>
      </c>
      <c r="G491" s="12" t="s">
        <v>9</v>
      </c>
    </row>
    <row r="492" customFormat="false" ht="104" hidden="false" customHeight="true" outlineLevel="0" collapsed="false">
      <c r="A492" s="11" t="s">
        <v>7844</v>
      </c>
      <c r="B492" s="11" t="s">
        <v>1430</v>
      </c>
      <c r="C492" s="11" t="s">
        <v>1431</v>
      </c>
      <c r="D492" s="11" t="s">
        <v>8113</v>
      </c>
      <c r="E492" s="11" t="s">
        <v>8114</v>
      </c>
      <c r="F492" s="11" t="s">
        <v>4084</v>
      </c>
      <c r="G492" s="12" t="s">
        <v>9</v>
      </c>
    </row>
    <row r="493" customFormat="false" ht="104" hidden="false" customHeight="true" outlineLevel="0" collapsed="false">
      <c r="A493" s="11" t="s">
        <v>7844</v>
      </c>
      <c r="B493" s="11" t="s">
        <v>1434</v>
      </c>
      <c r="C493" s="11" t="s">
        <v>1435</v>
      </c>
      <c r="D493" s="11" t="s">
        <v>8115</v>
      </c>
      <c r="E493" s="11" t="s">
        <v>8116</v>
      </c>
      <c r="F493" s="11" t="s">
        <v>4084</v>
      </c>
      <c r="G493" s="12" t="s">
        <v>9</v>
      </c>
    </row>
    <row r="494" customFormat="false" ht="104" hidden="false" customHeight="true" outlineLevel="0" collapsed="false">
      <c r="A494" s="11" t="s">
        <v>7844</v>
      </c>
      <c r="B494" s="11" t="s">
        <v>1438</v>
      </c>
      <c r="C494" s="11" t="s">
        <v>1439</v>
      </c>
      <c r="D494" s="11" t="s">
        <v>8117</v>
      </c>
      <c r="E494" s="11" t="s">
        <v>8118</v>
      </c>
      <c r="F494" s="11" t="s">
        <v>4084</v>
      </c>
      <c r="G494" s="12" t="s">
        <v>9</v>
      </c>
    </row>
    <row r="495" customFormat="false" ht="104" hidden="false" customHeight="true" outlineLevel="0" collapsed="false">
      <c r="A495" s="11" t="s">
        <v>7844</v>
      </c>
      <c r="B495" s="11" t="s">
        <v>1442</v>
      </c>
      <c r="C495" s="11" t="s">
        <v>978</v>
      </c>
      <c r="D495" s="11" t="s">
        <v>8119</v>
      </c>
      <c r="E495" s="11" t="s">
        <v>8120</v>
      </c>
      <c r="F495" s="11" t="s">
        <v>4084</v>
      </c>
      <c r="G495" s="12" t="s">
        <v>9</v>
      </c>
    </row>
    <row r="496" customFormat="false" ht="104" hidden="false" customHeight="true" outlineLevel="0" collapsed="false">
      <c r="A496" s="11" t="s">
        <v>7844</v>
      </c>
      <c r="B496" s="11" t="s">
        <v>1446</v>
      </c>
      <c r="C496" s="11" t="s">
        <v>1447</v>
      </c>
      <c r="D496" s="11" t="s">
        <v>8121</v>
      </c>
      <c r="E496" s="11" t="s">
        <v>8122</v>
      </c>
      <c r="F496" s="11" t="s">
        <v>4084</v>
      </c>
      <c r="G496" s="12" t="s">
        <v>9</v>
      </c>
    </row>
    <row r="497" customFormat="false" ht="104" hidden="false" customHeight="true" outlineLevel="0" collapsed="false">
      <c r="A497" s="11" t="s">
        <v>7844</v>
      </c>
      <c r="B497" s="11" t="s">
        <v>1451</v>
      </c>
      <c r="C497" s="11" t="s">
        <v>1452</v>
      </c>
      <c r="D497" s="11" t="s">
        <v>8123</v>
      </c>
      <c r="E497" s="11" t="s">
        <v>8124</v>
      </c>
      <c r="F497" s="11" t="s">
        <v>4084</v>
      </c>
      <c r="G497" s="12" t="s">
        <v>9</v>
      </c>
    </row>
    <row r="498" customFormat="false" ht="104" hidden="false" customHeight="true" outlineLevel="0" collapsed="false">
      <c r="A498" s="11" t="s">
        <v>7844</v>
      </c>
      <c r="B498" s="11" t="s">
        <v>1455</v>
      </c>
      <c r="C498" s="11" t="s">
        <v>1456</v>
      </c>
      <c r="D498" s="11" t="s">
        <v>8125</v>
      </c>
      <c r="E498" s="11" t="s">
        <v>8126</v>
      </c>
      <c r="F498" s="11" t="s">
        <v>4084</v>
      </c>
      <c r="G498" s="12" t="s">
        <v>9</v>
      </c>
    </row>
    <row r="499" customFormat="false" ht="104" hidden="false" customHeight="true" outlineLevel="0" collapsed="false">
      <c r="A499" s="11" t="s">
        <v>7844</v>
      </c>
      <c r="B499" s="11" t="s">
        <v>1458</v>
      </c>
      <c r="C499" s="11" t="s">
        <v>1459</v>
      </c>
      <c r="D499" s="11" t="s">
        <v>8127</v>
      </c>
      <c r="E499" s="11" t="s">
        <v>8128</v>
      </c>
      <c r="F499" s="11" t="s">
        <v>4084</v>
      </c>
      <c r="G499" s="12" t="s">
        <v>9</v>
      </c>
    </row>
    <row r="500" customFormat="false" ht="104" hidden="false" customHeight="true" outlineLevel="0" collapsed="false">
      <c r="A500" s="11" t="s">
        <v>7844</v>
      </c>
      <c r="B500" s="11" t="s">
        <v>1461</v>
      </c>
      <c r="C500" s="11" t="s">
        <v>1462</v>
      </c>
      <c r="D500" s="11" t="s">
        <v>8129</v>
      </c>
      <c r="E500" s="11" t="s">
        <v>8130</v>
      </c>
      <c r="F500" s="11" t="s">
        <v>4084</v>
      </c>
      <c r="G500" s="12" t="s">
        <v>9</v>
      </c>
    </row>
    <row r="501" customFormat="false" ht="104" hidden="false" customHeight="true" outlineLevel="0" collapsed="false">
      <c r="A501" s="11" t="s">
        <v>7844</v>
      </c>
      <c r="B501" s="11" t="s">
        <v>1466</v>
      </c>
      <c r="C501" s="11" t="s">
        <v>1467</v>
      </c>
      <c r="D501" s="11" t="s">
        <v>8131</v>
      </c>
      <c r="E501" s="11" t="s">
        <v>8132</v>
      </c>
      <c r="F501" s="11" t="s">
        <v>4084</v>
      </c>
      <c r="G501" s="12" t="s">
        <v>9</v>
      </c>
    </row>
    <row r="502" customFormat="false" ht="104" hidden="false" customHeight="true" outlineLevel="0" collapsed="false">
      <c r="A502" s="11" t="s">
        <v>7844</v>
      </c>
      <c r="B502" s="11" t="s">
        <v>1469</v>
      </c>
      <c r="C502" s="11" t="s">
        <v>1470</v>
      </c>
      <c r="D502" s="11" t="s">
        <v>8133</v>
      </c>
      <c r="E502" s="11" t="s">
        <v>8134</v>
      </c>
      <c r="F502" s="11" t="s">
        <v>4084</v>
      </c>
      <c r="G502" s="12" t="s">
        <v>9</v>
      </c>
    </row>
    <row r="503" customFormat="false" ht="104" hidden="false" customHeight="true" outlineLevel="0" collapsed="false">
      <c r="A503" s="11" t="s">
        <v>7844</v>
      </c>
      <c r="B503" s="11" t="s">
        <v>1472</v>
      </c>
      <c r="C503" s="11" t="s">
        <v>1473</v>
      </c>
      <c r="D503" s="11" t="s">
        <v>8135</v>
      </c>
      <c r="E503" s="11" t="s">
        <v>8136</v>
      </c>
      <c r="F503" s="11" t="s">
        <v>4084</v>
      </c>
      <c r="G503" s="12" t="s">
        <v>9</v>
      </c>
    </row>
    <row r="504" customFormat="false" ht="104" hidden="false" customHeight="true" outlineLevel="0" collapsed="false">
      <c r="A504" s="11" t="s">
        <v>7844</v>
      </c>
      <c r="B504" s="11" t="s">
        <v>1476</v>
      </c>
      <c r="C504" s="11" t="s">
        <v>1477</v>
      </c>
      <c r="D504" s="11" t="s">
        <v>8137</v>
      </c>
      <c r="E504" s="11" t="s">
        <v>8138</v>
      </c>
      <c r="F504" s="11" t="s">
        <v>4084</v>
      </c>
      <c r="G504" s="12" t="s">
        <v>9</v>
      </c>
    </row>
    <row r="505" customFormat="false" ht="104" hidden="false" customHeight="true" outlineLevel="0" collapsed="false">
      <c r="A505" s="11" t="s">
        <v>7844</v>
      </c>
      <c r="B505" s="11" t="s">
        <v>1480</v>
      </c>
      <c r="C505" s="11" t="s">
        <v>1481</v>
      </c>
      <c r="D505" s="11" t="s">
        <v>8139</v>
      </c>
      <c r="E505" s="11" t="s">
        <v>8140</v>
      </c>
      <c r="F505" s="11" t="s">
        <v>4084</v>
      </c>
      <c r="G505" s="12" t="s">
        <v>9</v>
      </c>
    </row>
    <row r="506" customFormat="false" ht="104" hidden="false" customHeight="true" outlineLevel="0" collapsed="false">
      <c r="A506" s="11" t="s">
        <v>7844</v>
      </c>
      <c r="B506" s="11" t="s">
        <v>1483</v>
      </c>
      <c r="C506" s="11" t="s">
        <v>1484</v>
      </c>
      <c r="D506" s="11" t="s">
        <v>8141</v>
      </c>
      <c r="E506" s="11" t="s">
        <v>8142</v>
      </c>
      <c r="F506" s="11" t="s">
        <v>4084</v>
      </c>
      <c r="G506" s="12" t="s">
        <v>9</v>
      </c>
    </row>
    <row r="507" customFormat="false" ht="104" hidden="false" customHeight="true" outlineLevel="0" collapsed="false">
      <c r="A507" s="11" t="s">
        <v>7844</v>
      </c>
      <c r="B507" s="11" t="s">
        <v>1487</v>
      </c>
      <c r="C507" s="11" t="s">
        <v>1488</v>
      </c>
      <c r="D507" s="11" t="s">
        <v>8143</v>
      </c>
      <c r="E507" s="11" t="s">
        <v>8144</v>
      </c>
      <c r="F507" s="11" t="s">
        <v>4084</v>
      </c>
      <c r="G507" s="12" t="s">
        <v>9</v>
      </c>
    </row>
    <row r="508" customFormat="false" ht="104" hidden="false" customHeight="true" outlineLevel="0" collapsed="false">
      <c r="A508" s="11" t="s">
        <v>7844</v>
      </c>
      <c r="B508" s="11" t="s">
        <v>1493</v>
      </c>
      <c r="C508" s="11" t="s">
        <v>1494</v>
      </c>
      <c r="D508" s="11" t="s">
        <v>8145</v>
      </c>
      <c r="E508" s="11" t="s">
        <v>8146</v>
      </c>
      <c r="F508" s="11" t="s">
        <v>4084</v>
      </c>
      <c r="G508" s="12" t="s">
        <v>9</v>
      </c>
    </row>
    <row r="509" customFormat="false" ht="104" hidden="false" customHeight="true" outlineLevel="0" collapsed="false">
      <c r="A509" s="11" t="s">
        <v>7844</v>
      </c>
      <c r="B509" s="11" t="s">
        <v>1496</v>
      </c>
      <c r="C509" s="11" t="s">
        <v>1497</v>
      </c>
      <c r="D509" s="11" t="s">
        <v>8147</v>
      </c>
      <c r="E509" s="11" t="s">
        <v>8148</v>
      </c>
      <c r="F509" s="11" t="s">
        <v>4084</v>
      </c>
      <c r="G509" s="12" t="s">
        <v>9</v>
      </c>
    </row>
    <row r="510" customFormat="false" ht="104" hidden="false" customHeight="true" outlineLevel="0" collapsed="false">
      <c r="A510" s="11" t="s">
        <v>7844</v>
      </c>
      <c r="B510" s="11" t="s">
        <v>1500</v>
      </c>
      <c r="C510" s="11" t="s">
        <v>1501</v>
      </c>
      <c r="D510" s="11" t="s">
        <v>8149</v>
      </c>
      <c r="E510" s="11" t="s">
        <v>8150</v>
      </c>
      <c r="F510" s="11" t="s">
        <v>4084</v>
      </c>
      <c r="G510" s="12" t="s">
        <v>9</v>
      </c>
    </row>
    <row r="511" customFormat="false" ht="104" hidden="false" customHeight="true" outlineLevel="0" collapsed="false">
      <c r="A511" s="11" t="s">
        <v>7844</v>
      </c>
      <c r="B511" s="11" t="s">
        <v>1505</v>
      </c>
      <c r="C511" s="11" t="s">
        <v>1506</v>
      </c>
      <c r="D511" s="11" t="s">
        <v>8151</v>
      </c>
      <c r="E511" s="11" t="s">
        <v>8152</v>
      </c>
      <c r="F511" s="11" t="s">
        <v>4084</v>
      </c>
      <c r="G511" s="12" t="s">
        <v>9</v>
      </c>
    </row>
    <row r="512" customFormat="false" ht="104" hidden="false" customHeight="true" outlineLevel="0" collapsed="false">
      <c r="A512" s="11" t="s">
        <v>7844</v>
      </c>
      <c r="B512" s="11" t="s">
        <v>1511</v>
      </c>
      <c r="C512" s="11" t="s">
        <v>1512</v>
      </c>
      <c r="D512" s="11" t="s">
        <v>8153</v>
      </c>
      <c r="E512" s="11" t="s">
        <v>8154</v>
      </c>
      <c r="F512" s="11" t="s">
        <v>4084</v>
      </c>
      <c r="G512" s="12" t="s">
        <v>9</v>
      </c>
    </row>
    <row r="513" customFormat="false" ht="104" hidden="false" customHeight="true" outlineLevel="0" collapsed="false">
      <c r="A513" s="11" t="s">
        <v>7844</v>
      </c>
      <c r="B513" s="11" t="s">
        <v>1515</v>
      </c>
      <c r="C513" s="11" t="s">
        <v>1516</v>
      </c>
      <c r="D513" s="11" t="s">
        <v>8155</v>
      </c>
      <c r="E513" s="11" t="s">
        <v>8156</v>
      </c>
      <c r="F513" s="11" t="s">
        <v>4084</v>
      </c>
      <c r="G513" s="12" t="s">
        <v>9</v>
      </c>
    </row>
    <row r="514" customFormat="false" ht="104" hidden="false" customHeight="true" outlineLevel="0" collapsed="false">
      <c r="A514" s="11" t="s">
        <v>7844</v>
      </c>
      <c r="B514" s="11" t="s">
        <v>1518</v>
      </c>
      <c r="C514" s="11" t="s">
        <v>1519</v>
      </c>
      <c r="D514" s="11" t="s">
        <v>8157</v>
      </c>
      <c r="E514" s="11" t="s">
        <v>8158</v>
      </c>
      <c r="F514" s="11" t="s">
        <v>4084</v>
      </c>
      <c r="G514" s="12" t="s">
        <v>9</v>
      </c>
    </row>
    <row r="515" customFormat="false" ht="104" hidden="false" customHeight="true" outlineLevel="0" collapsed="false">
      <c r="A515" s="11" t="s">
        <v>7844</v>
      </c>
      <c r="B515" s="11" t="s">
        <v>1523</v>
      </c>
      <c r="C515" s="11" t="s">
        <v>1524</v>
      </c>
      <c r="D515" s="11" t="s">
        <v>8159</v>
      </c>
      <c r="E515" s="11" t="s">
        <v>8160</v>
      </c>
      <c r="F515" s="11" t="s">
        <v>4084</v>
      </c>
      <c r="G515" s="12" t="s">
        <v>9</v>
      </c>
    </row>
    <row r="516" customFormat="false" ht="104" hidden="false" customHeight="true" outlineLevel="0" collapsed="false">
      <c r="A516" s="11" t="s">
        <v>7844</v>
      </c>
      <c r="B516" s="11" t="s">
        <v>1526</v>
      </c>
      <c r="C516" s="11" t="s">
        <v>1527</v>
      </c>
      <c r="D516" s="11" t="s">
        <v>8161</v>
      </c>
      <c r="E516" s="11" t="s">
        <v>8162</v>
      </c>
      <c r="F516" s="11" t="s">
        <v>4084</v>
      </c>
      <c r="G516" s="12" t="s">
        <v>9</v>
      </c>
    </row>
    <row r="517" customFormat="false" ht="104" hidden="false" customHeight="true" outlineLevel="0" collapsed="false">
      <c r="A517" s="11" t="s">
        <v>7844</v>
      </c>
      <c r="B517" s="11" t="s">
        <v>1530</v>
      </c>
      <c r="C517" s="11" t="s">
        <v>1531</v>
      </c>
      <c r="D517" s="11" t="s">
        <v>8163</v>
      </c>
      <c r="E517" s="11" t="s">
        <v>8164</v>
      </c>
      <c r="F517" s="11" t="s">
        <v>4084</v>
      </c>
      <c r="G517" s="12" t="s">
        <v>9</v>
      </c>
    </row>
    <row r="518" customFormat="false" ht="104" hidden="false" customHeight="true" outlineLevel="0" collapsed="false">
      <c r="A518" s="11" t="s">
        <v>7844</v>
      </c>
      <c r="B518" s="11" t="s">
        <v>1534</v>
      </c>
      <c r="C518" s="11" t="s">
        <v>1535</v>
      </c>
      <c r="D518" s="11" t="s">
        <v>8165</v>
      </c>
      <c r="E518" s="11" t="s">
        <v>8166</v>
      </c>
      <c r="F518" s="11" t="s">
        <v>4084</v>
      </c>
      <c r="G518" s="12" t="s">
        <v>9</v>
      </c>
    </row>
    <row r="519" customFormat="false" ht="104" hidden="false" customHeight="true" outlineLevel="0" collapsed="false">
      <c r="A519" s="11" t="s">
        <v>7844</v>
      </c>
      <c r="B519" s="11" t="s">
        <v>1537</v>
      </c>
      <c r="C519" s="11" t="s">
        <v>1538</v>
      </c>
      <c r="D519" s="11" t="s">
        <v>8167</v>
      </c>
      <c r="E519" s="11" t="s">
        <v>8168</v>
      </c>
      <c r="F519" s="11" t="s">
        <v>4084</v>
      </c>
      <c r="G519" s="12" t="s">
        <v>9</v>
      </c>
    </row>
    <row r="520" customFormat="false" ht="104" hidden="false" customHeight="true" outlineLevel="0" collapsed="false">
      <c r="A520" s="11" t="s">
        <v>7844</v>
      </c>
      <c r="B520" s="11" t="s">
        <v>1541</v>
      </c>
      <c r="C520" s="11" t="s">
        <v>1542</v>
      </c>
      <c r="D520" s="11" t="s">
        <v>8169</v>
      </c>
      <c r="E520" s="11" t="s">
        <v>8170</v>
      </c>
      <c r="F520" s="11" t="s">
        <v>4084</v>
      </c>
      <c r="G520" s="12" t="s">
        <v>9</v>
      </c>
    </row>
    <row r="521" customFormat="false" ht="104" hidden="false" customHeight="true" outlineLevel="0" collapsed="false">
      <c r="A521" s="11" t="s">
        <v>7844</v>
      </c>
      <c r="B521" s="11" t="s">
        <v>1545</v>
      </c>
      <c r="C521" s="11" t="s">
        <v>1546</v>
      </c>
      <c r="D521" s="11" t="s">
        <v>8171</v>
      </c>
      <c r="E521" s="11" t="s">
        <v>8172</v>
      </c>
      <c r="F521" s="11" t="s">
        <v>4084</v>
      </c>
      <c r="G521" s="12" t="s">
        <v>9</v>
      </c>
    </row>
    <row r="522" customFormat="false" ht="104" hidden="false" customHeight="true" outlineLevel="0" collapsed="false">
      <c r="A522" s="11" t="s">
        <v>7844</v>
      </c>
      <c r="B522" s="11" t="s">
        <v>1550</v>
      </c>
      <c r="C522" s="11" t="s">
        <v>1551</v>
      </c>
      <c r="D522" s="11" t="s">
        <v>8173</v>
      </c>
      <c r="E522" s="11" t="s">
        <v>8174</v>
      </c>
      <c r="F522" s="11" t="s">
        <v>4084</v>
      </c>
      <c r="G522" s="12" t="s">
        <v>9</v>
      </c>
    </row>
    <row r="523" customFormat="false" ht="104" hidden="false" customHeight="true" outlineLevel="0" collapsed="false">
      <c r="A523" s="11" t="s">
        <v>7844</v>
      </c>
      <c r="B523" s="11" t="s">
        <v>1554</v>
      </c>
      <c r="C523" s="11" t="s">
        <v>1555</v>
      </c>
      <c r="D523" s="11" t="s">
        <v>8175</v>
      </c>
      <c r="E523" s="11" t="s">
        <v>8176</v>
      </c>
      <c r="F523" s="11" t="s">
        <v>4084</v>
      </c>
      <c r="G523" s="12" t="s">
        <v>9</v>
      </c>
    </row>
    <row r="524" customFormat="false" ht="104" hidden="false" customHeight="true" outlineLevel="0" collapsed="false">
      <c r="A524" s="11" t="s">
        <v>7844</v>
      </c>
      <c r="B524" s="11" t="s">
        <v>1559</v>
      </c>
      <c r="C524" s="11" t="s">
        <v>1560</v>
      </c>
      <c r="D524" s="11" t="s">
        <v>8177</v>
      </c>
      <c r="E524" s="11" t="s">
        <v>8178</v>
      </c>
      <c r="F524" s="11" t="s">
        <v>4084</v>
      </c>
      <c r="G524" s="12" t="s">
        <v>9</v>
      </c>
    </row>
    <row r="525" customFormat="false" ht="104" hidden="false" customHeight="true" outlineLevel="0" collapsed="false">
      <c r="A525" s="11" t="s">
        <v>7844</v>
      </c>
      <c r="B525" s="11" t="s">
        <v>1563</v>
      </c>
      <c r="C525" s="11" t="s">
        <v>1564</v>
      </c>
      <c r="D525" s="11" t="s">
        <v>8179</v>
      </c>
      <c r="E525" s="11" t="s">
        <v>8180</v>
      </c>
      <c r="F525" s="11" t="s">
        <v>4084</v>
      </c>
      <c r="G525" s="12" t="s">
        <v>9</v>
      </c>
    </row>
    <row r="526" customFormat="false" ht="104" hidden="false" customHeight="true" outlineLevel="0" collapsed="false">
      <c r="A526" s="11" t="s">
        <v>7844</v>
      </c>
      <c r="B526" s="11" t="s">
        <v>1568</v>
      </c>
      <c r="C526" s="11" t="s">
        <v>1569</v>
      </c>
      <c r="D526" s="11" t="s">
        <v>8181</v>
      </c>
      <c r="E526" s="11" t="s">
        <v>8182</v>
      </c>
      <c r="F526" s="11" t="s">
        <v>4084</v>
      </c>
      <c r="G526" s="12" t="s">
        <v>9</v>
      </c>
    </row>
    <row r="527" customFormat="false" ht="104" hidden="false" customHeight="true" outlineLevel="0" collapsed="false">
      <c r="A527" s="11" t="s">
        <v>7844</v>
      </c>
      <c r="B527" s="11" t="s">
        <v>1572</v>
      </c>
      <c r="C527" s="11" t="s">
        <v>1573</v>
      </c>
      <c r="D527" s="11" t="s">
        <v>8183</v>
      </c>
      <c r="E527" s="11" t="s">
        <v>8184</v>
      </c>
      <c r="F527" s="11" t="s">
        <v>4084</v>
      </c>
      <c r="G527" s="12" t="s">
        <v>9</v>
      </c>
    </row>
    <row r="528" customFormat="false" ht="104" hidden="false" customHeight="true" outlineLevel="0" collapsed="false">
      <c r="A528" s="11" t="s">
        <v>7844</v>
      </c>
      <c r="B528" s="11" t="s">
        <v>1575</v>
      </c>
      <c r="C528" s="11" t="s">
        <v>1576</v>
      </c>
      <c r="D528" s="11" t="s">
        <v>8185</v>
      </c>
      <c r="E528" s="11" t="s">
        <v>8186</v>
      </c>
      <c r="F528" s="11" t="s">
        <v>4084</v>
      </c>
      <c r="G528" s="12" t="s">
        <v>9</v>
      </c>
    </row>
    <row r="529" customFormat="false" ht="104" hidden="false" customHeight="true" outlineLevel="0" collapsed="false">
      <c r="A529" s="11" t="s">
        <v>7844</v>
      </c>
      <c r="B529" s="11" t="s">
        <v>1578</v>
      </c>
      <c r="C529" s="11" t="s">
        <v>1579</v>
      </c>
      <c r="D529" s="11" t="s">
        <v>8187</v>
      </c>
      <c r="E529" s="11" t="s">
        <v>8188</v>
      </c>
      <c r="F529" s="11" t="s">
        <v>4084</v>
      </c>
      <c r="G529" s="12" t="s">
        <v>9</v>
      </c>
    </row>
    <row r="530" customFormat="false" ht="104" hidden="false" customHeight="true" outlineLevel="0" collapsed="false">
      <c r="A530" s="11" t="s">
        <v>7844</v>
      </c>
      <c r="B530" s="11" t="s">
        <v>1581</v>
      </c>
      <c r="C530" s="11" t="s">
        <v>1582</v>
      </c>
      <c r="D530" s="11" t="s">
        <v>8189</v>
      </c>
      <c r="E530" s="11" t="s">
        <v>8190</v>
      </c>
      <c r="F530" s="11" t="s">
        <v>4084</v>
      </c>
      <c r="G530" s="12" t="s">
        <v>9</v>
      </c>
    </row>
    <row r="531" customFormat="false" ht="104" hidden="false" customHeight="true" outlineLevel="0" collapsed="false">
      <c r="A531" s="11" t="s">
        <v>7844</v>
      </c>
      <c r="B531" s="11" t="s">
        <v>1585</v>
      </c>
      <c r="C531" s="11" t="s">
        <v>1586</v>
      </c>
      <c r="D531" s="11" t="s">
        <v>8191</v>
      </c>
      <c r="E531" s="11" t="s">
        <v>8192</v>
      </c>
      <c r="F531" s="11" t="s">
        <v>4084</v>
      </c>
      <c r="G531" s="12" t="s">
        <v>9</v>
      </c>
    </row>
    <row r="532" customFormat="false" ht="104" hidden="false" customHeight="true" outlineLevel="0" collapsed="false">
      <c r="A532" s="11" t="s">
        <v>7844</v>
      </c>
      <c r="B532" s="11" t="s">
        <v>1589</v>
      </c>
      <c r="C532" s="11" t="s">
        <v>1590</v>
      </c>
      <c r="D532" s="11" t="s">
        <v>8193</v>
      </c>
      <c r="E532" s="11" t="s">
        <v>8194</v>
      </c>
      <c r="F532" s="11" t="s">
        <v>4084</v>
      </c>
      <c r="G532" s="12" t="s">
        <v>9</v>
      </c>
    </row>
    <row r="533" customFormat="false" ht="104" hidden="false" customHeight="true" outlineLevel="0" collapsed="false">
      <c r="A533" s="11" t="s">
        <v>7844</v>
      </c>
      <c r="B533" s="11" t="s">
        <v>1594</v>
      </c>
      <c r="C533" s="11" t="s">
        <v>1595</v>
      </c>
      <c r="D533" s="11" t="s">
        <v>8195</v>
      </c>
      <c r="E533" s="11" t="s">
        <v>8196</v>
      </c>
      <c r="F533" s="11" t="s">
        <v>4084</v>
      </c>
      <c r="G533" s="12" t="s">
        <v>9</v>
      </c>
    </row>
    <row r="534" customFormat="false" ht="104" hidden="false" customHeight="true" outlineLevel="0" collapsed="false">
      <c r="A534" s="11" t="s">
        <v>7844</v>
      </c>
      <c r="B534" s="11" t="s">
        <v>1601</v>
      </c>
      <c r="C534" s="11" t="s">
        <v>1602</v>
      </c>
      <c r="D534" s="11" t="s">
        <v>8197</v>
      </c>
      <c r="E534" s="11" t="s">
        <v>8198</v>
      </c>
      <c r="F534" s="11" t="s">
        <v>4084</v>
      </c>
      <c r="G534" s="12" t="s">
        <v>9</v>
      </c>
    </row>
    <row r="535" customFormat="false" ht="104" hidden="false" customHeight="true" outlineLevel="0" collapsed="false">
      <c r="A535" s="11" t="s">
        <v>7844</v>
      </c>
      <c r="B535" s="11" t="s">
        <v>1606</v>
      </c>
      <c r="C535" s="11" t="s">
        <v>1607</v>
      </c>
      <c r="D535" s="11" t="s">
        <v>8199</v>
      </c>
      <c r="E535" s="11" t="s">
        <v>8200</v>
      </c>
      <c r="F535" s="11" t="s">
        <v>4084</v>
      </c>
      <c r="G535" s="12" t="s">
        <v>9</v>
      </c>
    </row>
    <row r="536" customFormat="false" ht="104" hidden="false" customHeight="true" outlineLevel="0" collapsed="false">
      <c r="A536" s="11" t="s">
        <v>7844</v>
      </c>
      <c r="B536" s="11" t="s">
        <v>1611</v>
      </c>
      <c r="C536" s="11" t="s">
        <v>1612</v>
      </c>
      <c r="D536" s="11" t="s">
        <v>8201</v>
      </c>
      <c r="E536" s="11" t="s">
        <v>8202</v>
      </c>
      <c r="F536" s="11" t="s">
        <v>4084</v>
      </c>
      <c r="G536" s="12" t="s">
        <v>9</v>
      </c>
    </row>
    <row r="537" customFormat="false" ht="104" hidden="false" customHeight="true" outlineLevel="0" collapsed="false">
      <c r="A537" s="11" t="s">
        <v>7844</v>
      </c>
      <c r="B537" s="11" t="s">
        <v>1616</v>
      </c>
      <c r="C537" s="11" t="s">
        <v>1617</v>
      </c>
      <c r="D537" s="11" t="s">
        <v>8203</v>
      </c>
      <c r="E537" s="11" t="s">
        <v>8204</v>
      </c>
      <c r="F537" s="11" t="s">
        <v>4084</v>
      </c>
      <c r="G537" s="12" t="s">
        <v>9</v>
      </c>
    </row>
    <row r="538" customFormat="false" ht="104" hidden="false" customHeight="true" outlineLevel="0" collapsed="false">
      <c r="A538" s="11" t="s">
        <v>7844</v>
      </c>
      <c r="B538" s="11" t="s">
        <v>1621</v>
      </c>
      <c r="C538" s="11" t="s">
        <v>1622</v>
      </c>
      <c r="D538" s="11" t="s">
        <v>8205</v>
      </c>
      <c r="E538" s="11" t="s">
        <v>8206</v>
      </c>
      <c r="F538" s="11" t="s">
        <v>4084</v>
      </c>
      <c r="G538" s="12" t="s">
        <v>9</v>
      </c>
    </row>
    <row r="539" customFormat="false" ht="104" hidden="false" customHeight="true" outlineLevel="0" collapsed="false">
      <c r="A539" s="11" t="s">
        <v>7844</v>
      </c>
      <c r="B539" s="11" t="s">
        <v>1625</v>
      </c>
      <c r="C539" s="11" t="s">
        <v>1626</v>
      </c>
      <c r="D539" s="11" t="s">
        <v>8207</v>
      </c>
      <c r="E539" s="11" t="s">
        <v>8208</v>
      </c>
      <c r="F539" s="11" t="s">
        <v>4084</v>
      </c>
      <c r="G539" s="12" t="s">
        <v>9</v>
      </c>
    </row>
    <row r="540" customFormat="false" ht="104" hidden="false" customHeight="true" outlineLevel="0" collapsed="false">
      <c r="A540" s="11" t="s">
        <v>8209</v>
      </c>
      <c r="B540" s="11" t="s">
        <v>961</v>
      </c>
      <c r="C540" s="11" t="s">
        <v>962</v>
      </c>
      <c r="D540" s="11" t="s">
        <v>8210</v>
      </c>
      <c r="E540" s="11" t="s">
        <v>8211</v>
      </c>
      <c r="F540" s="11" t="s">
        <v>4084</v>
      </c>
      <c r="G540" s="12" t="s">
        <v>9</v>
      </c>
    </row>
    <row r="541" customFormat="false" ht="104" hidden="false" customHeight="true" outlineLevel="0" collapsed="false">
      <c r="A541" s="11" t="s">
        <v>8209</v>
      </c>
      <c r="B541" s="11" t="s">
        <v>967</v>
      </c>
      <c r="C541" s="11" t="s">
        <v>968</v>
      </c>
      <c r="D541" s="11" t="s">
        <v>8212</v>
      </c>
      <c r="E541" s="11" t="s">
        <v>8213</v>
      </c>
      <c r="F541" s="11" t="s">
        <v>4084</v>
      </c>
      <c r="G541" s="12" t="s">
        <v>9</v>
      </c>
    </row>
    <row r="542" customFormat="false" ht="104" hidden="false" customHeight="true" outlineLevel="0" collapsed="false">
      <c r="A542" s="11" t="s">
        <v>8209</v>
      </c>
      <c r="B542" s="11" t="s">
        <v>973</v>
      </c>
      <c r="C542" s="11" t="s">
        <v>974</v>
      </c>
      <c r="D542" s="11" t="s">
        <v>8214</v>
      </c>
      <c r="E542" s="11" t="s">
        <v>8215</v>
      </c>
      <c r="F542" s="11" t="s">
        <v>4084</v>
      </c>
      <c r="G542" s="12" t="s">
        <v>9</v>
      </c>
    </row>
    <row r="543" customFormat="false" ht="104" hidden="false" customHeight="true" outlineLevel="0" collapsed="false">
      <c r="A543" s="11" t="s">
        <v>8209</v>
      </c>
      <c r="B543" s="11" t="s">
        <v>977</v>
      </c>
      <c r="C543" s="11" t="s">
        <v>978</v>
      </c>
      <c r="D543" s="11" t="s">
        <v>8216</v>
      </c>
      <c r="E543" s="11" t="s">
        <v>8217</v>
      </c>
      <c r="F543" s="11" t="s">
        <v>4084</v>
      </c>
      <c r="G543" s="12" t="s">
        <v>9</v>
      </c>
    </row>
    <row r="544" customFormat="false" ht="104" hidden="false" customHeight="true" outlineLevel="0" collapsed="false">
      <c r="A544" s="11" t="s">
        <v>8209</v>
      </c>
      <c r="B544" s="11" t="s">
        <v>981</v>
      </c>
      <c r="C544" s="11" t="s">
        <v>982</v>
      </c>
      <c r="D544" s="11" t="s">
        <v>8218</v>
      </c>
      <c r="E544" s="11" t="s">
        <v>8219</v>
      </c>
      <c r="F544" s="11" t="s">
        <v>4084</v>
      </c>
      <c r="G544" s="12" t="s">
        <v>9</v>
      </c>
    </row>
    <row r="545" customFormat="false" ht="104" hidden="false" customHeight="true" outlineLevel="0" collapsed="false">
      <c r="A545" s="11" t="s">
        <v>8209</v>
      </c>
      <c r="B545" s="11" t="s">
        <v>985</v>
      </c>
      <c r="C545" s="11" t="s">
        <v>986</v>
      </c>
      <c r="D545" s="11" t="s">
        <v>8220</v>
      </c>
      <c r="E545" s="11" t="s">
        <v>8221</v>
      </c>
      <c r="F545" s="11" t="s">
        <v>4084</v>
      </c>
      <c r="G545" s="12" t="s">
        <v>9</v>
      </c>
    </row>
    <row r="546" customFormat="false" ht="104" hidden="false" customHeight="true" outlineLevel="0" collapsed="false">
      <c r="A546" s="11" t="s">
        <v>8209</v>
      </c>
      <c r="B546" s="11" t="s">
        <v>989</v>
      </c>
      <c r="C546" s="11" t="s">
        <v>990</v>
      </c>
      <c r="D546" s="11" t="s">
        <v>8222</v>
      </c>
      <c r="E546" s="11" t="s">
        <v>8223</v>
      </c>
      <c r="F546" s="11" t="s">
        <v>4084</v>
      </c>
      <c r="G546" s="12" t="s">
        <v>9</v>
      </c>
    </row>
    <row r="547" customFormat="false" ht="104" hidden="false" customHeight="true" outlineLevel="0" collapsed="false">
      <c r="A547" s="11" t="s">
        <v>8209</v>
      </c>
      <c r="B547" s="11" t="s">
        <v>993</v>
      </c>
      <c r="C547" s="11" t="s">
        <v>994</v>
      </c>
      <c r="D547" s="11" t="s">
        <v>8224</v>
      </c>
      <c r="E547" s="11" t="s">
        <v>8225</v>
      </c>
      <c r="F547" s="11" t="s">
        <v>4084</v>
      </c>
      <c r="G547" s="12" t="s">
        <v>9</v>
      </c>
    </row>
    <row r="548" customFormat="false" ht="104" hidden="false" customHeight="true" outlineLevel="0" collapsed="false">
      <c r="A548" s="11" t="s">
        <v>8209</v>
      </c>
      <c r="B548" s="11" t="s">
        <v>997</v>
      </c>
      <c r="C548" s="11" t="s">
        <v>998</v>
      </c>
      <c r="D548" s="11" t="s">
        <v>8226</v>
      </c>
      <c r="E548" s="11" t="s">
        <v>8227</v>
      </c>
      <c r="F548" s="11" t="s">
        <v>4084</v>
      </c>
      <c r="G548" s="12" t="s">
        <v>9</v>
      </c>
    </row>
    <row r="549" customFormat="false" ht="104" hidden="false" customHeight="true" outlineLevel="0" collapsed="false">
      <c r="A549" s="11" t="s">
        <v>8209</v>
      </c>
      <c r="B549" s="11" t="s">
        <v>1001</v>
      </c>
      <c r="C549" s="11" t="s">
        <v>1002</v>
      </c>
      <c r="D549" s="11" t="s">
        <v>8228</v>
      </c>
      <c r="E549" s="11" t="s">
        <v>8229</v>
      </c>
      <c r="F549" s="11" t="s">
        <v>4084</v>
      </c>
      <c r="G549" s="12" t="s">
        <v>9</v>
      </c>
    </row>
    <row r="550" customFormat="false" ht="104" hidden="false" customHeight="true" outlineLevel="0" collapsed="false">
      <c r="A550" s="11" t="s">
        <v>8209</v>
      </c>
      <c r="B550" s="11" t="s">
        <v>1006</v>
      </c>
      <c r="C550" s="11" t="s">
        <v>1007</v>
      </c>
      <c r="D550" s="11" t="s">
        <v>8230</v>
      </c>
      <c r="E550" s="11" t="s">
        <v>8231</v>
      </c>
      <c r="F550" s="11" t="s">
        <v>4084</v>
      </c>
      <c r="G550" s="12" t="s">
        <v>9</v>
      </c>
    </row>
    <row r="551" customFormat="false" ht="104" hidden="false" customHeight="true" outlineLevel="0" collapsed="false">
      <c r="A551" s="11" t="s">
        <v>8209</v>
      </c>
      <c r="B551" s="11" t="s">
        <v>1009</v>
      </c>
      <c r="C551" s="11" t="s">
        <v>1010</v>
      </c>
      <c r="D551" s="11" t="s">
        <v>8232</v>
      </c>
      <c r="E551" s="11" t="s">
        <v>8233</v>
      </c>
      <c r="F551" s="11" t="s">
        <v>4084</v>
      </c>
      <c r="G551" s="12" t="s">
        <v>9</v>
      </c>
    </row>
    <row r="552" customFormat="false" ht="104" hidden="false" customHeight="true" outlineLevel="0" collapsed="false">
      <c r="A552" s="11" t="s">
        <v>8209</v>
      </c>
      <c r="B552" s="11" t="s">
        <v>1013</v>
      </c>
      <c r="C552" s="11" t="s">
        <v>1014</v>
      </c>
      <c r="D552" s="11" t="s">
        <v>8234</v>
      </c>
      <c r="E552" s="11" t="s">
        <v>8235</v>
      </c>
      <c r="F552" s="11" t="s">
        <v>4084</v>
      </c>
      <c r="G552" s="12" t="s">
        <v>9</v>
      </c>
    </row>
    <row r="553" customFormat="false" ht="104" hidden="false" customHeight="true" outlineLevel="0" collapsed="false">
      <c r="A553" s="11" t="s">
        <v>8209</v>
      </c>
      <c r="B553" s="11" t="s">
        <v>1017</v>
      </c>
      <c r="C553" s="11" t="s">
        <v>1018</v>
      </c>
      <c r="D553" s="11" t="s">
        <v>8236</v>
      </c>
      <c r="E553" s="11" t="s">
        <v>8237</v>
      </c>
      <c r="F553" s="11" t="s">
        <v>4084</v>
      </c>
      <c r="G553" s="12" t="s">
        <v>9</v>
      </c>
    </row>
    <row r="554" customFormat="false" ht="104" hidden="false" customHeight="true" outlineLevel="0" collapsed="false">
      <c r="A554" s="11" t="s">
        <v>8209</v>
      </c>
      <c r="B554" s="11" t="s">
        <v>1021</v>
      </c>
      <c r="C554" s="11" t="s">
        <v>1022</v>
      </c>
      <c r="D554" s="11" t="s">
        <v>8238</v>
      </c>
      <c r="E554" s="11" t="s">
        <v>8239</v>
      </c>
      <c r="F554" s="11" t="s">
        <v>4084</v>
      </c>
      <c r="G554" s="12" t="s">
        <v>9</v>
      </c>
    </row>
    <row r="555" customFormat="false" ht="104" hidden="false" customHeight="true" outlineLevel="0" collapsed="false">
      <c r="A555" s="11" t="s">
        <v>8209</v>
      </c>
      <c r="B555" s="11" t="s">
        <v>1024</v>
      </c>
      <c r="C555" s="11" t="s">
        <v>1025</v>
      </c>
      <c r="D555" s="11" t="s">
        <v>8240</v>
      </c>
      <c r="E555" s="11" t="s">
        <v>8241</v>
      </c>
      <c r="F555" s="11" t="s">
        <v>4084</v>
      </c>
      <c r="G555" s="12" t="s">
        <v>9</v>
      </c>
    </row>
    <row r="556" customFormat="false" ht="104" hidden="false" customHeight="true" outlineLevel="0" collapsed="false">
      <c r="A556" s="11" t="s">
        <v>8209</v>
      </c>
      <c r="B556" s="11" t="s">
        <v>1027</v>
      </c>
      <c r="C556" s="11" t="s">
        <v>1028</v>
      </c>
      <c r="D556" s="11" t="s">
        <v>8242</v>
      </c>
      <c r="E556" s="11" t="s">
        <v>8243</v>
      </c>
      <c r="F556" s="11" t="s">
        <v>4084</v>
      </c>
      <c r="G556" s="12" t="s">
        <v>9</v>
      </c>
    </row>
    <row r="557" customFormat="false" ht="104" hidden="false" customHeight="true" outlineLevel="0" collapsed="false">
      <c r="A557" s="11" t="s">
        <v>8209</v>
      </c>
      <c r="B557" s="11" t="s">
        <v>1031</v>
      </c>
      <c r="C557" s="11" t="s">
        <v>1032</v>
      </c>
      <c r="D557" s="11" t="s">
        <v>8244</v>
      </c>
      <c r="E557" s="11" t="s">
        <v>8245</v>
      </c>
      <c r="F557" s="11" t="s">
        <v>4084</v>
      </c>
      <c r="G557" s="12" t="s">
        <v>9</v>
      </c>
    </row>
    <row r="558" customFormat="false" ht="104" hidden="false" customHeight="true" outlineLevel="0" collapsed="false">
      <c r="A558" s="11" t="s">
        <v>8209</v>
      </c>
      <c r="B558" s="11" t="s">
        <v>1034</v>
      </c>
      <c r="C558" s="11" t="s">
        <v>1035</v>
      </c>
      <c r="D558" s="11" t="s">
        <v>8246</v>
      </c>
      <c r="E558" s="11" t="s">
        <v>8247</v>
      </c>
      <c r="F558" s="11" t="s">
        <v>4084</v>
      </c>
      <c r="G558" s="12" t="s">
        <v>9</v>
      </c>
    </row>
    <row r="559" customFormat="false" ht="104" hidden="false" customHeight="true" outlineLevel="0" collapsed="false">
      <c r="A559" s="11" t="s">
        <v>8209</v>
      </c>
      <c r="B559" s="11" t="s">
        <v>1037</v>
      </c>
      <c r="C559" s="11" t="s">
        <v>1038</v>
      </c>
      <c r="D559" s="11" t="s">
        <v>8248</v>
      </c>
      <c r="E559" s="11" t="s">
        <v>8249</v>
      </c>
      <c r="F559" s="11" t="s">
        <v>4084</v>
      </c>
      <c r="G559" s="12" t="s">
        <v>9</v>
      </c>
    </row>
    <row r="560" customFormat="false" ht="104" hidden="false" customHeight="true" outlineLevel="0" collapsed="false">
      <c r="A560" s="11" t="s">
        <v>8209</v>
      </c>
      <c r="B560" s="11" t="s">
        <v>1040</v>
      </c>
      <c r="C560" s="11" t="s">
        <v>1041</v>
      </c>
      <c r="D560" s="11" t="s">
        <v>8250</v>
      </c>
      <c r="E560" s="11" t="s">
        <v>8251</v>
      </c>
      <c r="F560" s="11" t="s">
        <v>4084</v>
      </c>
      <c r="G560" s="12" t="s">
        <v>9</v>
      </c>
    </row>
    <row r="561" customFormat="false" ht="104" hidden="false" customHeight="true" outlineLevel="0" collapsed="false">
      <c r="A561" s="11" t="s">
        <v>8209</v>
      </c>
      <c r="B561" s="11" t="s">
        <v>1043</v>
      </c>
      <c r="C561" s="11" t="s">
        <v>1044</v>
      </c>
      <c r="D561" s="11" t="s">
        <v>8252</v>
      </c>
      <c r="E561" s="11" t="s">
        <v>8253</v>
      </c>
      <c r="F561" s="11" t="s">
        <v>4084</v>
      </c>
      <c r="G561" s="12" t="s">
        <v>9</v>
      </c>
    </row>
    <row r="562" customFormat="false" ht="104" hidden="false" customHeight="true" outlineLevel="0" collapsed="false">
      <c r="A562" s="11" t="s">
        <v>8209</v>
      </c>
      <c r="B562" s="11" t="s">
        <v>1047</v>
      </c>
      <c r="C562" s="11" t="s">
        <v>1048</v>
      </c>
      <c r="D562" s="11" t="s">
        <v>8254</v>
      </c>
      <c r="E562" s="11" t="s">
        <v>8255</v>
      </c>
      <c r="F562" s="11" t="s">
        <v>4084</v>
      </c>
      <c r="G562" s="12" t="s">
        <v>9</v>
      </c>
    </row>
    <row r="563" customFormat="false" ht="104" hidden="false" customHeight="true" outlineLevel="0" collapsed="false">
      <c r="A563" s="11" t="s">
        <v>8209</v>
      </c>
      <c r="B563" s="11" t="s">
        <v>1050</v>
      </c>
      <c r="C563" s="11" t="s">
        <v>1051</v>
      </c>
      <c r="D563" s="11" t="s">
        <v>8256</v>
      </c>
      <c r="E563" s="11" t="s">
        <v>8257</v>
      </c>
      <c r="F563" s="11" t="s">
        <v>4084</v>
      </c>
      <c r="G563" s="12" t="s">
        <v>9</v>
      </c>
    </row>
    <row r="564" customFormat="false" ht="104" hidden="false" customHeight="true" outlineLevel="0" collapsed="false">
      <c r="A564" s="11" t="s">
        <v>8209</v>
      </c>
      <c r="B564" s="11" t="s">
        <v>1052</v>
      </c>
      <c r="C564" s="11" t="s">
        <v>1053</v>
      </c>
      <c r="D564" s="11" t="s">
        <v>8258</v>
      </c>
      <c r="E564" s="11" t="s">
        <v>8259</v>
      </c>
      <c r="F564" s="11" t="s">
        <v>4084</v>
      </c>
      <c r="G564" s="12" t="s">
        <v>9</v>
      </c>
    </row>
    <row r="565" customFormat="false" ht="104" hidden="false" customHeight="true" outlineLevel="0" collapsed="false">
      <c r="A565" s="11" t="s">
        <v>8209</v>
      </c>
      <c r="B565" s="11" t="s">
        <v>1056</v>
      </c>
      <c r="C565" s="11" t="s">
        <v>1057</v>
      </c>
      <c r="D565" s="11" t="s">
        <v>8260</v>
      </c>
      <c r="E565" s="11" t="s">
        <v>8261</v>
      </c>
      <c r="F565" s="11" t="s">
        <v>4084</v>
      </c>
      <c r="G565" s="12" t="s">
        <v>9</v>
      </c>
    </row>
    <row r="566" customFormat="false" ht="104" hidden="false" customHeight="true" outlineLevel="0" collapsed="false">
      <c r="A566" s="11" t="s">
        <v>8209</v>
      </c>
      <c r="B566" s="11" t="s">
        <v>1059</v>
      </c>
      <c r="C566" s="11" t="s">
        <v>1060</v>
      </c>
      <c r="D566" s="11" t="s">
        <v>8262</v>
      </c>
      <c r="E566" s="11" t="s">
        <v>8263</v>
      </c>
      <c r="F566" s="11" t="s">
        <v>4084</v>
      </c>
      <c r="G566" s="12" t="s">
        <v>9</v>
      </c>
    </row>
    <row r="567" customFormat="false" ht="104" hidden="false" customHeight="true" outlineLevel="0" collapsed="false">
      <c r="A567" s="11" t="s">
        <v>8209</v>
      </c>
      <c r="B567" s="11" t="s">
        <v>1063</v>
      </c>
      <c r="C567" s="11" t="s">
        <v>1064</v>
      </c>
      <c r="D567" s="11" t="s">
        <v>8264</v>
      </c>
      <c r="E567" s="11" t="s">
        <v>8265</v>
      </c>
      <c r="F567" s="11" t="s">
        <v>4084</v>
      </c>
      <c r="G567" s="12" t="s">
        <v>9</v>
      </c>
    </row>
    <row r="568" customFormat="false" ht="104" hidden="false" customHeight="true" outlineLevel="0" collapsed="false">
      <c r="A568" s="11" t="s">
        <v>8209</v>
      </c>
      <c r="B568" s="11" t="s">
        <v>1066</v>
      </c>
      <c r="C568" s="11" t="s">
        <v>1067</v>
      </c>
      <c r="D568" s="11" t="s">
        <v>8266</v>
      </c>
      <c r="E568" s="11" t="s">
        <v>8267</v>
      </c>
      <c r="F568" s="11" t="s">
        <v>4084</v>
      </c>
      <c r="G568" s="12" t="s">
        <v>9</v>
      </c>
    </row>
    <row r="569" customFormat="false" ht="104" hidden="false" customHeight="true" outlineLevel="0" collapsed="false">
      <c r="A569" s="11" t="s">
        <v>8209</v>
      </c>
      <c r="B569" s="11" t="s">
        <v>1070</v>
      </c>
      <c r="C569" s="11" t="s">
        <v>1071</v>
      </c>
      <c r="D569" s="11" t="s">
        <v>8268</v>
      </c>
      <c r="E569" s="11" t="s">
        <v>8269</v>
      </c>
      <c r="F569" s="11" t="s">
        <v>4084</v>
      </c>
      <c r="G569" s="12" t="s">
        <v>9</v>
      </c>
    </row>
    <row r="570" customFormat="false" ht="104" hidden="false" customHeight="true" outlineLevel="0" collapsed="false">
      <c r="A570" s="11" t="s">
        <v>8209</v>
      </c>
      <c r="B570" s="11" t="s">
        <v>1072</v>
      </c>
      <c r="C570" s="11" t="s">
        <v>1073</v>
      </c>
      <c r="D570" s="11" t="s">
        <v>8270</v>
      </c>
      <c r="E570" s="11" t="s">
        <v>8271</v>
      </c>
      <c r="F570" s="11" t="s">
        <v>4084</v>
      </c>
      <c r="G570" s="12" t="s">
        <v>9</v>
      </c>
    </row>
    <row r="571" customFormat="false" ht="104" hidden="false" customHeight="true" outlineLevel="0" collapsed="false">
      <c r="A571" s="11" t="s">
        <v>8209</v>
      </c>
      <c r="B571" s="11" t="s">
        <v>1075</v>
      </c>
      <c r="C571" s="11" t="s">
        <v>1076</v>
      </c>
      <c r="D571" s="11" t="s">
        <v>8272</v>
      </c>
      <c r="E571" s="11" t="s">
        <v>8273</v>
      </c>
      <c r="F571" s="11" t="s">
        <v>4084</v>
      </c>
      <c r="G571" s="12" t="s">
        <v>9</v>
      </c>
    </row>
    <row r="572" customFormat="false" ht="104" hidden="false" customHeight="true" outlineLevel="0" collapsed="false">
      <c r="A572" s="11" t="s">
        <v>8209</v>
      </c>
      <c r="B572" s="11" t="s">
        <v>1078</v>
      </c>
      <c r="C572" s="11" t="s">
        <v>1079</v>
      </c>
      <c r="D572" s="11" t="s">
        <v>8274</v>
      </c>
      <c r="E572" s="11" t="s">
        <v>8275</v>
      </c>
      <c r="F572" s="11" t="s">
        <v>4084</v>
      </c>
      <c r="G572" s="12" t="s">
        <v>9</v>
      </c>
    </row>
    <row r="573" customFormat="false" ht="104" hidden="false" customHeight="true" outlineLevel="0" collapsed="false">
      <c r="A573" s="11" t="s">
        <v>8209</v>
      </c>
      <c r="B573" s="11" t="s">
        <v>1081</v>
      </c>
      <c r="C573" s="11" t="s">
        <v>1082</v>
      </c>
      <c r="D573" s="11" t="s">
        <v>8276</v>
      </c>
      <c r="E573" s="11" t="s">
        <v>8277</v>
      </c>
      <c r="F573" s="11" t="s">
        <v>4084</v>
      </c>
      <c r="G573" s="12" t="s">
        <v>9</v>
      </c>
    </row>
    <row r="574" customFormat="false" ht="104" hidden="false" customHeight="true" outlineLevel="0" collapsed="false">
      <c r="A574" s="11" t="s">
        <v>8209</v>
      </c>
      <c r="B574" s="11" t="s">
        <v>1084</v>
      </c>
      <c r="C574" s="11" t="s">
        <v>1085</v>
      </c>
      <c r="D574" s="11" t="s">
        <v>8278</v>
      </c>
      <c r="E574" s="11" t="s">
        <v>8279</v>
      </c>
      <c r="F574" s="11" t="s">
        <v>4084</v>
      </c>
      <c r="G574" s="12" t="s">
        <v>9</v>
      </c>
    </row>
    <row r="575" customFormat="false" ht="104" hidden="false" customHeight="true" outlineLevel="0" collapsed="false">
      <c r="A575" s="11" t="s">
        <v>8209</v>
      </c>
      <c r="B575" s="11" t="s">
        <v>1088</v>
      </c>
      <c r="C575" s="11" t="s">
        <v>1089</v>
      </c>
      <c r="D575" s="11" t="s">
        <v>8280</v>
      </c>
      <c r="E575" s="11" t="s">
        <v>8281</v>
      </c>
      <c r="F575" s="11" t="s">
        <v>4084</v>
      </c>
      <c r="G575" s="12" t="s">
        <v>9</v>
      </c>
    </row>
    <row r="576" customFormat="false" ht="104" hidden="false" customHeight="true" outlineLevel="0" collapsed="false">
      <c r="A576" s="11" t="s">
        <v>8209</v>
      </c>
      <c r="B576" s="11" t="s">
        <v>1091</v>
      </c>
      <c r="C576" s="11" t="s">
        <v>1092</v>
      </c>
      <c r="D576" s="11" t="s">
        <v>8282</v>
      </c>
      <c r="E576" s="11" t="s">
        <v>8283</v>
      </c>
      <c r="F576" s="11" t="s">
        <v>4084</v>
      </c>
      <c r="G576" s="12" t="s">
        <v>9</v>
      </c>
    </row>
    <row r="577" customFormat="false" ht="104" hidden="false" customHeight="true" outlineLevel="0" collapsed="false">
      <c r="A577" s="11" t="s">
        <v>8209</v>
      </c>
      <c r="B577" s="11" t="s">
        <v>1095</v>
      </c>
      <c r="C577" s="11" t="s">
        <v>1096</v>
      </c>
      <c r="D577" s="11" t="s">
        <v>8284</v>
      </c>
      <c r="E577" s="11" t="s">
        <v>8285</v>
      </c>
      <c r="F577" s="11" t="s">
        <v>4084</v>
      </c>
      <c r="G577" s="12" t="s">
        <v>9</v>
      </c>
    </row>
    <row r="578" customFormat="false" ht="104" hidden="false" customHeight="true" outlineLevel="0" collapsed="false">
      <c r="A578" s="11" t="s">
        <v>8209</v>
      </c>
      <c r="B578" s="11" t="s">
        <v>1098</v>
      </c>
      <c r="C578" s="11" t="s">
        <v>1099</v>
      </c>
      <c r="D578" s="11" t="s">
        <v>8286</v>
      </c>
      <c r="E578" s="11" t="s">
        <v>8287</v>
      </c>
      <c r="F578" s="11" t="s">
        <v>4084</v>
      </c>
      <c r="G578" s="12" t="s">
        <v>9</v>
      </c>
    </row>
    <row r="579" customFormat="false" ht="104" hidden="false" customHeight="true" outlineLevel="0" collapsed="false">
      <c r="A579" s="11" t="s">
        <v>8209</v>
      </c>
      <c r="B579" s="11" t="s">
        <v>1102</v>
      </c>
      <c r="C579" s="11" t="s">
        <v>1103</v>
      </c>
      <c r="D579" s="11" t="s">
        <v>8288</v>
      </c>
      <c r="E579" s="11" t="s">
        <v>8289</v>
      </c>
      <c r="F579" s="11" t="s">
        <v>4084</v>
      </c>
      <c r="G579" s="12" t="s">
        <v>9</v>
      </c>
    </row>
    <row r="580" customFormat="false" ht="104" hidden="false" customHeight="true" outlineLevel="0" collapsed="false">
      <c r="A580" s="11" t="s">
        <v>8209</v>
      </c>
      <c r="B580" s="11" t="s">
        <v>1106</v>
      </c>
      <c r="C580" s="11" t="s">
        <v>1107</v>
      </c>
      <c r="D580" s="11" t="s">
        <v>8290</v>
      </c>
      <c r="E580" s="11" t="s">
        <v>8291</v>
      </c>
      <c r="F580" s="11" t="s">
        <v>4084</v>
      </c>
      <c r="G580" s="12" t="s">
        <v>9</v>
      </c>
    </row>
    <row r="581" customFormat="false" ht="104" hidden="false" customHeight="true" outlineLevel="0" collapsed="false">
      <c r="A581" s="11" t="s">
        <v>8209</v>
      </c>
      <c r="B581" s="11" t="s">
        <v>1110</v>
      </c>
      <c r="C581" s="11" t="s">
        <v>1111</v>
      </c>
      <c r="D581" s="11" t="s">
        <v>8292</v>
      </c>
      <c r="E581" s="11" t="s">
        <v>8293</v>
      </c>
      <c r="F581" s="11" t="s">
        <v>4084</v>
      </c>
      <c r="G581" s="12" t="s">
        <v>9</v>
      </c>
    </row>
    <row r="582" customFormat="false" ht="104" hidden="false" customHeight="true" outlineLevel="0" collapsed="false">
      <c r="A582" s="11" t="s">
        <v>8209</v>
      </c>
      <c r="B582" s="11" t="s">
        <v>1113</v>
      </c>
      <c r="C582" s="11" t="s">
        <v>1114</v>
      </c>
      <c r="D582" s="11" t="s">
        <v>8294</v>
      </c>
      <c r="E582" s="11" t="s">
        <v>8295</v>
      </c>
      <c r="F582" s="11" t="s">
        <v>4084</v>
      </c>
      <c r="G582" s="12" t="s">
        <v>9</v>
      </c>
    </row>
    <row r="583" customFormat="false" ht="104" hidden="false" customHeight="true" outlineLevel="0" collapsed="false">
      <c r="A583" s="11" t="s">
        <v>8209</v>
      </c>
      <c r="B583" s="11" t="s">
        <v>1117</v>
      </c>
      <c r="C583" s="11" t="s">
        <v>1118</v>
      </c>
      <c r="D583" s="11" t="s">
        <v>8296</v>
      </c>
      <c r="E583" s="11" t="s">
        <v>8297</v>
      </c>
      <c r="F583" s="11" t="s">
        <v>4084</v>
      </c>
      <c r="G583" s="12" t="s">
        <v>9</v>
      </c>
    </row>
    <row r="584" customFormat="false" ht="104" hidden="false" customHeight="true" outlineLevel="0" collapsed="false">
      <c r="A584" s="11" t="s">
        <v>8209</v>
      </c>
      <c r="B584" s="11" t="s">
        <v>1121</v>
      </c>
      <c r="C584" s="11" t="s">
        <v>1122</v>
      </c>
      <c r="D584" s="11" t="s">
        <v>8298</v>
      </c>
      <c r="E584" s="11" t="s">
        <v>8299</v>
      </c>
      <c r="F584" s="11" t="s">
        <v>4084</v>
      </c>
      <c r="G584" s="12" t="s">
        <v>9</v>
      </c>
    </row>
    <row r="585" customFormat="false" ht="104" hidden="false" customHeight="true" outlineLevel="0" collapsed="false">
      <c r="A585" s="11" t="s">
        <v>8209</v>
      </c>
      <c r="B585" s="11" t="s">
        <v>1124</v>
      </c>
      <c r="C585" s="11" t="s">
        <v>1125</v>
      </c>
      <c r="D585" s="11" t="s">
        <v>8300</v>
      </c>
      <c r="E585" s="11" t="s">
        <v>8301</v>
      </c>
      <c r="F585" s="11" t="s">
        <v>4084</v>
      </c>
      <c r="G585" s="12" t="s">
        <v>9</v>
      </c>
    </row>
    <row r="586" customFormat="false" ht="104" hidden="false" customHeight="true" outlineLevel="0" collapsed="false">
      <c r="A586" s="11" t="s">
        <v>8209</v>
      </c>
      <c r="B586" s="11" t="s">
        <v>1128</v>
      </c>
      <c r="C586" s="11" t="s">
        <v>1129</v>
      </c>
      <c r="D586" s="11" t="s">
        <v>8302</v>
      </c>
      <c r="E586" s="11" t="s">
        <v>8303</v>
      </c>
      <c r="F586" s="11" t="s">
        <v>4084</v>
      </c>
      <c r="G586" s="12" t="s">
        <v>9</v>
      </c>
    </row>
    <row r="587" customFormat="false" ht="104" hidden="false" customHeight="true" outlineLevel="0" collapsed="false">
      <c r="A587" s="11" t="s">
        <v>8209</v>
      </c>
      <c r="B587" s="11" t="s">
        <v>1133</v>
      </c>
      <c r="C587" s="11" t="s">
        <v>1134</v>
      </c>
      <c r="D587" s="11" t="s">
        <v>8304</v>
      </c>
      <c r="E587" s="11" t="s">
        <v>8305</v>
      </c>
      <c r="F587" s="11" t="s">
        <v>4084</v>
      </c>
      <c r="G587" s="12" t="s">
        <v>9</v>
      </c>
    </row>
    <row r="588" customFormat="false" ht="104" hidden="false" customHeight="true" outlineLevel="0" collapsed="false">
      <c r="A588" s="11" t="s">
        <v>8209</v>
      </c>
      <c r="B588" s="11" t="s">
        <v>1138</v>
      </c>
      <c r="C588" s="11" t="s">
        <v>1139</v>
      </c>
      <c r="D588" s="11" t="s">
        <v>8306</v>
      </c>
      <c r="E588" s="11" t="s">
        <v>8307</v>
      </c>
      <c r="F588" s="11" t="s">
        <v>4084</v>
      </c>
      <c r="G588" s="12" t="s">
        <v>9</v>
      </c>
    </row>
    <row r="589" customFormat="false" ht="104" hidden="false" customHeight="true" outlineLevel="0" collapsed="false">
      <c r="A589" s="11" t="s">
        <v>8209</v>
      </c>
      <c r="B589" s="11" t="s">
        <v>1142</v>
      </c>
      <c r="C589" s="11" t="s">
        <v>1143</v>
      </c>
      <c r="D589" s="11" t="s">
        <v>8308</v>
      </c>
      <c r="E589" s="11" t="s">
        <v>8309</v>
      </c>
      <c r="F589" s="11" t="s">
        <v>4084</v>
      </c>
      <c r="G589" s="12" t="s">
        <v>9</v>
      </c>
    </row>
    <row r="590" customFormat="false" ht="104" hidden="false" customHeight="true" outlineLevel="0" collapsed="false">
      <c r="A590" s="11" t="s">
        <v>8209</v>
      </c>
      <c r="B590" s="11" t="s">
        <v>1146</v>
      </c>
      <c r="C590" s="11" t="s">
        <v>1147</v>
      </c>
      <c r="D590" s="11" t="s">
        <v>8310</v>
      </c>
      <c r="E590" s="11" t="s">
        <v>8311</v>
      </c>
      <c r="F590" s="11" t="s">
        <v>4084</v>
      </c>
      <c r="G590" s="12" t="s">
        <v>9</v>
      </c>
    </row>
    <row r="591" customFormat="false" ht="104" hidden="false" customHeight="true" outlineLevel="0" collapsed="false">
      <c r="A591" s="11" t="s">
        <v>8209</v>
      </c>
      <c r="B591" s="11" t="s">
        <v>1151</v>
      </c>
      <c r="C591" s="11" t="s">
        <v>1152</v>
      </c>
      <c r="D591" s="11" t="s">
        <v>8312</v>
      </c>
      <c r="E591" s="11" t="s">
        <v>8313</v>
      </c>
      <c r="F591" s="11" t="s">
        <v>4084</v>
      </c>
      <c r="G591" s="12" t="s">
        <v>9</v>
      </c>
    </row>
    <row r="592" customFormat="false" ht="104" hidden="false" customHeight="true" outlineLevel="0" collapsed="false">
      <c r="A592" s="11" t="s">
        <v>8209</v>
      </c>
      <c r="B592" s="11" t="s">
        <v>1154</v>
      </c>
      <c r="C592" s="11" t="s">
        <v>1155</v>
      </c>
      <c r="D592" s="11" t="s">
        <v>8314</v>
      </c>
      <c r="E592" s="11" t="s">
        <v>8315</v>
      </c>
      <c r="F592" s="11" t="s">
        <v>4084</v>
      </c>
      <c r="G592" s="12" t="s">
        <v>9</v>
      </c>
    </row>
    <row r="593" customFormat="false" ht="104" hidden="false" customHeight="true" outlineLevel="0" collapsed="false">
      <c r="A593" s="11" t="s">
        <v>8209</v>
      </c>
      <c r="B593" s="11" t="s">
        <v>1157</v>
      </c>
      <c r="C593" s="11" t="s">
        <v>1158</v>
      </c>
      <c r="D593" s="11" t="s">
        <v>8316</v>
      </c>
      <c r="E593" s="11" t="s">
        <v>8317</v>
      </c>
      <c r="F593" s="11" t="s">
        <v>4084</v>
      </c>
      <c r="G593" s="12" t="s">
        <v>9</v>
      </c>
    </row>
    <row r="594" customFormat="false" ht="104" hidden="false" customHeight="true" outlineLevel="0" collapsed="false">
      <c r="A594" s="11" t="s">
        <v>8209</v>
      </c>
      <c r="B594" s="11" t="s">
        <v>1160</v>
      </c>
      <c r="C594" s="11" t="s">
        <v>1161</v>
      </c>
      <c r="D594" s="11" t="s">
        <v>8318</v>
      </c>
      <c r="E594" s="11" t="s">
        <v>8319</v>
      </c>
      <c r="F594" s="11" t="s">
        <v>4084</v>
      </c>
      <c r="G594" s="12" t="s">
        <v>9</v>
      </c>
    </row>
    <row r="595" customFormat="false" ht="104" hidden="false" customHeight="true" outlineLevel="0" collapsed="false">
      <c r="A595" s="11" t="s">
        <v>8209</v>
      </c>
      <c r="B595" s="11" t="s">
        <v>1170</v>
      </c>
      <c r="C595" s="11" t="s">
        <v>1171</v>
      </c>
      <c r="D595" s="11" t="s">
        <v>8320</v>
      </c>
      <c r="E595" s="11" t="s">
        <v>8321</v>
      </c>
      <c r="F595" s="11" t="s">
        <v>4084</v>
      </c>
      <c r="G595" s="12" t="s">
        <v>9</v>
      </c>
    </row>
    <row r="596" customFormat="false" ht="104" hidden="false" customHeight="true" outlineLevel="0" collapsed="false">
      <c r="A596" s="11" t="s">
        <v>8209</v>
      </c>
      <c r="B596" s="11" t="s">
        <v>1174</v>
      </c>
      <c r="C596" s="11" t="s">
        <v>1175</v>
      </c>
      <c r="D596" s="11" t="s">
        <v>8322</v>
      </c>
      <c r="E596" s="11" t="s">
        <v>8323</v>
      </c>
      <c r="F596" s="11" t="s">
        <v>4084</v>
      </c>
      <c r="G596" s="12" t="s">
        <v>9</v>
      </c>
    </row>
    <row r="597" customFormat="false" ht="104" hidden="false" customHeight="true" outlineLevel="0" collapsed="false">
      <c r="A597" s="11" t="s">
        <v>8209</v>
      </c>
      <c r="B597" s="11" t="s">
        <v>1178</v>
      </c>
      <c r="C597" s="11" t="s">
        <v>1179</v>
      </c>
      <c r="D597" s="11" t="s">
        <v>8324</v>
      </c>
      <c r="E597" s="11" t="s">
        <v>8325</v>
      </c>
      <c r="F597" s="11" t="s">
        <v>4084</v>
      </c>
      <c r="G597" s="12" t="s">
        <v>9</v>
      </c>
    </row>
    <row r="598" customFormat="false" ht="104" hidden="false" customHeight="true" outlineLevel="0" collapsed="false">
      <c r="A598" s="11" t="s">
        <v>8209</v>
      </c>
      <c r="B598" s="11" t="s">
        <v>1181</v>
      </c>
      <c r="C598" s="11" t="s">
        <v>1182</v>
      </c>
      <c r="D598" s="11" t="s">
        <v>8326</v>
      </c>
      <c r="E598" s="11" t="s">
        <v>8327</v>
      </c>
      <c r="F598" s="11" t="s">
        <v>4084</v>
      </c>
      <c r="G598" s="12" t="s">
        <v>9</v>
      </c>
    </row>
    <row r="599" customFormat="false" ht="104" hidden="false" customHeight="true" outlineLevel="0" collapsed="false">
      <c r="A599" s="11" t="s">
        <v>8209</v>
      </c>
      <c r="B599" s="11" t="s">
        <v>1184</v>
      </c>
      <c r="C599" s="11" t="s">
        <v>1185</v>
      </c>
      <c r="D599" s="11" t="s">
        <v>8328</v>
      </c>
      <c r="E599" s="11" t="s">
        <v>8329</v>
      </c>
      <c r="F599" s="11" t="s">
        <v>4084</v>
      </c>
      <c r="G599" s="12" t="s">
        <v>9</v>
      </c>
    </row>
    <row r="600" customFormat="false" ht="104" hidden="false" customHeight="true" outlineLevel="0" collapsed="false">
      <c r="A600" s="11" t="s">
        <v>8209</v>
      </c>
      <c r="B600" s="11" t="s">
        <v>1187</v>
      </c>
      <c r="C600" s="11" t="s">
        <v>1188</v>
      </c>
      <c r="D600" s="11" t="s">
        <v>8330</v>
      </c>
      <c r="E600" s="11" t="s">
        <v>8331</v>
      </c>
      <c r="F600" s="11" t="s">
        <v>4084</v>
      </c>
      <c r="G600" s="12" t="s">
        <v>9</v>
      </c>
    </row>
    <row r="601" customFormat="false" ht="104" hidden="false" customHeight="true" outlineLevel="0" collapsed="false">
      <c r="A601" s="11" t="s">
        <v>8209</v>
      </c>
      <c r="B601" s="11" t="s">
        <v>1191</v>
      </c>
      <c r="C601" s="11" t="s">
        <v>1192</v>
      </c>
      <c r="D601" s="11" t="s">
        <v>8332</v>
      </c>
      <c r="E601" s="11" t="s">
        <v>8333</v>
      </c>
      <c r="F601" s="11" t="s">
        <v>4084</v>
      </c>
      <c r="G601" s="12" t="s">
        <v>9</v>
      </c>
    </row>
    <row r="602" customFormat="false" ht="104" hidden="false" customHeight="true" outlineLevel="0" collapsed="false">
      <c r="A602" s="11" t="s">
        <v>8209</v>
      </c>
      <c r="B602" s="11" t="s">
        <v>1194</v>
      </c>
      <c r="C602" s="11" t="s">
        <v>1195</v>
      </c>
      <c r="D602" s="11" t="s">
        <v>8334</v>
      </c>
      <c r="E602" s="11" t="s">
        <v>8335</v>
      </c>
      <c r="F602" s="11" t="s">
        <v>4084</v>
      </c>
      <c r="G602" s="12" t="s">
        <v>9</v>
      </c>
    </row>
    <row r="603" customFormat="false" ht="104" hidden="false" customHeight="true" outlineLevel="0" collapsed="false">
      <c r="A603" s="11" t="s">
        <v>8209</v>
      </c>
      <c r="B603" s="11" t="s">
        <v>1198</v>
      </c>
      <c r="C603" s="11" t="s">
        <v>1199</v>
      </c>
      <c r="D603" s="11" t="s">
        <v>8336</v>
      </c>
      <c r="E603" s="11" t="s">
        <v>8337</v>
      </c>
      <c r="F603" s="11" t="s">
        <v>4084</v>
      </c>
      <c r="G603" s="12" t="s">
        <v>9</v>
      </c>
    </row>
    <row r="604" customFormat="false" ht="104" hidden="false" customHeight="true" outlineLevel="0" collapsed="false">
      <c r="A604" s="11" t="s">
        <v>8209</v>
      </c>
      <c r="B604" s="11" t="s">
        <v>1201</v>
      </c>
      <c r="C604" s="11" t="s">
        <v>1202</v>
      </c>
      <c r="D604" s="11" t="s">
        <v>8338</v>
      </c>
      <c r="E604" s="11" t="s">
        <v>8339</v>
      </c>
      <c r="F604" s="11" t="s">
        <v>4084</v>
      </c>
      <c r="G604" s="12" t="s">
        <v>9</v>
      </c>
    </row>
    <row r="605" customFormat="false" ht="104" hidden="false" customHeight="true" outlineLevel="0" collapsed="false">
      <c r="A605" s="11" t="s">
        <v>8209</v>
      </c>
      <c r="B605" s="11" t="s">
        <v>1204</v>
      </c>
      <c r="C605" s="11" t="s">
        <v>1205</v>
      </c>
      <c r="D605" s="11" t="s">
        <v>8340</v>
      </c>
      <c r="E605" s="11" t="s">
        <v>8341</v>
      </c>
      <c r="F605" s="11" t="s">
        <v>4084</v>
      </c>
      <c r="G605" s="12" t="s">
        <v>9</v>
      </c>
    </row>
    <row r="606" customFormat="false" ht="104" hidden="false" customHeight="true" outlineLevel="0" collapsed="false">
      <c r="A606" s="11" t="s">
        <v>8209</v>
      </c>
      <c r="B606" s="11" t="s">
        <v>1207</v>
      </c>
      <c r="C606" s="11" t="s">
        <v>1208</v>
      </c>
      <c r="D606" s="11" t="s">
        <v>8342</v>
      </c>
      <c r="E606" s="11" t="s">
        <v>8343</v>
      </c>
      <c r="F606" s="11" t="s">
        <v>4084</v>
      </c>
      <c r="G606" s="12" t="s">
        <v>9</v>
      </c>
    </row>
    <row r="607" customFormat="false" ht="104" hidden="false" customHeight="true" outlineLevel="0" collapsed="false">
      <c r="A607" s="11" t="s">
        <v>8209</v>
      </c>
      <c r="B607" s="11" t="s">
        <v>1211</v>
      </c>
      <c r="C607" s="11" t="s">
        <v>1212</v>
      </c>
      <c r="D607" s="11" t="s">
        <v>8344</v>
      </c>
      <c r="E607" s="11" t="s">
        <v>8345</v>
      </c>
      <c r="F607" s="11" t="s">
        <v>4084</v>
      </c>
      <c r="G607" s="12" t="s">
        <v>9</v>
      </c>
    </row>
    <row r="608" customFormat="false" ht="104" hidden="false" customHeight="true" outlineLevel="0" collapsed="false">
      <c r="A608" s="11" t="s">
        <v>8209</v>
      </c>
      <c r="B608" s="11" t="s">
        <v>1215</v>
      </c>
      <c r="C608" s="11" t="s">
        <v>1216</v>
      </c>
      <c r="D608" s="11" t="s">
        <v>8346</v>
      </c>
      <c r="E608" s="11" t="s">
        <v>8347</v>
      </c>
      <c r="F608" s="11" t="s">
        <v>4084</v>
      </c>
      <c r="G608" s="12" t="s">
        <v>9</v>
      </c>
    </row>
    <row r="609" customFormat="false" ht="104" hidden="false" customHeight="true" outlineLevel="0" collapsed="false">
      <c r="A609" s="11" t="s">
        <v>8209</v>
      </c>
      <c r="B609" s="11" t="s">
        <v>1218</v>
      </c>
      <c r="C609" s="11" t="s">
        <v>1219</v>
      </c>
      <c r="D609" s="11" t="s">
        <v>8348</v>
      </c>
      <c r="E609" s="11" t="s">
        <v>8349</v>
      </c>
      <c r="F609" s="11" t="s">
        <v>4084</v>
      </c>
      <c r="G609" s="12" t="s">
        <v>9</v>
      </c>
    </row>
    <row r="610" customFormat="false" ht="104" hidden="false" customHeight="true" outlineLevel="0" collapsed="false">
      <c r="A610" s="11" t="s">
        <v>8209</v>
      </c>
      <c r="B610" s="11" t="s">
        <v>1220</v>
      </c>
      <c r="C610" s="11" t="s">
        <v>1221</v>
      </c>
      <c r="D610" s="11" t="s">
        <v>8350</v>
      </c>
      <c r="E610" s="11" t="s">
        <v>8351</v>
      </c>
      <c r="F610" s="11" t="s">
        <v>4084</v>
      </c>
      <c r="G610" s="12" t="s">
        <v>9</v>
      </c>
    </row>
    <row r="611" customFormat="false" ht="104" hidden="false" customHeight="true" outlineLevel="0" collapsed="false">
      <c r="A611" s="11" t="s">
        <v>8209</v>
      </c>
      <c r="B611" s="11" t="s">
        <v>1223</v>
      </c>
      <c r="C611" s="11" t="s">
        <v>1224</v>
      </c>
      <c r="D611" s="11" t="s">
        <v>8352</v>
      </c>
      <c r="E611" s="11" t="s">
        <v>8353</v>
      </c>
      <c r="F611" s="11" t="s">
        <v>4084</v>
      </c>
      <c r="G611" s="12" t="s">
        <v>9</v>
      </c>
    </row>
    <row r="612" customFormat="false" ht="104" hidden="false" customHeight="true" outlineLevel="0" collapsed="false">
      <c r="A612" s="11" t="s">
        <v>8209</v>
      </c>
      <c r="B612" s="11" t="s">
        <v>1227</v>
      </c>
      <c r="C612" s="11" t="s">
        <v>1228</v>
      </c>
      <c r="D612" s="11" t="s">
        <v>8354</v>
      </c>
      <c r="E612" s="11" t="s">
        <v>8355</v>
      </c>
      <c r="F612" s="11" t="s">
        <v>4084</v>
      </c>
      <c r="G612" s="12" t="s">
        <v>9</v>
      </c>
    </row>
    <row r="613" customFormat="false" ht="104" hidden="false" customHeight="true" outlineLevel="0" collapsed="false">
      <c r="A613" s="11" t="s">
        <v>8209</v>
      </c>
      <c r="B613" s="11" t="s">
        <v>1230</v>
      </c>
      <c r="C613" s="11" t="s">
        <v>1161</v>
      </c>
      <c r="D613" s="11" t="s">
        <v>8356</v>
      </c>
      <c r="E613" s="11" t="s">
        <v>8357</v>
      </c>
      <c r="F613" s="11" t="s">
        <v>4084</v>
      </c>
      <c r="G613" s="12" t="s">
        <v>9</v>
      </c>
    </row>
    <row r="614" customFormat="false" ht="104" hidden="false" customHeight="true" outlineLevel="0" collapsed="false">
      <c r="A614" s="11" t="s">
        <v>8209</v>
      </c>
      <c r="B614" s="11" t="s">
        <v>1233</v>
      </c>
      <c r="C614" s="11" t="s">
        <v>1234</v>
      </c>
      <c r="D614" s="11" t="s">
        <v>8358</v>
      </c>
      <c r="E614" s="11" t="s">
        <v>8359</v>
      </c>
      <c r="F614" s="11" t="s">
        <v>4084</v>
      </c>
      <c r="G614" s="12" t="s">
        <v>9</v>
      </c>
    </row>
    <row r="615" customFormat="false" ht="104" hidden="false" customHeight="true" outlineLevel="0" collapsed="false">
      <c r="A615" s="11" t="s">
        <v>8209</v>
      </c>
      <c r="B615" s="11" t="s">
        <v>1236</v>
      </c>
      <c r="C615" s="11" t="s">
        <v>1237</v>
      </c>
      <c r="D615" s="11" t="s">
        <v>8360</v>
      </c>
      <c r="E615" s="11" t="s">
        <v>8361</v>
      </c>
      <c r="F615" s="11" t="s">
        <v>4084</v>
      </c>
      <c r="G615" s="12" t="s">
        <v>9</v>
      </c>
    </row>
    <row r="616" customFormat="false" ht="104" hidden="false" customHeight="true" outlineLevel="0" collapsed="false">
      <c r="A616" s="11" t="s">
        <v>8209</v>
      </c>
      <c r="B616" s="11" t="s">
        <v>1239</v>
      </c>
      <c r="C616" s="11" t="s">
        <v>1240</v>
      </c>
      <c r="D616" s="11" t="s">
        <v>8362</v>
      </c>
      <c r="E616" s="11" t="s">
        <v>8363</v>
      </c>
      <c r="F616" s="11" t="s">
        <v>4084</v>
      </c>
      <c r="G616" s="12" t="s">
        <v>9</v>
      </c>
    </row>
    <row r="617" customFormat="false" ht="104" hidden="false" customHeight="true" outlineLevel="0" collapsed="false">
      <c r="A617" s="11" t="s">
        <v>8209</v>
      </c>
      <c r="B617" s="11" t="s">
        <v>1246</v>
      </c>
      <c r="C617" s="11" t="s">
        <v>1247</v>
      </c>
      <c r="D617" s="11" t="s">
        <v>8364</v>
      </c>
      <c r="E617" s="11" t="s">
        <v>8365</v>
      </c>
      <c r="F617" s="11" t="s">
        <v>4084</v>
      </c>
      <c r="G617" s="12" t="s">
        <v>9</v>
      </c>
    </row>
    <row r="618" customFormat="false" ht="104" hidden="false" customHeight="true" outlineLevel="0" collapsed="false">
      <c r="A618" s="11" t="s">
        <v>8209</v>
      </c>
      <c r="B618" s="11" t="s">
        <v>1250</v>
      </c>
      <c r="C618" s="11" t="s">
        <v>1251</v>
      </c>
      <c r="D618" s="11" t="s">
        <v>8366</v>
      </c>
      <c r="E618" s="11" t="s">
        <v>8367</v>
      </c>
      <c r="F618" s="11" t="s">
        <v>4084</v>
      </c>
      <c r="G618" s="12" t="s">
        <v>9</v>
      </c>
    </row>
    <row r="619" customFormat="false" ht="104" hidden="false" customHeight="true" outlineLevel="0" collapsed="false">
      <c r="A619" s="11" t="s">
        <v>8209</v>
      </c>
      <c r="B619" s="11" t="s">
        <v>1253</v>
      </c>
      <c r="C619" s="11" t="s">
        <v>1254</v>
      </c>
      <c r="D619" s="11" t="s">
        <v>8368</v>
      </c>
      <c r="E619" s="11" t="s">
        <v>8369</v>
      </c>
      <c r="F619" s="11" t="s">
        <v>4084</v>
      </c>
      <c r="G619" s="12" t="s">
        <v>9</v>
      </c>
    </row>
    <row r="620" customFormat="false" ht="104" hidden="false" customHeight="true" outlineLevel="0" collapsed="false">
      <c r="A620" s="11" t="s">
        <v>8209</v>
      </c>
      <c r="B620" s="11" t="s">
        <v>1256</v>
      </c>
      <c r="C620" s="11" t="s">
        <v>1257</v>
      </c>
      <c r="D620" s="11" t="s">
        <v>8370</v>
      </c>
      <c r="E620" s="11" t="s">
        <v>8371</v>
      </c>
      <c r="F620" s="11" t="s">
        <v>4084</v>
      </c>
      <c r="G620" s="12" t="s">
        <v>9</v>
      </c>
    </row>
    <row r="621" customFormat="false" ht="104" hidden="false" customHeight="true" outlineLevel="0" collapsed="false">
      <c r="A621" s="11" t="s">
        <v>8209</v>
      </c>
      <c r="B621" s="11" t="s">
        <v>1259</v>
      </c>
      <c r="C621" s="11" t="s">
        <v>1260</v>
      </c>
      <c r="D621" s="11" t="s">
        <v>8372</v>
      </c>
      <c r="E621" s="11" t="s">
        <v>8373</v>
      </c>
      <c r="F621" s="11" t="s">
        <v>4084</v>
      </c>
      <c r="G621" s="12" t="s">
        <v>9</v>
      </c>
    </row>
    <row r="622" customFormat="false" ht="104" hidden="false" customHeight="true" outlineLevel="0" collapsed="false">
      <c r="A622" s="11" t="s">
        <v>8209</v>
      </c>
      <c r="B622" s="11" t="s">
        <v>1262</v>
      </c>
      <c r="C622" s="11" t="s">
        <v>1263</v>
      </c>
      <c r="D622" s="11" t="s">
        <v>8374</v>
      </c>
      <c r="E622" s="11" t="s">
        <v>8375</v>
      </c>
      <c r="F622" s="11" t="s">
        <v>4084</v>
      </c>
      <c r="G622" s="12" t="s">
        <v>9</v>
      </c>
    </row>
    <row r="623" customFormat="false" ht="104" hidden="false" customHeight="true" outlineLevel="0" collapsed="false">
      <c r="A623" s="11" t="s">
        <v>8209</v>
      </c>
      <c r="B623" s="11" t="s">
        <v>1265</v>
      </c>
      <c r="C623" s="11" t="s">
        <v>1266</v>
      </c>
      <c r="D623" s="11" t="s">
        <v>8376</v>
      </c>
      <c r="E623" s="11" t="s">
        <v>8377</v>
      </c>
      <c r="F623" s="11" t="s">
        <v>4084</v>
      </c>
      <c r="G623" s="12" t="s">
        <v>9</v>
      </c>
    </row>
    <row r="624" customFormat="false" ht="104" hidden="false" customHeight="true" outlineLevel="0" collapsed="false">
      <c r="A624" s="11" t="s">
        <v>8209</v>
      </c>
      <c r="B624" s="11" t="s">
        <v>1268</v>
      </c>
      <c r="C624" s="11" t="s">
        <v>1269</v>
      </c>
      <c r="D624" s="11" t="s">
        <v>8378</v>
      </c>
      <c r="E624" s="11" t="s">
        <v>8379</v>
      </c>
      <c r="F624" s="11" t="s">
        <v>4084</v>
      </c>
      <c r="G624" s="12" t="s">
        <v>9</v>
      </c>
    </row>
    <row r="625" customFormat="false" ht="104" hidden="false" customHeight="true" outlineLevel="0" collapsed="false">
      <c r="A625" s="11" t="s">
        <v>8209</v>
      </c>
      <c r="B625" s="11" t="s">
        <v>1271</v>
      </c>
      <c r="C625" s="11" t="s">
        <v>1272</v>
      </c>
      <c r="D625" s="11" t="s">
        <v>8380</v>
      </c>
      <c r="E625" s="11" t="s">
        <v>8381</v>
      </c>
      <c r="F625" s="11" t="s">
        <v>4084</v>
      </c>
      <c r="G625" s="12" t="s">
        <v>9</v>
      </c>
    </row>
    <row r="626" customFormat="false" ht="104" hidden="false" customHeight="true" outlineLevel="0" collapsed="false">
      <c r="A626" s="11" t="s">
        <v>8209</v>
      </c>
      <c r="B626" s="11" t="s">
        <v>1275</v>
      </c>
      <c r="C626" s="11" t="s">
        <v>1276</v>
      </c>
      <c r="D626" s="11" t="s">
        <v>8382</v>
      </c>
      <c r="E626" s="11" t="s">
        <v>8383</v>
      </c>
      <c r="F626" s="11" t="s">
        <v>4084</v>
      </c>
      <c r="G626" s="12" t="s">
        <v>9</v>
      </c>
    </row>
    <row r="627" customFormat="false" ht="104" hidden="false" customHeight="true" outlineLevel="0" collapsed="false">
      <c r="A627" s="11" t="s">
        <v>8209</v>
      </c>
      <c r="B627" s="11" t="s">
        <v>1279</v>
      </c>
      <c r="C627" s="11" t="s">
        <v>1280</v>
      </c>
      <c r="D627" s="11" t="s">
        <v>8384</v>
      </c>
      <c r="E627" s="11" t="s">
        <v>8385</v>
      </c>
      <c r="F627" s="11" t="s">
        <v>4084</v>
      </c>
      <c r="G627" s="12" t="s">
        <v>9</v>
      </c>
    </row>
    <row r="628" customFormat="false" ht="104" hidden="false" customHeight="true" outlineLevel="0" collapsed="false">
      <c r="A628" s="11" t="s">
        <v>8209</v>
      </c>
      <c r="B628" s="11" t="s">
        <v>1282</v>
      </c>
      <c r="C628" s="11" t="s">
        <v>1283</v>
      </c>
      <c r="D628" s="11" t="s">
        <v>8386</v>
      </c>
      <c r="E628" s="11" t="s">
        <v>8387</v>
      </c>
      <c r="F628" s="11" t="s">
        <v>4084</v>
      </c>
      <c r="G628" s="12" t="s">
        <v>9</v>
      </c>
    </row>
    <row r="629" customFormat="false" ht="104" hidden="false" customHeight="true" outlineLevel="0" collapsed="false">
      <c r="A629" s="11" t="s">
        <v>8209</v>
      </c>
      <c r="B629" s="11" t="s">
        <v>1285</v>
      </c>
      <c r="C629" s="11" t="s">
        <v>1286</v>
      </c>
      <c r="D629" s="11" t="s">
        <v>8388</v>
      </c>
      <c r="E629" s="11" t="s">
        <v>8389</v>
      </c>
      <c r="F629" s="11" t="s">
        <v>4084</v>
      </c>
      <c r="G629" s="12" t="s">
        <v>9</v>
      </c>
    </row>
    <row r="630" customFormat="false" ht="104" hidden="false" customHeight="true" outlineLevel="0" collapsed="false">
      <c r="A630" s="11" t="s">
        <v>8209</v>
      </c>
      <c r="B630" s="11" t="s">
        <v>1289</v>
      </c>
      <c r="C630" s="11" t="s">
        <v>1290</v>
      </c>
      <c r="D630" s="11" t="s">
        <v>8390</v>
      </c>
      <c r="E630" s="11" t="s">
        <v>8391</v>
      </c>
      <c r="F630" s="11" t="s">
        <v>4084</v>
      </c>
      <c r="G630" s="12" t="s">
        <v>9</v>
      </c>
    </row>
    <row r="631" customFormat="false" ht="104" hidden="false" customHeight="true" outlineLevel="0" collapsed="false">
      <c r="A631" s="11" t="s">
        <v>8209</v>
      </c>
      <c r="B631" s="11" t="s">
        <v>1292</v>
      </c>
      <c r="C631" s="11" t="s">
        <v>1293</v>
      </c>
      <c r="D631" s="11" t="s">
        <v>8392</v>
      </c>
      <c r="E631" s="11" t="s">
        <v>8393</v>
      </c>
      <c r="F631" s="11" t="s">
        <v>4084</v>
      </c>
      <c r="G631" s="12" t="s">
        <v>9</v>
      </c>
    </row>
    <row r="632" customFormat="false" ht="104" hidden="false" customHeight="true" outlineLevel="0" collapsed="false">
      <c r="A632" s="11" t="s">
        <v>8209</v>
      </c>
      <c r="B632" s="11" t="s">
        <v>1296</v>
      </c>
      <c r="C632" s="11" t="s">
        <v>1297</v>
      </c>
      <c r="D632" s="11" t="s">
        <v>8394</v>
      </c>
      <c r="E632" s="11" t="s">
        <v>8395</v>
      </c>
      <c r="F632" s="11" t="s">
        <v>4084</v>
      </c>
      <c r="G632" s="12" t="s">
        <v>9</v>
      </c>
    </row>
    <row r="633" customFormat="false" ht="104" hidden="false" customHeight="true" outlineLevel="0" collapsed="false">
      <c r="A633" s="11" t="s">
        <v>8209</v>
      </c>
      <c r="B633" s="11" t="s">
        <v>1300</v>
      </c>
      <c r="C633" s="11" t="s">
        <v>1301</v>
      </c>
      <c r="D633" s="11" t="s">
        <v>8396</v>
      </c>
      <c r="E633" s="11" t="s">
        <v>8397</v>
      </c>
      <c r="F633" s="11" t="s">
        <v>4084</v>
      </c>
      <c r="G633" s="12" t="s">
        <v>9</v>
      </c>
    </row>
    <row r="634" customFormat="false" ht="104" hidden="false" customHeight="true" outlineLevel="0" collapsed="false">
      <c r="A634" s="11" t="s">
        <v>8209</v>
      </c>
      <c r="B634" s="11" t="s">
        <v>1303</v>
      </c>
      <c r="C634" s="11" t="s">
        <v>1304</v>
      </c>
      <c r="D634" s="11" t="s">
        <v>8398</v>
      </c>
      <c r="E634" s="11" t="s">
        <v>8399</v>
      </c>
      <c r="F634" s="11" t="s">
        <v>4084</v>
      </c>
      <c r="G634" s="12" t="s">
        <v>9</v>
      </c>
    </row>
    <row r="635" customFormat="false" ht="104" hidden="false" customHeight="true" outlineLevel="0" collapsed="false">
      <c r="A635" s="11" t="s">
        <v>8209</v>
      </c>
      <c r="B635" s="11" t="s">
        <v>1306</v>
      </c>
      <c r="C635" s="11" t="s">
        <v>1307</v>
      </c>
      <c r="D635" s="11" t="s">
        <v>8400</v>
      </c>
      <c r="E635" s="11" t="s">
        <v>8401</v>
      </c>
      <c r="F635" s="11" t="s">
        <v>4084</v>
      </c>
      <c r="G635" s="12" t="s">
        <v>9</v>
      </c>
    </row>
    <row r="636" customFormat="false" ht="104" hidden="false" customHeight="true" outlineLevel="0" collapsed="false">
      <c r="A636" s="11" t="s">
        <v>8209</v>
      </c>
      <c r="B636" s="11" t="s">
        <v>1310</v>
      </c>
      <c r="C636" s="11" t="s">
        <v>1311</v>
      </c>
      <c r="D636" s="11" t="s">
        <v>8402</v>
      </c>
      <c r="E636" s="11" t="s">
        <v>8403</v>
      </c>
      <c r="F636" s="11" t="s">
        <v>4084</v>
      </c>
      <c r="G636" s="12" t="s">
        <v>9</v>
      </c>
    </row>
    <row r="637" customFormat="false" ht="104" hidden="false" customHeight="true" outlineLevel="0" collapsed="false">
      <c r="A637" s="11" t="s">
        <v>8209</v>
      </c>
      <c r="B637" s="11" t="s">
        <v>1313</v>
      </c>
      <c r="C637" s="11" t="s">
        <v>1314</v>
      </c>
      <c r="D637" s="11" t="s">
        <v>8404</v>
      </c>
      <c r="E637" s="11" t="s">
        <v>8405</v>
      </c>
      <c r="F637" s="11" t="s">
        <v>4084</v>
      </c>
      <c r="G637" s="12" t="s">
        <v>9</v>
      </c>
    </row>
    <row r="638" customFormat="false" ht="104" hidden="false" customHeight="true" outlineLevel="0" collapsed="false">
      <c r="A638" s="11" t="s">
        <v>8209</v>
      </c>
      <c r="B638" s="11" t="s">
        <v>1316</v>
      </c>
      <c r="C638" s="11" t="s">
        <v>1317</v>
      </c>
      <c r="D638" s="11" t="s">
        <v>8406</v>
      </c>
      <c r="E638" s="11" t="s">
        <v>8407</v>
      </c>
      <c r="F638" s="11" t="s">
        <v>4084</v>
      </c>
      <c r="G638" s="12" t="s">
        <v>9</v>
      </c>
    </row>
    <row r="639" customFormat="false" ht="104" hidden="false" customHeight="true" outlineLevel="0" collapsed="false">
      <c r="A639" s="11" t="s">
        <v>8209</v>
      </c>
      <c r="B639" s="11" t="s">
        <v>1320</v>
      </c>
      <c r="C639" s="11" t="s">
        <v>1321</v>
      </c>
      <c r="D639" s="11" t="s">
        <v>8408</v>
      </c>
      <c r="E639" s="11" t="s">
        <v>8409</v>
      </c>
      <c r="F639" s="11" t="s">
        <v>4084</v>
      </c>
      <c r="G639" s="12" t="s">
        <v>9</v>
      </c>
    </row>
    <row r="640" customFormat="false" ht="104" hidden="false" customHeight="true" outlineLevel="0" collapsed="false">
      <c r="A640" s="11" t="s">
        <v>8209</v>
      </c>
      <c r="B640" s="11" t="s">
        <v>1322</v>
      </c>
      <c r="C640" s="11" t="s">
        <v>1323</v>
      </c>
      <c r="D640" s="11" t="s">
        <v>8410</v>
      </c>
      <c r="E640" s="11" t="s">
        <v>8411</v>
      </c>
      <c r="F640" s="11" t="s">
        <v>4084</v>
      </c>
      <c r="G640" s="12" t="s">
        <v>9</v>
      </c>
    </row>
    <row r="641" customFormat="false" ht="104" hidden="false" customHeight="true" outlineLevel="0" collapsed="false">
      <c r="A641" s="11" t="s">
        <v>8209</v>
      </c>
      <c r="B641" s="11" t="s">
        <v>1329</v>
      </c>
      <c r="C641" s="11" t="s">
        <v>1330</v>
      </c>
      <c r="D641" s="11" t="s">
        <v>8412</v>
      </c>
      <c r="E641" s="11" t="s">
        <v>8413</v>
      </c>
      <c r="F641" s="11" t="s">
        <v>4084</v>
      </c>
      <c r="G641" s="12" t="s">
        <v>9</v>
      </c>
    </row>
    <row r="642" customFormat="false" ht="104" hidden="false" customHeight="true" outlineLevel="0" collapsed="false">
      <c r="A642" s="11" t="s">
        <v>8209</v>
      </c>
      <c r="B642" s="11" t="s">
        <v>1332</v>
      </c>
      <c r="C642" s="11" t="s">
        <v>1333</v>
      </c>
      <c r="D642" s="11" t="s">
        <v>8414</v>
      </c>
      <c r="E642" s="11" t="s">
        <v>8415</v>
      </c>
      <c r="F642" s="11" t="s">
        <v>4084</v>
      </c>
      <c r="G642" s="12" t="s">
        <v>9</v>
      </c>
    </row>
    <row r="643" customFormat="false" ht="104" hidden="false" customHeight="true" outlineLevel="0" collapsed="false">
      <c r="A643" s="11" t="s">
        <v>8209</v>
      </c>
      <c r="B643" s="11" t="s">
        <v>1335</v>
      </c>
      <c r="C643" s="11" t="s">
        <v>1336</v>
      </c>
      <c r="D643" s="11" t="s">
        <v>8416</v>
      </c>
      <c r="E643" s="11" t="s">
        <v>8417</v>
      </c>
      <c r="F643" s="11" t="s">
        <v>4084</v>
      </c>
      <c r="G643" s="12" t="s">
        <v>9</v>
      </c>
    </row>
    <row r="644" customFormat="false" ht="104" hidden="false" customHeight="true" outlineLevel="0" collapsed="false">
      <c r="A644" s="11" t="s">
        <v>8209</v>
      </c>
      <c r="B644" s="11" t="s">
        <v>1338</v>
      </c>
      <c r="C644" s="11" t="s">
        <v>1339</v>
      </c>
      <c r="D644" s="11" t="s">
        <v>8418</v>
      </c>
      <c r="E644" s="11" t="s">
        <v>8419</v>
      </c>
      <c r="F644" s="11" t="s">
        <v>4084</v>
      </c>
      <c r="G644" s="12" t="s">
        <v>9</v>
      </c>
    </row>
    <row r="645" customFormat="false" ht="104" hidden="false" customHeight="true" outlineLevel="0" collapsed="false">
      <c r="A645" s="11" t="s">
        <v>8209</v>
      </c>
      <c r="B645" s="11" t="s">
        <v>1341</v>
      </c>
      <c r="C645" s="11" t="s">
        <v>1342</v>
      </c>
      <c r="D645" s="11" t="s">
        <v>8420</v>
      </c>
      <c r="E645" s="11" t="s">
        <v>8421</v>
      </c>
      <c r="F645" s="11" t="s">
        <v>4084</v>
      </c>
      <c r="G645" s="12" t="s">
        <v>9</v>
      </c>
    </row>
    <row r="646" customFormat="false" ht="104" hidden="false" customHeight="true" outlineLevel="0" collapsed="false">
      <c r="A646" s="11" t="s">
        <v>8209</v>
      </c>
      <c r="B646" s="11" t="s">
        <v>1345</v>
      </c>
      <c r="C646" s="11" t="s">
        <v>1346</v>
      </c>
      <c r="D646" s="11" t="s">
        <v>8422</v>
      </c>
      <c r="E646" s="11" t="s">
        <v>8423</v>
      </c>
      <c r="F646" s="11" t="s">
        <v>4084</v>
      </c>
      <c r="G646" s="12" t="s">
        <v>9</v>
      </c>
    </row>
    <row r="647" customFormat="false" ht="104" hidden="false" customHeight="true" outlineLevel="0" collapsed="false">
      <c r="A647" s="11" t="s">
        <v>8209</v>
      </c>
      <c r="B647" s="11" t="s">
        <v>1349</v>
      </c>
      <c r="C647" s="11" t="s">
        <v>1350</v>
      </c>
      <c r="D647" s="11" t="s">
        <v>8424</v>
      </c>
      <c r="E647" s="11" t="s">
        <v>8425</v>
      </c>
      <c r="F647" s="11" t="s">
        <v>4084</v>
      </c>
      <c r="G647" s="12" t="s">
        <v>9</v>
      </c>
    </row>
    <row r="648" customFormat="false" ht="104" hidden="false" customHeight="true" outlineLevel="0" collapsed="false">
      <c r="A648" s="11" t="s">
        <v>8209</v>
      </c>
      <c r="B648" s="11" t="s">
        <v>1353</v>
      </c>
      <c r="C648" s="11" t="s">
        <v>1354</v>
      </c>
      <c r="D648" s="11" t="s">
        <v>8426</v>
      </c>
      <c r="E648" s="11" t="s">
        <v>8427</v>
      </c>
      <c r="F648" s="11" t="s">
        <v>4084</v>
      </c>
      <c r="G648" s="12" t="s">
        <v>9</v>
      </c>
    </row>
    <row r="649" customFormat="false" ht="104" hidden="false" customHeight="true" outlineLevel="0" collapsed="false">
      <c r="A649" s="11" t="s">
        <v>8209</v>
      </c>
      <c r="B649" s="11" t="s">
        <v>1357</v>
      </c>
      <c r="C649" s="11" t="s">
        <v>1358</v>
      </c>
      <c r="D649" s="11" t="s">
        <v>8428</v>
      </c>
      <c r="E649" s="11" t="s">
        <v>8429</v>
      </c>
      <c r="F649" s="11" t="s">
        <v>4084</v>
      </c>
      <c r="G649" s="12" t="s">
        <v>9</v>
      </c>
    </row>
    <row r="650" customFormat="false" ht="104" hidden="false" customHeight="true" outlineLevel="0" collapsed="false">
      <c r="A650" s="11" t="s">
        <v>8209</v>
      </c>
      <c r="B650" s="11" t="s">
        <v>1362</v>
      </c>
      <c r="C650" s="11" t="s">
        <v>1363</v>
      </c>
      <c r="D650" s="11" t="s">
        <v>8430</v>
      </c>
      <c r="E650" s="11" t="s">
        <v>8431</v>
      </c>
      <c r="F650" s="11" t="s">
        <v>4084</v>
      </c>
      <c r="G650" s="12" t="s">
        <v>9</v>
      </c>
    </row>
    <row r="651" customFormat="false" ht="104" hidden="false" customHeight="true" outlineLevel="0" collapsed="false">
      <c r="A651" s="11" t="s">
        <v>8209</v>
      </c>
      <c r="B651" s="11" t="s">
        <v>1365</v>
      </c>
      <c r="C651" s="11" t="s">
        <v>1366</v>
      </c>
      <c r="D651" s="11" t="s">
        <v>8432</v>
      </c>
      <c r="E651" s="11" t="s">
        <v>8433</v>
      </c>
      <c r="F651" s="11" t="s">
        <v>4084</v>
      </c>
      <c r="G651" s="12" t="s">
        <v>9</v>
      </c>
    </row>
    <row r="652" customFormat="false" ht="104" hidden="false" customHeight="true" outlineLevel="0" collapsed="false">
      <c r="A652" s="11" t="s">
        <v>8209</v>
      </c>
      <c r="B652" s="11" t="s">
        <v>1371</v>
      </c>
      <c r="C652" s="11" t="s">
        <v>1372</v>
      </c>
      <c r="D652" s="11" t="s">
        <v>8434</v>
      </c>
      <c r="E652" s="11" t="s">
        <v>8435</v>
      </c>
      <c r="F652" s="11" t="s">
        <v>4084</v>
      </c>
      <c r="G652" s="12" t="s">
        <v>9</v>
      </c>
    </row>
    <row r="653" customFormat="false" ht="104" hidden="false" customHeight="true" outlineLevel="0" collapsed="false">
      <c r="A653" s="11" t="s">
        <v>8209</v>
      </c>
      <c r="B653" s="11" t="s">
        <v>1378</v>
      </c>
      <c r="C653" s="11" t="s">
        <v>1379</v>
      </c>
      <c r="D653" s="11" t="s">
        <v>8436</v>
      </c>
      <c r="E653" s="11" t="s">
        <v>8437</v>
      </c>
      <c r="F653" s="11" t="s">
        <v>4084</v>
      </c>
      <c r="G653" s="12" t="s">
        <v>9</v>
      </c>
    </row>
    <row r="654" customFormat="false" ht="104" hidden="false" customHeight="true" outlineLevel="0" collapsed="false">
      <c r="A654" s="11" t="s">
        <v>8209</v>
      </c>
      <c r="B654" s="11" t="s">
        <v>1380</v>
      </c>
      <c r="C654" s="11" t="s">
        <v>1381</v>
      </c>
      <c r="D654" s="11" t="s">
        <v>8438</v>
      </c>
      <c r="E654" s="11" t="s">
        <v>8439</v>
      </c>
      <c r="F654" s="11" t="s">
        <v>4084</v>
      </c>
      <c r="G654" s="12" t="s">
        <v>9</v>
      </c>
    </row>
    <row r="655" customFormat="false" ht="104" hidden="false" customHeight="true" outlineLevel="0" collapsed="false">
      <c r="A655" s="11" t="s">
        <v>8209</v>
      </c>
      <c r="B655" s="11" t="s">
        <v>1384</v>
      </c>
      <c r="C655" s="11" t="s">
        <v>1385</v>
      </c>
      <c r="D655" s="11" t="s">
        <v>8440</v>
      </c>
      <c r="E655" s="11" t="s">
        <v>8441</v>
      </c>
      <c r="F655" s="11" t="s">
        <v>4084</v>
      </c>
      <c r="G655" s="12" t="s">
        <v>9</v>
      </c>
    </row>
    <row r="656" customFormat="false" ht="104" hidden="false" customHeight="true" outlineLevel="0" collapsed="false">
      <c r="A656" s="11" t="s">
        <v>8209</v>
      </c>
      <c r="B656" s="11" t="s">
        <v>1387</v>
      </c>
      <c r="C656" s="11" t="s">
        <v>1388</v>
      </c>
      <c r="D656" s="11" t="s">
        <v>8442</v>
      </c>
      <c r="E656" s="11" t="s">
        <v>8443</v>
      </c>
      <c r="F656" s="11" t="s">
        <v>4084</v>
      </c>
      <c r="G656" s="12" t="s">
        <v>9</v>
      </c>
    </row>
    <row r="657" customFormat="false" ht="104" hidden="false" customHeight="true" outlineLevel="0" collapsed="false">
      <c r="A657" s="11" t="s">
        <v>8209</v>
      </c>
      <c r="B657" s="11" t="s">
        <v>1393</v>
      </c>
      <c r="C657" s="11" t="s">
        <v>1394</v>
      </c>
      <c r="D657" s="11" t="s">
        <v>8444</v>
      </c>
      <c r="E657" s="11" t="s">
        <v>8445</v>
      </c>
      <c r="F657" s="11" t="s">
        <v>4084</v>
      </c>
      <c r="G657" s="12" t="s">
        <v>9</v>
      </c>
    </row>
    <row r="658" customFormat="false" ht="104" hidden="false" customHeight="true" outlineLevel="0" collapsed="false">
      <c r="A658" s="11" t="s">
        <v>8209</v>
      </c>
      <c r="B658" s="11" t="s">
        <v>1396</v>
      </c>
      <c r="C658" s="11" t="s">
        <v>1397</v>
      </c>
      <c r="D658" s="11" t="s">
        <v>8446</v>
      </c>
      <c r="E658" s="11" t="s">
        <v>8447</v>
      </c>
      <c r="F658" s="11" t="s">
        <v>4084</v>
      </c>
      <c r="G658" s="12" t="s">
        <v>9</v>
      </c>
    </row>
    <row r="659" customFormat="false" ht="104" hidden="false" customHeight="true" outlineLevel="0" collapsed="false">
      <c r="A659" s="11" t="s">
        <v>8209</v>
      </c>
      <c r="B659" s="11" t="s">
        <v>1399</v>
      </c>
      <c r="C659" s="11" t="s">
        <v>1400</v>
      </c>
      <c r="D659" s="11" t="s">
        <v>8448</v>
      </c>
      <c r="E659" s="11" t="s">
        <v>8449</v>
      </c>
      <c r="F659" s="11" t="s">
        <v>4084</v>
      </c>
      <c r="G659" s="12" t="s">
        <v>9</v>
      </c>
    </row>
    <row r="660" customFormat="false" ht="104" hidden="false" customHeight="true" outlineLevel="0" collapsed="false">
      <c r="A660" s="11" t="s">
        <v>8209</v>
      </c>
      <c r="B660" s="11" t="s">
        <v>1403</v>
      </c>
      <c r="C660" s="11" t="s">
        <v>297</v>
      </c>
      <c r="D660" s="11" t="s">
        <v>8450</v>
      </c>
      <c r="E660" s="11" t="s">
        <v>8451</v>
      </c>
      <c r="F660" s="11" t="s">
        <v>4084</v>
      </c>
      <c r="G660" s="12" t="s">
        <v>9</v>
      </c>
    </row>
    <row r="661" customFormat="false" ht="104" hidden="false" customHeight="true" outlineLevel="0" collapsed="false">
      <c r="A661" s="11" t="s">
        <v>8209</v>
      </c>
      <c r="B661" s="11" t="s">
        <v>1405</v>
      </c>
      <c r="C661" s="11" t="s">
        <v>1406</v>
      </c>
      <c r="D661" s="11" t="s">
        <v>8452</v>
      </c>
      <c r="E661" s="11" t="s">
        <v>8453</v>
      </c>
      <c r="F661" s="11" t="s">
        <v>4084</v>
      </c>
      <c r="G661" s="12" t="s">
        <v>9</v>
      </c>
    </row>
    <row r="662" customFormat="false" ht="104" hidden="false" customHeight="true" outlineLevel="0" collapsed="false">
      <c r="A662" s="11" t="s">
        <v>8209</v>
      </c>
      <c r="B662" s="11" t="s">
        <v>1409</v>
      </c>
      <c r="C662" s="11" t="s">
        <v>1410</v>
      </c>
      <c r="D662" s="11" t="s">
        <v>8454</v>
      </c>
      <c r="E662" s="11" t="s">
        <v>8455</v>
      </c>
      <c r="F662" s="11" t="s">
        <v>4084</v>
      </c>
      <c r="G662" s="12" t="s">
        <v>9</v>
      </c>
    </row>
    <row r="663" customFormat="false" ht="104" hidden="false" customHeight="true" outlineLevel="0" collapsed="false">
      <c r="A663" s="11" t="s">
        <v>8209</v>
      </c>
      <c r="B663" s="11" t="s">
        <v>1412</v>
      </c>
      <c r="C663" s="11" t="s">
        <v>1413</v>
      </c>
      <c r="D663" s="11" t="s">
        <v>8456</v>
      </c>
      <c r="E663" s="11" t="s">
        <v>8457</v>
      </c>
      <c r="F663" s="11" t="s">
        <v>4084</v>
      </c>
      <c r="G663" s="12" t="s">
        <v>9</v>
      </c>
    </row>
    <row r="664" customFormat="false" ht="104" hidden="false" customHeight="true" outlineLevel="0" collapsed="false">
      <c r="A664" s="11" t="s">
        <v>8209</v>
      </c>
      <c r="B664" s="11" t="s">
        <v>1415</v>
      </c>
      <c r="C664" s="11" t="s">
        <v>1416</v>
      </c>
      <c r="D664" s="11" t="s">
        <v>8458</v>
      </c>
      <c r="E664" s="11" t="s">
        <v>8459</v>
      </c>
      <c r="F664" s="11" t="s">
        <v>4084</v>
      </c>
      <c r="G664" s="12" t="s">
        <v>9</v>
      </c>
    </row>
    <row r="665" customFormat="false" ht="104" hidden="false" customHeight="true" outlineLevel="0" collapsed="false">
      <c r="A665" s="11" t="s">
        <v>8209</v>
      </c>
      <c r="B665" s="11" t="s">
        <v>1418</v>
      </c>
      <c r="C665" s="11" t="s">
        <v>1419</v>
      </c>
      <c r="D665" s="11" t="s">
        <v>8460</v>
      </c>
      <c r="E665" s="11" t="s">
        <v>8461</v>
      </c>
      <c r="F665" s="11" t="s">
        <v>4084</v>
      </c>
      <c r="G665" s="12" t="s">
        <v>9</v>
      </c>
    </row>
    <row r="666" customFormat="false" ht="104" hidden="false" customHeight="true" outlineLevel="0" collapsed="false">
      <c r="A666" s="11" t="s">
        <v>8209</v>
      </c>
      <c r="B666" s="11" t="s">
        <v>1422</v>
      </c>
      <c r="C666" s="11" t="s">
        <v>1423</v>
      </c>
      <c r="D666" s="11" t="s">
        <v>8462</v>
      </c>
      <c r="E666" s="11" t="s">
        <v>8463</v>
      </c>
      <c r="F666" s="11" t="s">
        <v>4084</v>
      </c>
      <c r="G666" s="12" t="s">
        <v>9</v>
      </c>
    </row>
    <row r="667" customFormat="false" ht="104" hidden="false" customHeight="true" outlineLevel="0" collapsed="false">
      <c r="A667" s="11" t="s">
        <v>8209</v>
      </c>
      <c r="B667" s="11" t="s">
        <v>1426</v>
      </c>
      <c r="C667" s="11" t="s">
        <v>1427</v>
      </c>
      <c r="D667" s="11" t="s">
        <v>8464</v>
      </c>
      <c r="E667" s="11" t="s">
        <v>8465</v>
      </c>
      <c r="F667" s="11" t="s">
        <v>4084</v>
      </c>
      <c r="G667" s="12" t="s">
        <v>9</v>
      </c>
    </row>
    <row r="668" customFormat="false" ht="104" hidden="false" customHeight="true" outlineLevel="0" collapsed="false">
      <c r="A668" s="11" t="s">
        <v>8209</v>
      </c>
      <c r="B668" s="11" t="s">
        <v>1430</v>
      </c>
      <c r="C668" s="11" t="s">
        <v>1431</v>
      </c>
      <c r="D668" s="11" t="s">
        <v>8466</v>
      </c>
      <c r="E668" s="11" t="s">
        <v>8467</v>
      </c>
      <c r="F668" s="11" t="s">
        <v>4084</v>
      </c>
      <c r="G668" s="12" t="s">
        <v>9</v>
      </c>
    </row>
    <row r="669" customFormat="false" ht="104" hidden="false" customHeight="true" outlineLevel="0" collapsed="false">
      <c r="A669" s="11" t="s">
        <v>8209</v>
      </c>
      <c r="B669" s="11" t="s">
        <v>1434</v>
      </c>
      <c r="C669" s="11" t="s">
        <v>1435</v>
      </c>
      <c r="D669" s="11" t="s">
        <v>8468</v>
      </c>
      <c r="E669" s="11" t="s">
        <v>8469</v>
      </c>
      <c r="F669" s="11" t="s">
        <v>4084</v>
      </c>
      <c r="G669" s="12" t="s">
        <v>9</v>
      </c>
    </row>
    <row r="670" customFormat="false" ht="104" hidden="false" customHeight="true" outlineLevel="0" collapsed="false">
      <c r="A670" s="11" t="s">
        <v>8209</v>
      </c>
      <c r="B670" s="11" t="s">
        <v>1438</v>
      </c>
      <c r="C670" s="11" t="s">
        <v>1439</v>
      </c>
      <c r="D670" s="11" t="s">
        <v>8470</v>
      </c>
      <c r="E670" s="11" t="s">
        <v>8471</v>
      </c>
      <c r="F670" s="11" t="s">
        <v>4084</v>
      </c>
      <c r="G670" s="12" t="s">
        <v>9</v>
      </c>
    </row>
    <row r="671" customFormat="false" ht="104" hidden="false" customHeight="true" outlineLevel="0" collapsed="false">
      <c r="A671" s="11" t="s">
        <v>8209</v>
      </c>
      <c r="B671" s="11" t="s">
        <v>1442</v>
      </c>
      <c r="C671" s="11" t="s">
        <v>978</v>
      </c>
      <c r="D671" s="11" t="s">
        <v>8472</v>
      </c>
      <c r="E671" s="11" t="s">
        <v>8473</v>
      </c>
      <c r="F671" s="11" t="s">
        <v>4084</v>
      </c>
      <c r="G671" s="12" t="s">
        <v>9</v>
      </c>
    </row>
    <row r="672" customFormat="false" ht="104" hidden="false" customHeight="true" outlineLevel="0" collapsed="false">
      <c r="A672" s="11" t="s">
        <v>8209</v>
      </c>
      <c r="B672" s="11" t="s">
        <v>1446</v>
      </c>
      <c r="C672" s="11" t="s">
        <v>1447</v>
      </c>
      <c r="D672" s="11" t="s">
        <v>8474</v>
      </c>
      <c r="E672" s="11" t="s">
        <v>8475</v>
      </c>
      <c r="F672" s="11" t="s">
        <v>4084</v>
      </c>
      <c r="G672" s="12" t="s">
        <v>9</v>
      </c>
    </row>
    <row r="673" customFormat="false" ht="104" hidden="false" customHeight="true" outlineLevel="0" collapsed="false">
      <c r="A673" s="11" t="s">
        <v>8209</v>
      </c>
      <c r="B673" s="11" t="s">
        <v>1451</v>
      </c>
      <c r="C673" s="11" t="s">
        <v>1452</v>
      </c>
      <c r="D673" s="11" t="s">
        <v>8476</v>
      </c>
      <c r="E673" s="11" t="s">
        <v>8477</v>
      </c>
      <c r="F673" s="11" t="s">
        <v>4084</v>
      </c>
      <c r="G673" s="12" t="s">
        <v>9</v>
      </c>
    </row>
    <row r="674" customFormat="false" ht="104" hidden="false" customHeight="true" outlineLevel="0" collapsed="false">
      <c r="A674" s="11" t="s">
        <v>8209</v>
      </c>
      <c r="B674" s="11" t="s">
        <v>1455</v>
      </c>
      <c r="C674" s="11" t="s">
        <v>1456</v>
      </c>
      <c r="D674" s="11" t="s">
        <v>8478</v>
      </c>
      <c r="E674" s="11" t="s">
        <v>8479</v>
      </c>
      <c r="F674" s="11" t="s">
        <v>4084</v>
      </c>
      <c r="G674" s="12" t="s">
        <v>9</v>
      </c>
    </row>
    <row r="675" customFormat="false" ht="104" hidden="false" customHeight="true" outlineLevel="0" collapsed="false">
      <c r="A675" s="11" t="s">
        <v>8209</v>
      </c>
      <c r="B675" s="11" t="s">
        <v>1458</v>
      </c>
      <c r="C675" s="11" t="s">
        <v>1459</v>
      </c>
      <c r="D675" s="11" t="s">
        <v>8480</v>
      </c>
      <c r="E675" s="11" t="s">
        <v>8481</v>
      </c>
      <c r="F675" s="11" t="s">
        <v>4084</v>
      </c>
      <c r="G675" s="12" t="s">
        <v>9</v>
      </c>
    </row>
    <row r="676" customFormat="false" ht="104" hidden="false" customHeight="true" outlineLevel="0" collapsed="false">
      <c r="A676" s="11" t="s">
        <v>8209</v>
      </c>
      <c r="B676" s="11" t="s">
        <v>1461</v>
      </c>
      <c r="C676" s="11" t="s">
        <v>1462</v>
      </c>
      <c r="D676" s="11" t="s">
        <v>8482</v>
      </c>
      <c r="E676" s="11" t="s">
        <v>8483</v>
      </c>
      <c r="F676" s="11" t="s">
        <v>4084</v>
      </c>
      <c r="G676" s="12" t="s">
        <v>9</v>
      </c>
    </row>
    <row r="677" customFormat="false" ht="104" hidden="false" customHeight="true" outlineLevel="0" collapsed="false">
      <c r="A677" s="11" t="s">
        <v>8209</v>
      </c>
      <c r="B677" s="11" t="s">
        <v>1466</v>
      </c>
      <c r="C677" s="11" t="s">
        <v>1467</v>
      </c>
      <c r="D677" s="11" t="s">
        <v>8484</v>
      </c>
      <c r="E677" s="11" t="s">
        <v>8485</v>
      </c>
      <c r="F677" s="11" t="s">
        <v>4084</v>
      </c>
      <c r="G677" s="12" t="s">
        <v>9</v>
      </c>
    </row>
    <row r="678" customFormat="false" ht="104" hidden="false" customHeight="true" outlineLevel="0" collapsed="false">
      <c r="A678" s="11" t="s">
        <v>8209</v>
      </c>
      <c r="B678" s="11" t="s">
        <v>1469</v>
      </c>
      <c r="C678" s="11" t="s">
        <v>1470</v>
      </c>
      <c r="D678" s="11" t="s">
        <v>8486</v>
      </c>
      <c r="E678" s="11" t="s">
        <v>8487</v>
      </c>
      <c r="F678" s="11" t="s">
        <v>4084</v>
      </c>
      <c r="G678" s="12" t="s">
        <v>9</v>
      </c>
    </row>
    <row r="679" customFormat="false" ht="104" hidden="false" customHeight="true" outlineLevel="0" collapsed="false">
      <c r="A679" s="11" t="s">
        <v>8209</v>
      </c>
      <c r="B679" s="11" t="s">
        <v>1472</v>
      </c>
      <c r="C679" s="11" t="s">
        <v>1473</v>
      </c>
      <c r="D679" s="11" t="s">
        <v>8488</v>
      </c>
      <c r="E679" s="11" t="s">
        <v>8489</v>
      </c>
      <c r="F679" s="11" t="s">
        <v>4084</v>
      </c>
      <c r="G679" s="12" t="s">
        <v>9</v>
      </c>
    </row>
    <row r="680" customFormat="false" ht="104" hidden="false" customHeight="true" outlineLevel="0" collapsed="false">
      <c r="A680" s="11" t="s">
        <v>8209</v>
      </c>
      <c r="B680" s="11" t="s">
        <v>1476</v>
      </c>
      <c r="C680" s="11" t="s">
        <v>1477</v>
      </c>
      <c r="D680" s="11" t="s">
        <v>8490</v>
      </c>
      <c r="E680" s="11" t="s">
        <v>8491</v>
      </c>
      <c r="F680" s="11" t="s">
        <v>4084</v>
      </c>
      <c r="G680" s="12" t="s">
        <v>9</v>
      </c>
    </row>
    <row r="681" customFormat="false" ht="104" hidden="false" customHeight="true" outlineLevel="0" collapsed="false">
      <c r="A681" s="11" t="s">
        <v>8209</v>
      </c>
      <c r="B681" s="11" t="s">
        <v>1480</v>
      </c>
      <c r="C681" s="11" t="s">
        <v>1481</v>
      </c>
      <c r="D681" s="11" t="s">
        <v>8492</v>
      </c>
      <c r="E681" s="11" t="s">
        <v>8493</v>
      </c>
      <c r="F681" s="11" t="s">
        <v>4084</v>
      </c>
      <c r="G681" s="12" t="s">
        <v>9</v>
      </c>
    </row>
    <row r="682" customFormat="false" ht="104" hidden="false" customHeight="true" outlineLevel="0" collapsed="false">
      <c r="A682" s="11" t="s">
        <v>8209</v>
      </c>
      <c r="B682" s="11" t="s">
        <v>1483</v>
      </c>
      <c r="C682" s="11" t="s">
        <v>1484</v>
      </c>
      <c r="D682" s="11" t="s">
        <v>8494</v>
      </c>
      <c r="E682" s="11" t="s">
        <v>8495</v>
      </c>
      <c r="F682" s="11" t="s">
        <v>4084</v>
      </c>
      <c r="G682" s="12" t="s">
        <v>9</v>
      </c>
    </row>
    <row r="683" customFormat="false" ht="104" hidden="false" customHeight="true" outlineLevel="0" collapsed="false">
      <c r="A683" s="11" t="s">
        <v>8209</v>
      </c>
      <c r="B683" s="11" t="s">
        <v>1487</v>
      </c>
      <c r="C683" s="11" t="s">
        <v>1488</v>
      </c>
      <c r="D683" s="11" t="s">
        <v>8496</v>
      </c>
      <c r="E683" s="11" t="s">
        <v>8497</v>
      </c>
      <c r="F683" s="11" t="s">
        <v>4084</v>
      </c>
      <c r="G683" s="12" t="s">
        <v>9</v>
      </c>
    </row>
    <row r="684" customFormat="false" ht="104" hidden="false" customHeight="true" outlineLevel="0" collapsed="false">
      <c r="A684" s="11" t="s">
        <v>8209</v>
      </c>
      <c r="B684" s="11" t="s">
        <v>1493</v>
      </c>
      <c r="C684" s="11" t="s">
        <v>1494</v>
      </c>
      <c r="D684" s="11" t="s">
        <v>8498</v>
      </c>
      <c r="E684" s="11" t="s">
        <v>8499</v>
      </c>
      <c r="F684" s="11" t="s">
        <v>4084</v>
      </c>
      <c r="G684" s="12" t="s">
        <v>9</v>
      </c>
    </row>
    <row r="685" customFormat="false" ht="104" hidden="false" customHeight="true" outlineLevel="0" collapsed="false">
      <c r="A685" s="11" t="s">
        <v>8209</v>
      </c>
      <c r="B685" s="11" t="s">
        <v>1496</v>
      </c>
      <c r="C685" s="11" t="s">
        <v>1497</v>
      </c>
      <c r="D685" s="11" t="s">
        <v>8500</v>
      </c>
      <c r="E685" s="11" t="s">
        <v>8501</v>
      </c>
      <c r="F685" s="11" t="s">
        <v>4084</v>
      </c>
      <c r="G685" s="12" t="s">
        <v>9</v>
      </c>
    </row>
    <row r="686" customFormat="false" ht="104" hidden="false" customHeight="true" outlineLevel="0" collapsed="false">
      <c r="A686" s="11" t="s">
        <v>8209</v>
      </c>
      <c r="B686" s="11" t="s">
        <v>1505</v>
      </c>
      <c r="C686" s="11" t="s">
        <v>1506</v>
      </c>
      <c r="D686" s="11" t="s">
        <v>8502</v>
      </c>
      <c r="E686" s="11" t="s">
        <v>8503</v>
      </c>
      <c r="F686" s="11" t="s">
        <v>4084</v>
      </c>
      <c r="G686" s="12" t="s">
        <v>9</v>
      </c>
    </row>
    <row r="687" customFormat="false" ht="104" hidden="false" customHeight="true" outlineLevel="0" collapsed="false">
      <c r="A687" s="11" t="s">
        <v>8209</v>
      </c>
      <c r="B687" s="11" t="s">
        <v>1511</v>
      </c>
      <c r="C687" s="11" t="s">
        <v>1512</v>
      </c>
      <c r="D687" s="11" t="s">
        <v>8504</v>
      </c>
      <c r="E687" s="11" t="s">
        <v>8505</v>
      </c>
      <c r="F687" s="11" t="s">
        <v>4084</v>
      </c>
      <c r="G687" s="12" t="s">
        <v>9</v>
      </c>
    </row>
    <row r="688" customFormat="false" ht="104" hidden="false" customHeight="true" outlineLevel="0" collapsed="false">
      <c r="A688" s="11" t="s">
        <v>8209</v>
      </c>
      <c r="B688" s="11" t="s">
        <v>1515</v>
      </c>
      <c r="C688" s="11" t="s">
        <v>1516</v>
      </c>
      <c r="D688" s="11" t="s">
        <v>8506</v>
      </c>
      <c r="E688" s="11" t="s">
        <v>8507</v>
      </c>
      <c r="F688" s="11" t="s">
        <v>4084</v>
      </c>
      <c r="G688" s="12" t="s">
        <v>9</v>
      </c>
    </row>
    <row r="689" customFormat="false" ht="104" hidden="false" customHeight="true" outlineLevel="0" collapsed="false">
      <c r="A689" s="11" t="s">
        <v>8209</v>
      </c>
      <c r="B689" s="11" t="s">
        <v>1518</v>
      </c>
      <c r="C689" s="11" t="s">
        <v>1519</v>
      </c>
      <c r="D689" s="11" t="s">
        <v>8508</v>
      </c>
      <c r="E689" s="11" t="s">
        <v>8509</v>
      </c>
      <c r="F689" s="11" t="s">
        <v>4084</v>
      </c>
      <c r="G689" s="12" t="s">
        <v>9</v>
      </c>
    </row>
    <row r="690" customFormat="false" ht="104" hidden="false" customHeight="true" outlineLevel="0" collapsed="false">
      <c r="A690" s="11" t="s">
        <v>8209</v>
      </c>
      <c r="B690" s="11" t="s">
        <v>1530</v>
      </c>
      <c r="C690" s="11" t="s">
        <v>1531</v>
      </c>
      <c r="D690" s="11" t="s">
        <v>8510</v>
      </c>
      <c r="E690" s="11" t="s">
        <v>8511</v>
      </c>
      <c r="F690" s="11" t="s">
        <v>4084</v>
      </c>
      <c r="G690" s="12" t="s">
        <v>9</v>
      </c>
    </row>
    <row r="691" customFormat="false" ht="104" hidden="false" customHeight="true" outlineLevel="0" collapsed="false">
      <c r="A691" s="11" t="s">
        <v>8209</v>
      </c>
      <c r="B691" s="11" t="s">
        <v>1541</v>
      </c>
      <c r="C691" s="11" t="s">
        <v>1542</v>
      </c>
      <c r="D691" s="11" t="s">
        <v>8512</v>
      </c>
      <c r="E691" s="11" t="s">
        <v>8513</v>
      </c>
      <c r="F691" s="11" t="s">
        <v>4084</v>
      </c>
      <c r="G691" s="12" t="s">
        <v>9</v>
      </c>
    </row>
    <row r="692" customFormat="false" ht="104" hidden="false" customHeight="true" outlineLevel="0" collapsed="false">
      <c r="A692" s="11" t="s">
        <v>8209</v>
      </c>
      <c r="B692" s="11" t="s">
        <v>1545</v>
      </c>
      <c r="C692" s="11" t="s">
        <v>1546</v>
      </c>
      <c r="D692" s="11" t="s">
        <v>8514</v>
      </c>
      <c r="E692" s="11" t="s">
        <v>8515</v>
      </c>
      <c r="F692" s="11" t="s">
        <v>4084</v>
      </c>
      <c r="G692" s="12" t="s">
        <v>9</v>
      </c>
    </row>
    <row r="693" customFormat="false" ht="104" hidden="false" customHeight="true" outlineLevel="0" collapsed="false">
      <c r="A693" s="11" t="s">
        <v>8209</v>
      </c>
      <c r="B693" s="11" t="s">
        <v>1550</v>
      </c>
      <c r="C693" s="11" t="s">
        <v>1551</v>
      </c>
      <c r="D693" s="11" t="s">
        <v>8516</v>
      </c>
      <c r="E693" s="11" t="s">
        <v>8517</v>
      </c>
      <c r="F693" s="11" t="s">
        <v>4084</v>
      </c>
      <c r="G693" s="12" t="s">
        <v>9</v>
      </c>
    </row>
    <row r="694" customFormat="false" ht="104" hidden="false" customHeight="true" outlineLevel="0" collapsed="false">
      <c r="A694" s="11" t="s">
        <v>8209</v>
      </c>
      <c r="B694" s="11" t="s">
        <v>1554</v>
      </c>
      <c r="C694" s="11" t="s">
        <v>1555</v>
      </c>
      <c r="D694" s="11" t="s">
        <v>8518</v>
      </c>
      <c r="E694" s="11" t="s">
        <v>8519</v>
      </c>
      <c r="F694" s="11" t="s">
        <v>4084</v>
      </c>
      <c r="G694" s="12" t="s">
        <v>9</v>
      </c>
    </row>
    <row r="695" customFormat="false" ht="104" hidden="false" customHeight="true" outlineLevel="0" collapsed="false">
      <c r="A695" s="11" t="s">
        <v>8209</v>
      </c>
      <c r="B695" s="11" t="s">
        <v>1559</v>
      </c>
      <c r="C695" s="11" t="s">
        <v>1560</v>
      </c>
      <c r="D695" s="11" t="s">
        <v>8520</v>
      </c>
      <c r="E695" s="11" t="s">
        <v>8521</v>
      </c>
      <c r="F695" s="11" t="s">
        <v>4084</v>
      </c>
      <c r="G695" s="12" t="s">
        <v>9</v>
      </c>
    </row>
    <row r="696" customFormat="false" ht="104" hidden="false" customHeight="true" outlineLevel="0" collapsed="false">
      <c r="A696" s="11" t="s">
        <v>8209</v>
      </c>
      <c r="B696" s="11" t="s">
        <v>1563</v>
      </c>
      <c r="C696" s="11" t="s">
        <v>1564</v>
      </c>
      <c r="D696" s="11" t="s">
        <v>8522</v>
      </c>
      <c r="E696" s="11" t="s">
        <v>8523</v>
      </c>
      <c r="F696" s="11" t="s">
        <v>4084</v>
      </c>
      <c r="G696" s="12" t="s">
        <v>9</v>
      </c>
    </row>
    <row r="697" customFormat="false" ht="104" hidden="false" customHeight="true" outlineLevel="0" collapsed="false">
      <c r="A697" s="11" t="s">
        <v>8209</v>
      </c>
      <c r="B697" s="11" t="s">
        <v>1568</v>
      </c>
      <c r="C697" s="11" t="s">
        <v>1569</v>
      </c>
      <c r="D697" s="11" t="s">
        <v>8524</v>
      </c>
      <c r="E697" s="11" t="s">
        <v>8525</v>
      </c>
      <c r="F697" s="11" t="s">
        <v>4084</v>
      </c>
      <c r="G697" s="12" t="s">
        <v>9</v>
      </c>
    </row>
    <row r="698" customFormat="false" ht="104" hidden="false" customHeight="true" outlineLevel="0" collapsed="false">
      <c r="A698" s="11" t="s">
        <v>8209</v>
      </c>
      <c r="B698" s="11" t="s">
        <v>1572</v>
      </c>
      <c r="C698" s="11" t="s">
        <v>1573</v>
      </c>
      <c r="D698" s="11" t="s">
        <v>8526</v>
      </c>
      <c r="E698" s="11" t="s">
        <v>8527</v>
      </c>
      <c r="F698" s="11" t="s">
        <v>4084</v>
      </c>
      <c r="G698" s="12" t="s">
        <v>9</v>
      </c>
    </row>
    <row r="699" customFormat="false" ht="104" hidden="false" customHeight="true" outlineLevel="0" collapsed="false">
      <c r="A699" s="11" t="s">
        <v>8209</v>
      </c>
      <c r="B699" s="11" t="s">
        <v>1575</v>
      </c>
      <c r="C699" s="11" t="s">
        <v>1576</v>
      </c>
      <c r="D699" s="11" t="s">
        <v>8528</v>
      </c>
      <c r="E699" s="11" t="s">
        <v>8529</v>
      </c>
      <c r="F699" s="11" t="s">
        <v>4084</v>
      </c>
      <c r="G699" s="12" t="s">
        <v>9</v>
      </c>
    </row>
    <row r="700" customFormat="false" ht="104" hidden="false" customHeight="true" outlineLevel="0" collapsed="false">
      <c r="A700" s="11" t="s">
        <v>8209</v>
      </c>
      <c r="B700" s="11" t="s">
        <v>1578</v>
      </c>
      <c r="C700" s="11" t="s">
        <v>1579</v>
      </c>
      <c r="D700" s="11" t="s">
        <v>8530</v>
      </c>
      <c r="E700" s="11" t="s">
        <v>8531</v>
      </c>
      <c r="F700" s="11" t="s">
        <v>4084</v>
      </c>
      <c r="G700" s="12" t="s">
        <v>9</v>
      </c>
    </row>
    <row r="701" customFormat="false" ht="104" hidden="false" customHeight="true" outlineLevel="0" collapsed="false">
      <c r="A701" s="11" t="s">
        <v>8209</v>
      </c>
      <c r="B701" s="11" t="s">
        <v>1581</v>
      </c>
      <c r="C701" s="11" t="s">
        <v>1582</v>
      </c>
      <c r="D701" s="11" t="s">
        <v>8532</v>
      </c>
      <c r="E701" s="11" t="s">
        <v>8533</v>
      </c>
      <c r="F701" s="11" t="s">
        <v>4084</v>
      </c>
      <c r="G701" s="12" t="s">
        <v>9</v>
      </c>
    </row>
    <row r="702" customFormat="false" ht="104" hidden="false" customHeight="true" outlineLevel="0" collapsed="false">
      <c r="A702" s="11" t="s">
        <v>8209</v>
      </c>
      <c r="B702" s="11" t="s">
        <v>1589</v>
      </c>
      <c r="C702" s="11" t="s">
        <v>1590</v>
      </c>
      <c r="D702" s="11" t="s">
        <v>8534</v>
      </c>
      <c r="E702" s="11" t="s">
        <v>8535</v>
      </c>
      <c r="F702" s="11" t="s">
        <v>4084</v>
      </c>
      <c r="G702" s="12" t="s">
        <v>9</v>
      </c>
    </row>
    <row r="703" customFormat="false" ht="104" hidden="false" customHeight="true" outlineLevel="0" collapsed="false">
      <c r="A703" s="11" t="s">
        <v>8209</v>
      </c>
      <c r="B703" s="11" t="s">
        <v>1601</v>
      </c>
      <c r="C703" s="11" t="s">
        <v>1602</v>
      </c>
      <c r="D703" s="11" t="s">
        <v>8536</v>
      </c>
      <c r="E703" s="11" t="s">
        <v>8537</v>
      </c>
      <c r="F703" s="11" t="s">
        <v>4084</v>
      </c>
      <c r="G703" s="12" t="s">
        <v>9</v>
      </c>
    </row>
    <row r="704" customFormat="false" ht="104" hidden="false" customHeight="true" outlineLevel="0" collapsed="false">
      <c r="A704" s="11" t="s">
        <v>8209</v>
      </c>
      <c r="B704" s="11" t="s">
        <v>1611</v>
      </c>
      <c r="C704" s="11" t="s">
        <v>1612</v>
      </c>
      <c r="D704" s="11" t="s">
        <v>8538</v>
      </c>
      <c r="E704" s="11" t="s">
        <v>8539</v>
      </c>
      <c r="F704" s="11" t="s">
        <v>4084</v>
      </c>
      <c r="G704" s="12" t="s">
        <v>9</v>
      </c>
    </row>
    <row r="705" customFormat="false" ht="104" hidden="false" customHeight="true" outlineLevel="0" collapsed="false">
      <c r="A705" s="11" t="s">
        <v>8209</v>
      </c>
      <c r="B705" s="11" t="s">
        <v>1621</v>
      </c>
      <c r="C705" s="11" t="s">
        <v>1622</v>
      </c>
      <c r="D705" s="11" t="s">
        <v>8540</v>
      </c>
      <c r="E705" s="11" t="s">
        <v>8541</v>
      </c>
      <c r="F705" s="11" t="s">
        <v>4084</v>
      </c>
      <c r="G705" s="12" t="s">
        <v>9</v>
      </c>
    </row>
    <row r="706" customFormat="false" ht="104" hidden="false" customHeight="true" outlineLevel="0" collapsed="false">
      <c r="A706" s="11" t="s">
        <v>8209</v>
      </c>
      <c r="B706" s="11" t="s">
        <v>1625</v>
      </c>
      <c r="C706" s="11" t="s">
        <v>1626</v>
      </c>
      <c r="D706" s="11" t="s">
        <v>8542</v>
      </c>
      <c r="E706" s="11" t="s">
        <v>8543</v>
      </c>
      <c r="F706" s="11" t="s">
        <v>4084</v>
      </c>
      <c r="G706" s="12" t="s">
        <v>9</v>
      </c>
    </row>
    <row r="707" customFormat="false" ht="104" hidden="false" customHeight="true" outlineLevel="0" collapsed="false">
      <c r="A707" s="11" t="s">
        <v>8544</v>
      </c>
      <c r="B707" s="11" t="s">
        <v>1910</v>
      </c>
      <c r="C707" s="11" t="s">
        <v>8545</v>
      </c>
      <c r="D707" s="11" t="s">
        <v>8546</v>
      </c>
      <c r="E707" s="11" t="s">
        <v>8547</v>
      </c>
      <c r="F707" s="11" t="s">
        <v>4084</v>
      </c>
      <c r="G707" s="12" t="s">
        <v>9</v>
      </c>
    </row>
    <row r="708" customFormat="false" ht="104" hidden="false" customHeight="true" outlineLevel="0" collapsed="false">
      <c r="A708" s="11" t="s">
        <v>8544</v>
      </c>
      <c r="B708" s="11" t="s">
        <v>1928</v>
      </c>
      <c r="C708" s="11" t="s">
        <v>8548</v>
      </c>
      <c r="D708" s="11" t="s">
        <v>8549</v>
      </c>
      <c r="E708" s="11" t="s">
        <v>8550</v>
      </c>
      <c r="F708" s="11" t="s">
        <v>4084</v>
      </c>
      <c r="G708" s="12" t="s">
        <v>9</v>
      </c>
    </row>
    <row r="709" customFormat="false" ht="104" hidden="false" customHeight="true" outlineLevel="0" collapsed="false">
      <c r="A709" s="11" t="s">
        <v>8544</v>
      </c>
      <c r="B709" s="11" t="s">
        <v>1934</v>
      </c>
      <c r="C709" s="11" t="s">
        <v>8551</v>
      </c>
      <c r="D709" s="11" t="s">
        <v>8552</v>
      </c>
      <c r="E709" s="11" t="s">
        <v>8553</v>
      </c>
      <c r="F709" s="11" t="s">
        <v>4084</v>
      </c>
      <c r="G709" s="12" t="s">
        <v>9</v>
      </c>
    </row>
    <row r="710" customFormat="false" ht="104" hidden="false" customHeight="true" outlineLevel="0" collapsed="false">
      <c r="A710" s="11" t="s">
        <v>8544</v>
      </c>
      <c r="B710" s="11" t="s">
        <v>1947</v>
      </c>
      <c r="C710" s="11" t="s">
        <v>8554</v>
      </c>
      <c r="D710" s="11" t="s">
        <v>8555</v>
      </c>
      <c r="E710" s="11" t="s">
        <v>8556</v>
      </c>
      <c r="F710" s="11" t="s">
        <v>4084</v>
      </c>
      <c r="G710" s="12" t="s">
        <v>9</v>
      </c>
    </row>
    <row r="711" customFormat="false" ht="104" hidden="false" customHeight="true" outlineLevel="0" collapsed="false">
      <c r="A711" s="11" t="s">
        <v>8544</v>
      </c>
      <c r="B711" s="11" t="s">
        <v>1950</v>
      </c>
      <c r="C711" s="11" t="s">
        <v>8557</v>
      </c>
      <c r="D711" s="11" t="s">
        <v>8558</v>
      </c>
      <c r="E711" s="11" t="s">
        <v>8559</v>
      </c>
      <c r="F711" s="11" t="s">
        <v>4084</v>
      </c>
      <c r="G711" s="12" t="s">
        <v>9</v>
      </c>
    </row>
    <row r="712" customFormat="false" ht="104" hidden="false" customHeight="true" outlineLevel="0" collapsed="false">
      <c r="A712" s="11" t="s">
        <v>8544</v>
      </c>
      <c r="B712" s="11" t="s">
        <v>1962</v>
      </c>
      <c r="C712" s="11" t="s">
        <v>8560</v>
      </c>
      <c r="D712" s="11" t="s">
        <v>8561</v>
      </c>
      <c r="E712" s="11" t="s">
        <v>8562</v>
      </c>
      <c r="F712" s="11" t="s">
        <v>4084</v>
      </c>
      <c r="G712" s="12" t="s">
        <v>9</v>
      </c>
    </row>
    <row r="713" customFormat="false" ht="104" hidden="false" customHeight="true" outlineLevel="0" collapsed="false">
      <c r="A713" s="11" t="s">
        <v>8544</v>
      </c>
      <c r="B713" s="11" t="s">
        <v>1965</v>
      </c>
      <c r="C713" s="11" t="s">
        <v>8563</v>
      </c>
      <c r="D713" s="11" t="s">
        <v>8564</v>
      </c>
      <c r="E713" s="11" t="s">
        <v>8565</v>
      </c>
      <c r="F713" s="11" t="s">
        <v>4084</v>
      </c>
      <c r="G713" s="12" t="s">
        <v>9</v>
      </c>
    </row>
    <row r="714" customFormat="false" ht="104" hidden="false" customHeight="true" outlineLevel="0" collapsed="false">
      <c r="A714" s="11" t="s">
        <v>8544</v>
      </c>
      <c r="B714" s="11" t="s">
        <v>1977</v>
      </c>
      <c r="C714" s="11" t="s">
        <v>8566</v>
      </c>
      <c r="D714" s="11" t="s">
        <v>8567</v>
      </c>
      <c r="E714" s="11" t="s">
        <v>8568</v>
      </c>
      <c r="F714" s="11" t="s">
        <v>4084</v>
      </c>
      <c r="G714" s="12" t="s">
        <v>9</v>
      </c>
    </row>
    <row r="715" customFormat="false" ht="104" hidden="false" customHeight="true" outlineLevel="0" collapsed="false">
      <c r="A715" s="11" t="s">
        <v>8544</v>
      </c>
      <c r="B715" s="11" t="s">
        <v>1992</v>
      </c>
      <c r="C715" s="11" t="s">
        <v>8569</v>
      </c>
      <c r="D715" s="11" t="s">
        <v>8570</v>
      </c>
      <c r="E715" s="11" t="s">
        <v>8571</v>
      </c>
      <c r="F715" s="11" t="s">
        <v>4084</v>
      </c>
      <c r="G715" s="12" t="s">
        <v>9</v>
      </c>
    </row>
    <row r="716" customFormat="false" ht="104" hidden="false" customHeight="true" outlineLevel="0" collapsed="false">
      <c r="A716" s="11" t="s">
        <v>8544</v>
      </c>
      <c r="B716" s="11" t="s">
        <v>2004</v>
      </c>
      <c r="C716" s="11" t="s">
        <v>8572</v>
      </c>
      <c r="D716" s="11" t="s">
        <v>8573</v>
      </c>
      <c r="E716" s="11" t="s">
        <v>8574</v>
      </c>
      <c r="F716" s="11" t="s">
        <v>4084</v>
      </c>
      <c r="G716" s="12" t="s">
        <v>9</v>
      </c>
    </row>
    <row r="717" customFormat="false" ht="104" hidden="false" customHeight="true" outlineLevel="0" collapsed="false">
      <c r="A717" s="11" t="s">
        <v>8544</v>
      </c>
      <c r="B717" s="11" t="s">
        <v>2007</v>
      </c>
      <c r="C717" s="11" t="s">
        <v>8575</v>
      </c>
      <c r="D717" s="11" t="s">
        <v>8576</v>
      </c>
      <c r="E717" s="11" t="s">
        <v>8577</v>
      </c>
      <c r="F717" s="11" t="s">
        <v>4084</v>
      </c>
      <c r="G717" s="12" t="s">
        <v>9</v>
      </c>
    </row>
    <row r="718" customFormat="false" ht="104" hidden="false" customHeight="true" outlineLevel="0" collapsed="false">
      <c r="A718" s="11" t="s">
        <v>8544</v>
      </c>
      <c r="B718" s="11" t="s">
        <v>2019</v>
      </c>
      <c r="C718" s="11" t="s">
        <v>8578</v>
      </c>
      <c r="D718" s="11" t="s">
        <v>8579</v>
      </c>
      <c r="E718" s="11" t="s">
        <v>8580</v>
      </c>
      <c r="F718" s="11" t="s">
        <v>4084</v>
      </c>
      <c r="G718" s="12" t="s">
        <v>9</v>
      </c>
    </row>
    <row r="719" customFormat="false" ht="104" hidden="false" customHeight="true" outlineLevel="0" collapsed="false">
      <c r="A719" s="11" t="s">
        <v>8544</v>
      </c>
      <c r="B719" s="11" t="s">
        <v>2021</v>
      </c>
      <c r="C719" s="11" t="s">
        <v>8581</v>
      </c>
      <c r="D719" s="11" t="s">
        <v>8582</v>
      </c>
      <c r="E719" s="11" t="s">
        <v>8583</v>
      </c>
      <c r="F719" s="11" t="s">
        <v>4084</v>
      </c>
      <c r="G719" s="12" t="s">
        <v>9</v>
      </c>
    </row>
    <row r="720" customFormat="false" ht="104" hidden="false" customHeight="true" outlineLevel="0" collapsed="false">
      <c r="A720" s="11" t="s">
        <v>8544</v>
      </c>
      <c r="B720" s="11" t="s">
        <v>2033</v>
      </c>
      <c r="C720" s="11" t="s">
        <v>8584</v>
      </c>
      <c r="D720" s="11" t="s">
        <v>8585</v>
      </c>
      <c r="E720" s="11" t="s">
        <v>8586</v>
      </c>
      <c r="F720" s="11" t="s">
        <v>4084</v>
      </c>
      <c r="G720" s="12" t="s">
        <v>9</v>
      </c>
    </row>
    <row r="721" customFormat="false" ht="104" hidden="false" customHeight="true" outlineLevel="0" collapsed="false">
      <c r="A721" s="11" t="s">
        <v>8544</v>
      </c>
      <c r="B721" s="11" t="s">
        <v>2035</v>
      </c>
      <c r="C721" s="11" t="s">
        <v>8587</v>
      </c>
      <c r="D721" s="11" t="s">
        <v>8588</v>
      </c>
      <c r="E721" s="11" t="s">
        <v>8589</v>
      </c>
      <c r="F721" s="11" t="s">
        <v>4084</v>
      </c>
      <c r="G721" s="12" t="s">
        <v>9</v>
      </c>
    </row>
    <row r="722" customFormat="false" ht="104" hidden="false" customHeight="true" outlineLevel="0" collapsed="false">
      <c r="A722" s="11" t="s">
        <v>8544</v>
      </c>
      <c r="B722" s="11" t="s">
        <v>2047</v>
      </c>
      <c r="C722" s="11" t="s">
        <v>8590</v>
      </c>
      <c r="D722" s="11" t="s">
        <v>8591</v>
      </c>
      <c r="E722" s="11" t="s">
        <v>8592</v>
      </c>
      <c r="F722" s="11" t="s">
        <v>4084</v>
      </c>
      <c r="G722" s="12" t="s">
        <v>9</v>
      </c>
    </row>
    <row r="723" customFormat="false" ht="104" hidden="false" customHeight="true" outlineLevel="0" collapsed="false">
      <c r="A723" s="11" t="s">
        <v>8544</v>
      </c>
      <c r="B723" s="11" t="s">
        <v>2050</v>
      </c>
      <c r="C723" s="11" t="s">
        <v>8593</v>
      </c>
      <c r="D723" s="11" t="s">
        <v>8594</v>
      </c>
      <c r="E723" s="11" t="s">
        <v>8595</v>
      </c>
      <c r="F723" s="11" t="s">
        <v>4084</v>
      </c>
      <c r="G723" s="12" t="s">
        <v>9</v>
      </c>
    </row>
    <row r="724" customFormat="false" ht="104" hidden="false" customHeight="true" outlineLevel="0" collapsed="false">
      <c r="A724" s="11" t="s">
        <v>8544</v>
      </c>
      <c r="B724" s="11" t="s">
        <v>2062</v>
      </c>
      <c r="C724" s="11" t="s">
        <v>8596</v>
      </c>
      <c r="D724" s="11" t="s">
        <v>8597</v>
      </c>
      <c r="E724" s="11" t="s">
        <v>8598</v>
      </c>
      <c r="F724" s="11" t="s">
        <v>4084</v>
      </c>
      <c r="G724" s="12" t="s">
        <v>9</v>
      </c>
    </row>
    <row r="725" customFormat="false" ht="104" hidden="false" customHeight="true" outlineLevel="0" collapsed="false">
      <c r="A725" s="11" t="s">
        <v>8544</v>
      </c>
      <c r="B725" s="11" t="s">
        <v>2065</v>
      </c>
      <c r="C725" s="11" t="s">
        <v>8599</v>
      </c>
      <c r="D725" s="11" t="s">
        <v>8600</v>
      </c>
      <c r="E725" s="11" t="s">
        <v>8601</v>
      </c>
      <c r="F725" s="11" t="s">
        <v>4084</v>
      </c>
      <c r="G725" s="12" t="s">
        <v>9</v>
      </c>
    </row>
    <row r="726" customFormat="false" ht="104" hidden="false" customHeight="true" outlineLevel="0" collapsed="false">
      <c r="A726" s="11" t="s">
        <v>8544</v>
      </c>
      <c r="B726" s="11" t="s">
        <v>2075</v>
      </c>
      <c r="C726" s="11" t="s">
        <v>8602</v>
      </c>
      <c r="D726" s="11" t="s">
        <v>8603</v>
      </c>
      <c r="E726" s="11" t="s">
        <v>8604</v>
      </c>
      <c r="F726" s="11" t="s">
        <v>4084</v>
      </c>
      <c r="G726" s="12" t="s">
        <v>9</v>
      </c>
    </row>
    <row r="727" customFormat="false" ht="104" hidden="false" customHeight="true" outlineLevel="0" collapsed="false">
      <c r="A727" s="11" t="s">
        <v>8544</v>
      </c>
      <c r="B727" s="11" t="s">
        <v>2077</v>
      </c>
      <c r="C727" s="11" t="s">
        <v>8605</v>
      </c>
      <c r="D727" s="11" t="s">
        <v>8606</v>
      </c>
      <c r="E727" s="11" t="s">
        <v>8607</v>
      </c>
      <c r="F727" s="11" t="s">
        <v>4084</v>
      </c>
      <c r="G727" s="12" t="s">
        <v>9</v>
      </c>
    </row>
    <row r="728" customFormat="false" ht="104" hidden="false" customHeight="true" outlineLevel="0" collapsed="false">
      <c r="A728" s="11" t="s">
        <v>8544</v>
      </c>
      <c r="B728" s="11" t="s">
        <v>2089</v>
      </c>
      <c r="C728" s="11" t="s">
        <v>8608</v>
      </c>
      <c r="D728" s="11" t="s">
        <v>8609</v>
      </c>
      <c r="E728" s="11" t="s">
        <v>8610</v>
      </c>
      <c r="F728" s="11" t="s">
        <v>4084</v>
      </c>
      <c r="G728" s="12" t="s">
        <v>9</v>
      </c>
    </row>
    <row r="729" customFormat="false" ht="104" hidden="false" customHeight="true" outlineLevel="0" collapsed="false">
      <c r="A729" s="11" t="s">
        <v>8544</v>
      </c>
      <c r="B729" s="11" t="s">
        <v>2092</v>
      </c>
      <c r="C729" s="11" t="s">
        <v>8611</v>
      </c>
      <c r="D729" s="11" t="s">
        <v>8612</v>
      </c>
      <c r="E729" s="11" t="s">
        <v>8613</v>
      </c>
      <c r="F729" s="11" t="s">
        <v>4084</v>
      </c>
      <c r="G729" s="12" t="s">
        <v>9</v>
      </c>
    </row>
    <row r="730" customFormat="false" ht="104" hidden="false" customHeight="true" outlineLevel="0" collapsed="false">
      <c r="A730" s="11" t="s">
        <v>8544</v>
      </c>
      <c r="B730" s="11" t="s">
        <v>2105</v>
      </c>
      <c r="C730" s="11" t="s">
        <v>8614</v>
      </c>
      <c r="D730" s="11" t="s">
        <v>8615</v>
      </c>
      <c r="E730" s="11" t="s">
        <v>8616</v>
      </c>
      <c r="F730" s="11" t="s">
        <v>4084</v>
      </c>
      <c r="G730" s="12" t="s">
        <v>9</v>
      </c>
    </row>
    <row r="731" customFormat="false" ht="104" hidden="false" customHeight="true" outlineLevel="0" collapsed="false">
      <c r="A731" s="11" t="s">
        <v>8544</v>
      </c>
      <c r="B731" s="11" t="s">
        <v>2108</v>
      </c>
      <c r="C731" s="11" t="s">
        <v>8617</v>
      </c>
      <c r="D731" s="11" t="s">
        <v>8618</v>
      </c>
      <c r="E731" s="11" t="s">
        <v>8619</v>
      </c>
      <c r="F731" s="11" t="s">
        <v>4084</v>
      </c>
      <c r="G731" s="12" t="s">
        <v>9</v>
      </c>
    </row>
    <row r="732" customFormat="false" ht="104" hidden="false" customHeight="true" outlineLevel="0" collapsed="false">
      <c r="A732" s="11" t="s">
        <v>8544</v>
      </c>
      <c r="B732" s="11" t="s">
        <v>2120</v>
      </c>
      <c r="C732" s="11" t="s">
        <v>8620</v>
      </c>
      <c r="D732" s="11" t="s">
        <v>8621</v>
      </c>
      <c r="E732" s="11" t="s">
        <v>8622</v>
      </c>
      <c r="F732" s="11" t="s">
        <v>4084</v>
      </c>
      <c r="G732" s="12" t="s">
        <v>9</v>
      </c>
    </row>
    <row r="733" customFormat="false" ht="104" hidden="false" customHeight="true" outlineLevel="0" collapsed="false">
      <c r="A733" s="11" t="s">
        <v>8544</v>
      </c>
      <c r="B733" s="11" t="s">
        <v>2122</v>
      </c>
      <c r="C733" s="11" t="s">
        <v>8623</v>
      </c>
      <c r="D733" s="11" t="s">
        <v>8624</v>
      </c>
      <c r="E733" s="11" t="s">
        <v>8625</v>
      </c>
      <c r="F733" s="11" t="s">
        <v>4084</v>
      </c>
      <c r="G733" s="12" t="s">
        <v>9</v>
      </c>
    </row>
    <row r="734" customFormat="false" ht="104" hidden="false" customHeight="true" outlineLevel="0" collapsed="false">
      <c r="A734" s="11" t="s">
        <v>8544</v>
      </c>
      <c r="B734" s="11" t="s">
        <v>2134</v>
      </c>
      <c r="C734" s="11" t="s">
        <v>8626</v>
      </c>
      <c r="D734" s="11" t="s">
        <v>8627</v>
      </c>
      <c r="E734" s="11" t="s">
        <v>8628</v>
      </c>
      <c r="F734" s="11" t="s">
        <v>4084</v>
      </c>
      <c r="G734" s="12" t="s">
        <v>9</v>
      </c>
    </row>
    <row r="735" customFormat="false" ht="104" hidden="false" customHeight="true" outlineLevel="0" collapsed="false">
      <c r="A735" s="11" t="s">
        <v>8544</v>
      </c>
      <c r="B735" s="11" t="s">
        <v>2137</v>
      </c>
      <c r="C735" s="11" t="s">
        <v>8629</v>
      </c>
      <c r="D735" s="11" t="s">
        <v>8630</v>
      </c>
      <c r="E735" s="11" t="s">
        <v>8631</v>
      </c>
      <c r="F735" s="11" t="s">
        <v>4084</v>
      </c>
      <c r="G735" s="12" t="s">
        <v>9</v>
      </c>
    </row>
    <row r="736" customFormat="false" ht="104" hidden="false" customHeight="true" outlineLevel="0" collapsed="false">
      <c r="A736" s="11" t="s">
        <v>8544</v>
      </c>
      <c r="B736" s="11" t="s">
        <v>2149</v>
      </c>
      <c r="C736" s="11" t="s">
        <v>8632</v>
      </c>
      <c r="D736" s="11" t="s">
        <v>8633</v>
      </c>
      <c r="E736" s="11" t="s">
        <v>8634</v>
      </c>
      <c r="F736" s="11" t="s">
        <v>4084</v>
      </c>
      <c r="G736" s="12" t="s">
        <v>9</v>
      </c>
    </row>
    <row r="737" customFormat="false" ht="104" hidden="false" customHeight="true" outlineLevel="0" collapsed="false">
      <c r="A737" s="11" t="s">
        <v>8544</v>
      </c>
      <c r="B737" s="11" t="s">
        <v>2151</v>
      </c>
      <c r="C737" s="11" t="s">
        <v>8635</v>
      </c>
      <c r="D737" s="11" t="s">
        <v>8636</v>
      </c>
      <c r="E737" s="11" t="s">
        <v>8637</v>
      </c>
      <c r="F737" s="11" t="s">
        <v>4084</v>
      </c>
      <c r="G737" s="12" t="s">
        <v>9</v>
      </c>
    </row>
    <row r="738" customFormat="false" ht="104" hidden="false" customHeight="true" outlineLevel="0" collapsed="false">
      <c r="A738" s="11" t="s">
        <v>8544</v>
      </c>
      <c r="B738" s="11" t="s">
        <v>2163</v>
      </c>
      <c r="C738" s="11" t="s">
        <v>8638</v>
      </c>
      <c r="D738" s="11" t="s">
        <v>8639</v>
      </c>
      <c r="E738" s="11" t="s">
        <v>8640</v>
      </c>
      <c r="F738" s="11" t="s">
        <v>4084</v>
      </c>
      <c r="G738" s="12" t="s">
        <v>9</v>
      </c>
    </row>
    <row r="739" customFormat="false" ht="104" hidden="false" customHeight="true" outlineLevel="0" collapsed="false">
      <c r="A739" s="11" t="s">
        <v>8544</v>
      </c>
      <c r="B739" s="11" t="s">
        <v>2165</v>
      </c>
      <c r="C739" s="11" t="s">
        <v>8641</v>
      </c>
      <c r="D739" s="11" t="s">
        <v>8642</v>
      </c>
      <c r="E739" s="11" t="s">
        <v>8643</v>
      </c>
      <c r="F739" s="11" t="s">
        <v>4084</v>
      </c>
      <c r="G739" s="12" t="s">
        <v>9</v>
      </c>
    </row>
    <row r="740" customFormat="false" ht="104" hidden="false" customHeight="true" outlineLevel="0" collapsed="false">
      <c r="A740" s="11" t="s">
        <v>8544</v>
      </c>
      <c r="B740" s="11" t="s">
        <v>2177</v>
      </c>
      <c r="C740" s="11" t="s">
        <v>8644</v>
      </c>
      <c r="D740" s="11" t="s">
        <v>8645</v>
      </c>
      <c r="E740" s="11" t="s">
        <v>8646</v>
      </c>
      <c r="F740" s="11" t="s">
        <v>4084</v>
      </c>
      <c r="G740" s="12" t="s">
        <v>9</v>
      </c>
    </row>
    <row r="741" customFormat="false" ht="104" hidden="false" customHeight="true" outlineLevel="0" collapsed="false">
      <c r="A741" s="11" t="s">
        <v>8544</v>
      </c>
      <c r="B741" s="11" t="s">
        <v>2180</v>
      </c>
      <c r="C741" s="11" t="s">
        <v>8647</v>
      </c>
      <c r="D741" s="11" t="s">
        <v>8648</v>
      </c>
      <c r="E741" s="11" t="s">
        <v>8649</v>
      </c>
      <c r="F741" s="11" t="s">
        <v>4084</v>
      </c>
      <c r="G741" s="12" t="s">
        <v>9</v>
      </c>
    </row>
    <row r="742" customFormat="false" ht="104" hidden="false" customHeight="true" outlineLevel="0" collapsed="false">
      <c r="A742" s="11" t="s">
        <v>8544</v>
      </c>
      <c r="B742" s="11" t="s">
        <v>2191</v>
      </c>
      <c r="C742" s="11" t="s">
        <v>8650</v>
      </c>
      <c r="D742" s="11" t="s">
        <v>8651</v>
      </c>
      <c r="E742" s="11" t="s">
        <v>8652</v>
      </c>
      <c r="F742" s="11" t="s">
        <v>4084</v>
      </c>
      <c r="G742" s="12" t="s">
        <v>9</v>
      </c>
    </row>
    <row r="743" customFormat="false" ht="104" hidden="false" customHeight="true" outlineLevel="0" collapsed="false">
      <c r="A743" s="11" t="s">
        <v>8544</v>
      </c>
      <c r="B743" s="11" t="s">
        <v>2194</v>
      </c>
      <c r="C743" s="11" t="s">
        <v>8653</v>
      </c>
      <c r="D743" s="11" t="s">
        <v>8654</v>
      </c>
      <c r="E743" s="11" t="s">
        <v>8655</v>
      </c>
      <c r="F743" s="11" t="s">
        <v>4084</v>
      </c>
      <c r="G743" s="12" t="s">
        <v>9</v>
      </c>
    </row>
    <row r="744" customFormat="false" ht="104" hidden="false" customHeight="true" outlineLevel="0" collapsed="false">
      <c r="A744" s="11" t="s">
        <v>8544</v>
      </c>
      <c r="B744" s="11" t="s">
        <v>2203</v>
      </c>
      <c r="C744" s="11" t="s">
        <v>8656</v>
      </c>
      <c r="D744" s="11" t="s">
        <v>8657</v>
      </c>
      <c r="E744" s="11" t="s">
        <v>8658</v>
      </c>
      <c r="F744" s="11" t="s">
        <v>4084</v>
      </c>
      <c r="G744" s="12" t="s">
        <v>9</v>
      </c>
    </row>
    <row r="745" customFormat="false" ht="104" hidden="false" customHeight="true" outlineLevel="0" collapsed="false">
      <c r="A745" s="11" t="s">
        <v>8544</v>
      </c>
      <c r="B745" s="11" t="s">
        <v>2206</v>
      </c>
      <c r="C745" s="11" t="s">
        <v>8659</v>
      </c>
      <c r="D745" s="11" t="s">
        <v>8660</v>
      </c>
      <c r="E745" s="11" t="s">
        <v>8661</v>
      </c>
      <c r="F745" s="11" t="s">
        <v>4084</v>
      </c>
      <c r="G745" s="12" t="s">
        <v>9</v>
      </c>
    </row>
    <row r="746" customFormat="false" ht="104" hidden="false" customHeight="true" outlineLevel="0" collapsed="false">
      <c r="A746" s="11" t="s">
        <v>8544</v>
      </c>
      <c r="B746" s="11" t="s">
        <v>2214</v>
      </c>
      <c r="C746" s="11" t="s">
        <v>8662</v>
      </c>
      <c r="D746" s="11" t="s">
        <v>8663</v>
      </c>
      <c r="E746" s="11" t="s">
        <v>8664</v>
      </c>
      <c r="F746" s="11" t="s">
        <v>4084</v>
      </c>
      <c r="G746" s="12" t="s">
        <v>9</v>
      </c>
    </row>
    <row r="747" customFormat="false" ht="104" hidden="false" customHeight="true" outlineLevel="0" collapsed="false">
      <c r="A747" s="11" t="s">
        <v>8544</v>
      </c>
      <c r="B747" s="11" t="s">
        <v>2216</v>
      </c>
      <c r="C747" s="11" t="s">
        <v>8665</v>
      </c>
      <c r="D747" s="11" t="s">
        <v>8666</v>
      </c>
      <c r="E747" s="11" t="s">
        <v>8667</v>
      </c>
      <c r="F747" s="11" t="s">
        <v>4084</v>
      </c>
      <c r="G747" s="12" t="s">
        <v>9</v>
      </c>
    </row>
    <row r="748" customFormat="false" ht="104" hidden="false" customHeight="true" outlineLevel="0" collapsed="false">
      <c r="A748" s="11" t="s">
        <v>8544</v>
      </c>
      <c r="B748" s="11" t="s">
        <v>2224</v>
      </c>
      <c r="C748" s="11" t="s">
        <v>8668</v>
      </c>
      <c r="D748" s="11" t="s">
        <v>8669</v>
      </c>
      <c r="E748" s="11" t="s">
        <v>8670</v>
      </c>
      <c r="F748" s="11" t="s">
        <v>4084</v>
      </c>
      <c r="G748" s="12" t="s">
        <v>9</v>
      </c>
    </row>
    <row r="749" customFormat="false" ht="104" hidden="false" customHeight="true" outlineLevel="0" collapsed="false">
      <c r="A749" s="11" t="s">
        <v>8544</v>
      </c>
      <c r="B749" s="11" t="s">
        <v>2226</v>
      </c>
      <c r="C749" s="11" t="s">
        <v>8671</v>
      </c>
      <c r="D749" s="11" t="s">
        <v>8672</v>
      </c>
      <c r="E749" s="11" t="s">
        <v>8673</v>
      </c>
      <c r="F749" s="11" t="s">
        <v>4084</v>
      </c>
      <c r="G749" s="12" t="s">
        <v>9</v>
      </c>
    </row>
    <row r="750" customFormat="false" ht="104" hidden="false" customHeight="true" outlineLevel="0" collapsed="false">
      <c r="A750" s="11" t="s">
        <v>8544</v>
      </c>
      <c r="B750" s="11" t="s">
        <v>2238</v>
      </c>
      <c r="C750" s="11" t="s">
        <v>8674</v>
      </c>
      <c r="D750" s="11" t="s">
        <v>8675</v>
      </c>
      <c r="E750" s="11" t="s">
        <v>8676</v>
      </c>
      <c r="F750" s="11" t="s">
        <v>4084</v>
      </c>
      <c r="G750" s="12" t="s">
        <v>9</v>
      </c>
    </row>
    <row r="751" customFormat="false" ht="104" hidden="false" customHeight="true" outlineLevel="0" collapsed="false">
      <c r="A751" s="11" t="s">
        <v>8544</v>
      </c>
      <c r="B751" s="11" t="s">
        <v>2241</v>
      </c>
      <c r="C751" s="11" t="s">
        <v>8677</v>
      </c>
      <c r="D751" s="11" t="s">
        <v>8678</v>
      </c>
      <c r="E751" s="11" t="s">
        <v>8679</v>
      </c>
      <c r="F751" s="11" t="s">
        <v>4084</v>
      </c>
      <c r="G751" s="12" t="s">
        <v>9</v>
      </c>
    </row>
    <row r="752" customFormat="false" ht="104" hidden="false" customHeight="true" outlineLevel="0" collapsed="false">
      <c r="A752" s="11" t="s">
        <v>8544</v>
      </c>
      <c r="B752" s="11" t="s">
        <v>2249</v>
      </c>
      <c r="C752" s="11" t="s">
        <v>8680</v>
      </c>
      <c r="D752" s="11" t="s">
        <v>8681</v>
      </c>
      <c r="E752" s="11" t="s">
        <v>8682</v>
      </c>
      <c r="F752" s="11" t="s">
        <v>4084</v>
      </c>
      <c r="G752" s="12" t="s">
        <v>9</v>
      </c>
    </row>
    <row r="753" customFormat="false" ht="104" hidden="false" customHeight="true" outlineLevel="0" collapsed="false">
      <c r="A753" s="11" t="s">
        <v>8544</v>
      </c>
      <c r="B753" s="11" t="s">
        <v>2251</v>
      </c>
      <c r="C753" s="11" t="s">
        <v>8683</v>
      </c>
      <c r="D753" s="11" t="s">
        <v>8684</v>
      </c>
      <c r="E753" s="11" t="s">
        <v>8685</v>
      </c>
      <c r="F753" s="11" t="s">
        <v>4084</v>
      </c>
      <c r="G753" s="12" t="s">
        <v>9</v>
      </c>
    </row>
    <row r="754" customFormat="false" ht="104" hidden="false" customHeight="true" outlineLevel="0" collapsed="false">
      <c r="A754" s="11" t="s">
        <v>8544</v>
      </c>
      <c r="B754" s="11" t="s">
        <v>2260</v>
      </c>
      <c r="C754" s="11" t="s">
        <v>8686</v>
      </c>
      <c r="D754" s="11" t="s">
        <v>8687</v>
      </c>
      <c r="E754" s="11" t="s">
        <v>8688</v>
      </c>
      <c r="F754" s="11" t="s">
        <v>4084</v>
      </c>
      <c r="G754" s="12" t="s">
        <v>9</v>
      </c>
    </row>
    <row r="755" customFormat="false" ht="104" hidden="false" customHeight="true" outlineLevel="0" collapsed="false">
      <c r="A755" s="11" t="s">
        <v>8544</v>
      </c>
      <c r="B755" s="11" t="s">
        <v>2262</v>
      </c>
      <c r="C755" s="11" t="s">
        <v>8689</v>
      </c>
      <c r="D755" s="11" t="s">
        <v>8690</v>
      </c>
      <c r="E755" s="11" t="s">
        <v>8691</v>
      </c>
      <c r="F755" s="11" t="s">
        <v>4084</v>
      </c>
      <c r="G755" s="12" t="s">
        <v>9</v>
      </c>
    </row>
    <row r="756" customFormat="false" ht="104" hidden="false" customHeight="true" outlineLevel="0" collapsed="false">
      <c r="A756" s="11" t="s">
        <v>8544</v>
      </c>
      <c r="B756" s="11" t="s">
        <v>2265</v>
      </c>
      <c r="C756" s="11" t="s">
        <v>8692</v>
      </c>
      <c r="D756" s="11" t="s">
        <v>8693</v>
      </c>
      <c r="E756" s="11" t="s">
        <v>8694</v>
      </c>
      <c r="F756" s="11" t="s">
        <v>4084</v>
      </c>
      <c r="G756" s="12" t="s">
        <v>9</v>
      </c>
    </row>
    <row r="757" customFormat="false" ht="104" hidden="false" customHeight="true" outlineLevel="0" collapsed="false">
      <c r="A757" s="11" t="s">
        <v>8544</v>
      </c>
      <c r="B757" s="11" t="s">
        <v>2275</v>
      </c>
      <c r="C757" s="11" t="s">
        <v>8695</v>
      </c>
      <c r="D757" s="11" t="s">
        <v>8696</v>
      </c>
      <c r="E757" s="11" t="s">
        <v>8697</v>
      </c>
      <c r="F757" s="11" t="s">
        <v>4084</v>
      </c>
      <c r="G757" s="12" t="s">
        <v>9</v>
      </c>
    </row>
    <row r="758" customFormat="false" ht="104" hidden="false" customHeight="true" outlineLevel="0" collapsed="false">
      <c r="A758" s="11" t="s">
        <v>8544</v>
      </c>
      <c r="B758" s="11" t="s">
        <v>2284</v>
      </c>
      <c r="C758" s="11" t="s">
        <v>8698</v>
      </c>
      <c r="D758" s="11" t="s">
        <v>8699</v>
      </c>
      <c r="E758" s="11" t="s">
        <v>8700</v>
      </c>
      <c r="F758" s="11" t="s">
        <v>4084</v>
      </c>
      <c r="G758" s="12" t="s">
        <v>9</v>
      </c>
    </row>
    <row r="759" customFormat="false" ht="104" hidden="false" customHeight="true" outlineLevel="0" collapsed="false">
      <c r="A759" s="11" t="s">
        <v>8544</v>
      </c>
      <c r="B759" s="11" t="s">
        <v>2287</v>
      </c>
      <c r="C759" s="11" t="s">
        <v>8701</v>
      </c>
      <c r="D759" s="11" t="s">
        <v>8702</v>
      </c>
      <c r="E759" s="11" t="s">
        <v>8703</v>
      </c>
      <c r="F759" s="11" t="s">
        <v>4084</v>
      </c>
      <c r="G759" s="12" t="s">
        <v>9</v>
      </c>
    </row>
    <row r="760" customFormat="false" ht="104" hidden="false" customHeight="true" outlineLevel="0" collapsed="false">
      <c r="A760" s="11" t="s">
        <v>8544</v>
      </c>
      <c r="B760" s="11" t="s">
        <v>2299</v>
      </c>
      <c r="C760" s="11" t="s">
        <v>8704</v>
      </c>
      <c r="D760" s="11" t="s">
        <v>8705</v>
      </c>
      <c r="E760" s="11" t="s">
        <v>8706</v>
      </c>
      <c r="F760" s="11" t="s">
        <v>4084</v>
      </c>
      <c r="G760" s="12" t="s">
        <v>9</v>
      </c>
    </row>
    <row r="761" customFormat="false" ht="104" hidden="false" customHeight="true" outlineLevel="0" collapsed="false">
      <c r="A761" s="11" t="s">
        <v>8544</v>
      </c>
      <c r="B761" s="11" t="s">
        <v>2301</v>
      </c>
      <c r="C761" s="11" t="s">
        <v>8707</v>
      </c>
      <c r="D761" s="11" t="s">
        <v>8708</v>
      </c>
      <c r="E761" s="11" t="s">
        <v>8709</v>
      </c>
      <c r="F761" s="11" t="s">
        <v>4084</v>
      </c>
      <c r="G761" s="12" t="s">
        <v>9</v>
      </c>
    </row>
    <row r="762" customFormat="false" ht="104" hidden="false" customHeight="true" outlineLevel="0" collapsed="false">
      <c r="A762" s="11" t="s">
        <v>8544</v>
      </c>
      <c r="B762" s="11" t="s">
        <v>2310</v>
      </c>
      <c r="C762" s="11" t="s">
        <v>8710</v>
      </c>
      <c r="D762" s="11" t="s">
        <v>8711</v>
      </c>
      <c r="E762" s="11" t="s">
        <v>8712</v>
      </c>
      <c r="F762" s="11" t="s">
        <v>4084</v>
      </c>
      <c r="G762" s="12" t="s">
        <v>9</v>
      </c>
    </row>
    <row r="763" customFormat="false" ht="104" hidden="false" customHeight="true" outlineLevel="0" collapsed="false">
      <c r="A763" s="11" t="s">
        <v>8544</v>
      </c>
      <c r="B763" s="11" t="s">
        <v>2312</v>
      </c>
      <c r="C763" s="11" t="s">
        <v>8713</v>
      </c>
      <c r="D763" s="11" t="s">
        <v>8714</v>
      </c>
      <c r="E763" s="11" t="s">
        <v>8715</v>
      </c>
      <c r="F763" s="11" t="s">
        <v>4084</v>
      </c>
      <c r="G763" s="12" t="s">
        <v>9</v>
      </c>
    </row>
    <row r="764" customFormat="false" ht="104" hidden="false" customHeight="true" outlineLevel="0" collapsed="false">
      <c r="A764" s="11" t="s">
        <v>8544</v>
      </c>
      <c r="B764" s="11" t="s">
        <v>2324</v>
      </c>
      <c r="C764" s="11" t="s">
        <v>8716</v>
      </c>
      <c r="D764" s="11" t="s">
        <v>8717</v>
      </c>
      <c r="E764" s="11" t="s">
        <v>8718</v>
      </c>
      <c r="F764" s="11" t="s">
        <v>4084</v>
      </c>
      <c r="G764" s="12" t="s">
        <v>9</v>
      </c>
    </row>
    <row r="765" customFormat="false" ht="104" hidden="false" customHeight="true" outlineLevel="0" collapsed="false">
      <c r="A765" s="11" t="s">
        <v>8544</v>
      </c>
      <c r="B765" s="11" t="s">
        <v>2327</v>
      </c>
      <c r="C765" s="11" t="s">
        <v>8719</v>
      </c>
      <c r="D765" s="11" t="s">
        <v>8720</v>
      </c>
      <c r="E765" s="11" t="s">
        <v>8721</v>
      </c>
      <c r="F765" s="11" t="s">
        <v>4084</v>
      </c>
      <c r="G765" s="12" t="s">
        <v>9</v>
      </c>
    </row>
    <row r="766" customFormat="false" ht="104" hidden="false" customHeight="true" outlineLevel="0" collapsed="false">
      <c r="A766" s="11" t="s">
        <v>8544</v>
      </c>
      <c r="B766" s="11" t="s">
        <v>2335</v>
      </c>
      <c r="C766" s="11" t="s">
        <v>8722</v>
      </c>
      <c r="D766" s="11" t="s">
        <v>8723</v>
      </c>
      <c r="E766" s="11" t="s">
        <v>8724</v>
      </c>
      <c r="F766" s="11" t="s">
        <v>4084</v>
      </c>
      <c r="G766" s="12" t="s">
        <v>9</v>
      </c>
    </row>
    <row r="767" customFormat="false" ht="104" hidden="false" customHeight="true" outlineLevel="0" collapsed="false">
      <c r="A767" s="11" t="s">
        <v>8544</v>
      </c>
      <c r="B767" s="11" t="s">
        <v>2337</v>
      </c>
      <c r="C767" s="11" t="s">
        <v>8725</v>
      </c>
      <c r="D767" s="11" t="s">
        <v>8726</v>
      </c>
      <c r="E767" s="11" t="s">
        <v>8727</v>
      </c>
      <c r="F767" s="11" t="s">
        <v>4084</v>
      </c>
      <c r="G767" s="12" t="s">
        <v>9</v>
      </c>
    </row>
    <row r="768" customFormat="false" ht="104" hidden="false" customHeight="true" outlineLevel="0" collapsed="false">
      <c r="A768" s="11" t="s">
        <v>8544</v>
      </c>
      <c r="B768" s="11" t="s">
        <v>2344</v>
      </c>
      <c r="C768" s="11" t="s">
        <v>8728</v>
      </c>
      <c r="D768" s="11" t="s">
        <v>8729</v>
      </c>
      <c r="E768" s="11" t="s">
        <v>8730</v>
      </c>
      <c r="F768" s="11" t="s">
        <v>4084</v>
      </c>
      <c r="G768" s="12" t="s">
        <v>9</v>
      </c>
    </row>
    <row r="769" customFormat="false" ht="104" hidden="false" customHeight="true" outlineLevel="0" collapsed="false">
      <c r="A769" s="11" t="s">
        <v>8544</v>
      </c>
      <c r="B769" s="11" t="s">
        <v>2346</v>
      </c>
      <c r="C769" s="11" t="s">
        <v>8731</v>
      </c>
      <c r="D769" s="11" t="s">
        <v>8732</v>
      </c>
      <c r="E769" s="11" t="s">
        <v>8733</v>
      </c>
      <c r="F769" s="11" t="s">
        <v>4084</v>
      </c>
      <c r="G769" s="12" t="s">
        <v>9</v>
      </c>
    </row>
    <row r="770" customFormat="false" ht="104" hidden="false" customHeight="true" outlineLevel="0" collapsed="false">
      <c r="A770" s="11" t="s">
        <v>8544</v>
      </c>
      <c r="B770" s="11" t="s">
        <v>2354</v>
      </c>
      <c r="C770" s="11" t="s">
        <v>8734</v>
      </c>
      <c r="D770" s="11" t="s">
        <v>8735</v>
      </c>
      <c r="E770" s="11" t="s">
        <v>8736</v>
      </c>
      <c r="F770" s="11" t="s">
        <v>4084</v>
      </c>
      <c r="G770" s="12" t="s">
        <v>9</v>
      </c>
    </row>
    <row r="771" customFormat="false" ht="104" hidden="false" customHeight="true" outlineLevel="0" collapsed="false">
      <c r="A771" s="11" t="s">
        <v>8544</v>
      </c>
      <c r="B771" s="11" t="s">
        <v>2356</v>
      </c>
      <c r="C771" s="11" t="s">
        <v>8737</v>
      </c>
      <c r="D771" s="11" t="s">
        <v>8738</v>
      </c>
      <c r="E771" s="11" t="s">
        <v>8739</v>
      </c>
      <c r="F771" s="11" t="s">
        <v>4084</v>
      </c>
      <c r="G771" s="12" t="s">
        <v>9</v>
      </c>
    </row>
    <row r="772" customFormat="false" ht="104" hidden="false" customHeight="true" outlineLevel="0" collapsed="false">
      <c r="A772" s="11" t="s">
        <v>8544</v>
      </c>
      <c r="B772" s="11" t="s">
        <v>2363</v>
      </c>
      <c r="C772" s="11" t="s">
        <v>8740</v>
      </c>
      <c r="D772" s="11" t="s">
        <v>8741</v>
      </c>
      <c r="E772" s="11" t="s">
        <v>8742</v>
      </c>
      <c r="F772" s="11" t="s">
        <v>4084</v>
      </c>
      <c r="G772" s="12" t="s">
        <v>9</v>
      </c>
    </row>
    <row r="773" customFormat="false" ht="104" hidden="false" customHeight="true" outlineLevel="0" collapsed="false">
      <c r="A773" s="11" t="s">
        <v>8544</v>
      </c>
      <c r="B773" s="11" t="s">
        <v>2365</v>
      </c>
      <c r="C773" s="11" t="s">
        <v>8743</v>
      </c>
      <c r="D773" s="11" t="s">
        <v>8744</v>
      </c>
      <c r="E773" s="11" t="s">
        <v>8745</v>
      </c>
      <c r="F773" s="11" t="s">
        <v>4084</v>
      </c>
      <c r="G773" s="12" t="s">
        <v>9</v>
      </c>
    </row>
    <row r="774" customFormat="false" ht="104" hidden="false" customHeight="true" outlineLevel="0" collapsed="false">
      <c r="A774" s="11" t="s">
        <v>8544</v>
      </c>
      <c r="B774" s="11" t="s">
        <v>2372</v>
      </c>
      <c r="C774" s="11" t="s">
        <v>8746</v>
      </c>
      <c r="D774" s="11" t="s">
        <v>8747</v>
      </c>
      <c r="E774" s="11" t="s">
        <v>8748</v>
      </c>
      <c r="F774" s="11" t="s">
        <v>4084</v>
      </c>
      <c r="G774" s="12" t="s">
        <v>9</v>
      </c>
    </row>
    <row r="775" customFormat="false" ht="104" hidden="false" customHeight="true" outlineLevel="0" collapsed="false">
      <c r="A775" s="11" t="s">
        <v>8544</v>
      </c>
      <c r="B775" s="11" t="s">
        <v>2374</v>
      </c>
      <c r="C775" s="11" t="s">
        <v>8749</v>
      </c>
      <c r="D775" s="11" t="s">
        <v>8750</v>
      </c>
      <c r="E775" s="11" t="s">
        <v>8751</v>
      </c>
      <c r="F775" s="11" t="s">
        <v>4084</v>
      </c>
      <c r="G775" s="12" t="s">
        <v>9</v>
      </c>
    </row>
    <row r="776" customFormat="false" ht="104" hidden="false" customHeight="true" outlineLevel="0" collapsed="false">
      <c r="A776" s="11" t="s">
        <v>8544</v>
      </c>
      <c r="B776" s="11" t="s">
        <v>2386</v>
      </c>
      <c r="C776" s="11" t="s">
        <v>8752</v>
      </c>
      <c r="D776" s="11" t="s">
        <v>8753</v>
      </c>
      <c r="E776" s="11" t="s">
        <v>8754</v>
      </c>
      <c r="F776" s="11" t="s">
        <v>4084</v>
      </c>
      <c r="G776" s="12" t="s">
        <v>9</v>
      </c>
    </row>
    <row r="777" customFormat="false" ht="104" hidden="false" customHeight="true" outlineLevel="0" collapsed="false">
      <c r="A777" s="11" t="s">
        <v>8544</v>
      </c>
      <c r="B777" s="11" t="s">
        <v>2388</v>
      </c>
      <c r="C777" s="11" t="s">
        <v>8755</v>
      </c>
      <c r="D777" s="11" t="s">
        <v>8756</v>
      </c>
      <c r="E777" s="11" t="s">
        <v>8757</v>
      </c>
      <c r="F777" s="11" t="s">
        <v>4084</v>
      </c>
      <c r="G777" s="12" t="s">
        <v>9</v>
      </c>
    </row>
    <row r="778" customFormat="false" ht="104" hidden="false" customHeight="true" outlineLevel="0" collapsed="false">
      <c r="A778" s="11" t="s">
        <v>8544</v>
      </c>
      <c r="B778" s="11" t="s">
        <v>2397</v>
      </c>
      <c r="C778" s="11" t="s">
        <v>8758</v>
      </c>
      <c r="D778" s="11" t="s">
        <v>8759</v>
      </c>
      <c r="E778" s="11" t="s">
        <v>8760</v>
      </c>
      <c r="F778" s="11" t="s">
        <v>4084</v>
      </c>
      <c r="G778" s="12" t="s">
        <v>9</v>
      </c>
    </row>
    <row r="779" customFormat="false" ht="104" hidden="false" customHeight="true" outlineLevel="0" collapsed="false">
      <c r="A779" s="11" t="s">
        <v>8544</v>
      </c>
      <c r="B779" s="11" t="s">
        <v>2400</v>
      </c>
      <c r="C779" s="11" t="s">
        <v>8761</v>
      </c>
      <c r="D779" s="11" t="s">
        <v>8762</v>
      </c>
      <c r="E779" s="11" t="s">
        <v>8763</v>
      </c>
      <c r="F779" s="11" t="s">
        <v>4084</v>
      </c>
      <c r="G779" s="12" t="s">
        <v>9</v>
      </c>
    </row>
    <row r="780" customFormat="false" ht="104" hidden="false" customHeight="true" outlineLevel="0" collapsed="false">
      <c r="A780" s="11" t="s">
        <v>8544</v>
      </c>
      <c r="B780" s="11" t="s">
        <v>2409</v>
      </c>
      <c r="C780" s="11" t="s">
        <v>8764</v>
      </c>
      <c r="D780" s="11" t="s">
        <v>8765</v>
      </c>
      <c r="E780" s="11" t="s">
        <v>8766</v>
      </c>
      <c r="F780" s="11" t="s">
        <v>4084</v>
      </c>
      <c r="G780" s="12" t="s">
        <v>9</v>
      </c>
    </row>
    <row r="781" customFormat="false" ht="104" hidden="false" customHeight="true" outlineLevel="0" collapsed="false">
      <c r="A781" s="11" t="s">
        <v>8544</v>
      </c>
      <c r="B781" s="11" t="s">
        <v>2412</v>
      </c>
      <c r="C781" s="11" t="s">
        <v>8767</v>
      </c>
      <c r="D781" s="11" t="s">
        <v>8768</v>
      </c>
      <c r="E781" s="11" t="s">
        <v>8769</v>
      </c>
      <c r="F781" s="11" t="s">
        <v>4084</v>
      </c>
      <c r="G781" s="12" t="s">
        <v>9</v>
      </c>
    </row>
    <row r="782" customFormat="false" ht="104" hidden="false" customHeight="true" outlineLevel="0" collapsed="false">
      <c r="A782" s="11" t="s">
        <v>8544</v>
      </c>
      <c r="B782" s="11" t="s">
        <v>2420</v>
      </c>
      <c r="C782" s="11" t="s">
        <v>8770</v>
      </c>
      <c r="D782" s="11" t="s">
        <v>8771</v>
      </c>
      <c r="E782" s="11" t="s">
        <v>8772</v>
      </c>
      <c r="F782" s="11" t="s">
        <v>4084</v>
      </c>
      <c r="G782" s="12" t="s">
        <v>9</v>
      </c>
    </row>
    <row r="783" customFormat="false" ht="104" hidden="false" customHeight="true" outlineLevel="0" collapsed="false">
      <c r="A783" s="11" t="s">
        <v>8544</v>
      </c>
      <c r="B783" s="11" t="s">
        <v>2422</v>
      </c>
      <c r="C783" s="11" t="s">
        <v>8773</v>
      </c>
      <c r="D783" s="11" t="s">
        <v>8774</v>
      </c>
      <c r="E783" s="11" t="s">
        <v>8775</v>
      </c>
      <c r="F783" s="11" t="s">
        <v>4084</v>
      </c>
      <c r="G783" s="12" t="s">
        <v>9</v>
      </c>
    </row>
    <row r="784" customFormat="false" ht="104" hidden="false" customHeight="true" outlineLevel="0" collapsed="false">
      <c r="A784" s="11" t="s">
        <v>8544</v>
      </c>
      <c r="B784" s="11" t="s">
        <v>2434</v>
      </c>
      <c r="C784" s="11" t="s">
        <v>8776</v>
      </c>
      <c r="D784" s="11" t="s">
        <v>8777</v>
      </c>
      <c r="E784" s="11" t="s">
        <v>8778</v>
      </c>
      <c r="F784" s="11" t="s">
        <v>4084</v>
      </c>
      <c r="G784" s="12" t="s">
        <v>9</v>
      </c>
    </row>
    <row r="785" customFormat="false" ht="104" hidden="false" customHeight="true" outlineLevel="0" collapsed="false">
      <c r="A785" s="11" t="s">
        <v>8544</v>
      </c>
      <c r="B785" s="11" t="s">
        <v>2436</v>
      </c>
      <c r="C785" s="11" t="s">
        <v>8779</v>
      </c>
      <c r="D785" s="11" t="s">
        <v>8780</v>
      </c>
      <c r="E785" s="11" t="s">
        <v>8781</v>
      </c>
      <c r="F785" s="11" t="s">
        <v>4084</v>
      </c>
      <c r="G785" s="12" t="s">
        <v>9</v>
      </c>
    </row>
    <row r="786" customFormat="false" ht="104" hidden="false" customHeight="true" outlineLevel="0" collapsed="false">
      <c r="A786" s="11" t="s">
        <v>8544</v>
      </c>
      <c r="B786" s="11" t="s">
        <v>2447</v>
      </c>
      <c r="C786" s="11" t="s">
        <v>8782</v>
      </c>
      <c r="D786" s="11" t="s">
        <v>8783</v>
      </c>
      <c r="E786" s="11" t="s">
        <v>8784</v>
      </c>
      <c r="F786" s="11" t="s">
        <v>4084</v>
      </c>
      <c r="G786" s="12" t="s">
        <v>9</v>
      </c>
    </row>
    <row r="787" customFormat="false" ht="104" hidden="false" customHeight="true" outlineLevel="0" collapsed="false">
      <c r="A787" s="11" t="s">
        <v>8544</v>
      </c>
      <c r="B787" s="11" t="s">
        <v>2450</v>
      </c>
      <c r="C787" s="11" t="s">
        <v>8785</v>
      </c>
      <c r="D787" s="11" t="s">
        <v>8786</v>
      </c>
      <c r="E787" s="11" t="s">
        <v>8787</v>
      </c>
      <c r="F787" s="11" t="s">
        <v>4084</v>
      </c>
      <c r="G787" s="12" t="s">
        <v>9</v>
      </c>
    </row>
    <row r="788" customFormat="false" ht="104" hidden="false" customHeight="true" outlineLevel="0" collapsed="false">
      <c r="A788" s="11" t="s">
        <v>8544</v>
      </c>
      <c r="B788" s="11" t="s">
        <v>2462</v>
      </c>
      <c r="C788" s="11" t="s">
        <v>8788</v>
      </c>
      <c r="D788" s="11" t="s">
        <v>8789</v>
      </c>
      <c r="E788" s="11" t="s">
        <v>8790</v>
      </c>
      <c r="F788" s="11" t="s">
        <v>4084</v>
      </c>
      <c r="G788" s="12" t="s">
        <v>9</v>
      </c>
    </row>
    <row r="789" customFormat="false" ht="104" hidden="false" customHeight="true" outlineLevel="0" collapsed="false">
      <c r="A789" s="11" t="s">
        <v>8544</v>
      </c>
      <c r="B789" s="11" t="s">
        <v>2464</v>
      </c>
      <c r="C789" s="11" t="s">
        <v>8791</v>
      </c>
      <c r="D789" s="11" t="s">
        <v>8792</v>
      </c>
      <c r="E789" s="11" t="s">
        <v>8793</v>
      </c>
      <c r="F789" s="11" t="s">
        <v>4084</v>
      </c>
      <c r="G789" s="12" t="s">
        <v>9</v>
      </c>
    </row>
    <row r="790" customFormat="false" ht="104" hidden="false" customHeight="true" outlineLevel="0" collapsed="false">
      <c r="A790" s="11" t="s">
        <v>8544</v>
      </c>
      <c r="B790" s="11" t="s">
        <v>2475</v>
      </c>
      <c r="C790" s="11" t="s">
        <v>8794</v>
      </c>
      <c r="D790" s="11" t="s">
        <v>8795</v>
      </c>
      <c r="E790" s="11" t="s">
        <v>8796</v>
      </c>
      <c r="F790" s="11" t="s">
        <v>4084</v>
      </c>
      <c r="G790" s="12" t="s">
        <v>9</v>
      </c>
    </row>
    <row r="791" customFormat="false" ht="104" hidden="false" customHeight="true" outlineLevel="0" collapsed="false">
      <c r="A791" s="11" t="s">
        <v>8544</v>
      </c>
      <c r="B791" s="11" t="s">
        <v>2478</v>
      </c>
      <c r="C791" s="11" t="s">
        <v>8797</v>
      </c>
      <c r="D791" s="11" t="s">
        <v>8798</v>
      </c>
      <c r="E791" s="11" t="s">
        <v>8799</v>
      </c>
      <c r="F791" s="11" t="s">
        <v>4084</v>
      </c>
      <c r="G791" s="12" t="s">
        <v>9</v>
      </c>
    </row>
    <row r="792" customFormat="false" ht="104" hidden="false" customHeight="true" outlineLevel="0" collapsed="false">
      <c r="A792" s="11" t="s">
        <v>8544</v>
      </c>
      <c r="B792" s="11" t="s">
        <v>2488</v>
      </c>
      <c r="C792" s="11" t="s">
        <v>8800</v>
      </c>
      <c r="D792" s="11" t="s">
        <v>8801</v>
      </c>
      <c r="E792" s="11" t="s">
        <v>8802</v>
      </c>
      <c r="F792" s="11" t="s">
        <v>4084</v>
      </c>
      <c r="G792" s="12" t="s">
        <v>9</v>
      </c>
    </row>
    <row r="793" customFormat="false" ht="104" hidden="false" customHeight="true" outlineLevel="0" collapsed="false">
      <c r="A793" s="11" t="s">
        <v>8544</v>
      </c>
      <c r="B793" s="11" t="s">
        <v>2490</v>
      </c>
      <c r="C793" s="11" t="s">
        <v>8803</v>
      </c>
      <c r="D793" s="11" t="s">
        <v>8804</v>
      </c>
      <c r="E793" s="11" t="s">
        <v>8805</v>
      </c>
      <c r="F793" s="11" t="s">
        <v>4084</v>
      </c>
      <c r="G793" s="12" t="s">
        <v>9</v>
      </c>
    </row>
    <row r="794" customFormat="false" ht="104" hidden="false" customHeight="true" outlineLevel="0" collapsed="false">
      <c r="A794" s="11" t="s">
        <v>8544</v>
      </c>
      <c r="B794" s="11" t="s">
        <v>2500</v>
      </c>
      <c r="C794" s="11" t="s">
        <v>8806</v>
      </c>
      <c r="D794" s="11" t="s">
        <v>8807</v>
      </c>
      <c r="E794" s="11" t="s">
        <v>8808</v>
      </c>
      <c r="F794" s="11" t="s">
        <v>4084</v>
      </c>
      <c r="G794" s="12" t="s">
        <v>9</v>
      </c>
    </row>
    <row r="795" customFormat="false" ht="104" hidden="false" customHeight="true" outlineLevel="0" collapsed="false">
      <c r="A795" s="11" t="s">
        <v>8544</v>
      </c>
      <c r="B795" s="11" t="s">
        <v>2502</v>
      </c>
      <c r="C795" s="11" t="s">
        <v>8809</v>
      </c>
      <c r="D795" s="11" t="s">
        <v>8810</v>
      </c>
      <c r="E795" s="11" t="s">
        <v>8811</v>
      </c>
      <c r="F795" s="11" t="s">
        <v>4084</v>
      </c>
      <c r="G795" s="12" t="s">
        <v>9</v>
      </c>
    </row>
    <row r="796" customFormat="false" ht="104" hidden="false" customHeight="true" outlineLevel="0" collapsed="false">
      <c r="A796" s="11" t="s">
        <v>8544</v>
      </c>
      <c r="B796" s="11" t="s">
        <v>2510</v>
      </c>
      <c r="C796" s="11" t="s">
        <v>8812</v>
      </c>
      <c r="D796" s="11" t="s">
        <v>8813</v>
      </c>
      <c r="E796" s="11" t="s">
        <v>8814</v>
      </c>
      <c r="F796" s="11" t="s">
        <v>4084</v>
      </c>
      <c r="G796" s="12" t="s">
        <v>9</v>
      </c>
    </row>
    <row r="797" customFormat="false" ht="104" hidden="false" customHeight="true" outlineLevel="0" collapsed="false">
      <c r="A797" s="11" t="s">
        <v>8544</v>
      </c>
      <c r="B797" s="11" t="s">
        <v>2512</v>
      </c>
      <c r="C797" s="11" t="s">
        <v>8815</v>
      </c>
      <c r="D797" s="11" t="s">
        <v>8816</v>
      </c>
      <c r="E797" s="11" t="s">
        <v>8817</v>
      </c>
      <c r="F797" s="11" t="s">
        <v>4084</v>
      </c>
      <c r="G797" s="12" t="s">
        <v>9</v>
      </c>
    </row>
    <row r="798" customFormat="false" ht="104" hidden="false" customHeight="true" outlineLevel="0" collapsed="false">
      <c r="A798" s="11" t="s">
        <v>8544</v>
      </c>
      <c r="B798" s="11" t="s">
        <v>2522</v>
      </c>
      <c r="C798" s="11" t="s">
        <v>8818</v>
      </c>
      <c r="D798" s="11" t="s">
        <v>8819</v>
      </c>
      <c r="E798" s="11" t="s">
        <v>8820</v>
      </c>
      <c r="F798" s="11" t="s">
        <v>4084</v>
      </c>
      <c r="G798" s="12" t="s">
        <v>9</v>
      </c>
    </row>
    <row r="799" customFormat="false" ht="104" hidden="false" customHeight="true" outlineLevel="0" collapsed="false">
      <c r="A799" s="11" t="s">
        <v>8544</v>
      </c>
      <c r="B799" s="11" t="s">
        <v>2524</v>
      </c>
      <c r="C799" s="11" t="s">
        <v>8821</v>
      </c>
      <c r="D799" s="11" t="s">
        <v>8822</v>
      </c>
      <c r="E799" s="11" t="s">
        <v>8823</v>
      </c>
      <c r="F799" s="11" t="s">
        <v>4084</v>
      </c>
      <c r="G799" s="12" t="s">
        <v>9</v>
      </c>
    </row>
    <row r="800" customFormat="false" ht="104" hidden="false" customHeight="true" outlineLevel="0" collapsed="false">
      <c r="A800" s="11" t="s">
        <v>8544</v>
      </c>
      <c r="B800" s="11" t="s">
        <v>2531</v>
      </c>
      <c r="C800" s="11" t="s">
        <v>8824</v>
      </c>
      <c r="D800" s="11" t="s">
        <v>8825</v>
      </c>
      <c r="E800" s="11" t="s">
        <v>8826</v>
      </c>
      <c r="F800" s="11" t="s">
        <v>4084</v>
      </c>
      <c r="G800" s="12" t="s">
        <v>9</v>
      </c>
    </row>
    <row r="801" customFormat="false" ht="104" hidden="false" customHeight="true" outlineLevel="0" collapsed="false">
      <c r="A801" s="11" t="s">
        <v>8544</v>
      </c>
      <c r="B801" s="11" t="s">
        <v>2533</v>
      </c>
      <c r="C801" s="11" t="s">
        <v>8827</v>
      </c>
      <c r="D801" s="11" t="s">
        <v>8828</v>
      </c>
      <c r="E801" s="11" t="s">
        <v>8829</v>
      </c>
      <c r="F801" s="11" t="s">
        <v>4084</v>
      </c>
      <c r="G801" s="12" t="s">
        <v>9</v>
      </c>
    </row>
    <row r="802" customFormat="false" ht="104" hidden="false" customHeight="true" outlineLevel="0" collapsed="false">
      <c r="A802" s="11" t="s">
        <v>8544</v>
      </c>
      <c r="B802" s="11" t="s">
        <v>2541</v>
      </c>
      <c r="C802" s="11" t="s">
        <v>8830</v>
      </c>
      <c r="D802" s="11" t="s">
        <v>8831</v>
      </c>
      <c r="E802" s="11" t="s">
        <v>8832</v>
      </c>
      <c r="F802" s="11" t="s">
        <v>4084</v>
      </c>
      <c r="G802" s="12" t="s">
        <v>9</v>
      </c>
    </row>
    <row r="803" customFormat="false" ht="104" hidden="false" customHeight="true" outlineLevel="0" collapsed="false">
      <c r="A803" s="11" t="s">
        <v>8544</v>
      </c>
      <c r="B803" s="11" t="s">
        <v>2543</v>
      </c>
      <c r="C803" s="11" t="s">
        <v>8833</v>
      </c>
      <c r="D803" s="11" t="s">
        <v>8834</v>
      </c>
      <c r="E803" s="11" t="s">
        <v>8835</v>
      </c>
      <c r="F803" s="11" t="s">
        <v>4084</v>
      </c>
      <c r="G803" s="12" t="s">
        <v>9</v>
      </c>
    </row>
    <row r="804" customFormat="false" ht="104" hidden="false" customHeight="true" outlineLevel="0" collapsed="false">
      <c r="A804" s="11" t="s">
        <v>8544</v>
      </c>
      <c r="B804" s="11" t="s">
        <v>2555</v>
      </c>
      <c r="C804" s="11" t="s">
        <v>8836</v>
      </c>
      <c r="D804" s="11" t="s">
        <v>8837</v>
      </c>
      <c r="E804" s="11" t="s">
        <v>8838</v>
      </c>
      <c r="F804" s="11" t="s">
        <v>4084</v>
      </c>
      <c r="G804" s="12" t="s">
        <v>9</v>
      </c>
    </row>
    <row r="805" customFormat="false" ht="104" hidden="false" customHeight="true" outlineLevel="0" collapsed="false">
      <c r="A805" s="11" t="s">
        <v>8544</v>
      </c>
      <c r="B805" s="11" t="s">
        <v>2558</v>
      </c>
      <c r="C805" s="11" t="s">
        <v>8839</v>
      </c>
      <c r="D805" s="11" t="s">
        <v>8840</v>
      </c>
      <c r="E805" s="11" t="s">
        <v>8841</v>
      </c>
      <c r="F805" s="11" t="s">
        <v>4084</v>
      </c>
      <c r="G805" s="12" t="s">
        <v>9</v>
      </c>
    </row>
    <row r="806" customFormat="false" ht="104" hidden="false" customHeight="true" outlineLevel="0" collapsed="false">
      <c r="A806" s="11" t="s">
        <v>8544</v>
      </c>
      <c r="B806" s="11" t="s">
        <v>2569</v>
      </c>
      <c r="C806" s="11" t="s">
        <v>8842</v>
      </c>
      <c r="D806" s="11" t="s">
        <v>8843</v>
      </c>
      <c r="E806" s="11" t="s">
        <v>8844</v>
      </c>
      <c r="F806" s="11" t="s">
        <v>4084</v>
      </c>
      <c r="G806" s="12" t="s">
        <v>9</v>
      </c>
    </row>
    <row r="807" customFormat="false" ht="104" hidden="false" customHeight="true" outlineLevel="0" collapsed="false">
      <c r="A807" s="11" t="s">
        <v>8544</v>
      </c>
      <c r="B807" s="11" t="s">
        <v>2571</v>
      </c>
      <c r="C807" s="11" t="s">
        <v>8845</v>
      </c>
      <c r="D807" s="11" t="s">
        <v>8846</v>
      </c>
      <c r="E807" s="11" t="s">
        <v>8847</v>
      </c>
      <c r="F807" s="11" t="s">
        <v>4084</v>
      </c>
      <c r="G807" s="12" t="s">
        <v>9</v>
      </c>
    </row>
    <row r="808" customFormat="false" ht="104" hidden="false" customHeight="true" outlineLevel="0" collapsed="false">
      <c r="A808" s="11" t="s">
        <v>8544</v>
      </c>
      <c r="B808" s="11" t="s">
        <v>2583</v>
      </c>
      <c r="C808" s="11" t="s">
        <v>8848</v>
      </c>
      <c r="D808" s="11" t="s">
        <v>8849</v>
      </c>
      <c r="E808" s="11" t="s">
        <v>8850</v>
      </c>
      <c r="F808" s="11" t="s">
        <v>4084</v>
      </c>
      <c r="G808" s="12" t="s">
        <v>9</v>
      </c>
    </row>
    <row r="809" customFormat="false" ht="104" hidden="false" customHeight="true" outlineLevel="0" collapsed="false">
      <c r="A809" s="11" t="s">
        <v>8544</v>
      </c>
      <c r="B809" s="11" t="s">
        <v>2586</v>
      </c>
      <c r="C809" s="11" t="s">
        <v>8851</v>
      </c>
      <c r="D809" s="11" t="s">
        <v>8852</v>
      </c>
      <c r="E809" s="11" t="s">
        <v>8853</v>
      </c>
      <c r="F809" s="11" t="s">
        <v>4084</v>
      </c>
      <c r="G809" s="12" t="s">
        <v>9</v>
      </c>
    </row>
    <row r="810" customFormat="false" ht="104" hidden="false" customHeight="true" outlineLevel="0" collapsed="false">
      <c r="A810" s="11" t="s">
        <v>8544</v>
      </c>
      <c r="B810" s="11" t="s">
        <v>2593</v>
      </c>
      <c r="C810" s="11" t="s">
        <v>8854</v>
      </c>
      <c r="D810" s="11" t="s">
        <v>8855</v>
      </c>
      <c r="E810" s="11" t="s">
        <v>8856</v>
      </c>
      <c r="F810" s="11" t="s">
        <v>4084</v>
      </c>
      <c r="G810" s="12" t="s">
        <v>9</v>
      </c>
    </row>
    <row r="811" customFormat="false" ht="104" hidden="false" customHeight="true" outlineLevel="0" collapsed="false">
      <c r="A811" s="11" t="s">
        <v>8544</v>
      </c>
      <c r="B811" s="11" t="s">
        <v>2595</v>
      </c>
      <c r="C811" s="11" t="s">
        <v>8857</v>
      </c>
      <c r="D811" s="11" t="s">
        <v>8858</v>
      </c>
      <c r="E811" s="11" t="s">
        <v>8859</v>
      </c>
      <c r="F811" s="11" t="s">
        <v>4084</v>
      </c>
      <c r="G811" s="12" t="s">
        <v>9</v>
      </c>
    </row>
    <row r="812" customFormat="false" ht="104" hidden="false" customHeight="true" outlineLevel="0" collapsed="false">
      <c r="A812" s="11" t="s">
        <v>8544</v>
      </c>
      <c r="B812" s="11" t="s">
        <v>2607</v>
      </c>
      <c r="C812" s="11" t="s">
        <v>8860</v>
      </c>
      <c r="D812" s="11" t="s">
        <v>8861</v>
      </c>
      <c r="E812" s="11" t="s">
        <v>8862</v>
      </c>
      <c r="F812" s="11" t="s">
        <v>4084</v>
      </c>
      <c r="G812" s="12" t="s">
        <v>9</v>
      </c>
    </row>
    <row r="813" customFormat="false" ht="104" hidden="false" customHeight="true" outlineLevel="0" collapsed="false">
      <c r="A813" s="11" t="s">
        <v>8544</v>
      </c>
      <c r="B813" s="11" t="s">
        <v>2610</v>
      </c>
      <c r="C813" s="11" t="s">
        <v>8863</v>
      </c>
      <c r="D813" s="11" t="s">
        <v>8864</v>
      </c>
      <c r="E813" s="11" t="s">
        <v>8865</v>
      </c>
      <c r="F813" s="11" t="s">
        <v>4084</v>
      </c>
      <c r="G813" s="12" t="s">
        <v>9</v>
      </c>
    </row>
    <row r="814" customFormat="false" ht="104" hidden="false" customHeight="true" outlineLevel="0" collapsed="false">
      <c r="A814" s="11" t="s">
        <v>8544</v>
      </c>
      <c r="B814" s="11" t="s">
        <v>2617</v>
      </c>
      <c r="C814" s="11" t="s">
        <v>8866</v>
      </c>
      <c r="D814" s="11" t="s">
        <v>8867</v>
      </c>
      <c r="E814" s="11" t="s">
        <v>8868</v>
      </c>
      <c r="F814" s="11" t="s">
        <v>4084</v>
      </c>
      <c r="G814" s="12" t="s">
        <v>9</v>
      </c>
    </row>
    <row r="815" customFormat="false" ht="104" hidden="false" customHeight="true" outlineLevel="0" collapsed="false">
      <c r="A815" s="11" t="s">
        <v>8544</v>
      </c>
      <c r="B815" s="11" t="s">
        <v>2619</v>
      </c>
      <c r="C815" s="11" t="s">
        <v>8869</v>
      </c>
      <c r="D815" s="11" t="s">
        <v>8870</v>
      </c>
      <c r="E815" s="11" t="s">
        <v>8871</v>
      </c>
      <c r="F815" s="11" t="s">
        <v>4084</v>
      </c>
      <c r="G815" s="12" t="s">
        <v>9</v>
      </c>
    </row>
    <row r="816" customFormat="false" ht="104" hidden="false" customHeight="true" outlineLevel="0" collapsed="false">
      <c r="A816" s="11" t="s">
        <v>8544</v>
      </c>
      <c r="B816" s="11" t="s">
        <v>2629</v>
      </c>
      <c r="C816" s="11" t="s">
        <v>8872</v>
      </c>
      <c r="D816" s="11" t="s">
        <v>8873</v>
      </c>
      <c r="E816" s="11" t="s">
        <v>8874</v>
      </c>
      <c r="F816" s="11" t="s">
        <v>4084</v>
      </c>
      <c r="G816" s="12" t="s">
        <v>9</v>
      </c>
    </row>
    <row r="817" customFormat="false" ht="104" hidden="false" customHeight="true" outlineLevel="0" collapsed="false">
      <c r="A817" s="11" t="s">
        <v>8544</v>
      </c>
      <c r="B817" s="11" t="s">
        <v>2632</v>
      </c>
      <c r="C817" s="11" t="s">
        <v>8875</v>
      </c>
      <c r="D817" s="11" t="s">
        <v>8876</v>
      </c>
      <c r="E817" s="11" t="s">
        <v>8877</v>
      </c>
      <c r="F817" s="11" t="s">
        <v>4084</v>
      </c>
      <c r="G817" s="12" t="s">
        <v>9</v>
      </c>
    </row>
    <row r="818" customFormat="false" ht="104" hidden="false" customHeight="true" outlineLevel="0" collapsed="false">
      <c r="A818" s="11" t="s">
        <v>8544</v>
      </c>
      <c r="B818" s="11" t="s">
        <v>2642</v>
      </c>
      <c r="C818" s="11" t="s">
        <v>8878</v>
      </c>
      <c r="D818" s="11" t="s">
        <v>8879</v>
      </c>
      <c r="E818" s="11" t="s">
        <v>8880</v>
      </c>
      <c r="F818" s="11" t="s">
        <v>4084</v>
      </c>
      <c r="G818" s="12" t="s">
        <v>9</v>
      </c>
    </row>
    <row r="819" customFormat="false" ht="104" hidden="false" customHeight="true" outlineLevel="0" collapsed="false">
      <c r="A819" s="11" t="s">
        <v>8544</v>
      </c>
      <c r="B819" s="11" t="s">
        <v>2644</v>
      </c>
      <c r="C819" s="11" t="s">
        <v>8881</v>
      </c>
      <c r="D819" s="11" t="s">
        <v>8882</v>
      </c>
      <c r="E819" s="11" t="s">
        <v>8883</v>
      </c>
      <c r="F819" s="11" t="s">
        <v>4084</v>
      </c>
      <c r="G819" s="12" t="s">
        <v>9</v>
      </c>
    </row>
    <row r="820" customFormat="false" ht="104" hidden="false" customHeight="true" outlineLevel="0" collapsed="false">
      <c r="A820" s="11" t="s">
        <v>8544</v>
      </c>
      <c r="B820" s="11" t="s">
        <v>2656</v>
      </c>
      <c r="C820" s="11" t="s">
        <v>8884</v>
      </c>
      <c r="D820" s="11" t="s">
        <v>8885</v>
      </c>
      <c r="E820" s="11" t="s">
        <v>8886</v>
      </c>
      <c r="F820" s="11" t="s">
        <v>4084</v>
      </c>
      <c r="G820" s="12" t="s">
        <v>9</v>
      </c>
    </row>
    <row r="821" customFormat="false" ht="104" hidden="false" customHeight="true" outlineLevel="0" collapsed="false">
      <c r="A821" s="11" t="s">
        <v>8544</v>
      </c>
      <c r="B821" s="11" t="s">
        <v>2658</v>
      </c>
      <c r="C821" s="11" t="s">
        <v>8887</v>
      </c>
      <c r="D821" s="11" t="s">
        <v>8888</v>
      </c>
      <c r="E821" s="11" t="s">
        <v>8889</v>
      </c>
      <c r="F821" s="11" t="s">
        <v>4084</v>
      </c>
      <c r="G821" s="12" t="s">
        <v>9</v>
      </c>
    </row>
    <row r="822" customFormat="false" ht="104" hidden="false" customHeight="true" outlineLevel="0" collapsed="false">
      <c r="A822" s="11" t="s">
        <v>8544</v>
      </c>
      <c r="B822" s="11" t="s">
        <v>2668</v>
      </c>
      <c r="C822" s="11" t="s">
        <v>8890</v>
      </c>
      <c r="D822" s="11" t="s">
        <v>8891</v>
      </c>
      <c r="E822" s="11" t="s">
        <v>8892</v>
      </c>
      <c r="F822" s="11" t="s">
        <v>4084</v>
      </c>
      <c r="G822" s="12" t="s">
        <v>9</v>
      </c>
    </row>
    <row r="823" customFormat="false" ht="104" hidden="false" customHeight="true" outlineLevel="0" collapsed="false">
      <c r="A823" s="11" t="s">
        <v>8544</v>
      </c>
      <c r="B823" s="11" t="s">
        <v>2671</v>
      </c>
      <c r="C823" s="11" t="s">
        <v>8893</v>
      </c>
      <c r="D823" s="11" t="s">
        <v>8894</v>
      </c>
      <c r="E823" s="11" t="s">
        <v>8895</v>
      </c>
      <c r="F823" s="11" t="s">
        <v>4084</v>
      </c>
      <c r="G823" s="12" t="s">
        <v>9</v>
      </c>
    </row>
    <row r="824" customFormat="false" ht="104" hidden="false" customHeight="true" outlineLevel="0" collapsed="false">
      <c r="A824" s="11" t="s">
        <v>8544</v>
      </c>
      <c r="B824" s="11" t="s">
        <v>2678</v>
      </c>
      <c r="C824" s="11" t="s">
        <v>8896</v>
      </c>
      <c r="D824" s="11" t="s">
        <v>8897</v>
      </c>
      <c r="E824" s="11" t="s">
        <v>8898</v>
      </c>
      <c r="F824" s="11" t="s">
        <v>4084</v>
      </c>
      <c r="G824" s="12" t="s">
        <v>9</v>
      </c>
    </row>
    <row r="825" customFormat="false" ht="104" hidden="false" customHeight="true" outlineLevel="0" collapsed="false">
      <c r="A825" s="11" t="s">
        <v>8544</v>
      </c>
      <c r="B825" s="11" t="s">
        <v>2680</v>
      </c>
      <c r="C825" s="11" t="s">
        <v>8899</v>
      </c>
      <c r="D825" s="11" t="s">
        <v>8900</v>
      </c>
      <c r="E825" s="11" t="s">
        <v>8901</v>
      </c>
      <c r="F825" s="11" t="s">
        <v>4084</v>
      </c>
      <c r="G825" s="12" t="s">
        <v>9</v>
      </c>
    </row>
    <row r="826" customFormat="false" ht="104" hidden="false" customHeight="true" outlineLevel="0" collapsed="false">
      <c r="A826" s="11" t="s">
        <v>8544</v>
      </c>
      <c r="B826" s="11" t="s">
        <v>2688</v>
      </c>
      <c r="C826" s="11" t="s">
        <v>8902</v>
      </c>
      <c r="D826" s="11" t="s">
        <v>8903</v>
      </c>
      <c r="E826" s="11" t="s">
        <v>8904</v>
      </c>
      <c r="F826" s="11" t="s">
        <v>4084</v>
      </c>
      <c r="G826" s="12" t="s">
        <v>9</v>
      </c>
    </row>
    <row r="827" customFormat="false" ht="104" hidden="false" customHeight="true" outlineLevel="0" collapsed="false">
      <c r="A827" s="11" t="s">
        <v>8544</v>
      </c>
      <c r="B827" s="11" t="s">
        <v>2690</v>
      </c>
      <c r="C827" s="11" t="s">
        <v>8905</v>
      </c>
      <c r="D827" s="11" t="s">
        <v>8906</v>
      </c>
      <c r="E827" s="11" t="s">
        <v>8907</v>
      </c>
      <c r="F827" s="11" t="s">
        <v>4084</v>
      </c>
      <c r="G827" s="12" t="s">
        <v>9</v>
      </c>
    </row>
    <row r="828" customFormat="false" ht="104" hidden="false" customHeight="true" outlineLevel="0" collapsed="false">
      <c r="A828" s="11" t="s">
        <v>8544</v>
      </c>
      <c r="B828" s="11" t="s">
        <v>2701</v>
      </c>
      <c r="C828" s="11" t="s">
        <v>8908</v>
      </c>
      <c r="D828" s="11" t="s">
        <v>8909</v>
      </c>
      <c r="E828" s="11" t="s">
        <v>8910</v>
      </c>
      <c r="F828" s="11" t="s">
        <v>4084</v>
      </c>
      <c r="G828" s="12" t="s">
        <v>9</v>
      </c>
    </row>
    <row r="829" customFormat="false" ht="104" hidden="false" customHeight="true" outlineLevel="0" collapsed="false">
      <c r="A829" s="11" t="s">
        <v>8544</v>
      </c>
      <c r="B829" s="11" t="s">
        <v>2704</v>
      </c>
      <c r="C829" s="11" t="s">
        <v>8911</v>
      </c>
      <c r="D829" s="11" t="s">
        <v>8912</v>
      </c>
      <c r="E829" s="11" t="s">
        <v>8913</v>
      </c>
      <c r="F829" s="11" t="s">
        <v>4084</v>
      </c>
      <c r="G829" s="12" t="s">
        <v>9</v>
      </c>
    </row>
    <row r="830" customFormat="false" ht="104" hidden="false" customHeight="true" outlineLevel="0" collapsed="false">
      <c r="A830" s="11" t="s">
        <v>8544</v>
      </c>
      <c r="B830" s="11" t="s">
        <v>2712</v>
      </c>
      <c r="C830" s="11" t="s">
        <v>8914</v>
      </c>
      <c r="D830" s="11" t="s">
        <v>8915</v>
      </c>
      <c r="E830" s="11" t="s">
        <v>8916</v>
      </c>
      <c r="F830" s="11" t="s">
        <v>4084</v>
      </c>
      <c r="G830" s="12" t="s">
        <v>9</v>
      </c>
    </row>
    <row r="831" customFormat="false" ht="104" hidden="false" customHeight="true" outlineLevel="0" collapsed="false">
      <c r="A831" s="11" t="s">
        <v>8544</v>
      </c>
      <c r="B831" s="11" t="s">
        <v>2714</v>
      </c>
      <c r="C831" s="11" t="s">
        <v>8917</v>
      </c>
      <c r="D831" s="11" t="s">
        <v>8918</v>
      </c>
      <c r="E831" s="11" t="s">
        <v>8919</v>
      </c>
      <c r="F831" s="11" t="s">
        <v>4084</v>
      </c>
      <c r="G831" s="12" t="s">
        <v>9</v>
      </c>
    </row>
    <row r="832" customFormat="false" ht="104" hidden="false" customHeight="true" outlineLevel="0" collapsed="false">
      <c r="A832" s="11" t="s">
        <v>8544</v>
      </c>
      <c r="B832" s="11" t="s">
        <v>2725</v>
      </c>
      <c r="C832" s="11" t="s">
        <v>8920</v>
      </c>
      <c r="D832" s="11" t="s">
        <v>8921</v>
      </c>
      <c r="E832" s="11" t="s">
        <v>8922</v>
      </c>
      <c r="F832" s="11" t="s">
        <v>4084</v>
      </c>
      <c r="G832" s="12" t="s">
        <v>9</v>
      </c>
    </row>
    <row r="833" customFormat="false" ht="104" hidden="false" customHeight="true" outlineLevel="0" collapsed="false">
      <c r="A833" s="11" t="s">
        <v>8544</v>
      </c>
      <c r="B833" s="11" t="s">
        <v>2728</v>
      </c>
      <c r="C833" s="11" t="s">
        <v>8923</v>
      </c>
      <c r="D833" s="11" t="s">
        <v>8924</v>
      </c>
      <c r="E833" s="11" t="s">
        <v>8925</v>
      </c>
      <c r="F833" s="11" t="s">
        <v>4084</v>
      </c>
      <c r="G833" s="12" t="s">
        <v>9</v>
      </c>
    </row>
    <row r="834" customFormat="false" ht="104" hidden="false" customHeight="true" outlineLevel="0" collapsed="false">
      <c r="A834" s="11" t="s">
        <v>8544</v>
      </c>
      <c r="B834" s="11" t="s">
        <v>2737</v>
      </c>
      <c r="C834" s="11" t="s">
        <v>8926</v>
      </c>
      <c r="D834" s="11" t="s">
        <v>8927</v>
      </c>
      <c r="E834" s="11" t="s">
        <v>8928</v>
      </c>
      <c r="F834" s="11" t="s">
        <v>4084</v>
      </c>
      <c r="G834" s="12" t="s">
        <v>9</v>
      </c>
    </row>
    <row r="835" customFormat="false" ht="104" hidden="false" customHeight="true" outlineLevel="0" collapsed="false">
      <c r="A835" s="11" t="s">
        <v>8544</v>
      </c>
      <c r="B835" s="11" t="s">
        <v>2739</v>
      </c>
      <c r="C835" s="11" t="s">
        <v>8929</v>
      </c>
      <c r="D835" s="11" t="s">
        <v>8930</v>
      </c>
      <c r="E835" s="11" t="s">
        <v>8931</v>
      </c>
      <c r="F835" s="11" t="s">
        <v>4084</v>
      </c>
      <c r="G835" s="12" t="s">
        <v>9</v>
      </c>
    </row>
    <row r="836" customFormat="false" ht="104" hidden="false" customHeight="true" outlineLevel="0" collapsed="false">
      <c r="A836" s="11" t="s">
        <v>8544</v>
      </c>
      <c r="B836" s="11" t="s">
        <v>2749</v>
      </c>
      <c r="C836" s="11" t="s">
        <v>8932</v>
      </c>
      <c r="D836" s="11" t="s">
        <v>8933</v>
      </c>
      <c r="E836" s="11" t="s">
        <v>8934</v>
      </c>
      <c r="F836" s="11" t="s">
        <v>4084</v>
      </c>
      <c r="G836" s="12" t="s">
        <v>9</v>
      </c>
    </row>
    <row r="837" customFormat="false" ht="104" hidden="false" customHeight="true" outlineLevel="0" collapsed="false">
      <c r="A837" s="11" t="s">
        <v>8544</v>
      </c>
      <c r="B837" s="11" t="s">
        <v>2752</v>
      </c>
      <c r="C837" s="11" t="s">
        <v>8935</v>
      </c>
      <c r="D837" s="11" t="s">
        <v>8936</v>
      </c>
      <c r="E837" s="11" t="s">
        <v>8937</v>
      </c>
      <c r="F837" s="11" t="s">
        <v>4084</v>
      </c>
      <c r="G837" s="12" t="s">
        <v>9</v>
      </c>
    </row>
    <row r="838" customFormat="false" ht="104" hidden="false" customHeight="true" outlineLevel="0" collapsed="false">
      <c r="A838" s="11" t="s">
        <v>8544</v>
      </c>
      <c r="B838" s="11" t="s">
        <v>2764</v>
      </c>
      <c r="C838" s="11" t="s">
        <v>8938</v>
      </c>
      <c r="D838" s="11" t="s">
        <v>8939</v>
      </c>
      <c r="E838" s="11" t="s">
        <v>8940</v>
      </c>
      <c r="F838" s="11" t="s">
        <v>4084</v>
      </c>
      <c r="G838" s="12" t="s">
        <v>9</v>
      </c>
    </row>
    <row r="839" customFormat="false" ht="104" hidden="false" customHeight="true" outlineLevel="0" collapsed="false">
      <c r="A839" s="11" t="s">
        <v>8544</v>
      </c>
      <c r="B839" s="11" t="s">
        <v>2766</v>
      </c>
      <c r="C839" s="11" t="s">
        <v>8941</v>
      </c>
      <c r="D839" s="11" t="s">
        <v>8942</v>
      </c>
      <c r="E839" s="11" t="s">
        <v>8943</v>
      </c>
      <c r="F839" s="11" t="s">
        <v>4084</v>
      </c>
      <c r="G839" s="12" t="s">
        <v>9</v>
      </c>
    </row>
    <row r="840" customFormat="false" ht="104" hidden="false" customHeight="true" outlineLevel="0" collapsed="false">
      <c r="A840" s="11" t="s">
        <v>8544</v>
      </c>
      <c r="B840" s="11" t="s">
        <v>2777</v>
      </c>
      <c r="C840" s="11" t="s">
        <v>8944</v>
      </c>
      <c r="D840" s="11" t="s">
        <v>8945</v>
      </c>
      <c r="E840" s="11" t="s">
        <v>8946</v>
      </c>
      <c r="F840" s="11" t="s">
        <v>4084</v>
      </c>
      <c r="G840" s="12" t="s">
        <v>9</v>
      </c>
    </row>
    <row r="841" customFormat="false" ht="104" hidden="false" customHeight="true" outlineLevel="0" collapsed="false">
      <c r="A841" s="11" t="s">
        <v>8544</v>
      </c>
      <c r="B841" s="11" t="s">
        <v>2780</v>
      </c>
      <c r="C841" s="11" t="s">
        <v>8947</v>
      </c>
      <c r="D841" s="11" t="s">
        <v>8948</v>
      </c>
      <c r="E841" s="11" t="s">
        <v>8949</v>
      </c>
      <c r="F841" s="11" t="s">
        <v>4084</v>
      </c>
      <c r="G841" s="12" t="s">
        <v>9</v>
      </c>
    </row>
    <row r="842" customFormat="false" ht="104" hidden="false" customHeight="true" outlineLevel="0" collapsed="false">
      <c r="A842" s="11" t="s">
        <v>8544</v>
      </c>
      <c r="B842" s="11" t="s">
        <v>2792</v>
      </c>
      <c r="C842" s="11" t="s">
        <v>8950</v>
      </c>
      <c r="D842" s="11" t="s">
        <v>8951</v>
      </c>
      <c r="E842" s="11" t="s">
        <v>8952</v>
      </c>
      <c r="F842" s="11" t="s">
        <v>4084</v>
      </c>
      <c r="G842" s="12" t="s">
        <v>9</v>
      </c>
    </row>
    <row r="843" customFormat="false" ht="104" hidden="false" customHeight="true" outlineLevel="0" collapsed="false">
      <c r="A843" s="11" t="s">
        <v>8544</v>
      </c>
      <c r="B843" s="11" t="s">
        <v>2794</v>
      </c>
      <c r="C843" s="11" t="s">
        <v>8953</v>
      </c>
      <c r="D843" s="11" t="s">
        <v>8954</v>
      </c>
      <c r="E843" s="11" t="s">
        <v>8955</v>
      </c>
      <c r="F843" s="11" t="s">
        <v>4084</v>
      </c>
      <c r="G843" s="12" t="s">
        <v>9</v>
      </c>
    </row>
    <row r="844" customFormat="false" ht="104" hidden="false" customHeight="true" outlineLevel="0" collapsed="false">
      <c r="A844" s="11" t="s">
        <v>8544</v>
      </c>
      <c r="B844" s="11" t="s">
        <v>2801</v>
      </c>
      <c r="C844" s="11" t="s">
        <v>8956</v>
      </c>
      <c r="D844" s="11" t="s">
        <v>8957</v>
      </c>
      <c r="E844" s="11" t="s">
        <v>8958</v>
      </c>
      <c r="F844" s="11" t="s">
        <v>4084</v>
      </c>
      <c r="G844" s="12" t="s">
        <v>9</v>
      </c>
    </row>
    <row r="845" customFormat="false" ht="104" hidden="false" customHeight="true" outlineLevel="0" collapsed="false">
      <c r="A845" s="11" t="s">
        <v>8544</v>
      </c>
      <c r="B845" s="11" t="s">
        <v>2803</v>
      </c>
      <c r="C845" s="11" t="s">
        <v>8959</v>
      </c>
      <c r="D845" s="11" t="s">
        <v>8960</v>
      </c>
      <c r="E845" s="11" t="s">
        <v>8961</v>
      </c>
      <c r="F845" s="11" t="s">
        <v>4084</v>
      </c>
      <c r="G845" s="12" t="s">
        <v>9</v>
      </c>
    </row>
    <row r="846" customFormat="false" ht="104" hidden="false" customHeight="true" outlineLevel="0" collapsed="false">
      <c r="A846" s="11" t="s">
        <v>8544</v>
      </c>
      <c r="B846" s="11" t="s">
        <v>2811</v>
      </c>
      <c r="C846" s="11" t="s">
        <v>8962</v>
      </c>
      <c r="D846" s="11" t="s">
        <v>8963</v>
      </c>
      <c r="E846" s="11" t="s">
        <v>8964</v>
      </c>
      <c r="F846" s="11" t="s">
        <v>4084</v>
      </c>
      <c r="G846" s="12" t="s">
        <v>9</v>
      </c>
    </row>
    <row r="847" customFormat="false" ht="104" hidden="false" customHeight="true" outlineLevel="0" collapsed="false">
      <c r="A847" s="11" t="s">
        <v>8544</v>
      </c>
      <c r="B847" s="11" t="s">
        <v>2813</v>
      </c>
      <c r="C847" s="11" t="s">
        <v>8965</v>
      </c>
      <c r="D847" s="11" t="s">
        <v>8966</v>
      </c>
      <c r="E847" s="11" t="s">
        <v>8967</v>
      </c>
      <c r="F847" s="11" t="s">
        <v>4084</v>
      </c>
      <c r="G847" s="12" t="s">
        <v>9</v>
      </c>
    </row>
    <row r="848" customFormat="false" ht="104" hidden="false" customHeight="true" outlineLevel="0" collapsed="false">
      <c r="A848" s="11" t="s">
        <v>8544</v>
      </c>
      <c r="B848" s="11" t="s">
        <v>2820</v>
      </c>
      <c r="C848" s="11" t="s">
        <v>8968</v>
      </c>
      <c r="D848" s="11" t="s">
        <v>8969</v>
      </c>
      <c r="E848" s="11" t="s">
        <v>8970</v>
      </c>
      <c r="F848" s="11" t="s">
        <v>4084</v>
      </c>
      <c r="G848" s="12" t="s">
        <v>9</v>
      </c>
    </row>
    <row r="849" customFormat="false" ht="104" hidden="false" customHeight="true" outlineLevel="0" collapsed="false">
      <c r="A849" s="11" t="s">
        <v>8544</v>
      </c>
      <c r="B849" s="11" t="s">
        <v>2822</v>
      </c>
      <c r="C849" s="11" t="s">
        <v>8971</v>
      </c>
      <c r="D849" s="11" t="s">
        <v>8972</v>
      </c>
      <c r="E849" s="11" t="s">
        <v>8973</v>
      </c>
      <c r="F849" s="11" t="s">
        <v>4084</v>
      </c>
      <c r="G849" s="12" t="s">
        <v>9</v>
      </c>
    </row>
    <row r="850" customFormat="false" ht="104" hidden="false" customHeight="true" outlineLevel="0" collapsed="false">
      <c r="A850" s="11" t="s">
        <v>8544</v>
      </c>
      <c r="B850" s="11" t="s">
        <v>2834</v>
      </c>
      <c r="C850" s="11" t="s">
        <v>8974</v>
      </c>
      <c r="D850" s="11" t="s">
        <v>8975</v>
      </c>
      <c r="E850" s="11" t="s">
        <v>8976</v>
      </c>
      <c r="F850" s="11" t="s">
        <v>4084</v>
      </c>
      <c r="G850" s="12" t="s">
        <v>9</v>
      </c>
    </row>
    <row r="851" customFormat="false" ht="104" hidden="false" customHeight="true" outlineLevel="0" collapsed="false">
      <c r="A851" s="11" t="s">
        <v>8544</v>
      </c>
      <c r="B851" s="11" t="s">
        <v>2836</v>
      </c>
      <c r="C851" s="11" t="s">
        <v>8977</v>
      </c>
      <c r="D851" s="11" t="s">
        <v>8978</v>
      </c>
      <c r="E851" s="11" t="s">
        <v>8979</v>
      </c>
      <c r="F851" s="11" t="s">
        <v>4084</v>
      </c>
      <c r="G851" s="12" t="s">
        <v>9</v>
      </c>
    </row>
    <row r="852" customFormat="false" ht="104" hidden="false" customHeight="true" outlineLevel="0" collapsed="false">
      <c r="A852" s="11" t="s">
        <v>8544</v>
      </c>
      <c r="B852" s="11" t="s">
        <v>2844</v>
      </c>
      <c r="C852" s="11" t="s">
        <v>8980</v>
      </c>
      <c r="D852" s="11" t="s">
        <v>8981</v>
      </c>
      <c r="E852" s="11" t="s">
        <v>8982</v>
      </c>
      <c r="F852" s="11" t="s">
        <v>4084</v>
      </c>
      <c r="G852" s="12" t="s">
        <v>9</v>
      </c>
    </row>
    <row r="853" customFormat="false" ht="104" hidden="false" customHeight="true" outlineLevel="0" collapsed="false">
      <c r="A853" s="11" t="s">
        <v>8544</v>
      </c>
      <c r="B853" s="11" t="s">
        <v>2846</v>
      </c>
      <c r="C853" s="11" t="s">
        <v>8983</v>
      </c>
      <c r="D853" s="11" t="s">
        <v>8984</v>
      </c>
      <c r="E853" s="11" t="s">
        <v>8985</v>
      </c>
      <c r="F853" s="11" t="s">
        <v>4084</v>
      </c>
      <c r="G853" s="12" t="s">
        <v>9</v>
      </c>
    </row>
    <row r="854" customFormat="false" ht="104" hidden="false" customHeight="true" outlineLevel="0" collapsed="false">
      <c r="A854" s="11" t="s">
        <v>8544</v>
      </c>
      <c r="B854" s="11" t="s">
        <v>2857</v>
      </c>
      <c r="C854" s="11" t="s">
        <v>8986</v>
      </c>
      <c r="D854" s="11" t="s">
        <v>8987</v>
      </c>
      <c r="E854" s="11" t="s">
        <v>8988</v>
      </c>
      <c r="F854" s="11" t="s">
        <v>4084</v>
      </c>
      <c r="G854" s="12" t="s">
        <v>9</v>
      </c>
    </row>
    <row r="855" customFormat="false" ht="104" hidden="false" customHeight="true" outlineLevel="0" collapsed="false">
      <c r="A855" s="11" t="s">
        <v>8544</v>
      </c>
      <c r="B855" s="11" t="s">
        <v>2859</v>
      </c>
      <c r="C855" s="11" t="s">
        <v>8989</v>
      </c>
      <c r="D855" s="11" t="s">
        <v>8990</v>
      </c>
      <c r="E855" s="11" t="s">
        <v>8991</v>
      </c>
      <c r="F855" s="11" t="s">
        <v>4084</v>
      </c>
      <c r="G855" s="12" t="s">
        <v>9</v>
      </c>
    </row>
    <row r="856" customFormat="false" ht="104" hidden="false" customHeight="true" outlineLevel="0" collapsed="false">
      <c r="A856" s="11" t="s">
        <v>8544</v>
      </c>
      <c r="B856" s="11" t="s">
        <v>2868</v>
      </c>
      <c r="C856" s="11" t="s">
        <v>8992</v>
      </c>
      <c r="D856" s="11" t="s">
        <v>8993</v>
      </c>
      <c r="E856" s="11" t="s">
        <v>8994</v>
      </c>
      <c r="F856" s="11" t="s">
        <v>4084</v>
      </c>
      <c r="G856" s="12" t="s">
        <v>9</v>
      </c>
    </row>
    <row r="857" customFormat="false" ht="104" hidden="false" customHeight="true" outlineLevel="0" collapsed="false">
      <c r="A857" s="11" t="s">
        <v>8544</v>
      </c>
      <c r="B857" s="11" t="s">
        <v>2870</v>
      </c>
      <c r="C857" s="11" t="s">
        <v>8995</v>
      </c>
      <c r="D857" s="11" t="s">
        <v>8996</v>
      </c>
      <c r="E857" s="11" t="s">
        <v>8997</v>
      </c>
      <c r="F857" s="11" t="s">
        <v>4084</v>
      </c>
      <c r="G857" s="12" t="s">
        <v>9</v>
      </c>
    </row>
    <row r="858" customFormat="false" ht="104" hidden="false" customHeight="true" outlineLevel="0" collapsed="false">
      <c r="A858" s="11" t="s">
        <v>8544</v>
      </c>
      <c r="B858" s="11" t="s">
        <v>2872</v>
      </c>
      <c r="C858" s="11" t="s">
        <v>8998</v>
      </c>
      <c r="D858" s="11" t="s">
        <v>8999</v>
      </c>
      <c r="E858" s="11" t="s">
        <v>9000</v>
      </c>
      <c r="F858" s="11" t="s">
        <v>4084</v>
      </c>
      <c r="G858" s="12" t="s">
        <v>9</v>
      </c>
    </row>
    <row r="859" customFormat="false" ht="104" hidden="false" customHeight="true" outlineLevel="0" collapsed="false">
      <c r="A859" s="11" t="s">
        <v>8544</v>
      </c>
      <c r="B859" s="11" t="s">
        <v>2889</v>
      </c>
      <c r="C859" s="11" t="s">
        <v>9001</v>
      </c>
      <c r="D859" s="11" t="s">
        <v>9002</v>
      </c>
      <c r="E859" s="11" t="s">
        <v>9003</v>
      </c>
      <c r="F859" s="11" t="s">
        <v>4084</v>
      </c>
      <c r="G859" s="12" t="s">
        <v>9</v>
      </c>
    </row>
    <row r="860" customFormat="false" ht="104" hidden="false" customHeight="true" outlineLevel="0" collapsed="false">
      <c r="A860" s="11" t="s">
        <v>8544</v>
      </c>
      <c r="B860" s="11" t="s">
        <v>2897</v>
      </c>
      <c r="C860" s="11" t="s">
        <v>9004</v>
      </c>
      <c r="D860" s="11" t="s">
        <v>9005</v>
      </c>
      <c r="E860" s="11" t="s">
        <v>9006</v>
      </c>
      <c r="F860" s="11" t="s">
        <v>4084</v>
      </c>
      <c r="G860" s="12" t="s">
        <v>9</v>
      </c>
    </row>
    <row r="861" customFormat="false" ht="104" hidden="false" customHeight="true" outlineLevel="0" collapsed="false">
      <c r="A861" s="11" t="s">
        <v>8544</v>
      </c>
      <c r="B861" s="11" t="s">
        <v>2899</v>
      </c>
      <c r="C861" s="11" t="s">
        <v>9007</v>
      </c>
      <c r="D861" s="11" t="s">
        <v>9008</v>
      </c>
      <c r="E861" s="11" t="s">
        <v>9009</v>
      </c>
      <c r="F861" s="11" t="s">
        <v>4084</v>
      </c>
      <c r="G861" s="12" t="s">
        <v>9</v>
      </c>
    </row>
    <row r="862" customFormat="false" ht="104" hidden="false" customHeight="true" outlineLevel="0" collapsed="false">
      <c r="A862" s="11" t="s">
        <v>8544</v>
      </c>
      <c r="B862" s="11" t="s">
        <v>2910</v>
      </c>
      <c r="C862" s="11" t="s">
        <v>9010</v>
      </c>
      <c r="D862" s="11" t="s">
        <v>9011</v>
      </c>
      <c r="E862" s="11" t="s">
        <v>9012</v>
      </c>
      <c r="F862" s="11" t="s">
        <v>4084</v>
      </c>
      <c r="G862" s="12" t="s">
        <v>9</v>
      </c>
    </row>
    <row r="863" customFormat="false" ht="104" hidden="false" customHeight="true" outlineLevel="0" collapsed="false">
      <c r="A863" s="11" t="s">
        <v>8544</v>
      </c>
      <c r="B863" s="11" t="s">
        <v>2912</v>
      </c>
      <c r="C863" s="11" t="s">
        <v>9013</v>
      </c>
      <c r="D863" s="11" t="s">
        <v>9014</v>
      </c>
      <c r="E863" s="11" t="s">
        <v>9015</v>
      </c>
      <c r="F863" s="11" t="s">
        <v>4084</v>
      </c>
      <c r="G863" s="12" t="s">
        <v>9</v>
      </c>
    </row>
    <row r="864" customFormat="false" ht="104" hidden="false" customHeight="true" outlineLevel="0" collapsed="false">
      <c r="A864" s="11" t="s">
        <v>8544</v>
      </c>
      <c r="B864" s="11" t="s">
        <v>2924</v>
      </c>
      <c r="C864" s="11" t="s">
        <v>9016</v>
      </c>
      <c r="D864" s="11" t="s">
        <v>9017</v>
      </c>
      <c r="E864" s="11" t="s">
        <v>9018</v>
      </c>
      <c r="F864" s="11" t="s">
        <v>4084</v>
      </c>
      <c r="G864" s="12" t="s">
        <v>9</v>
      </c>
    </row>
    <row r="865" customFormat="false" ht="104" hidden="false" customHeight="true" outlineLevel="0" collapsed="false">
      <c r="A865" s="11" t="s">
        <v>8544</v>
      </c>
      <c r="B865" s="11" t="s">
        <v>2926</v>
      </c>
      <c r="C865" s="11" t="s">
        <v>9019</v>
      </c>
      <c r="D865" s="11" t="s">
        <v>9020</v>
      </c>
      <c r="E865" s="11" t="s">
        <v>9021</v>
      </c>
      <c r="F865" s="11" t="s">
        <v>4084</v>
      </c>
      <c r="G865" s="12" t="s">
        <v>9</v>
      </c>
    </row>
    <row r="866" customFormat="false" ht="104" hidden="false" customHeight="true" outlineLevel="0" collapsed="false">
      <c r="A866" s="11" t="s">
        <v>8544</v>
      </c>
      <c r="B866" s="11" t="s">
        <v>2933</v>
      </c>
      <c r="C866" s="11" t="s">
        <v>9022</v>
      </c>
      <c r="D866" s="11" t="s">
        <v>9023</v>
      </c>
      <c r="E866" s="11" t="s">
        <v>9024</v>
      </c>
      <c r="F866" s="11" t="s">
        <v>4084</v>
      </c>
      <c r="G866" s="12" t="s">
        <v>9</v>
      </c>
    </row>
    <row r="867" customFormat="false" ht="104" hidden="false" customHeight="true" outlineLevel="0" collapsed="false">
      <c r="A867" s="11" t="s">
        <v>8544</v>
      </c>
      <c r="B867" s="11" t="s">
        <v>2935</v>
      </c>
      <c r="C867" s="11" t="s">
        <v>9025</v>
      </c>
      <c r="D867" s="11" t="s">
        <v>9026</v>
      </c>
      <c r="E867" s="11" t="s">
        <v>9027</v>
      </c>
      <c r="F867" s="11" t="s">
        <v>4084</v>
      </c>
      <c r="G867" s="12" t="s">
        <v>9</v>
      </c>
    </row>
    <row r="868" customFormat="false" ht="104" hidden="false" customHeight="true" outlineLevel="0" collapsed="false">
      <c r="A868" s="11" t="s">
        <v>8544</v>
      </c>
      <c r="B868" s="11" t="s">
        <v>2946</v>
      </c>
      <c r="C868" s="11" t="s">
        <v>9028</v>
      </c>
      <c r="D868" s="11" t="s">
        <v>9029</v>
      </c>
      <c r="E868" s="11" t="s">
        <v>9030</v>
      </c>
      <c r="F868" s="11" t="s">
        <v>4084</v>
      </c>
      <c r="G868" s="12" t="s">
        <v>9</v>
      </c>
    </row>
    <row r="869" customFormat="false" ht="104" hidden="false" customHeight="true" outlineLevel="0" collapsed="false">
      <c r="A869" s="11" t="s">
        <v>8544</v>
      </c>
      <c r="B869" s="11" t="s">
        <v>2948</v>
      </c>
      <c r="C869" s="11" t="s">
        <v>9031</v>
      </c>
      <c r="D869" s="11" t="s">
        <v>9032</v>
      </c>
      <c r="E869" s="11" t="s">
        <v>9033</v>
      </c>
      <c r="F869" s="11" t="s">
        <v>4084</v>
      </c>
      <c r="G869" s="12" t="s">
        <v>9</v>
      </c>
    </row>
    <row r="870" customFormat="false" ht="104" hidden="false" customHeight="true" outlineLevel="0" collapsed="false">
      <c r="A870" s="11" t="s">
        <v>8544</v>
      </c>
      <c r="B870" s="11" t="s">
        <v>2957</v>
      </c>
      <c r="C870" s="11" t="s">
        <v>9034</v>
      </c>
      <c r="D870" s="11" t="s">
        <v>9035</v>
      </c>
      <c r="E870" s="11" t="s">
        <v>9036</v>
      </c>
      <c r="F870" s="11" t="s">
        <v>4084</v>
      </c>
      <c r="G870" s="12" t="s">
        <v>9</v>
      </c>
    </row>
    <row r="871" customFormat="false" ht="104" hidden="false" customHeight="true" outlineLevel="0" collapsed="false">
      <c r="A871" s="11" t="s">
        <v>8544</v>
      </c>
      <c r="B871" s="11" t="s">
        <v>2959</v>
      </c>
      <c r="C871" s="11" t="s">
        <v>9037</v>
      </c>
      <c r="D871" s="11" t="s">
        <v>9038</v>
      </c>
      <c r="E871" s="11" t="s">
        <v>9039</v>
      </c>
      <c r="F871" s="11" t="s">
        <v>4084</v>
      </c>
      <c r="G871" s="12" t="s">
        <v>9</v>
      </c>
    </row>
    <row r="872" customFormat="false" ht="104" hidden="false" customHeight="true" outlineLevel="0" collapsed="false">
      <c r="A872" s="11" t="s">
        <v>8544</v>
      </c>
      <c r="B872" s="11" t="s">
        <v>2967</v>
      </c>
      <c r="C872" s="11" t="s">
        <v>9040</v>
      </c>
      <c r="D872" s="11" t="s">
        <v>9041</v>
      </c>
      <c r="E872" s="11" t="s">
        <v>9042</v>
      </c>
      <c r="F872" s="11" t="s">
        <v>4084</v>
      </c>
      <c r="G872" s="12" t="s">
        <v>9</v>
      </c>
    </row>
    <row r="873" customFormat="false" ht="104" hidden="false" customHeight="true" outlineLevel="0" collapsed="false">
      <c r="A873" s="11" t="s">
        <v>8544</v>
      </c>
      <c r="B873" s="11" t="s">
        <v>2970</v>
      </c>
      <c r="C873" s="11" t="s">
        <v>9043</v>
      </c>
      <c r="D873" s="11" t="s">
        <v>9044</v>
      </c>
      <c r="E873" s="11" t="s">
        <v>9045</v>
      </c>
      <c r="F873" s="11" t="s">
        <v>4084</v>
      </c>
      <c r="G873" s="12" t="s">
        <v>9</v>
      </c>
    </row>
    <row r="874" customFormat="false" ht="104" hidden="false" customHeight="true" outlineLevel="0" collapsed="false">
      <c r="A874" s="11" t="s">
        <v>8544</v>
      </c>
      <c r="B874" s="11" t="s">
        <v>2981</v>
      </c>
      <c r="C874" s="11" t="s">
        <v>9046</v>
      </c>
      <c r="D874" s="11" t="s">
        <v>9047</v>
      </c>
      <c r="E874" s="11" t="s">
        <v>9048</v>
      </c>
      <c r="F874" s="11" t="s">
        <v>4084</v>
      </c>
      <c r="G874" s="12" t="s">
        <v>9</v>
      </c>
    </row>
    <row r="875" customFormat="false" ht="104" hidden="false" customHeight="true" outlineLevel="0" collapsed="false">
      <c r="A875" s="11" t="s">
        <v>8544</v>
      </c>
      <c r="B875" s="11" t="s">
        <v>2983</v>
      </c>
      <c r="C875" s="11" t="s">
        <v>9049</v>
      </c>
      <c r="D875" s="11" t="s">
        <v>9050</v>
      </c>
      <c r="E875" s="11" t="s">
        <v>9051</v>
      </c>
      <c r="F875" s="11" t="s">
        <v>4084</v>
      </c>
      <c r="G875" s="12" t="s">
        <v>9</v>
      </c>
    </row>
    <row r="876" customFormat="false" ht="104" hidden="false" customHeight="true" outlineLevel="0" collapsed="false">
      <c r="A876" s="11" t="s">
        <v>8544</v>
      </c>
      <c r="B876" s="11" t="s">
        <v>2991</v>
      </c>
      <c r="C876" s="11" t="s">
        <v>9052</v>
      </c>
      <c r="D876" s="11" t="s">
        <v>9053</v>
      </c>
      <c r="E876" s="11" t="s">
        <v>9054</v>
      </c>
      <c r="F876" s="11" t="s">
        <v>4084</v>
      </c>
      <c r="G876" s="12" t="s">
        <v>9</v>
      </c>
    </row>
    <row r="877" customFormat="false" ht="104" hidden="false" customHeight="true" outlineLevel="0" collapsed="false">
      <c r="A877" s="11" t="s">
        <v>8544</v>
      </c>
      <c r="B877" s="11" t="s">
        <v>2993</v>
      </c>
      <c r="C877" s="11" t="s">
        <v>9055</v>
      </c>
      <c r="D877" s="11" t="s">
        <v>9056</v>
      </c>
      <c r="E877" s="11" t="s">
        <v>9057</v>
      </c>
      <c r="F877" s="11" t="s">
        <v>4084</v>
      </c>
      <c r="G877" s="12" t="s">
        <v>9</v>
      </c>
    </row>
    <row r="878" customFormat="false" ht="104" hidden="false" customHeight="true" outlineLevel="0" collapsed="false">
      <c r="A878" s="11" t="s">
        <v>8544</v>
      </c>
      <c r="B878" s="11" t="s">
        <v>3004</v>
      </c>
      <c r="C878" s="11" t="s">
        <v>9058</v>
      </c>
      <c r="D878" s="11" t="s">
        <v>9059</v>
      </c>
      <c r="E878" s="11" t="s">
        <v>9060</v>
      </c>
      <c r="F878" s="11" t="s">
        <v>4084</v>
      </c>
      <c r="G878" s="12" t="s">
        <v>9</v>
      </c>
    </row>
    <row r="879" customFormat="false" ht="104" hidden="false" customHeight="true" outlineLevel="0" collapsed="false">
      <c r="A879" s="11" t="s">
        <v>8544</v>
      </c>
      <c r="B879" s="11" t="s">
        <v>3006</v>
      </c>
      <c r="C879" s="11" t="s">
        <v>9061</v>
      </c>
      <c r="D879" s="11" t="s">
        <v>9062</v>
      </c>
      <c r="E879" s="11" t="s">
        <v>9063</v>
      </c>
      <c r="F879" s="11" t="s">
        <v>4084</v>
      </c>
      <c r="G879" s="12" t="s">
        <v>9</v>
      </c>
    </row>
    <row r="880" customFormat="false" ht="104" hidden="false" customHeight="true" outlineLevel="0" collapsed="false">
      <c r="A880" s="11" t="s">
        <v>8544</v>
      </c>
      <c r="B880" s="11" t="s">
        <v>3014</v>
      </c>
      <c r="C880" s="11" t="s">
        <v>9064</v>
      </c>
      <c r="D880" s="11" t="s">
        <v>9065</v>
      </c>
      <c r="E880" s="11" t="s">
        <v>9066</v>
      </c>
      <c r="F880" s="11" t="s">
        <v>4084</v>
      </c>
      <c r="G880" s="12" t="s">
        <v>9</v>
      </c>
    </row>
    <row r="881" customFormat="false" ht="104" hidden="false" customHeight="true" outlineLevel="0" collapsed="false">
      <c r="A881" s="11" t="s">
        <v>8544</v>
      </c>
      <c r="B881" s="11" t="s">
        <v>3017</v>
      </c>
      <c r="C881" s="11" t="s">
        <v>9067</v>
      </c>
      <c r="D881" s="11" t="s">
        <v>9068</v>
      </c>
      <c r="E881" s="11" t="s">
        <v>9069</v>
      </c>
      <c r="F881" s="11" t="s">
        <v>4084</v>
      </c>
      <c r="G881" s="12" t="s">
        <v>9</v>
      </c>
    </row>
    <row r="882" customFormat="false" ht="104" hidden="false" customHeight="true" outlineLevel="0" collapsed="false">
      <c r="A882" s="11" t="s">
        <v>8544</v>
      </c>
      <c r="B882" s="11" t="s">
        <v>3018</v>
      </c>
      <c r="C882" s="11" t="s">
        <v>9070</v>
      </c>
      <c r="D882" s="11" t="s">
        <v>9071</v>
      </c>
      <c r="E882" s="11" t="s">
        <v>9072</v>
      </c>
      <c r="F882" s="11" t="s">
        <v>4084</v>
      </c>
      <c r="G882" s="12" t="s">
        <v>9</v>
      </c>
    </row>
    <row r="883" customFormat="false" ht="104" hidden="false" customHeight="true" outlineLevel="0" collapsed="false">
      <c r="A883" s="11" t="s">
        <v>8544</v>
      </c>
      <c r="B883" s="11" t="s">
        <v>3019</v>
      </c>
      <c r="C883" s="11" t="s">
        <v>9073</v>
      </c>
      <c r="D883" s="11" t="s">
        <v>9074</v>
      </c>
      <c r="E883" s="11" t="s">
        <v>9075</v>
      </c>
      <c r="F883" s="11" t="s">
        <v>4084</v>
      </c>
      <c r="G883" s="12" t="s">
        <v>9</v>
      </c>
    </row>
    <row r="884" customFormat="false" ht="104" hidden="false" customHeight="true" outlineLevel="0" collapsed="false">
      <c r="A884" s="11" t="s">
        <v>8544</v>
      </c>
      <c r="B884" s="11" t="s">
        <v>3020</v>
      </c>
      <c r="C884" s="11" t="s">
        <v>9076</v>
      </c>
      <c r="D884" s="11" t="s">
        <v>9077</v>
      </c>
      <c r="E884" s="11" t="s">
        <v>9078</v>
      </c>
      <c r="F884" s="11" t="s">
        <v>4084</v>
      </c>
      <c r="G884" s="12" t="s">
        <v>9</v>
      </c>
    </row>
    <row r="885" customFormat="false" ht="104" hidden="false" customHeight="true" outlineLevel="0" collapsed="false">
      <c r="A885" s="11" t="s">
        <v>8544</v>
      </c>
      <c r="B885" s="11" t="s">
        <v>3021</v>
      </c>
      <c r="C885" s="11" t="s">
        <v>9079</v>
      </c>
      <c r="D885" s="11" t="s">
        <v>9080</v>
      </c>
      <c r="E885" s="11" t="s">
        <v>9081</v>
      </c>
      <c r="F885" s="11" t="s">
        <v>4084</v>
      </c>
      <c r="G885" s="12" t="s">
        <v>9</v>
      </c>
    </row>
    <row r="886" customFormat="false" ht="104" hidden="false" customHeight="true" outlineLevel="0" collapsed="false">
      <c r="A886" s="11" t="s">
        <v>8544</v>
      </c>
      <c r="B886" s="11" t="s">
        <v>3032</v>
      </c>
      <c r="C886" s="11" t="s">
        <v>9082</v>
      </c>
      <c r="D886" s="11" t="s">
        <v>9083</v>
      </c>
      <c r="E886" s="11" t="s">
        <v>9084</v>
      </c>
      <c r="F886" s="11" t="s">
        <v>4084</v>
      </c>
      <c r="G886" s="12" t="s">
        <v>9</v>
      </c>
    </row>
    <row r="887" customFormat="false" ht="104" hidden="false" customHeight="true" outlineLevel="0" collapsed="false">
      <c r="A887" s="11" t="s">
        <v>8544</v>
      </c>
      <c r="B887" s="11" t="s">
        <v>3034</v>
      </c>
      <c r="C887" s="11" t="s">
        <v>9085</v>
      </c>
      <c r="D887" s="11" t="s">
        <v>9086</v>
      </c>
      <c r="E887" s="11" t="s">
        <v>9087</v>
      </c>
      <c r="F887" s="11" t="s">
        <v>4084</v>
      </c>
      <c r="G887" s="12" t="s">
        <v>9</v>
      </c>
    </row>
    <row r="888" customFormat="false" ht="104" hidden="false" customHeight="true" outlineLevel="0" collapsed="false">
      <c r="A888" s="11" t="s">
        <v>8544</v>
      </c>
      <c r="B888" s="11" t="s">
        <v>3042</v>
      </c>
      <c r="C888" s="11" t="s">
        <v>9088</v>
      </c>
      <c r="D888" s="11" t="s">
        <v>9089</v>
      </c>
      <c r="E888" s="11" t="s">
        <v>9090</v>
      </c>
      <c r="F888" s="11" t="s">
        <v>4084</v>
      </c>
      <c r="G888" s="12" t="s">
        <v>9</v>
      </c>
    </row>
    <row r="889" customFormat="false" ht="104" hidden="false" customHeight="true" outlineLevel="0" collapsed="false">
      <c r="A889" s="11" t="s">
        <v>8544</v>
      </c>
      <c r="B889" s="11" t="s">
        <v>3045</v>
      </c>
      <c r="C889" s="11" t="s">
        <v>9091</v>
      </c>
      <c r="D889" s="11" t="s">
        <v>9092</v>
      </c>
      <c r="E889" s="11" t="s">
        <v>9093</v>
      </c>
      <c r="F889" s="11" t="s">
        <v>4084</v>
      </c>
      <c r="G889" s="12" t="s">
        <v>9</v>
      </c>
    </row>
    <row r="890" customFormat="false" ht="104" hidden="false" customHeight="true" outlineLevel="0" collapsed="false">
      <c r="A890" s="11" t="s">
        <v>8544</v>
      </c>
      <c r="B890" s="11" t="s">
        <v>3056</v>
      </c>
      <c r="C890" s="11" t="s">
        <v>9094</v>
      </c>
      <c r="D890" s="11" t="s">
        <v>9095</v>
      </c>
      <c r="E890" s="11" t="s">
        <v>9096</v>
      </c>
      <c r="F890" s="11" t="s">
        <v>4084</v>
      </c>
      <c r="G890" s="12" t="s">
        <v>9</v>
      </c>
    </row>
    <row r="891" customFormat="false" ht="104" hidden="false" customHeight="true" outlineLevel="0" collapsed="false">
      <c r="A891" s="11" t="s">
        <v>8544</v>
      </c>
      <c r="B891" s="11" t="s">
        <v>3058</v>
      </c>
      <c r="C891" s="11" t="s">
        <v>9097</v>
      </c>
      <c r="D891" s="11" t="s">
        <v>9098</v>
      </c>
      <c r="E891" s="11" t="s">
        <v>9099</v>
      </c>
      <c r="F891" s="11" t="s">
        <v>4084</v>
      </c>
      <c r="G891" s="12" t="s">
        <v>9</v>
      </c>
    </row>
    <row r="892" customFormat="false" ht="104" hidden="false" customHeight="true" outlineLevel="0" collapsed="false">
      <c r="A892" s="11" t="s">
        <v>8544</v>
      </c>
      <c r="B892" s="11" t="s">
        <v>3070</v>
      </c>
      <c r="C892" s="11" t="s">
        <v>9100</v>
      </c>
      <c r="D892" s="11" t="s">
        <v>9101</v>
      </c>
      <c r="E892" s="11" t="s">
        <v>9102</v>
      </c>
      <c r="F892" s="11" t="s">
        <v>4084</v>
      </c>
      <c r="G892" s="12" t="s">
        <v>9</v>
      </c>
    </row>
    <row r="893" customFormat="false" ht="104" hidden="false" customHeight="true" outlineLevel="0" collapsed="false">
      <c r="A893" s="11" t="s">
        <v>8544</v>
      </c>
      <c r="B893" s="11" t="s">
        <v>3073</v>
      </c>
      <c r="C893" s="11" t="s">
        <v>9103</v>
      </c>
      <c r="D893" s="11" t="s">
        <v>9104</v>
      </c>
      <c r="E893" s="11" t="s">
        <v>9105</v>
      </c>
      <c r="F893" s="11" t="s">
        <v>4084</v>
      </c>
      <c r="G893" s="12" t="s">
        <v>9</v>
      </c>
    </row>
    <row r="894" customFormat="false" ht="104" hidden="false" customHeight="true" outlineLevel="0" collapsed="false">
      <c r="A894" s="11" t="s">
        <v>8544</v>
      </c>
      <c r="B894" s="11" t="s">
        <v>3085</v>
      </c>
      <c r="C894" s="11" t="s">
        <v>9106</v>
      </c>
      <c r="D894" s="11" t="s">
        <v>9107</v>
      </c>
      <c r="E894" s="11" t="s">
        <v>9108</v>
      </c>
      <c r="F894" s="11" t="s">
        <v>4084</v>
      </c>
      <c r="G894" s="12" t="s">
        <v>9</v>
      </c>
    </row>
    <row r="895" customFormat="false" ht="104" hidden="false" customHeight="true" outlineLevel="0" collapsed="false">
      <c r="A895" s="11" t="s">
        <v>8544</v>
      </c>
      <c r="B895" s="11" t="s">
        <v>3087</v>
      </c>
      <c r="C895" s="11" t="s">
        <v>9109</v>
      </c>
      <c r="D895" s="11" t="s">
        <v>9110</v>
      </c>
      <c r="E895" s="11" t="s">
        <v>9111</v>
      </c>
      <c r="F895" s="11" t="s">
        <v>4084</v>
      </c>
      <c r="G895" s="12" t="s">
        <v>9</v>
      </c>
    </row>
    <row r="896" customFormat="false" ht="104" hidden="false" customHeight="true" outlineLevel="0" collapsed="false">
      <c r="A896" s="11" t="s">
        <v>8544</v>
      </c>
      <c r="B896" s="11" t="s">
        <v>3096</v>
      </c>
      <c r="C896" s="11" t="s">
        <v>9112</v>
      </c>
      <c r="D896" s="11" t="s">
        <v>9113</v>
      </c>
      <c r="E896" s="11" t="s">
        <v>9114</v>
      </c>
      <c r="F896" s="11" t="s">
        <v>4084</v>
      </c>
      <c r="G896" s="12" t="s">
        <v>9</v>
      </c>
    </row>
    <row r="897" customFormat="false" ht="104" hidden="false" customHeight="true" outlineLevel="0" collapsed="false">
      <c r="A897" s="11" t="s">
        <v>8544</v>
      </c>
      <c r="B897" s="11" t="s">
        <v>3098</v>
      </c>
      <c r="C897" s="11" t="s">
        <v>9115</v>
      </c>
      <c r="D897" s="11" t="s">
        <v>9116</v>
      </c>
      <c r="E897" s="11" t="s">
        <v>9117</v>
      </c>
      <c r="F897" s="11" t="s">
        <v>4084</v>
      </c>
      <c r="G897" s="12" t="s">
        <v>9</v>
      </c>
    </row>
    <row r="898" customFormat="false" ht="104" hidden="false" customHeight="true" outlineLevel="0" collapsed="false">
      <c r="A898" s="11" t="s">
        <v>8544</v>
      </c>
      <c r="B898" s="11" t="s">
        <v>3111</v>
      </c>
      <c r="C898" s="11" t="s">
        <v>9118</v>
      </c>
      <c r="D898" s="11" t="s">
        <v>9119</v>
      </c>
      <c r="E898" s="11" t="s">
        <v>9120</v>
      </c>
      <c r="F898" s="11" t="s">
        <v>4084</v>
      </c>
      <c r="G898" s="12" t="s">
        <v>9</v>
      </c>
    </row>
    <row r="899" customFormat="false" ht="104" hidden="false" customHeight="true" outlineLevel="0" collapsed="false">
      <c r="A899" s="11" t="s">
        <v>8544</v>
      </c>
      <c r="B899" s="11" t="s">
        <v>3113</v>
      </c>
      <c r="C899" s="11" t="s">
        <v>9121</v>
      </c>
      <c r="D899" s="11" t="s">
        <v>9122</v>
      </c>
      <c r="E899" s="11" t="s">
        <v>9123</v>
      </c>
      <c r="F899" s="11" t="s">
        <v>4084</v>
      </c>
      <c r="G899" s="12" t="s">
        <v>9</v>
      </c>
    </row>
    <row r="900" customFormat="false" ht="104" hidden="false" customHeight="true" outlineLevel="0" collapsed="false">
      <c r="A900" s="11" t="s">
        <v>8544</v>
      </c>
      <c r="B900" s="11" t="s">
        <v>3125</v>
      </c>
      <c r="C900" s="11" t="s">
        <v>9124</v>
      </c>
      <c r="D900" s="11" t="s">
        <v>9125</v>
      </c>
      <c r="E900" s="11" t="s">
        <v>9126</v>
      </c>
      <c r="F900" s="11" t="s">
        <v>4084</v>
      </c>
      <c r="G900" s="12" t="s">
        <v>9</v>
      </c>
    </row>
    <row r="901" customFormat="false" ht="104" hidden="false" customHeight="true" outlineLevel="0" collapsed="false">
      <c r="A901" s="11" t="s">
        <v>8544</v>
      </c>
      <c r="B901" s="11" t="s">
        <v>3127</v>
      </c>
      <c r="C901" s="11" t="s">
        <v>9127</v>
      </c>
      <c r="D901" s="11" t="s">
        <v>9128</v>
      </c>
      <c r="E901" s="11" t="s">
        <v>9129</v>
      </c>
      <c r="F901" s="11" t="s">
        <v>4084</v>
      </c>
      <c r="G901" s="12" t="s">
        <v>9</v>
      </c>
    </row>
    <row r="902" customFormat="false" ht="104" hidden="false" customHeight="true" outlineLevel="0" collapsed="false">
      <c r="A902" s="11" t="s">
        <v>8544</v>
      </c>
      <c r="B902" s="11" t="s">
        <v>3139</v>
      </c>
      <c r="C902" s="11" t="s">
        <v>9130</v>
      </c>
      <c r="D902" s="11" t="s">
        <v>9131</v>
      </c>
      <c r="E902" s="11" t="s">
        <v>9132</v>
      </c>
      <c r="F902" s="11" t="s">
        <v>4084</v>
      </c>
      <c r="G902" s="12" t="s">
        <v>9</v>
      </c>
    </row>
    <row r="903" customFormat="false" ht="104" hidden="false" customHeight="true" outlineLevel="0" collapsed="false">
      <c r="A903" s="11" t="s">
        <v>8544</v>
      </c>
      <c r="B903" s="11" t="s">
        <v>3141</v>
      </c>
      <c r="C903" s="11" t="s">
        <v>9133</v>
      </c>
      <c r="D903" s="11" t="s">
        <v>9134</v>
      </c>
      <c r="E903" s="11" t="s">
        <v>9135</v>
      </c>
      <c r="F903" s="11" t="s">
        <v>4084</v>
      </c>
      <c r="G903" s="12" t="s">
        <v>9</v>
      </c>
    </row>
    <row r="904" customFormat="false" ht="104" hidden="false" customHeight="true" outlineLevel="0" collapsed="false">
      <c r="A904" s="11" t="s">
        <v>8544</v>
      </c>
      <c r="B904" s="11" t="s">
        <v>3153</v>
      </c>
      <c r="C904" s="11" t="s">
        <v>9136</v>
      </c>
      <c r="D904" s="11" t="s">
        <v>9137</v>
      </c>
      <c r="E904" s="11" t="s">
        <v>9138</v>
      </c>
      <c r="F904" s="11" t="s">
        <v>4084</v>
      </c>
      <c r="G904" s="12" t="s">
        <v>9</v>
      </c>
    </row>
    <row r="905" customFormat="false" ht="104" hidden="false" customHeight="true" outlineLevel="0" collapsed="false">
      <c r="A905" s="11" t="s">
        <v>8544</v>
      </c>
      <c r="B905" s="11" t="s">
        <v>3155</v>
      </c>
      <c r="C905" s="11" t="s">
        <v>9139</v>
      </c>
      <c r="D905" s="11" t="s">
        <v>9140</v>
      </c>
      <c r="E905" s="11" t="s">
        <v>9141</v>
      </c>
      <c r="F905" s="11" t="s">
        <v>4084</v>
      </c>
      <c r="G905" s="12" t="s">
        <v>9</v>
      </c>
    </row>
    <row r="906" customFormat="false" ht="104" hidden="false" customHeight="true" outlineLevel="0" collapsed="false">
      <c r="A906" s="11" t="s">
        <v>8544</v>
      </c>
      <c r="B906" s="11" t="s">
        <v>3162</v>
      </c>
      <c r="C906" s="11" t="s">
        <v>9142</v>
      </c>
      <c r="D906" s="11" t="s">
        <v>9143</v>
      </c>
      <c r="E906" s="11" t="s">
        <v>9144</v>
      </c>
      <c r="F906" s="11" t="s">
        <v>4084</v>
      </c>
      <c r="G906" s="12" t="s">
        <v>9</v>
      </c>
    </row>
    <row r="907" customFormat="false" ht="104" hidden="false" customHeight="true" outlineLevel="0" collapsed="false">
      <c r="A907" s="11" t="s">
        <v>8544</v>
      </c>
      <c r="B907" s="11" t="s">
        <v>3164</v>
      </c>
      <c r="C907" s="11" t="s">
        <v>9145</v>
      </c>
      <c r="D907" s="11" t="s">
        <v>9146</v>
      </c>
      <c r="E907" s="11" t="s">
        <v>9147</v>
      </c>
      <c r="F907" s="11" t="s">
        <v>4084</v>
      </c>
      <c r="G907" s="12" t="s">
        <v>9</v>
      </c>
    </row>
    <row r="908" customFormat="false" ht="104" hidden="false" customHeight="true" outlineLevel="0" collapsed="false">
      <c r="A908" s="11" t="s">
        <v>8544</v>
      </c>
      <c r="B908" s="11" t="s">
        <v>3174</v>
      </c>
      <c r="C908" s="11" t="s">
        <v>9148</v>
      </c>
      <c r="D908" s="11" t="s">
        <v>9149</v>
      </c>
      <c r="E908" s="11" t="s">
        <v>9150</v>
      </c>
      <c r="F908" s="11" t="s">
        <v>4084</v>
      </c>
      <c r="G908" s="12" t="s">
        <v>9</v>
      </c>
    </row>
    <row r="909" customFormat="false" ht="104" hidden="false" customHeight="true" outlineLevel="0" collapsed="false">
      <c r="A909" s="11" t="s">
        <v>8544</v>
      </c>
      <c r="B909" s="11" t="s">
        <v>3176</v>
      </c>
      <c r="C909" s="11" t="s">
        <v>9151</v>
      </c>
      <c r="D909" s="11" t="s">
        <v>9152</v>
      </c>
      <c r="E909" s="11" t="s">
        <v>9153</v>
      </c>
      <c r="F909" s="11" t="s">
        <v>4084</v>
      </c>
      <c r="G909" s="12" t="s">
        <v>9</v>
      </c>
    </row>
    <row r="910" customFormat="false" ht="104" hidden="false" customHeight="true" outlineLevel="0" collapsed="false">
      <c r="A910" s="11" t="s">
        <v>8544</v>
      </c>
      <c r="B910" s="11" t="s">
        <v>3185</v>
      </c>
      <c r="C910" s="11" t="s">
        <v>9154</v>
      </c>
      <c r="D910" s="11" t="s">
        <v>9155</v>
      </c>
      <c r="E910" s="11" t="s">
        <v>9156</v>
      </c>
      <c r="F910" s="11" t="s">
        <v>4084</v>
      </c>
      <c r="G910" s="12" t="s">
        <v>9</v>
      </c>
    </row>
    <row r="911" customFormat="false" ht="104" hidden="false" customHeight="true" outlineLevel="0" collapsed="false">
      <c r="A911" s="11" t="s">
        <v>8544</v>
      </c>
      <c r="B911" s="11" t="s">
        <v>3187</v>
      </c>
      <c r="C911" s="11" t="s">
        <v>9157</v>
      </c>
      <c r="D911" s="11" t="s">
        <v>9158</v>
      </c>
      <c r="E911" s="11" t="s">
        <v>9159</v>
      </c>
      <c r="F911" s="11" t="s">
        <v>4084</v>
      </c>
      <c r="G911" s="12" t="s">
        <v>9</v>
      </c>
    </row>
    <row r="912" customFormat="false" ht="104" hidden="false" customHeight="true" outlineLevel="0" collapsed="false">
      <c r="A912" s="11" t="s">
        <v>8544</v>
      </c>
      <c r="B912" s="11" t="s">
        <v>3197</v>
      </c>
      <c r="C912" s="11" t="s">
        <v>9160</v>
      </c>
      <c r="D912" s="11" t="s">
        <v>9161</v>
      </c>
      <c r="E912" s="11" t="s">
        <v>9162</v>
      </c>
      <c r="F912" s="11" t="s">
        <v>4084</v>
      </c>
      <c r="G912" s="12" t="s">
        <v>9</v>
      </c>
    </row>
    <row r="913" customFormat="false" ht="104" hidden="false" customHeight="true" outlineLevel="0" collapsed="false">
      <c r="A913" s="11" t="s">
        <v>8544</v>
      </c>
      <c r="B913" s="11" t="s">
        <v>3199</v>
      </c>
      <c r="C913" s="11" t="s">
        <v>9163</v>
      </c>
      <c r="D913" s="11" t="s">
        <v>9164</v>
      </c>
      <c r="E913" s="11" t="s">
        <v>9165</v>
      </c>
      <c r="F913" s="11" t="s">
        <v>4084</v>
      </c>
      <c r="G913" s="12" t="s">
        <v>9</v>
      </c>
    </row>
    <row r="914" customFormat="false" ht="104" hidden="false" customHeight="true" outlineLevel="0" collapsed="false">
      <c r="A914" s="11" t="s">
        <v>8544</v>
      </c>
      <c r="B914" s="11" t="s">
        <v>3206</v>
      </c>
      <c r="C914" s="11" t="s">
        <v>9166</v>
      </c>
      <c r="D914" s="11" t="s">
        <v>9167</v>
      </c>
      <c r="E914" s="11" t="s">
        <v>9168</v>
      </c>
      <c r="F914" s="11" t="s">
        <v>4084</v>
      </c>
      <c r="G914" s="12" t="s">
        <v>9</v>
      </c>
    </row>
    <row r="915" customFormat="false" ht="104" hidden="false" customHeight="true" outlineLevel="0" collapsed="false">
      <c r="A915" s="11" t="s">
        <v>8544</v>
      </c>
      <c r="B915" s="11" t="s">
        <v>3208</v>
      </c>
      <c r="C915" s="11" t="s">
        <v>9169</v>
      </c>
      <c r="D915" s="11" t="s">
        <v>9170</v>
      </c>
      <c r="E915" s="11" t="s">
        <v>9171</v>
      </c>
      <c r="F915" s="11" t="s">
        <v>4084</v>
      </c>
      <c r="G915" s="12" t="s">
        <v>9</v>
      </c>
    </row>
    <row r="916" customFormat="false" ht="104" hidden="false" customHeight="true" outlineLevel="0" collapsed="false">
      <c r="A916" s="11" t="s">
        <v>8544</v>
      </c>
      <c r="B916" s="11" t="s">
        <v>3219</v>
      </c>
      <c r="C916" s="11" t="s">
        <v>9172</v>
      </c>
      <c r="D916" s="11" t="s">
        <v>9173</v>
      </c>
      <c r="E916" s="11" t="s">
        <v>9174</v>
      </c>
      <c r="F916" s="11" t="s">
        <v>4084</v>
      </c>
      <c r="G916" s="12" t="s">
        <v>9</v>
      </c>
    </row>
    <row r="917" customFormat="false" ht="104" hidden="false" customHeight="true" outlineLevel="0" collapsed="false">
      <c r="A917" s="11" t="s">
        <v>8544</v>
      </c>
      <c r="B917" s="11" t="s">
        <v>3221</v>
      </c>
      <c r="C917" s="11" t="s">
        <v>9175</v>
      </c>
      <c r="D917" s="11" t="s">
        <v>9176</v>
      </c>
      <c r="E917" s="11" t="s">
        <v>9177</v>
      </c>
      <c r="F917" s="11" t="s">
        <v>4084</v>
      </c>
      <c r="G917" s="12" t="s">
        <v>9</v>
      </c>
    </row>
    <row r="918" customFormat="false" ht="104" hidden="false" customHeight="true" outlineLevel="0" collapsed="false">
      <c r="A918" s="11" t="s">
        <v>8544</v>
      </c>
      <c r="B918" s="11" t="s">
        <v>3233</v>
      </c>
      <c r="C918" s="11" t="s">
        <v>9178</v>
      </c>
      <c r="D918" s="11" t="s">
        <v>9179</v>
      </c>
      <c r="E918" s="11" t="s">
        <v>9180</v>
      </c>
      <c r="F918" s="11" t="s">
        <v>4084</v>
      </c>
      <c r="G918" s="12" t="s">
        <v>9</v>
      </c>
    </row>
    <row r="919" customFormat="false" ht="104" hidden="false" customHeight="true" outlineLevel="0" collapsed="false">
      <c r="A919" s="11" t="s">
        <v>8544</v>
      </c>
      <c r="B919" s="11" t="s">
        <v>3236</v>
      </c>
      <c r="C919" s="11" t="s">
        <v>9181</v>
      </c>
      <c r="D919" s="11" t="s">
        <v>9182</v>
      </c>
      <c r="E919" s="11" t="s">
        <v>9183</v>
      </c>
      <c r="F919" s="11" t="s">
        <v>4084</v>
      </c>
      <c r="G919" s="12" t="s">
        <v>9</v>
      </c>
    </row>
    <row r="920" customFormat="false" ht="104" hidden="false" customHeight="true" outlineLevel="0" collapsed="false">
      <c r="A920" s="11" t="s">
        <v>8544</v>
      </c>
      <c r="B920" s="11" t="s">
        <v>3246</v>
      </c>
      <c r="C920" s="11" t="s">
        <v>9184</v>
      </c>
      <c r="D920" s="11" t="s">
        <v>9185</v>
      </c>
      <c r="E920" s="11" t="s">
        <v>9186</v>
      </c>
      <c r="F920" s="11" t="s">
        <v>4084</v>
      </c>
      <c r="G920" s="12" t="s">
        <v>9</v>
      </c>
    </row>
    <row r="921" customFormat="false" ht="104" hidden="false" customHeight="true" outlineLevel="0" collapsed="false">
      <c r="A921" s="11" t="s">
        <v>8544</v>
      </c>
      <c r="B921" s="11" t="s">
        <v>3248</v>
      </c>
      <c r="C921" s="11" t="s">
        <v>9187</v>
      </c>
      <c r="D921" s="11" t="s">
        <v>9188</v>
      </c>
      <c r="E921" s="11" t="s">
        <v>9189</v>
      </c>
      <c r="F921" s="11" t="s">
        <v>4084</v>
      </c>
      <c r="G921" s="12" t="s">
        <v>9</v>
      </c>
    </row>
    <row r="922" customFormat="false" ht="104" hidden="false" customHeight="true" outlineLevel="0" collapsed="false">
      <c r="A922" s="11" t="s">
        <v>8544</v>
      </c>
      <c r="B922" s="11" t="s">
        <v>3256</v>
      </c>
      <c r="C922" s="11" t="s">
        <v>9190</v>
      </c>
      <c r="D922" s="11" t="s">
        <v>9191</v>
      </c>
      <c r="E922" s="11" t="s">
        <v>9192</v>
      </c>
      <c r="F922" s="11" t="s">
        <v>4084</v>
      </c>
      <c r="G922" s="12" t="s">
        <v>9</v>
      </c>
    </row>
    <row r="923" customFormat="false" ht="104" hidden="false" customHeight="true" outlineLevel="0" collapsed="false">
      <c r="A923" s="11" t="s">
        <v>8544</v>
      </c>
      <c r="B923" s="11" t="s">
        <v>3258</v>
      </c>
      <c r="C923" s="11" t="s">
        <v>9193</v>
      </c>
      <c r="D923" s="11" t="s">
        <v>9194</v>
      </c>
      <c r="E923" s="11" t="s">
        <v>9195</v>
      </c>
      <c r="F923" s="11" t="s">
        <v>4084</v>
      </c>
      <c r="G923" s="12" t="s">
        <v>9</v>
      </c>
    </row>
    <row r="924" customFormat="false" ht="104" hidden="false" customHeight="true" outlineLevel="0" collapsed="false">
      <c r="A924" s="11" t="s">
        <v>8544</v>
      </c>
      <c r="B924" s="11" t="s">
        <v>3265</v>
      </c>
      <c r="C924" s="11" t="s">
        <v>9196</v>
      </c>
      <c r="D924" s="11" t="s">
        <v>9197</v>
      </c>
      <c r="E924" s="11" t="s">
        <v>9198</v>
      </c>
      <c r="F924" s="11" t="s">
        <v>4084</v>
      </c>
      <c r="G924" s="12" t="s">
        <v>9</v>
      </c>
    </row>
    <row r="925" customFormat="false" ht="104" hidden="false" customHeight="true" outlineLevel="0" collapsed="false">
      <c r="A925" s="11" t="s">
        <v>8544</v>
      </c>
      <c r="B925" s="11" t="s">
        <v>3267</v>
      </c>
      <c r="C925" s="11" t="s">
        <v>9199</v>
      </c>
      <c r="D925" s="11" t="s">
        <v>9200</v>
      </c>
      <c r="E925" s="11" t="s">
        <v>9201</v>
      </c>
      <c r="F925" s="11" t="s">
        <v>4084</v>
      </c>
      <c r="G925" s="12" t="s">
        <v>9</v>
      </c>
    </row>
    <row r="926" customFormat="false" ht="104" hidden="false" customHeight="true" outlineLevel="0" collapsed="false">
      <c r="A926" s="11" t="s">
        <v>8544</v>
      </c>
      <c r="B926" s="11" t="s">
        <v>3279</v>
      </c>
      <c r="C926" s="11" t="s">
        <v>9202</v>
      </c>
      <c r="D926" s="11" t="s">
        <v>9203</v>
      </c>
      <c r="E926" s="11" t="s">
        <v>9204</v>
      </c>
      <c r="F926" s="11" t="s">
        <v>4084</v>
      </c>
      <c r="G926" s="12" t="s">
        <v>9</v>
      </c>
    </row>
    <row r="927" customFormat="false" ht="104" hidden="false" customHeight="true" outlineLevel="0" collapsed="false">
      <c r="A927" s="11" t="s">
        <v>8544</v>
      </c>
      <c r="B927" s="11" t="s">
        <v>3281</v>
      </c>
      <c r="C927" s="11" t="s">
        <v>9205</v>
      </c>
      <c r="D927" s="11" t="s">
        <v>9206</v>
      </c>
      <c r="E927" s="11" t="s">
        <v>9207</v>
      </c>
      <c r="F927" s="11" t="s">
        <v>4084</v>
      </c>
      <c r="G927" s="12" t="s">
        <v>9</v>
      </c>
    </row>
    <row r="928" customFormat="false" ht="104" hidden="false" customHeight="true" outlineLevel="0" collapsed="false">
      <c r="A928" s="11" t="s">
        <v>8544</v>
      </c>
      <c r="B928" s="11" t="s">
        <v>3290</v>
      </c>
      <c r="C928" s="11" t="s">
        <v>9208</v>
      </c>
      <c r="D928" s="11" t="s">
        <v>9209</v>
      </c>
      <c r="E928" s="11" t="s">
        <v>9210</v>
      </c>
      <c r="F928" s="11" t="s">
        <v>4084</v>
      </c>
      <c r="G928" s="12" t="s">
        <v>9</v>
      </c>
    </row>
    <row r="929" customFormat="false" ht="104" hidden="false" customHeight="true" outlineLevel="0" collapsed="false">
      <c r="A929" s="11" t="s">
        <v>8544</v>
      </c>
      <c r="B929" s="11" t="s">
        <v>3292</v>
      </c>
      <c r="C929" s="11" t="s">
        <v>9211</v>
      </c>
      <c r="D929" s="11" t="s">
        <v>9212</v>
      </c>
      <c r="E929" s="11" t="s">
        <v>9213</v>
      </c>
      <c r="F929" s="11" t="s">
        <v>4084</v>
      </c>
      <c r="G929" s="12" t="s">
        <v>9</v>
      </c>
    </row>
    <row r="930" customFormat="false" ht="104" hidden="false" customHeight="true" outlineLevel="0" collapsed="false">
      <c r="A930" s="11" t="s">
        <v>8544</v>
      </c>
      <c r="B930" s="11" t="s">
        <v>3304</v>
      </c>
      <c r="C930" s="11" t="s">
        <v>9214</v>
      </c>
      <c r="D930" s="11" t="s">
        <v>9215</v>
      </c>
      <c r="E930" s="11" t="s">
        <v>9216</v>
      </c>
      <c r="F930" s="11" t="s">
        <v>4084</v>
      </c>
      <c r="G930" s="12" t="s">
        <v>9</v>
      </c>
    </row>
    <row r="931" customFormat="false" ht="104" hidden="false" customHeight="true" outlineLevel="0" collapsed="false">
      <c r="A931" s="11" t="s">
        <v>8544</v>
      </c>
      <c r="B931" s="11" t="s">
        <v>3306</v>
      </c>
      <c r="C931" s="11" t="s">
        <v>9217</v>
      </c>
      <c r="D931" s="11" t="s">
        <v>9218</v>
      </c>
      <c r="E931" s="11" t="s">
        <v>9219</v>
      </c>
      <c r="F931" s="11" t="s">
        <v>4084</v>
      </c>
      <c r="G931" s="12" t="s">
        <v>9</v>
      </c>
    </row>
    <row r="932" customFormat="false" ht="104" hidden="false" customHeight="true" outlineLevel="0" collapsed="false">
      <c r="A932" s="11" t="s">
        <v>8544</v>
      </c>
      <c r="B932" s="11" t="s">
        <v>3316</v>
      </c>
      <c r="C932" s="11" t="s">
        <v>9220</v>
      </c>
      <c r="D932" s="11" t="s">
        <v>9221</v>
      </c>
      <c r="E932" s="11" t="s">
        <v>9222</v>
      </c>
      <c r="F932" s="11" t="s">
        <v>4084</v>
      </c>
      <c r="G932" s="12" t="s">
        <v>9</v>
      </c>
    </row>
    <row r="933" customFormat="false" ht="104" hidden="false" customHeight="true" outlineLevel="0" collapsed="false">
      <c r="A933" s="11" t="s">
        <v>8544</v>
      </c>
      <c r="B933" s="11" t="s">
        <v>3319</v>
      </c>
      <c r="C933" s="11" t="s">
        <v>9223</v>
      </c>
      <c r="D933" s="11" t="s">
        <v>9224</v>
      </c>
      <c r="E933" s="11" t="s">
        <v>9225</v>
      </c>
      <c r="F933" s="11" t="s">
        <v>4084</v>
      </c>
      <c r="G933" s="12" t="s">
        <v>9</v>
      </c>
    </row>
    <row r="934" customFormat="false" ht="104" hidden="false" customHeight="true" outlineLevel="0" collapsed="false">
      <c r="A934" s="11" t="s">
        <v>8544</v>
      </c>
      <c r="B934" s="11" t="s">
        <v>3326</v>
      </c>
      <c r="C934" s="11" t="s">
        <v>9226</v>
      </c>
      <c r="D934" s="11" t="s">
        <v>9227</v>
      </c>
      <c r="E934" s="11" t="s">
        <v>9228</v>
      </c>
      <c r="F934" s="11" t="s">
        <v>4084</v>
      </c>
      <c r="G934" s="12" t="s">
        <v>9</v>
      </c>
    </row>
    <row r="935" customFormat="false" ht="104" hidden="false" customHeight="true" outlineLevel="0" collapsed="false">
      <c r="A935" s="11" t="s">
        <v>8544</v>
      </c>
      <c r="B935" s="11" t="s">
        <v>3328</v>
      </c>
      <c r="C935" s="11" t="s">
        <v>9229</v>
      </c>
      <c r="D935" s="11" t="s">
        <v>9230</v>
      </c>
      <c r="E935" s="11" t="s">
        <v>9231</v>
      </c>
      <c r="F935" s="11" t="s">
        <v>4084</v>
      </c>
      <c r="G935" s="12" t="s">
        <v>9</v>
      </c>
    </row>
    <row r="936" customFormat="false" ht="104" hidden="false" customHeight="true" outlineLevel="0" collapsed="false">
      <c r="A936" s="11" t="s">
        <v>8544</v>
      </c>
      <c r="B936" s="11" t="s">
        <v>3339</v>
      </c>
      <c r="C936" s="11" t="s">
        <v>9232</v>
      </c>
      <c r="D936" s="11" t="s">
        <v>9233</v>
      </c>
      <c r="E936" s="11" t="s">
        <v>9234</v>
      </c>
      <c r="F936" s="11" t="s">
        <v>4084</v>
      </c>
      <c r="G936" s="12" t="s">
        <v>9</v>
      </c>
    </row>
    <row r="937" customFormat="false" ht="104" hidden="false" customHeight="true" outlineLevel="0" collapsed="false">
      <c r="A937" s="11" t="s">
        <v>8544</v>
      </c>
      <c r="B937" s="11" t="s">
        <v>3341</v>
      </c>
      <c r="C937" s="11" t="s">
        <v>9235</v>
      </c>
      <c r="D937" s="11" t="s">
        <v>9236</v>
      </c>
      <c r="E937" s="11" t="s">
        <v>9237</v>
      </c>
      <c r="F937" s="11" t="s">
        <v>4084</v>
      </c>
      <c r="G937" s="12" t="s">
        <v>9</v>
      </c>
    </row>
    <row r="938" customFormat="false" ht="104" hidden="false" customHeight="true" outlineLevel="0" collapsed="false">
      <c r="A938" s="11" t="s">
        <v>8544</v>
      </c>
      <c r="B938" s="11" t="s">
        <v>3348</v>
      </c>
      <c r="C938" s="11" t="s">
        <v>9238</v>
      </c>
      <c r="D938" s="11" t="s">
        <v>9239</v>
      </c>
      <c r="E938" s="11" t="s">
        <v>9240</v>
      </c>
      <c r="F938" s="11" t="s">
        <v>4084</v>
      </c>
      <c r="G938" s="12" t="s">
        <v>9</v>
      </c>
    </row>
    <row r="939" customFormat="false" ht="104" hidden="false" customHeight="true" outlineLevel="0" collapsed="false">
      <c r="A939" s="11" t="s">
        <v>8544</v>
      </c>
      <c r="B939" s="11" t="s">
        <v>3351</v>
      </c>
      <c r="C939" s="11" t="s">
        <v>9241</v>
      </c>
      <c r="D939" s="11" t="s">
        <v>9242</v>
      </c>
      <c r="E939" s="11" t="s">
        <v>9243</v>
      </c>
      <c r="F939" s="11" t="s">
        <v>4084</v>
      </c>
      <c r="G939" s="12" t="s">
        <v>9</v>
      </c>
    </row>
    <row r="940" customFormat="false" ht="104" hidden="false" customHeight="true" outlineLevel="0" collapsed="false">
      <c r="A940" s="11" t="s">
        <v>8544</v>
      </c>
      <c r="B940" s="11" t="s">
        <v>3359</v>
      </c>
      <c r="C940" s="11" t="s">
        <v>9244</v>
      </c>
      <c r="D940" s="11" t="s">
        <v>9245</v>
      </c>
      <c r="E940" s="11" t="s">
        <v>9246</v>
      </c>
      <c r="F940" s="11" t="s">
        <v>4084</v>
      </c>
      <c r="G940" s="12" t="s">
        <v>9</v>
      </c>
    </row>
    <row r="941" customFormat="false" ht="104" hidden="false" customHeight="true" outlineLevel="0" collapsed="false">
      <c r="A941" s="11" t="s">
        <v>8544</v>
      </c>
      <c r="B941" s="11" t="s">
        <v>3361</v>
      </c>
      <c r="C941" s="11" t="s">
        <v>9247</v>
      </c>
      <c r="D941" s="11" t="s">
        <v>9248</v>
      </c>
      <c r="E941" s="11" t="s">
        <v>9249</v>
      </c>
      <c r="F941" s="11" t="s">
        <v>4084</v>
      </c>
      <c r="G941" s="12" t="s">
        <v>9</v>
      </c>
    </row>
    <row r="942" customFormat="false" ht="104" hidden="false" customHeight="true" outlineLevel="0" collapsed="false">
      <c r="A942" s="11" t="s">
        <v>8544</v>
      </c>
      <c r="B942" s="11" t="s">
        <v>3368</v>
      </c>
      <c r="C942" s="11" t="s">
        <v>9250</v>
      </c>
      <c r="D942" s="11" t="s">
        <v>9251</v>
      </c>
      <c r="E942" s="11" t="s">
        <v>9252</v>
      </c>
      <c r="F942" s="11" t="s">
        <v>4084</v>
      </c>
      <c r="G942" s="12" t="s">
        <v>9</v>
      </c>
    </row>
    <row r="943" customFormat="false" ht="104" hidden="false" customHeight="true" outlineLevel="0" collapsed="false">
      <c r="A943" s="11" t="s">
        <v>8544</v>
      </c>
      <c r="B943" s="11" t="s">
        <v>3370</v>
      </c>
      <c r="C943" s="11" t="s">
        <v>9253</v>
      </c>
      <c r="D943" s="11" t="s">
        <v>9254</v>
      </c>
      <c r="E943" s="11" t="s">
        <v>9255</v>
      </c>
      <c r="F943" s="11" t="s">
        <v>4084</v>
      </c>
      <c r="G943" s="12" t="s">
        <v>9</v>
      </c>
    </row>
    <row r="944" customFormat="false" ht="104" hidden="false" customHeight="true" outlineLevel="0" collapsed="false">
      <c r="A944" s="11" t="s">
        <v>8544</v>
      </c>
      <c r="B944" s="11" t="s">
        <v>3381</v>
      </c>
      <c r="C944" s="11" t="s">
        <v>9256</v>
      </c>
      <c r="D944" s="11" t="s">
        <v>9257</v>
      </c>
      <c r="E944" s="11" t="s">
        <v>9258</v>
      </c>
      <c r="F944" s="11" t="s">
        <v>4084</v>
      </c>
      <c r="G944" s="12" t="s">
        <v>9</v>
      </c>
    </row>
    <row r="945" customFormat="false" ht="104" hidden="false" customHeight="true" outlineLevel="0" collapsed="false">
      <c r="A945" s="11" t="s">
        <v>8544</v>
      </c>
      <c r="B945" s="11" t="s">
        <v>3384</v>
      </c>
      <c r="C945" s="11" t="s">
        <v>9259</v>
      </c>
      <c r="D945" s="11" t="s">
        <v>9260</v>
      </c>
      <c r="E945" s="11" t="s">
        <v>9261</v>
      </c>
      <c r="F945" s="11" t="s">
        <v>4084</v>
      </c>
      <c r="G945" s="12" t="s">
        <v>9</v>
      </c>
    </row>
    <row r="946" customFormat="false" ht="104" hidden="false" customHeight="true" outlineLevel="0" collapsed="false">
      <c r="A946" s="11" t="s">
        <v>8544</v>
      </c>
      <c r="B946" s="11" t="s">
        <v>3394</v>
      </c>
      <c r="C946" s="11" t="s">
        <v>9262</v>
      </c>
      <c r="D946" s="11" t="s">
        <v>9263</v>
      </c>
      <c r="E946" s="11" t="s">
        <v>9264</v>
      </c>
      <c r="F946" s="11" t="s">
        <v>4084</v>
      </c>
      <c r="G946" s="12" t="s">
        <v>9</v>
      </c>
    </row>
    <row r="947" customFormat="false" ht="104" hidden="false" customHeight="true" outlineLevel="0" collapsed="false">
      <c r="A947" s="11" t="s">
        <v>8544</v>
      </c>
      <c r="B947" s="11" t="s">
        <v>3397</v>
      </c>
      <c r="C947" s="11" t="s">
        <v>9265</v>
      </c>
      <c r="D947" s="11" t="s">
        <v>9266</v>
      </c>
      <c r="E947" s="11" t="s">
        <v>9267</v>
      </c>
      <c r="F947" s="11" t="s">
        <v>4084</v>
      </c>
      <c r="G947" s="12" t="s">
        <v>9</v>
      </c>
    </row>
    <row r="948" customFormat="false" ht="104" hidden="false" customHeight="true" outlineLevel="0" collapsed="false">
      <c r="A948" s="11" t="s">
        <v>8544</v>
      </c>
      <c r="B948" s="11" t="s">
        <v>3405</v>
      </c>
      <c r="C948" s="11" t="s">
        <v>9268</v>
      </c>
      <c r="D948" s="11" t="s">
        <v>9269</v>
      </c>
      <c r="E948" s="11" t="s">
        <v>9270</v>
      </c>
      <c r="F948" s="11" t="s">
        <v>4084</v>
      </c>
      <c r="G948" s="12" t="s">
        <v>9</v>
      </c>
    </row>
    <row r="949" customFormat="false" ht="104" hidden="false" customHeight="true" outlineLevel="0" collapsed="false">
      <c r="A949" s="11" t="s">
        <v>8544</v>
      </c>
      <c r="B949" s="11" t="s">
        <v>3407</v>
      </c>
      <c r="C949" s="11" t="s">
        <v>9271</v>
      </c>
      <c r="D949" s="11" t="s">
        <v>9272</v>
      </c>
      <c r="E949" s="11" t="s">
        <v>9273</v>
      </c>
      <c r="F949" s="11" t="s">
        <v>4084</v>
      </c>
      <c r="G949" s="12" t="s">
        <v>9</v>
      </c>
    </row>
    <row r="950" customFormat="false" ht="104" hidden="false" customHeight="true" outlineLevel="0" collapsed="false">
      <c r="A950" s="11" t="s">
        <v>8544</v>
      </c>
      <c r="B950" s="11" t="s">
        <v>3419</v>
      </c>
      <c r="C950" s="11" t="s">
        <v>9274</v>
      </c>
      <c r="D950" s="11" t="s">
        <v>9275</v>
      </c>
      <c r="E950" s="11" t="s">
        <v>9276</v>
      </c>
      <c r="F950" s="11" t="s">
        <v>4084</v>
      </c>
      <c r="G950" s="12" t="s">
        <v>9</v>
      </c>
    </row>
    <row r="951" customFormat="false" ht="104" hidden="false" customHeight="true" outlineLevel="0" collapsed="false">
      <c r="A951" s="11" t="s">
        <v>8544</v>
      </c>
      <c r="B951" s="11" t="s">
        <v>3421</v>
      </c>
      <c r="C951" s="11" t="s">
        <v>9277</v>
      </c>
      <c r="D951" s="11" t="s">
        <v>9278</v>
      </c>
      <c r="E951" s="11" t="s">
        <v>9279</v>
      </c>
      <c r="F951" s="11" t="s">
        <v>4084</v>
      </c>
      <c r="G951" s="12" t="s">
        <v>9</v>
      </c>
    </row>
    <row r="952" customFormat="false" ht="104" hidden="false" customHeight="true" outlineLevel="0" collapsed="false">
      <c r="A952" s="11" t="s">
        <v>8544</v>
      </c>
      <c r="B952" s="11" t="s">
        <v>3430</v>
      </c>
      <c r="C952" s="11" t="s">
        <v>9280</v>
      </c>
      <c r="D952" s="11" t="s">
        <v>9281</v>
      </c>
      <c r="E952" s="11" t="s">
        <v>9282</v>
      </c>
      <c r="F952" s="11" t="s">
        <v>4084</v>
      </c>
      <c r="G952" s="12" t="s">
        <v>9</v>
      </c>
    </row>
    <row r="953" customFormat="false" ht="104" hidden="false" customHeight="true" outlineLevel="0" collapsed="false">
      <c r="A953" s="11" t="s">
        <v>8544</v>
      </c>
      <c r="B953" s="11" t="s">
        <v>3432</v>
      </c>
      <c r="C953" s="11" t="s">
        <v>9283</v>
      </c>
      <c r="D953" s="11" t="s">
        <v>9284</v>
      </c>
      <c r="E953" s="11" t="s">
        <v>9285</v>
      </c>
      <c r="F953" s="11" t="s">
        <v>4084</v>
      </c>
      <c r="G953" s="12" t="s">
        <v>9</v>
      </c>
    </row>
    <row r="954" customFormat="false" ht="104" hidden="false" customHeight="true" outlineLevel="0" collapsed="false">
      <c r="A954" s="11" t="s">
        <v>8544</v>
      </c>
      <c r="B954" s="11" t="s">
        <v>3443</v>
      </c>
      <c r="C954" s="11" t="s">
        <v>9286</v>
      </c>
      <c r="D954" s="11" t="s">
        <v>9287</v>
      </c>
      <c r="E954" s="11" t="s">
        <v>9288</v>
      </c>
      <c r="F954" s="11" t="s">
        <v>4084</v>
      </c>
      <c r="G954" s="12" t="s">
        <v>9</v>
      </c>
    </row>
    <row r="955" customFormat="false" ht="104" hidden="false" customHeight="true" outlineLevel="0" collapsed="false">
      <c r="A955" s="11" t="s">
        <v>8544</v>
      </c>
      <c r="B955" s="11" t="s">
        <v>3445</v>
      </c>
      <c r="C955" s="11" t="s">
        <v>9289</v>
      </c>
      <c r="D955" s="11" t="s">
        <v>9290</v>
      </c>
      <c r="E955" s="11" t="s">
        <v>9291</v>
      </c>
      <c r="F955" s="11" t="s">
        <v>4084</v>
      </c>
      <c r="G955" s="12" t="s">
        <v>9</v>
      </c>
    </row>
    <row r="956" customFormat="false" ht="104" hidden="false" customHeight="true" outlineLevel="0" collapsed="false">
      <c r="A956" s="11" t="s">
        <v>8544</v>
      </c>
      <c r="B956" s="11" t="s">
        <v>3456</v>
      </c>
      <c r="C956" s="11" t="s">
        <v>9292</v>
      </c>
      <c r="D956" s="11" t="s">
        <v>9293</v>
      </c>
      <c r="E956" s="11" t="s">
        <v>9294</v>
      </c>
      <c r="F956" s="11" t="s">
        <v>4084</v>
      </c>
      <c r="G956" s="12" t="s">
        <v>9</v>
      </c>
    </row>
    <row r="957" customFormat="false" ht="104" hidden="false" customHeight="true" outlineLevel="0" collapsed="false">
      <c r="A957" s="11" t="s">
        <v>8544</v>
      </c>
      <c r="B957" s="11" t="s">
        <v>3458</v>
      </c>
      <c r="C957" s="11" t="s">
        <v>9295</v>
      </c>
      <c r="D957" s="11" t="s">
        <v>9296</v>
      </c>
      <c r="E957" s="11" t="s">
        <v>9297</v>
      </c>
      <c r="F957" s="11" t="s">
        <v>4084</v>
      </c>
      <c r="G957" s="12" t="s">
        <v>9</v>
      </c>
    </row>
    <row r="958" customFormat="false" ht="104" hidden="false" customHeight="true" outlineLevel="0" collapsed="false">
      <c r="A958" s="11" t="s">
        <v>8544</v>
      </c>
      <c r="B958" s="11" t="s">
        <v>3470</v>
      </c>
      <c r="C958" s="11" t="s">
        <v>9298</v>
      </c>
      <c r="D958" s="11" t="s">
        <v>9299</v>
      </c>
      <c r="E958" s="11" t="s">
        <v>9300</v>
      </c>
      <c r="F958" s="11" t="s">
        <v>4084</v>
      </c>
      <c r="G958" s="12" t="s">
        <v>9</v>
      </c>
    </row>
    <row r="959" customFormat="false" ht="104" hidden="false" customHeight="true" outlineLevel="0" collapsed="false">
      <c r="A959" s="11" t="s">
        <v>8544</v>
      </c>
      <c r="B959" s="11" t="s">
        <v>3472</v>
      </c>
      <c r="C959" s="11" t="s">
        <v>9301</v>
      </c>
      <c r="D959" s="11" t="s">
        <v>9302</v>
      </c>
      <c r="E959" s="11" t="s">
        <v>9303</v>
      </c>
      <c r="F959" s="11" t="s">
        <v>4084</v>
      </c>
      <c r="G959" s="12" t="s">
        <v>9</v>
      </c>
    </row>
    <row r="960" customFormat="false" ht="104" hidden="false" customHeight="true" outlineLevel="0" collapsed="false">
      <c r="A960" s="11" t="s">
        <v>8544</v>
      </c>
      <c r="B960" s="11" t="s">
        <v>3484</v>
      </c>
      <c r="C960" s="11" t="s">
        <v>9304</v>
      </c>
      <c r="D960" s="11" t="s">
        <v>9305</v>
      </c>
      <c r="E960" s="11" t="s">
        <v>9306</v>
      </c>
      <c r="F960" s="11" t="s">
        <v>4084</v>
      </c>
      <c r="G960" s="12" t="s">
        <v>9</v>
      </c>
    </row>
    <row r="961" customFormat="false" ht="104" hidden="false" customHeight="true" outlineLevel="0" collapsed="false">
      <c r="A961" s="11" t="s">
        <v>8544</v>
      </c>
      <c r="B961" s="11" t="s">
        <v>3486</v>
      </c>
      <c r="C961" s="11" t="s">
        <v>9307</v>
      </c>
      <c r="D961" s="11" t="s">
        <v>9308</v>
      </c>
      <c r="E961" s="11" t="s">
        <v>9309</v>
      </c>
      <c r="F961" s="11" t="s">
        <v>4084</v>
      </c>
      <c r="G961" s="12" t="s">
        <v>9</v>
      </c>
    </row>
    <row r="962" customFormat="false" ht="104" hidden="false" customHeight="true" outlineLevel="0" collapsed="false">
      <c r="A962" s="11" t="s">
        <v>8544</v>
      </c>
      <c r="B962" s="11" t="s">
        <v>3498</v>
      </c>
      <c r="C962" s="11" t="s">
        <v>9310</v>
      </c>
      <c r="D962" s="11" t="s">
        <v>9311</v>
      </c>
      <c r="E962" s="11" t="s">
        <v>9312</v>
      </c>
      <c r="F962" s="11" t="s">
        <v>4084</v>
      </c>
      <c r="G962" s="12" t="s">
        <v>9</v>
      </c>
    </row>
    <row r="963" customFormat="false" ht="104" hidden="false" customHeight="true" outlineLevel="0" collapsed="false">
      <c r="A963" s="11" t="s">
        <v>8544</v>
      </c>
      <c r="B963" s="11" t="s">
        <v>3500</v>
      </c>
      <c r="C963" s="11" t="s">
        <v>9313</v>
      </c>
      <c r="D963" s="11" t="s">
        <v>9314</v>
      </c>
      <c r="E963" s="11" t="s">
        <v>9315</v>
      </c>
      <c r="F963" s="11" t="s">
        <v>4084</v>
      </c>
      <c r="G963" s="12" t="s">
        <v>9</v>
      </c>
    </row>
    <row r="964" customFormat="false" ht="104" hidden="false" customHeight="true" outlineLevel="0" collapsed="false">
      <c r="A964" s="11" t="s">
        <v>8544</v>
      </c>
      <c r="B964" s="11" t="s">
        <v>3512</v>
      </c>
      <c r="C964" s="11" t="s">
        <v>9316</v>
      </c>
      <c r="D964" s="11" t="s">
        <v>9317</v>
      </c>
      <c r="E964" s="11" t="s">
        <v>9318</v>
      </c>
      <c r="F964" s="11" t="s">
        <v>4084</v>
      </c>
      <c r="G964" s="12" t="s">
        <v>9</v>
      </c>
    </row>
    <row r="965" customFormat="false" ht="104" hidden="false" customHeight="true" outlineLevel="0" collapsed="false">
      <c r="A965" s="11" t="s">
        <v>8544</v>
      </c>
      <c r="B965" s="11" t="s">
        <v>3514</v>
      </c>
      <c r="C965" s="11" t="s">
        <v>9319</v>
      </c>
      <c r="D965" s="11" t="s">
        <v>9320</v>
      </c>
      <c r="E965" s="11" t="s">
        <v>9321</v>
      </c>
      <c r="F965" s="11" t="s">
        <v>4084</v>
      </c>
      <c r="G965" s="12" t="s">
        <v>9</v>
      </c>
    </row>
    <row r="966" customFormat="false" ht="104" hidden="false" customHeight="true" outlineLevel="0" collapsed="false">
      <c r="A966" s="11" t="s">
        <v>8544</v>
      </c>
      <c r="B966" s="11" t="s">
        <v>3527</v>
      </c>
      <c r="C966" s="11" t="s">
        <v>9322</v>
      </c>
      <c r="D966" s="11" t="s">
        <v>9323</v>
      </c>
      <c r="E966" s="11" t="s">
        <v>9324</v>
      </c>
      <c r="F966" s="11" t="s">
        <v>4084</v>
      </c>
      <c r="G966" s="12" t="s">
        <v>9</v>
      </c>
    </row>
    <row r="967" customFormat="false" ht="104" hidden="false" customHeight="true" outlineLevel="0" collapsed="false">
      <c r="A967" s="11" t="s">
        <v>8544</v>
      </c>
      <c r="B967" s="11" t="s">
        <v>3529</v>
      </c>
      <c r="C967" s="11" t="s">
        <v>9325</v>
      </c>
      <c r="D967" s="11" t="s">
        <v>9326</v>
      </c>
      <c r="E967" s="11" t="s">
        <v>9327</v>
      </c>
      <c r="F967" s="11" t="s">
        <v>4084</v>
      </c>
      <c r="G967" s="12" t="s">
        <v>9</v>
      </c>
    </row>
    <row r="968" customFormat="false" ht="104" hidden="false" customHeight="true" outlineLevel="0" collapsed="false">
      <c r="A968" s="11" t="s">
        <v>8544</v>
      </c>
      <c r="B968" s="11" t="s">
        <v>3540</v>
      </c>
      <c r="C968" s="11" t="s">
        <v>9328</v>
      </c>
      <c r="D968" s="11" t="s">
        <v>9329</v>
      </c>
      <c r="E968" s="11" t="s">
        <v>9330</v>
      </c>
      <c r="F968" s="11" t="s">
        <v>4084</v>
      </c>
      <c r="G968" s="12" t="s">
        <v>9</v>
      </c>
    </row>
    <row r="969" customFormat="false" ht="104" hidden="false" customHeight="true" outlineLevel="0" collapsed="false">
      <c r="A969" s="11" t="s">
        <v>8544</v>
      </c>
      <c r="B969" s="11" t="s">
        <v>3543</v>
      </c>
      <c r="C969" s="11" t="s">
        <v>9331</v>
      </c>
      <c r="D969" s="11" t="s">
        <v>9332</v>
      </c>
      <c r="E969" s="11" t="s">
        <v>9333</v>
      </c>
      <c r="F969" s="11" t="s">
        <v>4084</v>
      </c>
      <c r="G969" s="12" t="s">
        <v>9</v>
      </c>
    </row>
    <row r="970" customFormat="false" ht="104" hidden="false" customHeight="true" outlineLevel="0" collapsed="false">
      <c r="A970" s="11" t="s">
        <v>8544</v>
      </c>
      <c r="B970" s="11" t="s">
        <v>3553</v>
      </c>
      <c r="C970" s="11" t="s">
        <v>9334</v>
      </c>
      <c r="D970" s="11" t="s">
        <v>9335</v>
      </c>
      <c r="E970" s="11" t="s">
        <v>9336</v>
      </c>
      <c r="F970" s="11" t="s">
        <v>4084</v>
      </c>
      <c r="G970" s="12" t="s">
        <v>9</v>
      </c>
    </row>
    <row r="971" customFormat="false" ht="104" hidden="false" customHeight="true" outlineLevel="0" collapsed="false">
      <c r="A971" s="11" t="s">
        <v>8544</v>
      </c>
      <c r="B971" s="11" t="s">
        <v>3555</v>
      </c>
      <c r="C971" s="11" t="s">
        <v>9337</v>
      </c>
      <c r="D971" s="11" t="s">
        <v>9338</v>
      </c>
      <c r="E971" s="11" t="s">
        <v>9339</v>
      </c>
      <c r="F971" s="11" t="s">
        <v>4084</v>
      </c>
      <c r="G971" s="12" t="s">
        <v>9</v>
      </c>
    </row>
    <row r="972" customFormat="false" ht="104" hidden="false" customHeight="true" outlineLevel="0" collapsed="false">
      <c r="A972" s="11" t="s">
        <v>8544</v>
      </c>
      <c r="B972" s="11" t="s">
        <v>3566</v>
      </c>
      <c r="C972" s="11" t="s">
        <v>9340</v>
      </c>
      <c r="D972" s="11" t="s">
        <v>9341</v>
      </c>
      <c r="E972" s="11" t="s">
        <v>9342</v>
      </c>
      <c r="F972" s="11" t="s">
        <v>4084</v>
      </c>
      <c r="G972" s="12" t="s">
        <v>9</v>
      </c>
    </row>
    <row r="973" customFormat="false" ht="104" hidden="false" customHeight="true" outlineLevel="0" collapsed="false">
      <c r="A973" s="11" t="s">
        <v>8544</v>
      </c>
      <c r="B973" s="11" t="s">
        <v>3569</v>
      </c>
      <c r="C973" s="11" t="s">
        <v>9343</v>
      </c>
      <c r="D973" s="11" t="s">
        <v>9344</v>
      </c>
      <c r="E973" s="11" t="s">
        <v>9345</v>
      </c>
      <c r="F973" s="11" t="s">
        <v>4084</v>
      </c>
      <c r="G973" s="12" t="s">
        <v>9</v>
      </c>
    </row>
    <row r="974" customFormat="false" ht="104" hidden="false" customHeight="true" outlineLevel="0" collapsed="false">
      <c r="A974" s="11" t="s">
        <v>8544</v>
      </c>
      <c r="B974" s="11" t="s">
        <v>3577</v>
      </c>
      <c r="C974" s="11" t="s">
        <v>9346</v>
      </c>
      <c r="D974" s="11" t="s">
        <v>9347</v>
      </c>
      <c r="E974" s="11" t="s">
        <v>9348</v>
      </c>
      <c r="F974" s="11" t="s">
        <v>4084</v>
      </c>
      <c r="G974" s="12" t="s">
        <v>9</v>
      </c>
    </row>
    <row r="975" customFormat="false" ht="104" hidden="false" customHeight="true" outlineLevel="0" collapsed="false">
      <c r="A975" s="11" t="s">
        <v>8544</v>
      </c>
      <c r="B975" s="11" t="s">
        <v>3579</v>
      </c>
      <c r="C975" s="11" t="s">
        <v>9349</v>
      </c>
      <c r="D975" s="11" t="s">
        <v>9350</v>
      </c>
      <c r="E975" s="11" t="s">
        <v>9351</v>
      </c>
      <c r="F975" s="11" t="s">
        <v>4084</v>
      </c>
      <c r="G975" s="12" t="s">
        <v>9</v>
      </c>
    </row>
    <row r="976" customFormat="false" ht="104" hidden="false" customHeight="true" outlineLevel="0" collapsed="false">
      <c r="A976" s="11" t="s">
        <v>8544</v>
      </c>
      <c r="B976" s="11" t="s">
        <v>3587</v>
      </c>
      <c r="C976" s="11" t="s">
        <v>9352</v>
      </c>
      <c r="D976" s="11" t="s">
        <v>9353</v>
      </c>
      <c r="E976" s="11" t="s">
        <v>9354</v>
      </c>
      <c r="F976" s="11" t="s">
        <v>4084</v>
      </c>
      <c r="G976" s="12" t="s">
        <v>9</v>
      </c>
    </row>
    <row r="977" customFormat="false" ht="104" hidden="false" customHeight="true" outlineLevel="0" collapsed="false">
      <c r="A977" s="11" t="s">
        <v>8544</v>
      </c>
      <c r="B977" s="11" t="s">
        <v>3589</v>
      </c>
      <c r="C977" s="11" t="s">
        <v>9355</v>
      </c>
      <c r="D977" s="11" t="s">
        <v>9356</v>
      </c>
      <c r="E977" s="11" t="s">
        <v>9357</v>
      </c>
      <c r="F977" s="11" t="s">
        <v>4084</v>
      </c>
      <c r="G977" s="12" t="s">
        <v>9</v>
      </c>
    </row>
    <row r="978" customFormat="false" ht="104" hidden="false" customHeight="true" outlineLevel="0" collapsed="false">
      <c r="A978" s="11" t="s">
        <v>8544</v>
      </c>
      <c r="B978" s="11" t="s">
        <v>3598</v>
      </c>
      <c r="C978" s="11" t="s">
        <v>9358</v>
      </c>
      <c r="D978" s="11" t="s">
        <v>9359</v>
      </c>
      <c r="E978" s="11" t="s">
        <v>9360</v>
      </c>
      <c r="F978" s="11" t="s">
        <v>4084</v>
      </c>
      <c r="G978" s="12" t="s">
        <v>9</v>
      </c>
    </row>
    <row r="979" customFormat="false" ht="104" hidden="false" customHeight="true" outlineLevel="0" collapsed="false">
      <c r="A979" s="11" t="s">
        <v>8544</v>
      </c>
      <c r="B979" s="11" t="s">
        <v>3600</v>
      </c>
      <c r="C979" s="11" t="s">
        <v>9361</v>
      </c>
      <c r="D979" s="11" t="s">
        <v>9362</v>
      </c>
      <c r="E979" s="11" t="s">
        <v>9363</v>
      </c>
      <c r="F979" s="11" t="s">
        <v>4084</v>
      </c>
      <c r="G979" s="12" t="s">
        <v>9</v>
      </c>
    </row>
    <row r="980" customFormat="false" ht="104" hidden="false" customHeight="true" outlineLevel="0" collapsed="false">
      <c r="A980" s="11" t="s">
        <v>8544</v>
      </c>
      <c r="B980" s="11" t="s">
        <v>3610</v>
      </c>
      <c r="C980" s="11" t="s">
        <v>9364</v>
      </c>
      <c r="D980" s="11" t="s">
        <v>9365</v>
      </c>
      <c r="E980" s="11" t="s">
        <v>9366</v>
      </c>
      <c r="F980" s="11" t="s">
        <v>4084</v>
      </c>
      <c r="G980" s="12" t="s">
        <v>9</v>
      </c>
    </row>
    <row r="981" customFormat="false" ht="104" hidden="false" customHeight="true" outlineLevel="0" collapsed="false">
      <c r="A981" s="11" t="s">
        <v>8544</v>
      </c>
      <c r="B981" s="11" t="s">
        <v>3612</v>
      </c>
      <c r="C981" s="11" t="s">
        <v>9367</v>
      </c>
      <c r="D981" s="11" t="s">
        <v>9368</v>
      </c>
      <c r="E981" s="11" t="s">
        <v>9369</v>
      </c>
      <c r="F981" s="11" t="s">
        <v>4084</v>
      </c>
      <c r="G981" s="12" t="s">
        <v>9</v>
      </c>
    </row>
    <row r="982" customFormat="false" ht="104" hidden="false" customHeight="true" outlineLevel="0" collapsed="false">
      <c r="A982" s="11" t="s">
        <v>8544</v>
      </c>
      <c r="B982" s="11" t="s">
        <v>3619</v>
      </c>
      <c r="C982" s="11" t="s">
        <v>9370</v>
      </c>
      <c r="D982" s="11" t="s">
        <v>9371</v>
      </c>
      <c r="E982" s="11" t="s">
        <v>9372</v>
      </c>
      <c r="F982" s="11" t="s">
        <v>4084</v>
      </c>
      <c r="G982" s="12" t="s">
        <v>9</v>
      </c>
    </row>
    <row r="983" customFormat="false" ht="104" hidden="false" customHeight="true" outlineLevel="0" collapsed="false">
      <c r="A983" s="11" t="s">
        <v>8544</v>
      </c>
      <c r="B983" s="11" t="s">
        <v>3621</v>
      </c>
      <c r="C983" s="11" t="s">
        <v>9373</v>
      </c>
      <c r="D983" s="11" t="s">
        <v>9374</v>
      </c>
      <c r="E983" s="11" t="s">
        <v>9375</v>
      </c>
      <c r="F983" s="11" t="s">
        <v>4084</v>
      </c>
      <c r="G983" s="12" t="s">
        <v>9</v>
      </c>
    </row>
    <row r="984" customFormat="false" ht="104" hidden="false" customHeight="true" outlineLevel="0" collapsed="false">
      <c r="A984" s="11" t="s">
        <v>8544</v>
      </c>
      <c r="B984" s="11" t="s">
        <v>3629</v>
      </c>
      <c r="C984" s="11" t="s">
        <v>9376</v>
      </c>
      <c r="D984" s="11" t="s">
        <v>9377</v>
      </c>
      <c r="E984" s="11" t="s">
        <v>9378</v>
      </c>
      <c r="F984" s="11" t="s">
        <v>4084</v>
      </c>
      <c r="G984" s="12" t="s">
        <v>9</v>
      </c>
    </row>
    <row r="985" customFormat="false" ht="104" hidden="false" customHeight="true" outlineLevel="0" collapsed="false">
      <c r="A985" s="11" t="s">
        <v>8544</v>
      </c>
      <c r="B985" s="11" t="s">
        <v>3631</v>
      </c>
      <c r="C985" s="11" t="s">
        <v>9379</v>
      </c>
      <c r="D985" s="11" t="s">
        <v>9380</v>
      </c>
      <c r="E985" s="11" t="s">
        <v>9381</v>
      </c>
      <c r="F985" s="11" t="s">
        <v>4084</v>
      </c>
      <c r="G985" s="12" t="s">
        <v>9</v>
      </c>
    </row>
    <row r="986" customFormat="false" ht="104" hidden="false" customHeight="true" outlineLevel="0" collapsed="false">
      <c r="A986" s="11" t="s">
        <v>8544</v>
      </c>
      <c r="B986" s="11" t="s">
        <v>3641</v>
      </c>
      <c r="C986" s="11" t="s">
        <v>9382</v>
      </c>
      <c r="D986" s="11" t="s">
        <v>9383</v>
      </c>
      <c r="E986" s="11" t="s">
        <v>9384</v>
      </c>
      <c r="F986" s="11" t="s">
        <v>4084</v>
      </c>
      <c r="G986" s="12" t="s">
        <v>9</v>
      </c>
    </row>
    <row r="987" customFormat="false" ht="104" hidden="false" customHeight="true" outlineLevel="0" collapsed="false">
      <c r="A987" s="11" t="s">
        <v>8544</v>
      </c>
      <c r="B987" s="11" t="s">
        <v>3643</v>
      </c>
      <c r="C987" s="11" t="s">
        <v>9385</v>
      </c>
      <c r="D987" s="11" t="s">
        <v>9386</v>
      </c>
      <c r="E987" s="11" t="s">
        <v>9387</v>
      </c>
      <c r="F987" s="11" t="s">
        <v>4084</v>
      </c>
      <c r="G987" s="12" t="s">
        <v>9</v>
      </c>
    </row>
    <row r="988" customFormat="false" ht="104" hidden="false" customHeight="true" outlineLevel="0" collapsed="false">
      <c r="A988" s="11" t="s">
        <v>8544</v>
      </c>
      <c r="B988" s="11" t="s">
        <v>3654</v>
      </c>
      <c r="C988" s="11" t="s">
        <v>9388</v>
      </c>
      <c r="D988" s="11" t="s">
        <v>9389</v>
      </c>
      <c r="E988" s="11" t="s">
        <v>9390</v>
      </c>
      <c r="F988" s="11" t="s">
        <v>4084</v>
      </c>
      <c r="G988" s="12" t="s">
        <v>9</v>
      </c>
    </row>
    <row r="989" customFormat="false" ht="104" hidden="false" customHeight="true" outlineLevel="0" collapsed="false">
      <c r="A989" s="11" t="s">
        <v>8544</v>
      </c>
      <c r="B989" s="11" t="s">
        <v>3656</v>
      </c>
      <c r="C989" s="11" t="s">
        <v>9391</v>
      </c>
      <c r="D989" s="11" t="s">
        <v>9392</v>
      </c>
      <c r="E989" s="11" t="s">
        <v>9393</v>
      </c>
      <c r="F989" s="11" t="s">
        <v>4084</v>
      </c>
      <c r="G989" s="12" t="s">
        <v>9</v>
      </c>
    </row>
    <row r="990" customFormat="false" ht="104" hidden="false" customHeight="true" outlineLevel="0" collapsed="false">
      <c r="A990" s="11" t="s">
        <v>8544</v>
      </c>
      <c r="B990" s="11" t="s">
        <v>3665</v>
      </c>
      <c r="C990" s="11" t="s">
        <v>9394</v>
      </c>
      <c r="D990" s="11" t="s">
        <v>9395</v>
      </c>
      <c r="E990" s="11" t="s">
        <v>9396</v>
      </c>
      <c r="F990" s="11" t="s">
        <v>4084</v>
      </c>
      <c r="G990" s="12" t="s">
        <v>9</v>
      </c>
    </row>
    <row r="991" customFormat="false" ht="104" hidden="false" customHeight="true" outlineLevel="0" collapsed="false">
      <c r="A991" s="11" t="s">
        <v>8544</v>
      </c>
      <c r="B991" s="11" t="s">
        <v>3667</v>
      </c>
      <c r="C991" s="11" t="s">
        <v>9397</v>
      </c>
      <c r="D991" s="11" t="s">
        <v>9398</v>
      </c>
      <c r="E991" s="11" t="s">
        <v>9399</v>
      </c>
      <c r="F991" s="11" t="s">
        <v>4084</v>
      </c>
      <c r="G991" s="12" t="s">
        <v>9</v>
      </c>
    </row>
    <row r="992" customFormat="false" ht="104" hidden="false" customHeight="true" outlineLevel="0" collapsed="false">
      <c r="A992" s="11" t="s">
        <v>8544</v>
      </c>
      <c r="B992" s="11" t="s">
        <v>3679</v>
      </c>
      <c r="C992" s="11" t="s">
        <v>9400</v>
      </c>
      <c r="D992" s="11" t="s">
        <v>9401</v>
      </c>
      <c r="E992" s="11" t="s">
        <v>9402</v>
      </c>
      <c r="F992" s="11" t="s">
        <v>4084</v>
      </c>
      <c r="G992" s="12" t="s">
        <v>9</v>
      </c>
    </row>
    <row r="993" customFormat="false" ht="104" hidden="false" customHeight="true" outlineLevel="0" collapsed="false">
      <c r="A993" s="11" t="s">
        <v>8544</v>
      </c>
      <c r="B993" s="11" t="s">
        <v>3681</v>
      </c>
      <c r="C993" s="11" t="s">
        <v>9403</v>
      </c>
      <c r="D993" s="11" t="s">
        <v>9404</v>
      </c>
      <c r="E993" s="11" t="s">
        <v>9405</v>
      </c>
      <c r="F993" s="11" t="s">
        <v>4084</v>
      </c>
      <c r="G993" s="12" t="s">
        <v>9</v>
      </c>
    </row>
    <row r="994" customFormat="false" ht="104" hidden="false" customHeight="true" outlineLevel="0" collapsed="false">
      <c r="A994" s="11" t="s">
        <v>8544</v>
      </c>
      <c r="B994" s="11" t="s">
        <v>3692</v>
      </c>
      <c r="C994" s="11" t="s">
        <v>9406</v>
      </c>
      <c r="D994" s="11" t="s">
        <v>9407</v>
      </c>
      <c r="E994" s="11" t="s">
        <v>9408</v>
      </c>
      <c r="F994" s="11" t="s">
        <v>4084</v>
      </c>
      <c r="G994" s="12" t="s">
        <v>9</v>
      </c>
    </row>
    <row r="995" customFormat="false" ht="104" hidden="false" customHeight="true" outlineLevel="0" collapsed="false">
      <c r="A995" s="11" t="s">
        <v>8544</v>
      </c>
      <c r="B995" s="11" t="s">
        <v>3694</v>
      </c>
      <c r="C995" s="11" t="s">
        <v>9409</v>
      </c>
      <c r="D995" s="11" t="s">
        <v>9410</v>
      </c>
      <c r="E995" s="11" t="s">
        <v>9411</v>
      </c>
      <c r="F995" s="11" t="s">
        <v>4084</v>
      </c>
      <c r="G995" s="12" t="s">
        <v>9</v>
      </c>
    </row>
    <row r="996" customFormat="false" ht="104" hidden="false" customHeight="true" outlineLevel="0" collapsed="false">
      <c r="A996" s="11" t="s">
        <v>8544</v>
      </c>
      <c r="B996" s="11" t="s">
        <v>3704</v>
      </c>
      <c r="C996" s="11" t="s">
        <v>9412</v>
      </c>
      <c r="D996" s="11" t="s">
        <v>9413</v>
      </c>
      <c r="E996" s="11" t="s">
        <v>9414</v>
      </c>
      <c r="F996" s="11" t="s">
        <v>4084</v>
      </c>
      <c r="G996" s="12" t="s">
        <v>9</v>
      </c>
    </row>
    <row r="997" customFormat="false" ht="104" hidden="false" customHeight="true" outlineLevel="0" collapsed="false">
      <c r="A997" s="11" t="s">
        <v>8544</v>
      </c>
      <c r="B997" s="11" t="s">
        <v>3707</v>
      </c>
      <c r="C997" s="11" t="s">
        <v>9415</v>
      </c>
      <c r="D997" s="11" t="s">
        <v>9416</v>
      </c>
      <c r="E997" s="11" t="s">
        <v>9417</v>
      </c>
      <c r="F997" s="11" t="s">
        <v>4084</v>
      </c>
      <c r="G997" s="12" t="s">
        <v>9</v>
      </c>
    </row>
    <row r="998" customFormat="false" ht="104" hidden="false" customHeight="true" outlineLevel="0" collapsed="false">
      <c r="A998" s="11" t="s">
        <v>8544</v>
      </c>
      <c r="B998" s="11" t="s">
        <v>3714</v>
      </c>
      <c r="C998" s="11" t="s">
        <v>9418</v>
      </c>
      <c r="D998" s="11" t="s">
        <v>9419</v>
      </c>
      <c r="E998" s="11" t="s">
        <v>9420</v>
      </c>
      <c r="F998" s="11" t="s">
        <v>4084</v>
      </c>
      <c r="G998" s="12" t="s">
        <v>9</v>
      </c>
    </row>
    <row r="999" customFormat="false" ht="104" hidden="false" customHeight="true" outlineLevel="0" collapsed="false">
      <c r="A999" s="11" t="s">
        <v>8544</v>
      </c>
      <c r="B999" s="11" t="s">
        <v>3716</v>
      </c>
      <c r="C999" s="11" t="s">
        <v>9421</v>
      </c>
      <c r="D999" s="11" t="s">
        <v>9422</v>
      </c>
      <c r="E999" s="11" t="s">
        <v>9423</v>
      </c>
      <c r="F999" s="11" t="s">
        <v>4084</v>
      </c>
      <c r="G999" s="12" t="s">
        <v>9</v>
      </c>
    </row>
    <row r="1000" customFormat="false" ht="104" hidden="false" customHeight="true" outlineLevel="0" collapsed="false">
      <c r="A1000" s="11" t="s">
        <v>8544</v>
      </c>
      <c r="B1000" s="11" t="s">
        <v>3728</v>
      </c>
      <c r="C1000" s="11" t="s">
        <v>9424</v>
      </c>
      <c r="D1000" s="11" t="s">
        <v>9425</v>
      </c>
      <c r="E1000" s="11" t="s">
        <v>9426</v>
      </c>
      <c r="F1000" s="11" t="s">
        <v>4084</v>
      </c>
      <c r="G1000" s="12" t="s">
        <v>9</v>
      </c>
    </row>
    <row r="1001" customFormat="false" ht="104" hidden="false" customHeight="true" outlineLevel="0" collapsed="false">
      <c r="A1001" s="11" t="s">
        <v>8544</v>
      </c>
      <c r="B1001" s="11" t="s">
        <v>3730</v>
      </c>
      <c r="C1001" s="11" t="s">
        <v>9427</v>
      </c>
      <c r="D1001" s="11" t="s">
        <v>9428</v>
      </c>
      <c r="E1001" s="11" t="s">
        <v>9429</v>
      </c>
      <c r="F1001" s="11" t="s">
        <v>4084</v>
      </c>
      <c r="G1001" s="12" t="s">
        <v>9</v>
      </c>
    </row>
    <row r="1002" customFormat="false" ht="104" hidden="false" customHeight="true" outlineLevel="0" collapsed="false">
      <c r="A1002" s="11" t="s">
        <v>8544</v>
      </c>
      <c r="B1002" s="11" t="s">
        <v>3739</v>
      </c>
      <c r="C1002" s="11" t="s">
        <v>9430</v>
      </c>
      <c r="D1002" s="11" t="s">
        <v>9431</v>
      </c>
      <c r="E1002" s="11" t="s">
        <v>9432</v>
      </c>
      <c r="F1002" s="11" t="s">
        <v>4084</v>
      </c>
      <c r="G1002" s="12" t="s">
        <v>9</v>
      </c>
    </row>
    <row r="1003" customFormat="false" ht="104" hidden="false" customHeight="true" outlineLevel="0" collapsed="false">
      <c r="A1003" s="11" t="s">
        <v>8544</v>
      </c>
      <c r="B1003" s="11" t="s">
        <v>3741</v>
      </c>
      <c r="C1003" s="11" t="s">
        <v>9433</v>
      </c>
      <c r="D1003" s="11" t="s">
        <v>9434</v>
      </c>
      <c r="E1003" s="11" t="s">
        <v>9435</v>
      </c>
      <c r="F1003" s="11" t="s">
        <v>4084</v>
      </c>
      <c r="G1003" s="12" t="s">
        <v>9</v>
      </c>
    </row>
    <row r="1004" customFormat="false" ht="104" hidden="false" customHeight="true" outlineLevel="0" collapsed="false">
      <c r="A1004" s="11" t="s">
        <v>8544</v>
      </c>
      <c r="B1004" s="11" t="s">
        <v>3751</v>
      </c>
      <c r="C1004" s="11" t="s">
        <v>9436</v>
      </c>
      <c r="D1004" s="11" t="s">
        <v>9437</v>
      </c>
      <c r="E1004" s="11" t="s">
        <v>9438</v>
      </c>
      <c r="F1004" s="11" t="s">
        <v>4084</v>
      </c>
      <c r="G1004" s="12" t="s">
        <v>9</v>
      </c>
    </row>
    <row r="1005" customFormat="false" ht="104" hidden="false" customHeight="true" outlineLevel="0" collapsed="false">
      <c r="A1005" s="11" t="s">
        <v>8544</v>
      </c>
      <c r="B1005" s="11" t="s">
        <v>3754</v>
      </c>
      <c r="C1005" s="11" t="s">
        <v>9439</v>
      </c>
      <c r="D1005" s="11" t="s">
        <v>9440</v>
      </c>
      <c r="E1005" s="11" t="s">
        <v>9441</v>
      </c>
      <c r="F1005" s="11" t="s">
        <v>4084</v>
      </c>
      <c r="G1005" s="12" t="s">
        <v>9</v>
      </c>
    </row>
    <row r="1006" customFormat="false" ht="104" hidden="false" customHeight="true" outlineLevel="0" collapsed="false">
      <c r="A1006" s="11" t="s">
        <v>8544</v>
      </c>
      <c r="B1006" s="11" t="s">
        <v>3766</v>
      </c>
      <c r="C1006" s="11" t="s">
        <v>9442</v>
      </c>
      <c r="D1006" s="11" t="s">
        <v>9443</v>
      </c>
      <c r="E1006" s="11" t="s">
        <v>9444</v>
      </c>
      <c r="F1006" s="11" t="s">
        <v>4084</v>
      </c>
      <c r="G1006" s="12" t="s">
        <v>9</v>
      </c>
    </row>
    <row r="1007" customFormat="false" ht="104" hidden="false" customHeight="true" outlineLevel="0" collapsed="false">
      <c r="A1007" s="11" t="s">
        <v>8544</v>
      </c>
      <c r="B1007" s="11" t="s">
        <v>3768</v>
      </c>
      <c r="C1007" s="11" t="s">
        <v>9445</v>
      </c>
      <c r="D1007" s="11" t="s">
        <v>9446</v>
      </c>
      <c r="E1007" s="11" t="s">
        <v>9447</v>
      </c>
      <c r="F1007" s="11" t="s">
        <v>4084</v>
      </c>
      <c r="G1007" s="12" t="s">
        <v>9</v>
      </c>
    </row>
    <row r="1008" customFormat="false" ht="104" hidden="false" customHeight="true" outlineLevel="0" collapsed="false">
      <c r="A1008" s="11" t="s">
        <v>8544</v>
      </c>
      <c r="B1008" s="11" t="s">
        <v>3779</v>
      </c>
      <c r="C1008" s="11" t="s">
        <v>9448</v>
      </c>
      <c r="D1008" s="11" t="s">
        <v>9449</v>
      </c>
      <c r="E1008" s="11" t="s">
        <v>9450</v>
      </c>
      <c r="F1008" s="11" t="s">
        <v>4084</v>
      </c>
      <c r="G1008" s="12" t="s">
        <v>9</v>
      </c>
    </row>
    <row r="1009" customFormat="false" ht="104" hidden="false" customHeight="true" outlineLevel="0" collapsed="false">
      <c r="A1009" s="11" t="s">
        <v>8544</v>
      </c>
      <c r="B1009" s="11" t="s">
        <v>3781</v>
      </c>
      <c r="C1009" s="11" t="s">
        <v>9451</v>
      </c>
      <c r="D1009" s="11" t="s">
        <v>9452</v>
      </c>
      <c r="E1009" s="11" t="s">
        <v>9453</v>
      </c>
      <c r="F1009" s="11" t="s">
        <v>4084</v>
      </c>
      <c r="G1009" s="12" t="s">
        <v>9</v>
      </c>
    </row>
    <row r="1010" customFormat="false" ht="104" hidden="false" customHeight="true" outlineLevel="0" collapsed="false">
      <c r="A1010" s="11" t="s">
        <v>8544</v>
      </c>
      <c r="B1010" s="11" t="s">
        <v>3793</v>
      </c>
      <c r="C1010" s="11" t="s">
        <v>9454</v>
      </c>
      <c r="D1010" s="11" t="s">
        <v>9455</v>
      </c>
      <c r="E1010" s="11" t="s">
        <v>9456</v>
      </c>
      <c r="F1010" s="11" t="s">
        <v>4084</v>
      </c>
      <c r="G1010" s="12" t="s">
        <v>9</v>
      </c>
    </row>
    <row r="1011" customFormat="false" ht="104" hidden="false" customHeight="true" outlineLevel="0" collapsed="false">
      <c r="A1011" s="11" t="s">
        <v>8544</v>
      </c>
      <c r="B1011" s="11" t="s">
        <v>3795</v>
      </c>
      <c r="C1011" s="11" t="s">
        <v>9457</v>
      </c>
      <c r="D1011" s="11" t="s">
        <v>9458</v>
      </c>
      <c r="E1011" s="11" t="s">
        <v>9459</v>
      </c>
      <c r="F1011" s="11" t="s">
        <v>4084</v>
      </c>
      <c r="G1011" s="12" t="s">
        <v>9</v>
      </c>
    </row>
    <row r="1012" customFormat="false" ht="104" hidden="false" customHeight="true" outlineLevel="0" collapsed="false">
      <c r="A1012" s="11" t="s">
        <v>8544</v>
      </c>
      <c r="B1012" s="11" t="s">
        <v>3807</v>
      </c>
      <c r="C1012" s="11" t="s">
        <v>9460</v>
      </c>
      <c r="D1012" s="11" t="s">
        <v>9461</v>
      </c>
      <c r="E1012" s="11" t="s">
        <v>9462</v>
      </c>
      <c r="F1012" s="11" t="s">
        <v>4084</v>
      </c>
      <c r="G1012" s="12" t="s">
        <v>9</v>
      </c>
    </row>
    <row r="1013" customFormat="false" ht="104" hidden="false" customHeight="true" outlineLevel="0" collapsed="false">
      <c r="A1013" s="11" t="s">
        <v>8544</v>
      </c>
      <c r="B1013" s="11" t="s">
        <v>3809</v>
      </c>
      <c r="C1013" s="11" t="s">
        <v>9463</v>
      </c>
      <c r="D1013" s="11" t="s">
        <v>9464</v>
      </c>
      <c r="E1013" s="11" t="s">
        <v>9465</v>
      </c>
      <c r="F1013" s="11" t="s">
        <v>4084</v>
      </c>
      <c r="G1013" s="12" t="s">
        <v>9</v>
      </c>
    </row>
    <row r="1014" customFormat="false" ht="104" hidden="false" customHeight="true" outlineLevel="0" collapsed="false">
      <c r="A1014" s="11" t="s">
        <v>8544</v>
      </c>
      <c r="B1014" s="11" t="s">
        <v>3822</v>
      </c>
      <c r="C1014" s="11" t="s">
        <v>9466</v>
      </c>
      <c r="D1014" s="11" t="s">
        <v>9467</v>
      </c>
      <c r="E1014" s="11" t="s">
        <v>9468</v>
      </c>
      <c r="F1014" s="11" t="s">
        <v>4084</v>
      </c>
      <c r="G1014" s="12" t="s">
        <v>9</v>
      </c>
    </row>
    <row r="1015" customFormat="false" ht="104" hidden="false" customHeight="true" outlineLevel="0" collapsed="false">
      <c r="A1015" s="11" t="s">
        <v>8544</v>
      </c>
      <c r="B1015" s="11" t="s">
        <v>3824</v>
      </c>
      <c r="C1015" s="11" t="s">
        <v>9469</v>
      </c>
      <c r="D1015" s="11" t="s">
        <v>9470</v>
      </c>
      <c r="E1015" s="11" t="s">
        <v>9471</v>
      </c>
      <c r="F1015" s="11" t="s">
        <v>4084</v>
      </c>
      <c r="G1015" s="12" t="s">
        <v>9</v>
      </c>
    </row>
    <row r="1016" customFormat="false" ht="104" hidden="false" customHeight="true" outlineLevel="0" collapsed="false">
      <c r="A1016" s="11" t="s">
        <v>8544</v>
      </c>
      <c r="B1016" s="11" t="s">
        <v>3835</v>
      </c>
      <c r="C1016" s="11" t="s">
        <v>9472</v>
      </c>
      <c r="D1016" s="11" t="s">
        <v>9473</v>
      </c>
      <c r="E1016" s="11" t="s">
        <v>9474</v>
      </c>
      <c r="F1016" s="11" t="s">
        <v>4084</v>
      </c>
      <c r="G1016" s="12" t="s">
        <v>9</v>
      </c>
    </row>
    <row r="1017" customFormat="false" ht="104" hidden="false" customHeight="true" outlineLevel="0" collapsed="false">
      <c r="A1017" s="11" t="s">
        <v>8544</v>
      </c>
      <c r="B1017" s="11" t="s">
        <v>3838</v>
      </c>
      <c r="C1017" s="11" t="s">
        <v>9475</v>
      </c>
      <c r="D1017" s="11" t="s">
        <v>9476</v>
      </c>
      <c r="E1017" s="11" t="s">
        <v>9477</v>
      </c>
      <c r="F1017" s="11" t="s">
        <v>4084</v>
      </c>
      <c r="G1017" s="12" t="s">
        <v>9</v>
      </c>
    </row>
    <row r="1018" customFormat="false" ht="104" hidden="false" customHeight="true" outlineLevel="0" collapsed="false">
      <c r="A1018" s="11" t="s">
        <v>8544</v>
      </c>
      <c r="B1018" s="11" t="s">
        <v>3847</v>
      </c>
      <c r="C1018" s="11" t="s">
        <v>9478</v>
      </c>
      <c r="D1018" s="11" t="s">
        <v>9479</v>
      </c>
      <c r="E1018" s="11" t="s">
        <v>9480</v>
      </c>
      <c r="F1018" s="11" t="s">
        <v>4084</v>
      </c>
      <c r="G1018" s="12" t="s">
        <v>9</v>
      </c>
    </row>
    <row r="1019" customFormat="false" ht="104" hidden="false" customHeight="true" outlineLevel="0" collapsed="false">
      <c r="A1019" s="11" t="s">
        <v>8544</v>
      </c>
      <c r="B1019" s="11" t="s">
        <v>3849</v>
      </c>
      <c r="C1019" s="11" t="s">
        <v>9481</v>
      </c>
      <c r="D1019" s="11" t="s">
        <v>9482</v>
      </c>
      <c r="E1019" s="11" t="s">
        <v>9483</v>
      </c>
      <c r="F1019" s="11" t="s">
        <v>4084</v>
      </c>
      <c r="G1019" s="12" t="s">
        <v>9</v>
      </c>
    </row>
    <row r="1020" customFormat="false" ht="104" hidden="false" customHeight="true" outlineLevel="0" collapsed="false">
      <c r="A1020" s="11" t="s">
        <v>8544</v>
      </c>
      <c r="B1020" s="11" t="s">
        <v>3860</v>
      </c>
      <c r="C1020" s="11" t="s">
        <v>9484</v>
      </c>
      <c r="D1020" s="11" t="s">
        <v>9485</v>
      </c>
      <c r="E1020" s="11" t="s">
        <v>9486</v>
      </c>
      <c r="F1020" s="11" t="s">
        <v>4084</v>
      </c>
      <c r="G1020" s="12" t="s">
        <v>9</v>
      </c>
    </row>
    <row r="1021" customFormat="false" ht="104" hidden="false" customHeight="true" outlineLevel="0" collapsed="false">
      <c r="A1021" s="11" t="s">
        <v>8544</v>
      </c>
      <c r="B1021" s="11" t="s">
        <v>3863</v>
      </c>
      <c r="C1021" s="11" t="s">
        <v>9487</v>
      </c>
      <c r="D1021" s="11" t="s">
        <v>9488</v>
      </c>
      <c r="E1021" s="11" t="s">
        <v>9489</v>
      </c>
      <c r="F1021" s="11" t="s">
        <v>4084</v>
      </c>
      <c r="G1021" s="12" t="s">
        <v>9</v>
      </c>
    </row>
    <row r="1022" customFormat="false" ht="104" hidden="false" customHeight="true" outlineLevel="0" collapsed="false">
      <c r="A1022" s="11" t="s">
        <v>8544</v>
      </c>
      <c r="B1022" s="11" t="s">
        <v>3873</v>
      </c>
      <c r="C1022" s="11" t="s">
        <v>9490</v>
      </c>
      <c r="D1022" s="11" t="s">
        <v>9491</v>
      </c>
      <c r="E1022" s="11" t="s">
        <v>9492</v>
      </c>
      <c r="F1022" s="11" t="s">
        <v>4084</v>
      </c>
      <c r="G1022" s="12" t="s">
        <v>9</v>
      </c>
    </row>
    <row r="1023" customFormat="false" ht="104" hidden="false" customHeight="true" outlineLevel="0" collapsed="false">
      <c r="A1023" s="11" t="s">
        <v>8544</v>
      </c>
      <c r="B1023" s="11" t="s">
        <v>3876</v>
      </c>
      <c r="C1023" s="11" t="s">
        <v>9493</v>
      </c>
      <c r="D1023" s="11" t="s">
        <v>9494</v>
      </c>
      <c r="E1023" s="11" t="s">
        <v>9495</v>
      </c>
      <c r="F1023" s="11" t="s">
        <v>4084</v>
      </c>
      <c r="G1023" s="12" t="s">
        <v>9</v>
      </c>
    </row>
    <row r="1024" customFormat="false" ht="104" hidden="false" customHeight="true" outlineLevel="0" collapsed="false">
      <c r="A1024" s="11" t="s">
        <v>8544</v>
      </c>
      <c r="B1024" s="11" t="s">
        <v>3886</v>
      </c>
      <c r="C1024" s="11" t="s">
        <v>9496</v>
      </c>
      <c r="D1024" s="11" t="s">
        <v>9497</v>
      </c>
      <c r="E1024" s="11" t="s">
        <v>9498</v>
      </c>
      <c r="F1024" s="11" t="s">
        <v>4084</v>
      </c>
      <c r="G1024" s="12" t="s">
        <v>9</v>
      </c>
    </row>
    <row r="1025" customFormat="false" ht="104" hidden="false" customHeight="true" outlineLevel="0" collapsed="false">
      <c r="A1025" s="11" t="s">
        <v>8544</v>
      </c>
      <c r="B1025" s="11" t="s">
        <v>3888</v>
      </c>
      <c r="C1025" s="11" t="s">
        <v>9499</v>
      </c>
      <c r="D1025" s="11" t="s">
        <v>9500</v>
      </c>
      <c r="E1025" s="11" t="s">
        <v>9501</v>
      </c>
      <c r="F1025" s="11" t="s">
        <v>4084</v>
      </c>
      <c r="G1025" s="12" t="s">
        <v>9</v>
      </c>
    </row>
    <row r="1026" customFormat="false" ht="104" hidden="false" customHeight="true" outlineLevel="0" collapsed="false">
      <c r="A1026" s="11" t="s">
        <v>8544</v>
      </c>
      <c r="B1026" s="11" t="s">
        <v>3897</v>
      </c>
      <c r="C1026" s="11" t="s">
        <v>9502</v>
      </c>
      <c r="D1026" s="11" t="s">
        <v>9503</v>
      </c>
      <c r="E1026" s="11" t="s">
        <v>9504</v>
      </c>
      <c r="F1026" s="11" t="s">
        <v>4084</v>
      </c>
      <c r="G1026" s="12" t="s">
        <v>9</v>
      </c>
    </row>
    <row r="1027" customFormat="false" ht="104" hidden="false" customHeight="true" outlineLevel="0" collapsed="false">
      <c r="A1027" s="11" t="s">
        <v>8544</v>
      </c>
      <c r="B1027" s="11" t="s">
        <v>3900</v>
      </c>
      <c r="C1027" s="11" t="s">
        <v>9505</v>
      </c>
      <c r="D1027" s="11" t="s">
        <v>9506</v>
      </c>
      <c r="E1027" s="11" t="s">
        <v>9507</v>
      </c>
      <c r="F1027" s="11" t="s">
        <v>4084</v>
      </c>
      <c r="G1027" s="12" t="s">
        <v>9</v>
      </c>
    </row>
    <row r="1028" customFormat="false" ht="104" hidden="false" customHeight="true" outlineLevel="0" collapsed="false">
      <c r="A1028" s="11" t="s">
        <v>8544</v>
      </c>
      <c r="B1028" s="11" t="s">
        <v>3908</v>
      </c>
      <c r="C1028" s="11" t="s">
        <v>9508</v>
      </c>
      <c r="D1028" s="11" t="s">
        <v>9509</v>
      </c>
      <c r="E1028" s="11" t="s">
        <v>9510</v>
      </c>
      <c r="F1028" s="11" t="s">
        <v>4084</v>
      </c>
      <c r="G1028" s="12" t="s">
        <v>9</v>
      </c>
    </row>
    <row r="1029" customFormat="false" ht="104" hidden="false" customHeight="true" outlineLevel="0" collapsed="false">
      <c r="A1029" s="11" t="s">
        <v>8544</v>
      </c>
      <c r="B1029" s="11" t="s">
        <v>3910</v>
      </c>
      <c r="C1029" s="11" t="s">
        <v>9511</v>
      </c>
      <c r="D1029" s="11" t="s">
        <v>9512</v>
      </c>
      <c r="E1029" s="11" t="s">
        <v>9513</v>
      </c>
      <c r="F1029" s="11" t="s">
        <v>4084</v>
      </c>
      <c r="G1029" s="12" t="s">
        <v>9</v>
      </c>
    </row>
    <row r="1030" customFormat="false" ht="104" hidden="false" customHeight="true" outlineLevel="0" collapsed="false">
      <c r="A1030" s="11" t="s">
        <v>8544</v>
      </c>
      <c r="B1030" s="11" t="s">
        <v>3919</v>
      </c>
      <c r="C1030" s="11" t="s">
        <v>9514</v>
      </c>
      <c r="D1030" s="11" t="s">
        <v>9515</v>
      </c>
      <c r="E1030" s="11" t="s">
        <v>9516</v>
      </c>
      <c r="F1030" s="11" t="s">
        <v>4084</v>
      </c>
      <c r="G1030" s="12" t="s">
        <v>9</v>
      </c>
    </row>
    <row r="1031" customFormat="false" ht="104" hidden="false" customHeight="true" outlineLevel="0" collapsed="false">
      <c r="A1031" s="11" t="s">
        <v>8544</v>
      </c>
      <c r="B1031" s="11" t="s">
        <v>3922</v>
      </c>
      <c r="C1031" s="11" t="s">
        <v>9517</v>
      </c>
      <c r="D1031" s="11" t="s">
        <v>9518</v>
      </c>
      <c r="E1031" s="11" t="s">
        <v>9519</v>
      </c>
      <c r="F1031" s="11" t="s">
        <v>4084</v>
      </c>
      <c r="G1031" s="12" t="s">
        <v>9</v>
      </c>
    </row>
    <row r="1032" customFormat="false" ht="104" hidden="false" customHeight="true" outlineLevel="0" collapsed="false">
      <c r="A1032" s="11" t="s">
        <v>8544</v>
      </c>
      <c r="B1032" s="11" t="s">
        <v>3933</v>
      </c>
      <c r="C1032" s="11" t="s">
        <v>9520</v>
      </c>
      <c r="D1032" s="11" t="s">
        <v>9521</v>
      </c>
      <c r="E1032" s="11" t="s">
        <v>9522</v>
      </c>
      <c r="F1032" s="11" t="s">
        <v>4084</v>
      </c>
      <c r="G1032" s="12" t="s">
        <v>9</v>
      </c>
    </row>
    <row r="1033" customFormat="false" ht="104" hidden="false" customHeight="true" outlineLevel="0" collapsed="false">
      <c r="A1033" s="11" t="s">
        <v>8544</v>
      </c>
      <c r="B1033" s="11" t="s">
        <v>3936</v>
      </c>
      <c r="C1033" s="11" t="s">
        <v>9523</v>
      </c>
      <c r="D1033" s="11" t="s">
        <v>9524</v>
      </c>
      <c r="E1033" s="11" t="s">
        <v>9525</v>
      </c>
      <c r="F1033" s="11" t="s">
        <v>4084</v>
      </c>
      <c r="G1033" s="12" t="s">
        <v>9</v>
      </c>
    </row>
    <row r="1034" customFormat="false" ht="104" hidden="false" customHeight="true" outlineLevel="0" collapsed="false">
      <c r="A1034" s="11" t="s">
        <v>8544</v>
      </c>
      <c r="B1034" s="11" t="s">
        <v>3946</v>
      </c>
      <c r="C1034" s="11" t="s">
        <v>9526</v>
      </c>
      <c r="D1034" s="11" t="s">
        <v>9527</v>
      </c>
      <c r="E1034" s="11" t="s">
        <v>9528</v>
      </c>
      <c r="F1034" s="11" t="s">
        <v>4084</v>
      </c>
      <c r="G1034" s="12" t="s">
        <v>9</v>
      </c>
    </row>
    <row r="1035" customFormat="false" ht="104" hidden="false" customHeight="true" outlineLevel="0" collapsed="false">
      <c r="A1035" s="11" t="s">
        <v>8544</v>
      </c>
      <c r="B1035" s="11" t="s">
        <v>3949</v>
      </c>
      <c r="C1035" s="11" t="s">
        <v>9529</v>
      </c>
      <c r="D1035" s="11" t="s">
        <v>9530</v>
      </c>
      <c r="E1035" s="11" t="s">
        <v>9531</v>
      </c>
      <c r="F1035" s="11" t="s">
        <v>4084</v>
      </c>
      <c r="G1035" s="12" t="s">
        <v>9</v>
      </c>
    </row>
    <row r="1036" customFormat="false" ht="104" hidden="false" customHeight="true" outlineLevel="0" collapsed="false">
      <c r="A1036" s="11" t="s">
        <v>8544</v>
      </c>
      <c r="B1036" s="11" t="s">
        <v>3958</v>
      </c>
      <c r="C1036" s="11" t="s">
        <v>9532</v>
      </c>
      <c r="D1036" s="11" t="s">
        <v>9533</v>
      </c>
      <c r="E1036" s="11" t="s">
        <v>9534</v>
      </c>
      <c r="F1036" s="11" t="s">
        <v>4084</v>
      </c>
      <c r="G1036" s="12" t="s">
        <v>9</v>
      </c>
    </row>
    <row r="1037" customFormat="false" ht="104" hidden="false" customHeight="true" outlineLevel="0" collapsed="false">
      <c r="A1037" s="11" t="s">
        <v>8544</v>
      </c>
      <c r="B1037" s="11" t="s">
        <v>3960</v>
      </c>
      <c r="C1037" s="11" t="s">
        <v>9535</v>
      </c>
      <c r="D1037" s="11" t="s">
        <v>9536</v>
      </c>
      <c r="E1037" s="11" t="s">
        <v>9537</v>
      </c>
      <c r="F1037" s="11" t="s">
        <v>4084</v>
      </c>
      <c r="G1037" s="12" t="s">
        <v>9</v>
      </c>
    </row>
    <row r="1038" customFormat="false" ht="104" hidden="false" customHeight="true" outlineLevel="0" collapsed="false">
      <c r="A1038" s="11" t="s">
        <v>8544</v>
      </c>
      <c r="B1038" s="11" t="s">
        <v>3968</v>
      </c>
      <c r="C1038" s="11" t="s">
        <v>9538</v>
      </c>
      <c r="D1038" s="11" t="s">
        <v>9539</v>
      </c>
      <c r="E1038" s="11" t="s">
        <v>9540</v>
      </c>
      <c r="F1038" s="11" t="s">
        <v>4084</v>
      </c>
      <c r="G1038" s="12" t="s">
        <v>9</v>
      </c>
    </row>
    <row r="1039" customFormat="false" ht="104" hidden="false" customHeight="true" outlineLevel="0" collapsed="false">
      <c r="A1039" s="11" t="s">
        <v>8544</v>
      </c>
      <c r="B1039" s="11" t="s">
        <v>3970</v>
      </c>
      <c r="C1039" s="11" t="s">
        <v>9541</v>
      </c>
      <c r="D1039" s="11" t="s">
        <v>9542</v>
      </c>
      <c r="E1039" s="11" t="s">
        <v>9543</v>
      </c>
      <c r="F1039" s="11" t="s">
        <v>4084</v>
      </c>
      <c r="G1039" s="12" t="s">
        <v>9</v>
      </c>
    </row>
    <row r="1040" customFormat="false" ht="104" hidden="false" customHeight="true" outlineLevel="0" collapsed="false">
      <c r="A1040" s="11" t="s">
        <v>8544</v>
      </c>
      <c r="B1040" s="11" t="s">
        <v>3982</v>
      </c>
      <c r="C1040" s="11" t="s">
        <v>9544</v>
      </c>
      <c r="D1040" s="11" t="s">
        <v>9545</v>
      </c>
      <c r="E1040" s="11" t="s">
        <v>9546</v>
      </c>
      <c r="F1040" s="11" t="s">
        <v>4084</v>
      </c>
      <c r="G1040" s="12" t="s">
        <v>9</v>
      </c>
    </row>
    <row r="1041" customFormat="false" ht="104" hidden="false" customHeight="true" outlineLevel="0" collapsed="false">
      <c r="A1041" s="11" t="s">
        <v>9547</v>
      </c>
      <c r="B1041" s="11" t="s">
        <v>3995</v>
      </c>
      <c r="C1041" s="11" t="s">
        <v>4000</v>
      </c>
      <c r="D1041" s="11" t="s">
        <v>9548</v>
      </c>
      <c r="E1041" s="11" t="s">
        <v>9549</v>
      </c>
      <c r="F1041" s="11" t="s">
        <v>4084</v>
      </c>
      <c r="G1041" s="12" t="s">
        <v>9</v>
      </c>
    </row>
    <row r="1042" customFormat="false" ht="104" hidden="false" customHeight="true" outlineLevel="0" collapsed="false">
      <c r="A1042" s="11" t="s">
        <v>9547</v>
      </c>
      <c r="B1042" s="11" t="s">
        <v>4005</v>
      </c>
      <c r="C1042" s="11" t="s">
        <v>4000</v>
      </c>
      <c r="D1042" s="11" t="s">
        <v>9550</v>
      </c>
      <c r="E1042" s="11" t="s">
        <v>9551</v>
      </c>
      <c r="F1042" s="11" t="s">
        <v>4084</v>
      </c>
      <c r="G1042" s="12" t="s">
        <v>9</v>
      </c>
    </row>
    <row r="1043" customFormat="false" ht="104" hidden="false" customHeight="true" outlineLevel="0" collapsed="false">
      <c r="A1043" s="11" t="s">
        <v>9547</v>
      </c>
      <c r="B1043" s="11" t="s">
        <v>4011</v>
      </c>
      <c r="C1043" s="11" t="s">
        <v>4012</v>
      </c>
      <c r="D1043" s="11" t="s">
        <v>9552</v>
      </c>
      <c r="E1043" s="11" t="s">
        <v>9553</v>
      </c>
      <c r="F1043" s="11" t="s">
        <v>4084</v>
      </c>
      <c r="G1043" s="12" t="s">
        <v>9</v>
      </c>
    </row>
    <row r="1044" customFormat="false" ht="104" hidden="false" customHeight="true" outlineLevel="0" collapsed="false">
      <c r="A1044" s="11" t="s">
        <v>9547</v>
      </c>
      <c r="B1044" s="11" t="s">
        <v>4016</v>
      </c>
      <c r="C1044" s="11" t="s">
        <v>4017</v>
      </c>
      <c r="D1044" s="11" t="s">
        <v>9554</v>
      </c>
      <c r="E1044" s="11" t="s">
        <v>9555</v>
      </c>
      <c r="F1044" s="11" t="s">
        <v>4084</v>
      </c>
      <c r="G1044" s="12" t="s">
        <v>9</v>
      </c>
    </row>
    <row r="1045" customFormat="false" ht="104" hidden="false" customHeight="true" outlineLevel="0" collapsed="false">
      <c r="A1045" s="11" t="s">
        <v>9547</v>
      </c>
      <c r="B1045" s="11" t="s">
        <v>4020</v>
      </c>
      <c r="C1045" s="11" t="s">
        <v>4022</v>
      </c>
      <c r="D1045" s="11" t="s">
        <v>9556</v>
      </c>
      <c r="E1045" s="11" t="s">
        <v>9557</v>
      </c>
      <c r="F1045" s="11" t="s">
        <v>4084</v>
      </c>
      <c r="G1045" s="12" t="s">
        <v>9</v>
      </c>
    </row>
    <row r="1046" customFormat="false" ht="104" hidden="false" customHeight="true" outlineLevel="0" collapsed="false">
      <c r="A1046" s="11" t="s">
        <v>9547</v>
      </c>
      <c r="B1046" s="11" t="s">
        <v>4026</v>
      </c>
      <c r="C1046" s="11" t="s">
        <v>4027</v>
      </c>
      <c r="D1046" s="11" t="s">
        <v>9558</v>
      </c>
      <c r="E1046" s="11" t="s">
        <v>9559</v>
      </c>
      <c r="F1046" s="11" t="s">
        <v>4084</v>
      </c>
      <c r="G1046" s="12" t="s">
        <v>9</v>
      </c>
    </row>
    <row r="1047" customFormat="false" ht="104" hidden="false" customHeight="true" outlineLevel="0" collapsed="false">
      <c r="A1047" s="11" t="s">
        <v>9547</v>
      </c>
      <c r="B1047" s="11" t="s">
        <v>4031</v>
      </c>
      <c r="C1047" s="11" t="s">
        <v>4012</v>
      </c>
      <c r="D1047" s="11" t="s">
        <v>9560</v>
      </c>
      <c r="E1047" s="11" t="s">
        <v>9561</v>
      </c>
      <c r="F1047" s="11" t="s">
        <v>4084</v>
      </c>
      <c r="G1047" s="12" t="s">
        <v>9</v>
      </c>
    </row>
    <row r="1048" customFormat="false" ht="104" hidden="false" customHeight="true" outlineLevel="0" collapsed="false">
      <c r="A1048" s="11" t="s">
        <v>9547</v>
      </c>
      <c r="B1048" s="11" t="s">
        <v>4034</v>
      </c>
      <c r="C1048" s="11" t="s">
        <v>4012</v>
      </c>
      <c r="D1048" s="11" t="s">
        <v>9562</v>
      </c>
      <c r="E1048" s="11" t="s">
        <v>9563</v>
      </c>
      <c r="F1048" s="11" t="s">
        <v>4084</v>
      </c>
      <c r="G1048" s="12" t="s">
        <v>9</v>
      </c>
    </row>
    <row r="1049" customFormat="false" ht="104" hidden="false" customHeight="true" outlineLevel="0" collapsed="false">
      <c r="A1049" s="11" t="s">
        <v>9547</v>
      </c>
      <c r="B1049" s="11" t="s">
        <v>4037</v>
      </c>
      <c r="C1049" s="11" t="s">
        <v>4039</v>
      </c>
      <c r="D1049" s="11" t="s">
        <v>9564</v>
      </c>
      <c r="E1049" s="11" t="s">
        <v>9565</v>
      </c>
      <c r="F1049" s="11" t="s">
        <v>4084</v>
      </c>
      <c r="G1049" s="12" t="s">
        <v>9</v>
      </c>
    </row>
    <row r="1050" customFormat="false" ht="104" hidden="false" customHeight="true" outlineLevel="0" collapsed="false">
      <c r="A1050" s="11" t="s">
        <v>9566</v>
      </c>
      <c r="B1050" s="11" t="s">
        <v>4060</v>
      </c>
      <c r="C1050" s="11" t="s">
        <v>4061</v>
      </c>
      <c r="D1050" s="11" t="s">
        <v>9567</v>
      </c>
      <c r="E1050" s="11" t="s">
        <v>9568</v>
      </c>
      <c r="F1050" s="11" t="s">
        <v>4084</v>
      </c>
      <c r="G1050" s="12" t="s">
        <v>9</v>
      </c>
    </row>
    <row r="1051" customFormat="false" ht="104" hidden="false" customHeight="true" outlineLevel="0" collapsed="false">
      <c r="A1051" s="11" t="s">
        <v>9569</v>
      </c>
      <c r="B1051" s="11" t="s">
        <v>4354</v>
      </c>
      <c r="C1051" s="11" t="s">
        <v>4355</v>
      </c>
      <c r="D1051" s="11" t="s">
        <v>9570</v>
      </c>
      <c r="E1051" s="11" t="s">
        <v>9571</v>
      </c>
      <c r="F1051" s="11" t="s">
        <v>4084</v>
      </c>
      <c r="G1051" s="12" t="s">
        <v>9</v>
      </c>
    </row>
    <row r="1052" customFormat="false" ht="104" hidden="false" customHeight="true" outlineLevel="0" collapsed="false">
      <c r="A1052" s="11" t="s">
        <v>9569</v>
      </c>
      <c r="B1052" s="11" t="s">
        <v>4364</v>
      </c>
      <c r="C1052" s="11" t="s">
        <v>4365</v>
      </c>
      <c r="D1052" s="11" t="s">
        <v>9572</v>
      </c>
      <c r="E1052" s="11" t="s">
        <v>9573</v>
      </c>
      <c r="F1052" s="11" t="s">
        <v>4084</v>
      </c>
      <c r="G1052" s="12" t="s">
        <v>9</v>
      </c>
    </row>
    <row r="1053" customFormat="false" ht="104" hidden="false" customHeight="true" outlineLevel="0" collapsed="false">
      <c r="A1053" s="11" t="s">
        <v>9569</v>
      </c>
      <c r="B1053" s="11" t="s">
        <v>4374</v>
      </c>
      <c r="C1053" s="11" t="s">
        <v>4375</v>
      </c>
      <c r="D1053" s="11" t="s">
        <v>9574</v>
      </c>
      <c r="E1053" s="11" t="s">
        <v>9575</v>
      </c>
      <c r="F1053" s="11" t="s">
        <v>4084</v>
      </c>
      <c r="G1053" s="12" t="s">
        <v>9</v>
      </c>
    </row>
    <row r="1054" customFormat="false" ht="104" hidden="false" customHeight="true" outlineLevel="0" collapsed="false">
      <c r="A1054" s="11" t="s">
        <v>9569</v>
      </c>
      <c r="B1054" s="11" t="s">
        <v>4384</v>
      </c>
      <c r="C1054" s="11" t="s">
        <v>4385</v>
      </c>
      <c r="D1054" s="11" t="s">
        <v>9576</v>
      </c>
      <c r="E1054" s="11" t="s">
        <v>9577</v>
      </c>
      <c r="F1054" s="11" t="s">
        <v>4084</v>
      </c>
      <c r="G1054" s="12" t="s">
        <v>9</v>
      </c>
    </row>
    <row r="1055" customFormat="false" ht="104" hidden="false" customHeight="true" outlineLevel="0" collapsed="false">
      <c r="A1055" s="11" t="s">
        <v>9569</v>
      </c>
      <c r="B1055" s="11" t="s">
        <v>4394</v>
      </c>
      <c r="C1055" s="11" t="s">
        <v>4395</v>
      </c>
      <c r="D1055" s="11" t="s">
        <v>9578</v>
      </c>
      <c r="E1055" s="11" t="s">
        <v>9579</v>
      </c>
      <c r="F1055" s="11" t="s">
        <v>4084</v>
      </c>
      <c r="G1055" s="12" t="s">
        <v>9</v>
      </c>
    </row>
    <row r="1056" customFormat="false" ht="104" hidden="false" customHeight="true" outlineLevel="0" collapsed="false">
      <c r="A1056" s="11" t="s">
        <v>9569</v>
      </c>
      <c r="B1056" s="11" t="s">
        <v>4403</v>
      </c>
      <c r="C1056" s="11" t="s">
        <v>4404</v>
      </c>
      <c r="D1056" s="11" t="s">
        <v>9580</v>
      </c>
      <c r="E1056" s="11" t="s">
        <v>9581</v>
      </c>
      <c r="F1056" s="11" t="s">
        <v>4084</v>
      </c>
      <c r="G1056" s="12" t="s">
        <v>9</v>
      </c>
    </row>
    <row r="1057" customFormat="false" ht="104" hidden="false" customHeight="true" outlineLevel="0" collapsed="false">
      <c r="A1057" s="11" t="s">
        <v>9569</v>
      </c>
      <c r="B1057" s="11" t="s">
        <v>4411</v>
      </c>
      <c r="C1057" s="11" t="s">
        <v>4404</v>
      </c>
      <c r="D1057" s="11" t="s">
        <v>9582</v>
      </c>
      <c r="E1057" s="11" t="s">
        <v>9583</v>
      </c>
      <c r="F1057" s="11" t="s">
        <v>4084</v>
      </c>
      <c r="G1057" s="12" t="s">
        <v>9</v>
      </c>
    </row>
    <row r="1058" customFormat="false" ht="104" hidden="false" customHeight="true" outlineLevel="0" collapsed="false">
      <c r="A1058" s="11" t="s">
        <v>9569</v>
      </c>
      <c r="B1058" s="11" t="s">
        <v>4418</v>
      </c>
      <c r="C1058" s="11" t="s">
        <v>4419</v>
      </c>
      <c r="D1058" s="11" t="s">
        <v>9584</v>
      </c>
      <c r="E1058" s="11" t="s">
        <v>9585</v>
      </c>
      <c r="F1058" s="11" t="s">
        <v>4084</v>
      </c>
      <c r="G1058" s="12" t="s">
        <v>9</v>
      </c>
    </row>
    <row r="1059" customFormat="false" ht="104" hidden="false" customHeight="true" outlineLevel="0" collapsed="false">
      <c r="A1059" s="11" t="s">
        <v>9569</v>
      </c>
      <c r="B1059" s="11" t="s">
        <v>4425</v>
      </c>
      <c r="C1059" s="11" t="s">
        <v>4426</v>
      </c>
      <c r="D1059" s="11" t="s">
        <v>9586</v>
      </c>
      <c r="E1059" s="11" t="s">
        <v>9587</v>
      </c>
      <c r="F1059" s="11" t="s">
        <v>4084</v>
      </c>
      <c r="G1059" s="12" t="s">
        <v>9</v>
      </c>
    </row>
    <row r="1060" customFormat="false" ht="104" hidden="false" customHeight="true" outlineLevel="0" collapsed="false">
      <c r="A1060" s="11" t="s">
        <v>9569</v>
      </c>
      <c r="B1060" s="11" t="s">
        <v>4435</v>
      </c>
      <c r="C1060" s="11" t="s">
        <v>4436</v>
      </c>
      <c r="D1060" s="11" t="s">
        <v>9588</v>
      </c>
      <c r="E1060" s="11" t="s">
        <v>9589</v>
      </c>
      <c r="F1060" s="11" t="s">
        <v>4084</v>
      </c>
      <c r="G1060" s="12" t="s">
        <v>9</v>
      </c>
    </row>
    <row r="1061" customFormat="false" ht="104" hidden="false" customHeight="true" outlineLevel="0" collapsed="false">
      <c r="A1061" s="11" t="s">
        <v>9569</v>
      </c>
      <c r="B1061" s="11" t="s">
        <v>4444</v>
      </c>
      <c r="C1061" s="11" t="s">
        <v>4445</v>
      </c>
      <c r="D1061" s="11" t="s">
        <v>9590</v>
      </c>
      <c r="E1061" s="11" t="s">
        <v>9591</v>
      </c>
      <c r="F1061" s="11" t="s">
        <v>4084</v>
      </c>
      <c r="G1061" s="12" t="s">
        <v>9</v>
      </c>
    </row>
    <row r="1062" customFormat="false" ht="15" hidden="false" customHeight="false" outlineLevel="0" collapsed="false">
      <c r="A1062" s="0" t="s">
        <v>9592</v>
      </c>
      <c r="B1062" s="0" t="s">
        <v>727</v>
      </c>
      <c r="C1062" s="0" t="s">
        <v>9593</v>
      </c>
      <c r="D1062" s="0" t="s">
        <v>9594</v>
      </c>
      <c r="E1062" s="0" t="s">
        <v>9595</v>
      </c>
      <c r="F1062" s="0" t="s">
        <v>4084</v>
      </c>
      <c r="G1062" s="0" t="s">
        <v>9</v>
      </c>
    </row>
    <row r="1063" customFormat="false" ht="15" hidden="false" customHeight="false" outlineLevel="0" collapsed="false">
      <c r="A1063" s="0" t="s">
        <v>9592</v>
      </c>
      <c r="B1063" s="0" t="s">
        <v>728</v>
      </c>
      <c r="C1063" s="0" t="s">
        <v>9596</v>
      </c>
      <c r="D1063" s="0" t="s">
        <v>9597</v>
      </c>
      <c r="E1063" s="0" t="s">
        <v>9598</v>
      </c>
      <c r="F1063" s="0" t="s">
        <v>4084</v>
      </c>
      <c r="G1063" s="0" t="s">
        <v>9</v>
      </c>
    </row>
    <row r="1064" customFormat="false" ht="15" hidden="false" customHeight="false" outlineLevel="0" collapsed="false">
      <c r="A1064" s="0" t="s">
        <v>9592</v>
      </c>
      <c r="B1064" s="0" t="s">
        <v>729</v>
      </c>
      <c r="C1064" s="0" t="s">
        <v>9599</v>
      </c>
      <c r="D1064" s="0" t="s">
        <v>9600</v>
      </c>
      <c r="E1064" s="0" t="s">
        <v>9601</v>
      </c>
      <c r="F1064" s="0" t="s">
        <v>4084</v>
      </c>
      <c r="G1064" s="0" t="s">
        <v>9</v>
      </c>
    </row>
    <row r="1065" customFormat="false" ht="15" hidden="false" customHeight="false" outlineLevel="0" collapsed="false">
      <c r="A1065" s="0" t="s">
        <v>9592</v>
      </c>
      <c r="B1065" s="0" t="s">
        <v>730</v>
      </c>
      <c r="C1065" s="0" t="s">
        <v>9602</v>
      </c>
      <c r="D1065" s="0" t="s">
        <v>9603</v>
      </c>
      <c r="E1065" s="0" t="s">
        <v>9604</v>
      </c>
      <c r="F1065" s="0" t="s">
        <v>4084</v>
      </c>
      <c r="G1065" s="0" t="s">
        <v>9</v>
      </c>
    </row>
    <row r="1066" customFormat="false" ht="15" hidden="false" customHeight="false" outlineLevel="0" collapsed="false">
      <c r="A1066" s="0" t="s">
        <v>9592</v>
      </c>
      <c r="B1066" s="0" t="s">
        <v>731</v>
      </c>
      <c r="C1066" s="0" t="s">
        <v>9605</v>
      </c>
      <c r="D1066" s="0" t="s">
        <v>9606</v>
      </c>
      <c r="E1066" s="0" t="s">
        <v>9607</v>
      </c>
      <c r="F1066" s="0" t="s">
        <v>4084</v>
      </c>
      <c r="G1066" s="0" t="s">
        <v>9</v>
      </c>
    </row>
    <row r="1067" customFormat="false" ht="15" hidden="false" customHeight="false" outlineLevel="0" collapsed="false">
      <c r="A1067" s="0" t="s">
        <v>9592</v>
      </c>
      <c r="B1067" s="0" t="s">
        <v>732</v>
      </c>
      <c r="C1067" s="0" t="s">
        <v>9608</v>
      </c>
      <c r="D1067" s="0" t="s">
        <v>9609</v>
      </c>
      <c r="E1067" s="0" t="s">
        <v>9610</v>
      </c>
      <c r="F1067" s="0" t="s">
        <v>4084</v>
      </c>
      <c r="G1067" s="0" t="s">
        <v>9</v>
      </c>
    </row>
    <row r="1068" customFormat="false" ht="15" hidden="false" customHeight="false" outlineLevel="0" collapsed="false">
      <c r="A1068" s="0" t="s">
        <v>9592</v>
      </c>
      <c r="B1068" s="0" t="s">
        <v>733</v>
      </c>
      <c r="C1068" s="0" t="s">
        <v>9611</v>
      </c>
      <c r="D1068" s="0" t="s">
        <v>9612</v>
      </c>
      <c r="E1068" s="0" t="s">
        <v>9613</v>
      </c>
      <c r="F1068" s="0" t="s">
        <v>4084</v>
      </c>
      <c r="G1068" s="0" t="s">
        <v>9</v>
      </c>
    </row>
    <row r="1069" customFormat="false" ht="15" hidden="false" customHeight="false" outlineLevel="0" collapsed="false">
      <c r="A1069" s="0" t="s">
        <v>9592</v>
      </c>
      <c r="B1069" s="0" t="s">
        <v>734</v>
      </c>
      <c r="C1069" s="0" t="s">
        <v>9614</v>
      </c>
      <c r="D1069" s="0" t="s">
        <v>9615</v>
      </c>
      <c r="E1069" s="0" t="s">
        <v>9616</v>
      </c>
      <c r="F1069" s="0" t="s">
        <v>4084</v>
      </c>
      <c r="G1069" s="0" t="s">
        <v>9</v>
      </c>
    </row>
    <row r="1070" customFormat="false" ht="15" hidden="false" customHeight="false" outlineLevel="0" collapsed="false">
      <c r="A1070" s="0" t="s">
        <v>9592</v>
      </c>
      <c r="B1070" s="0" t="s">
        <v>735</v>
      </c>
      <c r="C1070" s="0" t="s">
        <v>9617</v>
      </c>
      <c r="D1070" s="0" t="s">
        <v>9618</v>
      </c>
      <c r="E1070" s="0" t="s">
        <v>9619</v>
      </c>
      <c r="F1070" s="0" t="s">
        <v>4084</v>
      </c>
      <c r="G1070" s="0" t="s">
        <v>9</v>
      </c>
    </row>
    <row r="1071" customFormat="false" ht="15" hidden="false" customHeight="false" outlineLevel="0" collapsed="false">
      <c r="A1071" s="0" t="s">
        <v>9592</v>
      </c>
      <c r="B1071" s="0" t="s">
        <v>736</v>
      </c>
      <c r="C1071" s="0" t="s">
        <v>9620</v>
      </c>
      <c r="D1071" s="0" t="s">
        <v>9621</v>
      </c>
      <c r="E1071" s="0" t="s">
        <v>9622</v>
      </c>
      <c r="F1071" s="0" t="s">
        <v>4084</v>
      </c>
      <c r="G1071" s="0" t="s">
        <v>9</v>
      </c>
    </row>
    <row r="1072" customFormat="false" ht="15" hidden="false" customHeight="false" outlineLevel="0" collapsed="false">
      <c r="A1072" s="0" t="s">
        <v>9592</v>
      </c>
      <c r="B1072" s="0" t="s">
        <v>737</v>
      </c>
      <c r="C1072" s="0" t="s">
        <v>9623</v>
      </c>
      <c r="D1072" s="0" t="s">
        <v>9624</v>
      </c>
      <c r="E1072" s="0" t="s">
        <v>9625</v>
      </c>
      <c r="F1072" s="0" t="s">
        <v>4084</v>
      </c>
      <c r="G1072" s="0" t="s">
        <v>9</v>
      </c>
    </row>
    <row r="1073" customFormat="false" ht="15" hidden="false" customHeight="false" outlineLevel="0" collapsed="false">
      <c r="A1073" s="0" t="s">
        <v>9592</v>
      </c>
      <c r="B1073" s="0" t="s">
        <v>738</v>
      </c>
      <c r="C1073" s="0" t="s">
        <v>9626</v>
      </c>
      <c r="D1073" s="0" t="s">
        <v>9627</v>
      </c>
      <c r="E1073" s="0" t="s">
        <v>9628</v>
      </c>
      <c r="F1073" s="0" t="s">
        <v>4084</v>
      </c>
      <c r="G1073" s="0" t="s">
        <v>9</v>
      </c>
    </row>
    <row r="1074" customFormat="false" ht="15" hidden="false" customHeight="false" outlineLevel="0" collapsed="false">
      <c r="A1074" s="0" t="s">
        <v>9592</v>
      </c>
      <c r="B1074" s="0" t="s">
        <v>739</v>
      </c>
      <c r="C1074" s="0" t="s">
        <v>9629</v>
      </c>
      <c r="D1074" s="0" t="s">
        <v>9630</v>
      </c>
      <c r="E1074" s="0" t="s">
        <v>9631</v>
      </c>
      <c r="F1074" s="0" t="s">
        <v>4084</v>
      </c>
      <c r="G1074" s="0" t="s">
        <v>9</v>
      </c>
    </row>
    <row r="1075" customFormat="false" ht="15" hidden="false" customHeight="false" outlineLevel="0" collapsed="false">
      <c r="A1075" s="0" t="s">
        <v>9592</v>
      </c>
      <c r="B1075" s="0" t="s">
        <v>740</v>
      </c>
      <c r="C1075" s="0" t="s">
        <v>9632</v>
      </c>
      <c r="D1075" s="0" t="s">
        <v>9633</v>
      </c>
      <c r="E1075" s="0" t="s">
        <v>9634</v>
      </c>
      <c r="F1075" s="0" t="s">
        <v>4084</v>
      </c>
      <c r="G1075" s="0" t="s">
        <v>9</v>
      </c>
    </row>
    <row r="1076" customFormat="false" ht="15" hidden="false" customHeight="false" outlineLevel="0" collapsed="false">
      <c r="A1076" s="0" t="s">
        <v>9592</v>
      </c>
      <c r="B1076" s="0" t="s">
        <v>741</v>
      </c>
      <c r="C1076" s="0" t="s">
        <v>9635</v>
      </c>
      <c r="D1076" s="0" t="s">
        <v>9636</v>
      </c>
      <c r="E1076" s="0" t="s">
        <v>9637</v>
      </c>
      <c r="F1076" s="0" t="s">
        <v>4084</v>
      </c>
      <c r="G1076" s="0" t="s">
        <v>9</v>
      </c>
    </row>
    <row r="1077" customFormat="false" ht="15" hidden="false" customHeight="false" outlineLevel="0" collapsed="false">
      <c r="A1077" s="0" t="s">
        <v>9592</v>
      </c>
      <c r="B1077" s="0" t="s">
        <v>742</v>
      </c>
      <c r="C1077" s="0" t="s">
        <v>9638</v>
      </c>
      <c r="D1077" s="0" t="s">
        <v>9639</v>
      </c>
      <c r="E1077" s="0" t="s">
        <v>9640</v>
      </c>
      <c r="F1077" s="0" t="s">
        <v>4084</v>
      </c>
      <c r="G1077" s="0" t="s">
        <v>9</v>
      </c>
    </row>
    <row r="1078" customFormat="false" ht="15" hidden="false" customHeight="false" outlineLevel="0" collapsed="false">
      <c r="A1078" s="0" t="s">
        <v>9592</v>
      </c>
      <c r="B1078" s="0" t="s">
        <v>743</v>
      </c>
      <c r="C1078" s="0" t="s">
        <v>9641</v>
      </c>
      <c r="D1078" s="0" t="s">
        <v>9642</v>
      </c>
      <c r="E1078" s="0" t="s">
        <v>9643</v>
      </c>
      <c r="F1078" s="0" t="s">
        <v>4084</v>
      </c>
      <c r="G1078" s="0" t="s">
        <v>9</v>
      </c>
    </row>
    <row r="1079" customFormat="false" ht="15" hidden="false" customHeight="false" outlineLevel="0" collapsed="false">
      <c r="A1079" s="0" t="s">
        <v>9592</v>
      </c>
      <c r="B1079" s="0" t="s">
        <v>744</v>
      </c>
      <c r="C1079" s="0" t="s">
        <v>9644</v>
      </c>
      <c r="D1079" s="0" t="s">
        <v>9645</v>
      </c>
      <c r="E1079" s="0" t="s">
        <v>9646</v>
      </c>
      <c r="F1079" s="0" t="s">
        <v>4084</v>
      </c>
      <c r="G1079" s="0" t="s">
        <v>9</v>
      </c>
    </row>
    <row r="1080" customFormat="false" ht="15" hidden="false" customHeight="false" outlineLevel="0" collapsed="false">
      <c r="A1080" s="0" t="s">
        <v>9592</v>
      </c>
      <c r="B1080" s="0" t="s">
        <v>745</v>
      </c>
      <c r="C1080" s="0" t="s">
        <v>9647</v>
      </c>
      <c r="D1080" s="0" t="s">
        <v>9648</v>
      </c>
      <c r="E1080" s="0" t="s">
        <v>9649</v>
      </c>
      <c r="F1080" s="0" t="s">
        <v>4084</v>
      </c>
      <c r="G1080" s="0" t="s">
        <v>9</v>
      </c>
    </row>
    <row r="1081" customFormat="false" ht="15" hidden="false" customHeight="false" outlineLevel="0" collapsed="false">
      <c r="A1081" s="0" t="s">
        <v>9592</v>
      </c>
      <c r="B1081" s="0" t="s">
        <v>746</v>
      </c>
      <c r="C1081" s="0" t="s">
        <v>9650</v>
      </c>
      <c r="D1081" s="0" t="s">
        <v>9651</v>
      </c>
      <c r="E1081" s="0" t="s">
        <v>9652</v>
      </c>
      <c r="F1081" s="0" t="s">
        <v>4084</v>
      </c>
      <c r="G1081" s="0" t="s">
        <v>9</v>
      </c>
    </row>
    <row r="1082" customFormat="false" ht="15" hidden="false" customHeight="false" outlineLevel="0" collapsed="false">
      <c r="A1082" s="0" t="s">
        <v>9592</v>
      </c>
      <c r="B1082" s="0" t="s">
        <v>747</v>
      </c>
      <c r="C1082" s="0" t="s">
        <v>9653</v>
      </c>
      <c r="D1082" s="0" t="s">
        <v>9654</v>
      </c>
      <c r="E1082" s="0" t="s">
        <v>9655</v>
      </c>
      <c r="F1082" s="0" t="s">
        <v>4084</v>
      </c>
      <c r="G1082" s="0" t="s">
        <v>9</v>
      </c>
    </row>
    <row r="1083" customFormat="false" ht="15" hidden="false" customHeight="false" outlineLevel="0" collapsed="false">
      <c r="A1083" s="0" t="s">
        <v>9592</v>
      </c>
      <c r="B1083" s="0" t="s">
        <v>748</v>
      </c>
      <c r="C1083" s="0" t="s">
        <v>9656</v>
      </c>
      <c r="D1083" s="0" t="s">
        <v>9657</v>
      </c>
      <c r="E1083" s="0" t="s">
        <v>9658</v>
      </c>
      <c r="F1083" s="0" t="s">
        <v>4084</v>
      </c>
      <c r="G1083" s="0" t="s">
        <v>9</v>
      </c>
    </row>
    <row r="1084" customFormat="false" ht="15" hidden="false" customHeight="false" outlineLevel="0" collapsed="false">
      <c r="A1084" s="0" t="s">
        <v>9592</v>
      </c>
      <c r="B1084" s="0" t="s">
        <v>749</v>
      </c>
      <c r="C1084" s="0" t="s">
        <v>9659</v>
      </c>
      <c r="D1084" s="0" t="s">
        <v>9660</v>
      </c>
      <c r="E1084" s="0" t="s">
        <v>9661</v>
      </c>
      <c r="F1084" s="0" t="s">
        <v>4084</v>
      </c>
      <c r="G1084" s="0" t="s">
        <v>9</v>
      </c>
    </row>
    <row r="1085" customFormat="false" ht="15" hidden="false" customHeight="false" outlineLevel="0" collapsed="false">
      <c r="A1085" s="0" t="s">
        <v>9592</v>
      </c>
      <c r="B1085" s="0" t="s">
        <v>750</v>
      </c>
      <c r="C1085" s="0" t="s">
        <v>9662</v>
      </c>
      <c r="D1085" s="0" t="s">
        <v>9663</v>
      </c>
      <c r="E1085" s="0" t="s">
        <v>9664</v>
      </c>
      <c r="F1085" s="0" t="s">
        <v>4084</v>
      </c>
      <c r="G1085" s="0" t="s">
        <v>9</v>
      </c>
    </row>
    <row r="1086" customFormat="false" ht="15" hidden="false" customHeight="false" outlineLevel="0" collapsed="false">
      <c r="A1086" s="0" t="s">
        <v>9592</v>
      </c>
      <c r="B1086" s="0" t="s">
        <v>751</v>
      </c>
      <c r="C1086" s="0" t="s">
        <v>9665</v>
      </c>
      <c r="D1086" s="0" t="s">
        <v>9666</v>
      </c>
      <c r="E1086" s="0" t="s">
        <v>9667</v>
      </c>
      <c r="F1086" s="0" t="s">
        <v>4084</v>
      </c>
      <c r="G1086" s="0" t="s">
        <v>9</v>
      </c>
    </row>
    <row r="1087" customFormat="false" ht="15" hidden="false" customHeight="false" outlineLevel="0" collapsed="false">
      <c r="A1087" s="0" t="s">
        <v>9592</v>
      </c>
      <c r="B1087" s="0" t="s">
        <v>752</v>
      </c>
      <c r="C1087" s="0" t="s">
        <v>9668</v>
      </c>
      <c r="D1087" s="0" t="s">
        <v>9669</v>
      </c>
      <c r="E1087" s="0" t="s">
        <v>9670</v>
      </c>
      <c r="F1087" s="0" t="s">
        <v>4084</v>
      </c>
      <c r="G1087" s="0" t="s">
        <v>9</v>
      </c>
    </row>
    <row r="1088" customFormat="false" ht="15" hidden="false" customHeight="false" outlineLevel="0" collapsed="false">
      <c r="A1088" s="0" t="s">
        <v>9592</v>
      </c>
      <c r="B1088" s="0" t="s">
        <v>753</v>
      </c>
      <c r="C1088" s="0" t="s">
        <v>9671</v>
      </c>
      <c r="D1088" s="0" t="s">
        <v>9672</v>
      </c>
      <c r="E1088" s="0" t="s">
        <v>9673</v>
      </c>
      <c r="F1088" s="0" t="s">
        <v>4084</v>
      </c>
      <c r="G1088" s="0" t="s">
        <v>9</v>
      </c>
    </row>
    <row r="1089" customFormat="false" ht="15" hidden="false" customHeight="false" outlineLevel="0" collapsed="false">
      <c r="A1089" s="0" t="s">
        <v>9592</v>
      </c>
      <c r="B1089" s="0" t="s">
        <v>754</v>
      </c>
      <c r="C1089" s="0" t="s">
        <v>9674</v>
      </c>
      <c r="D1089" s="0" t="s">
        <v>9675</v>
      </c>
      <c r="E1089" s="0" t="s">
        <v>9676</v>
      </c>
      <c r="F1089" s="0" t="s">
        <v>4084</v>
      </c>
      <c r="G1089" s="0" t="s">
        <v>9</v>
      </c>
    </row>
    <row r="1090" customFormat="false" ht="15" hidden="false" customHeight="false" outlineLevel="0" collapsed="false">
      <c r="A1090" s="0" t="s">
        <v>9592</v>
      </c>
      <c r="B1090" s="0" t="s">
        <v>755</v>
      </c>
      <c r="C1090" s="0" t="s">
        <v>9677</v>
      </c>
      <c r="D1090" s="0" t="s">
        <v>9678</v>
      </c>
      <c r="E1090" s="0" t="s">
        <v>9679</v>
      </c>
      <c r="F1090" s="0" t="s">
        <v>4084</v>
      </c>
      <c r="G1090" s="0" t="s">
        <v>9</v>
      </c>
    </row>
    <row r="1091" customFormat="false" ht="15" hidden="false" customHeight="false" outlineLevel="0" collapsed="false">
      <c r="A1091" s="0" t="s">
        <v>9592</v>
      </c>
      <c r="B1091" s="0" t="s">
        <v>756</v>
      </c>
      <c r="C1091" s="0" t="s">
        <v>9680</v>
      </c>
      <c r="D1091" s="0" t="s">
        <v>9681</v>
      </c>
      <c r="E1091" s="0" t="s">
        <v>9682</v>
      </c>
      <c r="F1091" s="0" t="s">
        <v>4084</v>
      </c>
      <c r="G1091" s="0" t="s">
        <v>9</v>
      </c>
    </row>
    <row r="1092" customFormat="false" ht="15" hidden="false" customHeight="false" outlineLevel="0" collapsed="false">
      <c r="A1092" s="0" t="s">
        <v>9592</v>
      </c>
      <c r="B1092" s="0" t="s">
        <v>757</v>
      </c>
      <c r="C1092" s="0" t="s">
        <v>9683</v>
      </c>
      <c r="D1092" s="0" t="s">
        <v>9684</v>
      </c>
      <c r="E1092" s="0" t="s">
        <v>9685</v>
      </c>
      <c r="F1092" s="0" t="s">
        <v>4084</v>
      </c>
      <c r="G1092" s="0" t="s">
        <v>9</v>
      </c>
    </row>
    <row r="1093" customFormat="false" ht="15" hidden="false" customHeight="false" outlineLevel="0" collapsed="false">
      <c r="A1093" s="0" t="s">
        <v>9592</v>
      </c>
      <c r="B1093" s="0" t="s">
        <v>758</v>
      </c>
      <c r="C1093" s="0" t="s">
        <v>9686</v>
      </c>
      <c r="D1093" s="0" t="s">
        <v>9687</v>
      </c>
      <c r="E1093" s="0" t="s">
        <v>9688</v>
      </c>
      <c r="F1093" s="0" t="s">
        <v>4084</v>
      </c>
      <c r="G1093" s="0" t="s">
        <v>9</v>
      </c>
    </row>
    <row r="1094" customFormat="false" ht="15" hidden="false" customHeight="false" outlineLevel="0" collapsed="false">
      <c r="A1094" s="0" t="s">
        <v>9592</v>
      </c>
      <c r="B1094" s="0" t="s">
        <v>759</v>
      </c>
      <c r="C1094" s="0" t="s">
        <v>9689</v>
      </c>
      <c r="D1094" s="0" t="s">
        <v>9690</v>
      </c>
      <c r="E1094" s="0" t="s">
        <v>9691</v>
      </c>
      <c r="F1094" s="0" t="s">
        <v>4084</v>
      </c>
      <c r="G1094" s="0" t="s">
        <v>9</v>
      </c>
    </row>
    <row r="1095" customFormat="false" ht="15" hidden="false" customHeight="false" outlineLevel="0" collapsed="false">
      <c r="A1095" s="0" t="s">
        <v>9592</v>
      </c>
      <c r="B1095" s="0" t="s">
        <v>760</v>
      </c>
      <c r="C1095" s="0" t="s">
        <v>9692</v>
      </c>
      <c r="D1095" s="0" t="s">
        <v>9693</v>
      </c>
      <c r="E1095" s="0" t="s">
        <v>9694</v>
      </c>
      <c r="F1095" s="0" t="s">
        <v>4084</v>
      </c>
      <c r="G1095" s="0" t="s">
        <v>9</v>
      </c>
    </row>
    <row r="1096" customFormat="false" ht="15" hidden="false" customHeight="false" outlineLevel="0" collapsed="false">
      <c r="A1096" s="0" t="s">
        <v>9592</v>
      </c>
      <c r="B1096" s="0" t="s">
        <v>761</v>
      </c>
      <c r="C1096" s="0" t="s">
        <v>9695</v>
      </c>
      <c r="D1096" s="0" t="s">
        <v>9696</v>
      </c>
      <c r="E1096" s="0" t="s">
        <v>9697</v>
      </c>
      <c r="F1096" s="0" t="s">
        <v>4084</v>
      </c>
      <c r="G1096" s="0" t="s">
        <v>9</v>
      </c>
    </row>
    <row r="1097" customFormat="false" ht="15" hidden="false" customHeight="false" outlineLevel="0" collapsed="false">
      <c r="A1097" s="0" t="s">
        <v>9592</v>
      </c>
      <c r="B1097" s="0" t="s">
        <v>762</v>
      </c>
      <c r="C1097" s="0" t="s">
        <v>9698</v>
      </c>
      <c r="D1097" s="0" t="s">
        <v>9699</v>
      </c>
      <c r="E1097" s="0" t="s">
        <v>9700</v>
      </c>
      <c r="F1097" s="0" t="s">
        <v>4084</v>
      </c>
      <c r="G1097" s="0" t="s">
        <v>9</v>
      </c>
    </row>
    <row r="1098" customFormat="false" ht="15" hidden="false" customHeight="false" outlineLevel="0" collapsed="false">
      <c r="A1098" s="0" t="s">
        <v>9592</v>
      </c>
      <c r="B1098" s="0" t="s">
        <v>763</v>
      </c>
      <c r="C1098" s="0" t="s">
        <v>9701</v>
      </c>
      <c r="D1098" s="0" t="s">
        <v>9702</v>
      </c>
      <c r="E1098" s="0" t="s">
        <v>9703</v>
      </c>
      <c r="F1098" s="0" t="s">
        <v>4084</v>
      </c>
      <c r="G1098" s="0" t="s">
        <v>9</v>
      </c>
    </row>
    <row r="1099" customFormat="false" ht="15" hidden="false" customHeight="false" outlineLevel="0" collapsed="false">
      <c r="A1099" s="0" t="s">
        <v>9592</v>
      </c>
      <c r="B1099" s="0" t="s">
        <v>764</v>
      </c>
      <c r="C1099" s="0" t="s">
        <v>9704</v>
      </c>
      <c r="D1099" s="0" t="s">
        <v>9705</v>
      </c>
      <c r="E1099" s="0" t="s">
        <v>9706</v>
      </c>
      <c r="F1099" s="0" t="s">
        <v>4084</v>
      </c>
      <c r="G1099" s="0" t="s">
        <v>9</v>
      </c>
    </row>
    <row r="1100" customFormat="false" ht="15" hidden="false" customHeight="false" outlineLevel="0" collapsed="false">
      <c r="A1100" s="0" t="s">
        <v>9592</v>
      </c>
      <c r="B1100" s="0" t="s">
        <v>765</v>
      </c>
      <c r="C1100" s="0" t="s">
        <v>9707</v>
      </c>
      <c r="D1100" s="0" t="s">
        <v>9708</v>
      </c>
      <c r="E1100" s="0" t="s">
        <v>9709</v>
      </c>
      <c r="F1100" s="0" t="s">
        <v>4084</v>
      </c>
      <c r="G1100" s="0" t="s">
        <v>9</v>
      </c>
    </row>
    <row r="1101" customFormat="false" ht="15" hidden="false" customHeight="false" outlineLevel="0" collapsed="false">
      <c r="A1101" s="0" t="s">
        <v>9592</v>
      </c>
      <c r="B1101" s="0" t="s">
        <v>766</v>
      </c>
      <c r="C1101" s="0" t="s">
        <v>9710</v>
      </c>
      <c r="D1101" s="0" t="s">
        <v>9711</v>
      </c>
      <c r="E1101" s="0" t="s">
        <v>9712</v>
      </c>
      <c r="F1101" s="0" t="s">
        <v>4084</v>
      </c>
      <c r="G1101" s="0" t="s">
        <v>9</v>
      </c>
    </row>
    <row r="1102" customFormat="false" ht="15" hidden="false" customHeight="false" outlineLevel="0" collapsed="false">
      <c r="A1102" s="0" t="s">
        <v>9592</v>
      </c>
      <c r="B1102" s="0" t="s">
        <v>767</v>
      </c>
      <c r="C1102" s="0" t="s">
        <v>9713</v>
      </c>
      <c r="D1102" s="0" t="s">
        <v>9714</v>
      </c>
      <c r="E1102" s="0" t="s">
        <v>9715</v>
      </c>
      <c r="F1102" s="0" t="s">
        <v>4084</v>
      </c>
      <c r="G1102" s="0" t="s">
        <v>9</v>
      </c>
    </row>
    <row r="1103" customFormat="false" ht="15" hidden="false" customHeight="false" outlineLevel="0" collapsed="false">
      <c r="A1103" s="0" t="s">
        <v>9592</v>
      </c>
      <c r="B1103" s="0" t="s">
        <v>768</v>
      </c>
      <c r="C1103" s="0" t="s">
        <v>9716</v>
      </c>
      <c r="D1103" s="0" t="s">
        <v>9717</v>
      </c>
      <c r="E1103" s="0" t="s">
        <v>9718</v>
      </c>
      <c r="F1103" s="0" t="s">
        <v>4084</v>
      </c>
      <c r="G1103" s="0" t="s">
        <v>9</v>
      </c>
    </row>
    <row r="1104" customFormat="false" ht="15" hidden="false" customHeight="false" outlineLevel="0" collapsed="false">
      <c r="A1104" s="0" t="s">
        <v>9592</v>
      </c>
      <c r="B1104" s="0" t="s">
        <v>769</v>
      </c>
      <c r="C1104" s="0" t="s">
        <v>9719</v>
      </c>
      <c r="D1104" s="0" t="s">
        <v>9720</v>
      </c>
      <c r="E1104" s="0" t="s">
        <v>9721</v>
      </c>
      <c r="F1104" s="0" t="s">
        <v>4084</v>
      </c>
      <c r="G1104" s="0" t="s">
        <v>9</v>
      </c>
    </row>
    <row r="1105" customFormat="false" ht="15" hidden="false" customHeight="false" outlineLevel="0" collapsed="false">
      <c r="A1105" s="0" t="s">
        <v>9592</v>
      </c>
      <c r="B1105" s="0" t="s">
        <v>770</v>
      </c>
      <c r="C1105" s="0" t="s">
        <v>9722</v>
      </c>
      <c r="D1105" s="0" t="s">
        <v>9723</v>
      </c>
      <c r="E1105" s="0" t="s">
        <v>9724</v>
      </c>
      <c r="F1105" s="0" t="s">
        <v>4084</v>
      </c>
      <c r="G1105" s="0" t="s">
        <v>9</v>
      </c>
    </row>
    <row r="1106" customFormat="false" ht="15" hidden="false" customHeight="false" outlineLevel="0" collapsed="false">
      <c r="A1106" s="0" t="s">
        <v>9592</v>
      </c>
      <c r="B1106" s="0" t="s">
        <v>771</v>
      </c>
      <c r="C1106" s="0" t="s">
        <v>9725</v>
      </c>
      <c r="D1106" s="0" t="s">
        <v>9726</v>
      </c>
      <c r="E1106" s="0" t="s">
        <v>9727</v>
      </c>
      <c r="F1106" s="0" t="s">
        <v>4084</v>
      </c>
      <c r="G1106" s="0" t="s">
        <v>9</v>
      </c>
    </row>
    <row r="1107" customFormat="false" ht="15" hidden="false" customHeight="false" outlineLevel="0" collapsed="false">
      <c r="A1107" s="0" t="s">
        <v>9592</v>
      </c>
      <c r="B1107" s="0" t="s">
        <v>772</v>
      </c>
      <c r="C1107" s="0" t="s">
        <v>9728</v>
      </c>
      <c r="D1107" s="0" t="s">
        <v>9729</v>
      </c>
      <c r="E1107" s="0" t="s">
        <v>9730</v>
      </c>
      <c r="F1107" s="0" t="s">
        <v>4084</v>
      </c>
      <c r="G1107" s="0" t="s">
        <v>9</v>
      </c>
    </row>
    <row r="1108" customFormat="false" ht="15" hidden="false" customHeight="false" outlineLevel="0" collapsed="false">
      <c r="A1108" s="0" t="s">
        <v>9592</v>
      </c>
      <c r="B1108" s="0" t="s">
        <v>773</v>
      </c>
      <c r="C1108" s="0" t="s">
        <v>9731</v>
      </c>
      <c r="D1108" s="0" t="s">
        <v>9732</v>
      </c>
      <c r="E1108" s="0" t="s">
        <v>9733</v>
      </c>
      <c r="F1108" s="0" t="s">
        <v>4084</v>
      </c>
      <c r="G1108" s="0" t="s">
        <v>9</v>
      </c>
    </row>
    <row r="1109" customFormat="false" ht="15" hidden="false" customHeight="false" outlineLevel="0" collapsed="false">
      <c r="A1109" s="0" t="s">
        <v>9592</v>
      </c>
      <c r="B1109" s="0" t="s">
        <v>774</v>
      </c>
      <c r="C1109" s="0" t="s">
        <v>9734</v>
      </c>
      <c r="D1109" s="0" t="s">
        <v>9735</v>
      </c>
      <c r="E1109" s="0" t="s">
        <v>9736</v>
      </c>
      <c r="F1109" s="0" t="s">
        <v>4084</v>
      </c>
      <c r="G1109" s="0" t="s">
        <v>9</v>
      </c>
    </row>
    <row r="1110" customFormat="false" ht="15" hidden="false" customHeight="false" outlineLevel="0" collapsed="false">
      <c r="A1110" s="0" t="s">
        <v>9737</v>
      </c>
      <c r="B1110" s="0" t="s">
        <v>6819</v>
      </c>
      <c r="C1110" s="0" t="s">
        <v>6819</v>
      </c>
      <c r="D1110" s="0" t="s">
        <v>9738</v>
      </c>
      <c r="E1110" s="0" t="s">
        <v>9739</v>
      </c>
      <c r="F1110" s="0" t="s">
        <v>4084</v>
      </c>
      <c r="G1110" s="0" t="s">
        <v>9</v>
      </c>
    </row>
    <row r="1111" customFormat="false" ht="15" hidden="false" customHeight="false" outlineLevel="0" collapsed="false">
      <c r="A1111" s="0" t="s">
        <v>9737</v>
      </c>
      <c r="B1111" s="0" t="s">
        <v>6822</v>
      </c>
      <c r="C1111" s="0" t="s">
        <v>6822</v>
      </c>
      <c r="D1111" s="0" t="s">
        <v>9740</v>
      </c>
      <c r="E1111" s="0" t="s">
        <v>9741</v>
      </c>
      <c r="F1111" s="0" t="s">
        <v>4084</v>
      </c>
      <c r="G1111" s="0" t="s">
        <v>9</v>
      </c>
    </row>
    <row r="1112" customFormat="false" ht="15" hidden="false" customHeight="false" outlineLevel="0" collapsed="false">
      <c r="A1112" s="0" t="s">
        <v>9737</v>
      </c>
      <c r="B1112" s="0" t="s">
        <v>6825</v>
      </c>
      <c r="C1112" s="0" t="s">
        <v>6825</v>
      </c>
      <c r="D1112" s="0" t="s">
        <v>9742</v>
      </c>
      <c r="E1112" s="0" t="s">
        <v>9743</v>
      </c>
      <c r="F1112" s="0" t="s">
        <v>4084</v>
      </c>
      <c r="G1112" s="0" t="s">
        <v>9</v>
      </c>
    </row>
    <row r="1113" customFormat="false" ht="15" hidden="false" customHeight="false" outlineLevel="0" collapsed="false">
      <c r="A1113" s="0" t="s">
        <v>9744</v>
      </c>
      <c r="B1113" s="0" t="s">
        <v>9745</v>
      </c>
      <c r="C1113" s="0" t="s">
        <v>9745</v>
      </c>
      <c r="D1113" s="0" t="s">
        <v>9746</v>
      </c>
      <c r="E1113" s="0" t="s">
        <v>9747</v>
      </c>
      <c r="F1113" s="0" t="s">
        <v>4084</v>
      </c>
      <c r="G1113" s="0" t="s">
        <v>9</v>
      </c>
    </row>
    <row r="1114" customFormat="false" ht="15" hidden="false" customHeight="false" outlineLevel="0" collapsed="false">
      <c r="A1114" s="0" t="s">
        <v>9744</v>
      </c>
      <c r="B1114" s="0" t="s">
        <v>9748</v>
      </c>
      <c r="C1114" s="0" t="s">
        <v>9748</v>
      </c>
      <c r="D1114" s="0" t="s">
        <v>9749</v>
      </c>
      <c r="E1114" s="0" t="s">
        <v>9750</v>
      </c>
      <c r="F1114" s="0" t="s">
        <v>4084</v>
      </c>
      <c r="G1114" s="0" t="s">
        <v>9</v>
      </c>
    </row>
    <row r="1115" customFormat="false" ht="15" hidden="false" customHeight="false" outlineLevel="0" collapsed="false">
      <c r="A1115" s="0" t="s">
        <v>9744</v>
      </c>
      <c r="B1115" s="0" t="s">
        <v>9751</v>
      </c>
      <c r="C1115" s="0" t="s">
        <v>9751</v>
      </c>
      <c r="D1115" s="0" t="s">
        <v>9752</v>
      </c>
      <c r="E1115" s="0" t="s">
        <v>9753</v>
      </c>
      <c r="F1115" s="0" t="s">
        <v>4084</v>
      </c>
      <c r="G1115" s="0" t="s">
        <v>9</v>
      </c>
    </row>
    <row r="1116" customFormat="false" ht="15" hidden="false" customHeight="false" outlineLevel="0" collapsed="false">
      <c r="A1116" s="0" t="s">
        <v>9744</v>
      </c>
      <c r="B1116" s="0" t="s">
        <v>9754</v>
      </c>
      <c r="C1116" s="0" t="s">
        <v>9754</v>
      </c>
      <c r="D1116" s="0" t="s">
        <v>9755</v>
      </c>
      <c r="E1116" s="0" t="s">
        <v>9756</v>
      </c>
      <c r="F1116" s="0" t="s">
        <v>4084</v>
      </c>
      <c r="G1116" s="0" t="s">
        <v>9</v>
      </c>
    </row>
    <row r="1117" customFormat="false" ht="15" hidden="false" customHeight="false" outlineLevel="0" collapsed="false">
      <c r="A1117" s="0" t="s">
        <v>9744</v>
      </c>
      <c r="B1117" s="0" t="s">
        <v>9757</v>
      </c>
      <c r="C1117" s="0" t="s">
        <v>9757</v>
      </c>
      <c r="D1117" s="0" t="s">
        <v>9758</v>
      </c>
      <c r="E1117" s="0" t="s">
        <v>9759</v>
      </c>
      <c r="F1117" s="0" t="s">
        <v>4084</v>
      </c>
      <c r="G1117" s="0" t="s">
        <v>9</v>
      </c>
    </row>
    <row r="1118" customFormat="false" ht="15" hidden="false" customHeight="false" outlineLevel="0" collapsed="false">
      <c r="A1118" s="0" t="s">
        <v>9744</v>
      </c>
      <c r="B1118" s="0" t="s">
        <v>9760</v>
      </c>
      <c r="C1118" s="0" t="s">
        <v>9760</v>
      </c>
      <c r="D1118" s="0" t="s">
        <v>9761</v>
      </c>
      <c r="E1118" s="0" t="s">
        <v>9762</v>
      </c>
      <c r="F1118" s="0" t="s">
        <v>4084</v>
      </c>
      <c r="G1118" s="0" t="s">
        <v>9</v>
      </c>
    </row>
    <row r="1119" customFormat="false" ht="15" hidden="false" customHeight="false" outlineLevel="0" collapsed="false">
      <c r="A1119" s="0" t="s">
        <v>9744</v>
      </c>
      <c r="B1119" s="0" t="s">
        <v>9763</v>
      </c>
      <c r="C1119" s="0" t="s">
        <v>9763</v>
      </c>
      <c r="D1119" s="0" t="s">
        <v>9764</v>
      </c>
      <c r="E1119" s="0" t="s">
        <v>9765</v>
      </c>
      <c r="F1119" s="0" t="s">
        <v>4084</v>
      </c>
      <c r="G1119" s="0" t="s">
        <v>9</v>
      </c>
    </row>
    <row r="1120" customFormat="false" ht="15" hidden="false" customHeight="false" outlineLevel="0" collapsed="false">
      <c r="A1120" s="0" t="s">
        <v>9766</v>
      </c>
      <c r="B1120" s="0" t="s">
        <v>6880</v>
      </c>
      <c r="C1120" s="0" t="s">
        <v>6880</v>
      </c>
      <c r="D1120" s="0" t="s">
        <v>9767</v>
      </c>
      <c r="E1120" s="0" t="s">
        <v>9768</v>
      </c>
      <c r="F1120" s="0" t="s">
        <v>4084</v>
      </c>
      <c r="G1120" s="0" t="s">
        <v>9</v>
      </c>
    </row>
    <row r="1121" customFormat="false" ht="15" hidden="false" customHeight="false" outlineLevel="0" collapsed="false">
      <c r="A1121" s="0" t="s">
        <v>9766</v>
      </c>
      <c r="B1121" s="0" t="s">
        <v>6882</v>
      </c>
      <c r="C1121" s="0" t="s">
        <v>6882</v>
      </c>
      <c r="D1121" s="0" t="s">
        <v>9769</v>
      </c>
      <c r="E1121" s="0" t="s">
        <v>9770</v>
      </c>
      <c r="F1121" s="0" t="s">
        <v>4084</v>
      </c>
      <c r="G1121" s="0" t="s">
        <v>9</v>
      </c>
    </row>
    <row r="1122" customFormat="false" ht="15" hidden="false" customHeight="false" outlineLevel="0" collapsed="false">
      <c r="A1122" s="0" t="s">
        <v>9766</v>
      </c>
      <c r="B1122" s="0" t="s">
        <v>6884</v>
      </c>
      <c r="C1122" s="0" t="s">
        <v>6884</v>
      </c>
      <c r="D1122" s="0" t="s">
        <v>9771</v>
      </c>
      <c r="E1122" s="0" t="s">
        <v>9772</v>
      </c>
      <c r="F1122" s="0" t="s">
        <v>4084</v>
      </c>
      <c r="G1122" s="0" t="s">
        <v>9</v>
      </c>
    </row>
    <row r="1123" customFormat="false" ht="15" hidden="false" customHeight="false" outlineLevel="0" collapsed="false">
      <c r="A1123" s="0" t="s">
        <v>9766</v>
      </c>
      <c r="B1123" s="0" t="s">
        <v>6885</v>
      </c>
      <c r="C1123" s="0" t="s">
        <v>6885</v>
      </c>
      <c r="D1123" s="0" t="s">
        <v>9773</v>
      </c>
      <c r="E1123" s="0" t="s">
        <v>9774</v>
      </c>
      <c r="F1123" s="0" t="s">
        <v>4084</v>
      </c>
      <c r="G1123" s="0" t="s">
        <v>9</v>
      </c>
    </row>
    <row r="1124" customFormat="false" ht="15" hidden="false" customHeight="false" outlineLevel="0" collapsed="false">
      <c r="A1124" s="0" t="s">
        <v>9766</v>
      </c>
      <c r="B1124" s="0" t="s">
        <v>6886</v>
      </c>
      <c r="C1124" s="0" t="s">
        <v>6886</v>
      </c>
      <c r="D1124" s="0" t="s">
        <v>9775</v>
      </c>
      <c r="E1124" s="0" t="s">
        <v>9776</v>
      </c>
      <c r="F1124" s="0" t="s">
        <v>4084</v>
      </c>
      <c r="G1124" s="0" t="s">
        <v>9</v>
      </c>
    </row>
    <row r="1125" customFormat="false" ht="15" hidden="false" customHeight="false" outlineLevel="0" collapsed="false">
      <c r="A1125" s="0" t="s">
        <v>9766</v>
      </c>
      <c r="B1125" s="0" t="s">
        <v>6887</v>
      </c>
      <c r="C1125" s="0" t="s">
        <v>6887</v>
      </c>
      <c r="D1125" s="0" t="s">
        <v>9777</v>
      </c>
      <c r="E1125" s="0" t="s">
        <v>9778</v>
      </c>
      <c r="F1125" s="0" t="s">
        <v>4084</v>
      </c>
      <c r="G1125" s="0" t="s">
        <v>9</v>
      </c>
    </row>
    <row r="1126" customFormat="false" ht="15" hidden="false" customHeight="false" outlineLevel="0" collapsed="false">
      <c r="A1126" s="0" t="s">
        <v>9766</v>
      </c>
      <c r="B1126" s="0" t="s">
        <v>6888</v>
      </c>
      <c r="C1126" s="0" t="s">
        <v>6888</v>
      </c>
      <c r="D1126" s="0" t="s">
        <v>9779</v>
      </c>
      <c r="E1126" s="0" t="s">
        <v>9780</v>
      </c>
      <c r="F1126" s="0" t="s">
        <v>4084</v>
      </c>
      <c r="G1126" s="0" t="s">
        <v>9</v>
      </c>
    </row>
    <row r="1127" customFormat="false" ht="15" hidden="false" customHeight="false" outlineLevel="0" collapsed="false">
      <c r="A1127" s="0" t="s">
        <v>9766</v>
      </c>
      <c r="B1127" s="0" t="s">
        <v>6889</v>
      </c>
      <c r="C1127" s="0" t="s">
        <v>6889</v>
      </c>
      <c r="D1127" s="0" t="s">
        <v>9781</v>
      </c>
      <c r="E1127" s="0" t="s">
        <v>9782</v>
      </c>
      <c r="F1127" s="0" t="s">
        <v>4084</v>
      </c>
      <c r="G1127" s="0" t="s">
        <v>9</v>
      </c>
    </row>
    <row r="1128" customFormat="false" ht="15" hidden="false" customHeight="false" outlineLevel="0" collapsed="false">
      <c r="A1128" s="0" t="s">
        <v>9766</v>
      </c>
      <c r="B1128" s="0" t="s">
        <v>6890</v>
      </c>
      <c r="C1128" s="0" t="s">
        <v>6890</v>
      </c>
      <c r="D1128" s="0" t="s">
        <v>9783</v>
      </c>
      <c r="E1128" s="0" t="s">
        <v>9784</v>
      </c>
      <c r="F1128" s="0" t="s">
        <v>4084</v>
      </c>
      <c r="G1128" s="0" t="s">
        <v>9</v>
      </c>
    </row>
    <row r="1129" customFormat="false" ht="15" hidden="false" customHeight="false" outlineLevel="0" collapsed="false">
      <c r="A1129" s="0" t="s">
        <v>9766</v>
      </c>
      <c r="B1129" s="0" t="s">
        <v>6891</v>
      </c>
      <c r="C1129" s="0" t="s">
        <v>6891</v>
      </c>
      <c r="D1129" s="0" t="s">
        <v>9785</v>
      </c>
      <c r="E1129" s="0" t="s">
        <v>9786</v>
      </c>
      <c r="F1129" s="0" t="s">
        <v>4084</v>
      </c>
      <c r="G1129" s="0" t="s">
        <v>9</v>
      </c>
    </row>
    <row r="1130" customFormat="false" ht="15" hidden="false" customHeight="false" outlineLevel="0" collapsed="false">
      <c r="A1130" s="0" t="s">
        <v>9766</v>
      </c>
      <c r="B1130" s="0" t="s">
        <v>6892</v>
      </c>
      <c r="C1130" s="0" t="s">
        <v>6892</v>
      </c>
      <c r="D1130" s="0" t="s">
        <v>9787</v>
      </c>
      <c r="E1130" s="0" t="s">
        <v>9788</v>
      </c>
      <c r="F1130" s="0" t="s">
        <v>4084</v>
      </c>
      <c r="G1130" s="0" t="s">
        <v>9</v>
      </c>
    </row>
    <row r="1131" customFormat="false" ht="15" hidden="false" customHeight="false" outlineLevel="0" collapsed="false">
      <c r="A1131" s="0" t="s">
        <v>9789</v>
      </c>
      <c r="B1131" s="0" t="s">
        <v>6893</v>
      </c>
      <c r="C1131" s="0" t="s">
        <v>6893</v>
      </c>
      <c r="D1131" s="0" t="s">
        <v>9790</v>
      </c>
      <c r="E1131" s="0" t="s">
        <v>9791</v>
      </c>
      <c r="F1131" s="0" t="s">
        <v>4084</v>
      </c>
      <c r="G1131" s="0" t="s">
        <v>9</v>
      </c>
    </row>
    <row r="1132" customFormat="false" ht="15" hidden="false" customHeight="false" outlineLevel="0" collapsed="false">
      <c r="A1132" s="0" t="s">
        <v>9789</v>
      </c>
      <c r="B1132" s="0" t="s">
        <v>6896</v>
      </c>
      <c r="C1132" s="0" t="s">
        <v>6896</v>
      </c>
      <c r="D1132" s="0" t="s">
        <v>9792</v>
      </c>
      <c r="E1132" s="0" t="s">
        <v>9793</v>
      </c>
      <c r="F1132" s="0" t="s">
        <v>4084</v>
      </c>
      <c r="G1132" s="0" t="s">
        <v>9</v>
      </c>
    </row>
    <row r="1133" customFormat="false" ht="15" hidden="false" customHeight="false" outlineLevel="0" collapsed="false">
      <c r="A1133" s="0" t="s">
        <v>9789</v>
      </c>
      <c r="B1133" s="0" t="s">
        <v>6898</v>
      </c>
      <c r="C1133" s="0" t="s">
        <v>6898</v>
      </c>
      <c r="D1133" s="0" t="s">
        <v>9794</v>
      </c>
      <c r="E1133" s="0" t="s">
        <v>9795</v>
      </c>
      <c r="F1133" s="0" t="s">
        <v>4084</v>
      </c>
      <c r="G1133" s="0" t="s">
        <v>9</v>
      </c>
    </row>
    <row r="1134" customFormat="false" ht="15" hidden="false" customHeight="false" outlineLevel="0" collapsed="false">
      <c r="A1134" s="0" t="s">
        <v>9789</v>
      </c>
      <c r="B1134" s="0" t="s">
        <v>6900</v>
      </c>
      <c r="C1134" s="0" t="s">
        <v>6900</v>
      </c>
      <c r="D1134" s="0" t="s">
        <v>9796</v>
      </c>
      <c r="E1134" s="0" t="s">
        <v>9797</v>
      </c>
      <c r="F1134" s="0" t="s">
        <v>4084</v>
      </c>
      <c r="G1134" s="0" t="s">
        <v>9</v>
      </c>
    </row>
    <row r="1135" customFormat="false" ht="15" hidden="false" customHeight="false" outlineLevel="0" collapsed="false">
      <c r="A1135" s="0" t="s">
        <v>9789</v>
      </c>
      <c r="B1135" s="0" t="s">
        <v>6858</v>
      </c>
      <c r="C1135" s="0" t="s">
        <v>6858</v>
      </c>
      <c r="D1135" s="0" t="s">
        <v>9798</v>
      </c>
      <c r="E1135" s="0" t="s">
        <v>9799</v>
      </c>
      <c r="F1135" s="0" t="s">
        <v>4084</v>
      </c>
      <c r="G1135" s="0" t="s">
        <v>9</v>
      </c>
    </row>
    <row r="1136" customFormat="false" ht="15" hidden="false" customHeight="false" outlineLevel="0" collapsed="false">
      <c r="A1136" s="0" t="s">
        <v>9789</v>
      </c>
      <c r="B1136" s="0" t="s">
        <v>6904</v>
      </c>
      <c r="C1136" s="0" t="s">
        <v>6904</v>
      </c>
      <c r="D1136" s="0" t="s">
        <v>9800</v>
      </c>
      <c r="E1136" s="0" t="s">
        <v>9801</v>
      </c>
      <c r="F1136" s="0" t="s">
        <v>4084</v>
      </c>
      <c r="G1136" s="0" t="s">
        <v>9</v>
      </c>
    </row>
    <row r="1137" customFormat="false" ht="15" hidden="false" customHeight="false" outlineLevel="0" collapsed="false">
      <c r="A1137" s="0" t="s">
        <v>9789</v>
      </c>
      <c r="B1137" s="0" t="s">
        <v>6906</v>
      </c>
      <c r="C1137" s="0" t="s">
        <v>6906</v>
      </c>
      <c r="D1137" s="0" t="s">
        <v>9802</v>
      </c>
      <c r="E1137" s="0" t="s">
        <v>9803</v>
      </c>
      <c r="F1137" s="0" t="s">
        <v>4084</v>
      </c>
      <c r="G1137" s="0" t="s">
        <v>9</v>
      </c>
    </row>
    <row r="1138" customFormat="false" ht="15" hidden="false" customHeight="false" outlineLevel="0" collapsed="false">
      <c r="A1138" s="0" t="s">
        <v>9789</v>
      </c>
      <c r="B1138" s="0" t="s">
        <v>6908</v>
      </c>
      <c r="C1138" s="0" t="s">
        <v>6908</v>
      </c>
      <c r="D1138" s="0" t="s">
        <v>9804</v>
      </c>
      <c r="E1138" s="0" t="s">
        <v>9805</v>
      </c>
      <c r="F1138" s="0" t="s">
        <v>4084</v>
      </c>
      <c r="G1138" s="0" t="s">
        <v>9</v>
      </c>
    </row>
    <row r="1139" customFormat="false" ht="15" hidden="false" customHeight="false" outlineLevel="0" collapsed="false">
      <c r="A1139" s="0" t="s">
        <v>9806</v>
      </c>
      <c r="B1139" s="0" t="s">
        <v>108</v>
      </c>
      <c r="C1139" s="0" t="s">
        <v>108</v>
      </c>
      <c r="D1139" s="0" t="s">
        <v>9807</v>
      </c>
      <c r="E1139" s="0" t="s">
        <v>9808</v>
      </c>
      <c r="F1139" s="0" t="s">
        <v>4084</v>
      </c>
      <c r="G1139" s="0" t="s">
        <v>9</v>
      </c>
    </row>
    <row r="1140" customFormat="false" ht="15" hidden="false" customHeight="false" outlineLevel="0" collapsed="false">
      <c r="A1140" s="0" t="s">
        <v>9806</v>
      </c>
      <c r="B1140" s="0" t="s">
        <v>116</v>
      </c>
      <c r="C1140" s="0" t="s">
        <v>116</v>
      </c>
      <c r="D1140" s="0" t="s">
        <v>9809</v>
      </c>
      <c r="E1140" s="0" t="s">
        <v>9810</v>
      </c>
      <c r="F1140" s="0" t="s">
        <v>4084</v>
      </c>
      <c r="G1140" s="0" t="s">
        <v>9</v>
      </c>
    </row>
    <row r="1141" customFormat="false" ht="15" hidden="false" customHeight="false" outlineLevel="0" collapsed="false">
      <c r="A1141" s="0" t="s">
        <v>9806</v>
      </c>
      <c r="B1141" s="0" t="s">
        <v>122</v>
      </c>
      <c r="C1141" s="0" t="s">
        <v>122</v>
      </c>
      <c r="D1141" s="0" t="s">
        <v>9811</v>
      </c>
      <c r="E1141" s="0" t="s">
        <v>9812</v>
      </c>
      <c r="F1141" s="0" t="s">
        <v>4084</v>
      </c>
      <c r="G1141" s="0" t="s">
        <v>9</v>
      </c>
    </row>
    <row r="1142" customFormat="false" ht="15" hidden="false" customHeight="false" outlineLevel="0" collapsed="false">
      <c r="A1142" s="0" t="s">
        <v>9813</v>
      </c>
      <c r="B1142" s="0" t="s">
        <v>4011</v>
      </c>
      <c r="C1142" s="0" t="s">
        <v>4011</v>
      </c>
      <c r="D1142" s="0" t="s">
        <v>9814</v>
      </c>
      <c r="E1142" s="0" t="s">
        <v>9815</v>
      </c>
      <c r="F1142" s="0" t="s">
        <v>4084</v>
      </c>
      <c r="G1142" s="0" t="s">
        <v>9</v>
      </c>
    </row>
    <row r="1143" customFormat="false" ht="15" hidden="false" customHeight="false" outlineLevel="0" collapsed="false">
      <c r="A1143" s="0" t="s">
        <v>9813</v>
      </c>
      <c r="B1143" s="0" t="s">
        <v>4031</v>
      </c>
      <c r="C1143" s="0" t="s">
        <v>4031</v>
      </c>
      <c r="D1143" s="0" t="s">
        <v>9816</v>
      </c>
      <c r="E1143" s="0" t="s">
        <v>9817</v>
      </c>
      <c r="F1143" s="0" t="s">
        <v>4084</v>
      </c>
      <c r="G1143" s="0" t="s">
        <v>9</v>
      </c>
    </row>
    <row r="1144" customFormat="false" ht="15" hidden="false" customHeight="false" outlineLevel="0" collapsed="false">
      <c r="A1144" s="0" t="s">
        <v>9813</v>
      </c>
      <c r="B1144" s="0" t="s">
        <v>4034</v>
      </c>
      <c r="C1144" s="0" t="s">
        <v>4034</v>
      </c>
      <c r="D1144" s="0" t="s">
        <v>9818</v>
      </c>
      <c r="E1144" s="0" t="s">
        <v>9819</v>
      </c>
      <c r="F1144" s="0" t="s">
        <v>4084</v>
      </c>
      <c r="G1144" s="0" t="s">
        <v>9</v>
      </c>
    </row>
    <row r="1145" customFormat="false" ht="15" hidden="false" customHeight="false" outlineLevel="0" collapsed="false">
      <c r="A1145" s="0" t="s">
        <v>9569</v>
      </c>
      <c r="B1145" s="0" t="s">
        <v>4453</v>
      </c>
      <c r="C1145" s="0" t="s">
        <v>4454</v>
      </c>
      <c r="D1145" s="0" t="s">
        <v>9820</v>
      </c>
      <c r="E1145" s="0" t="s">
        <v>9821</v>
      </c>
      <c r="F1145" s="0" t="s">
        <v>4084</v>
      </c>
      <c r="G1145" s="0" t="s">
        <v>9</v>
      </c>
    </row>
    <row r="1146" customFormat="false" ht="15" hidden="false" customHeight="false" outlineLevel="0" collapsed="false">
      <c r="A1146" s="0" t="s">
        <v>9569</v>
      </c>
      <c r="B1146" s="0" t="s">
        <v>4462</v>
      </c>
      <c r="C1146" s="0" t="s">
        <v>4463</v>
      </c>
      <c r="D1146" s="0" t="s">
        <v>9822</v>
      </c>
      <c r="E1146" s="0" t="s">
        <v>9823</v>
      </c>
      <c r="F1146" s="0" t="s">
        <v>4084</v>
      </c>
      <c r="G1146" s="0" t="s">
        <v>9</v>
      </c>
    </row>
    <row r="1147" customFormat="false" ht="15" hidden="false" customHeight="false" outlineLevel="0" collapsed="false">
      <c r="A1147" s="0" t="s">
        <v>9569</v>
      </c>
      <c r="B1147" s="0" t="s">
        <v>4470</v>
      </c>
      <c r="C1147" s="0" t="s">
        <v>4471</v>
      </c>
      <c r="D1147" s="0" t="s">
        <v>9824</v>
      </c>
      <c r="E1147" s="0" t="s">
        <v>9825</v>
      </c>
      <c r="F1147" s="0" t="s">
        <v>4084</v>
      </c>
      <c r="G1147" s="0" t="s">
        <v>9</v>
      </c>
    </row>
    <row r="1148" customFormat="false" ht="15" hidden="false" customHeight="false" outlineLevel="0" collapsed="false">
      <c r="A1148" s="0" t="s">
        <v>9569</v>
      </c>
      <c r="B1148" s="0" t="s">
        <v>4477</v>
      </c>
      <c r="C1148" s="0" t="s">
        <v>4478</v>
      </c>
      <c r="D1148" s="0" t="s">
        <v>9826</v>
      </c>
      <c r="E1148" s="0" t="s">
        <v>9827</v>
      </c>
      <c r="F1148" s="0" t="s">
        <v>9828</v>
      </c>
      <c r="G1148" s="0" t="s">
        <v>9</v>
      </c>
    </row>
    <row r="1149" customFormat="false" ht="15" hidden="false" customHeight="false" outlineLevel="0" collapsed="false">
      <c r="A1149" s="0" t="s">
        <v>9569</v>
      </c>
      <c r="B1149" s="0" t="s">
        <v>4486</v>
      </c>
      <c r="C1149" s="0" t="s">
        <v>4487</v>
      </c>
      <c r="D1149" s="0" t="s">
        <v>9829</v>
      </c>
      <c r="E1149" s="0" t="s">
        <v>9830</v>
      </c>
      <c r="F1149" s="0" t="s">
        <v>9828</v>
      </c>
      <c r="G1149" s="0" t="s">
        <v>9</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70"/>
    <col collapsed="false" customWidth="true" hidden="false" outlineLevel="0" max="4" min="4" style="0" width="62"/>
    <col collapsed="false" customWidth="true" hidden="false" outlineLevel="0" max="5" min="5" style="0" width="100"/>
    <col collapsed="false" customWidth="true" hidden="false" outlineLevel="0" max="6" min="6" style="0" width="48"/>
    <col collapsed="false" customWidth="true" hidden="false" outlineLevel="0" max="7" min="7" style="0" width="12"/>
  </cols>
  <sheetData>
    <row r="1" customFormat="false" ht="30" hidden="false" customHeight="true" outlineLevel="0" collapsed="false">
      <c r="A1" s="1" t="s">
        <v>9831</v>
      </c>
      <c r="B1" s="1"/>
      <c r="C1" s="1"/>
      <c r="D1" s="1"/>
      <c r="E1" s="1"/>
      <c r="F1" s="1"/>
      <c r="G1" s="1"/>
    </row>
    <row r="2" customFormat="false" ht="42" hidden="false" customHeight="true" outlineLevel="0" collapsed="false">
      <c r="A2" s="2" t="s">
        <v>9832</v>
      </c>
      <c r="B2" s="2"/>
      <c r="C2" s="2"/>
      <c r="D2" s="2"/>
      <c r="E2" s="2"/>
      <c r="F2" s="2"/>
      <c r="G2" s="2"/>
    </row>
    <row r="3" customFormat="false" ht="15" hidden="false" customHeight="false" outlineLevel="0" collapsed="false">
      <c r="A3" s="3"/>
      <c r="B3" s="3"/>
      <c r="C3" s="3"/>
      <c r="D3" s="3"/>
      <c r="E3" s="3"/>
      <c r="F3" s="3"/>
      <c r="G3" s="3"/>
    </row>
    <row r="5" customFormat="false" ht="38" hidden="false" customHeight="true" outlineLevel="0" collapsed="false">
      <c r="A5" s="10" t="s">
        <v>9833</v>
      </c>
      <c r="B5" s="10" t="s">
        <v>9834</v>
      </c>
      <c r="C5" s="10" t="s">
        <v>9835</v>
      </c>
      <c r="D5" s="10" t="s">
        <v>9836</v>
      </c>
      <c r="E5" s="10" t="s">
        <v>9837</v>
      </c>
      <c r="F5" s="10" t="s">
        <v>9838</v>
      </c>
      <c r="G5" s="10" t="s">
        <v>4342</v>
      </c>
    </row>
    <row r="6" customFormat="false" ht="84" hidden="false" customHeight="true" outlineLevel="0" collapsed="false">
      <c r="A6" s="11" t="s">
        <v>9839</v>
      </c>
      <c r="B6" s="11" t="s">
        <v>9840</v>
      </c>
      <c r="C6" s="11" t="s">
        <v>9841</v>
      </c>
      <c r="D6" s="11" t="s">
        <v>9842</v>
      </c>
      <c r="E6" s="11" t="s">
        <v>9843</v>
      </c>
      <c r="F6" s="11" t="s">
        <v>4096</v>
      </c>
      <c r="G6" s="12" t="s">
        <v>9</v>
      </c>
    </row>
    <row r="7" customFormat="false" ht="84" hidden="false" customHeight="true" outlineLevel="0" collapsed="false">
      <c r="A7" s="11" t="s">
        <v>9844</v>
      </c>
      <c r="B7" s="11" t="s">
        <v>9840</v>
      </c>
      <c r="C7" s="11" t="s">
        <v>9845</v>
      </c>
      <c r="D7" s="11" t="s">
        <v>9846</v>
      </c>
      <c r="E7" s="11" t="s">
        <v>9847</v>
      </c>
      <c r="F7" s="11" t="s">
        <v>9848</v>
      </c>
      <c r="G7" s="12" t="s">
        <v>9</v>
      </c>
    </row>
    <row r="8" customFormat="false" ht="84" hidden="false" customHeight="true" outlineLevel="0" collapsed="false">
      <c r="A8" s="11" t="s">
        <v>9849</v>
      </c>
      <c r="B8" s="11" t="s">
        <v>9850</v>
      </c>
      <c r="C8" s="11" t="s">
        <v>9851</v>
      </c>
      <c r="D8" s="11" t="s">
        <v>9852</v>
      </c>
      <c r="E8" s="11" t="s">
        <v>9853</v>
      </c>
      <c r="F8" s="11" t="s">
        <v>9854</v>
      </c>
      <c r="G8" s="12" t="s">
        <v>9</v>
      </c>
    </row>
    <row r="9" customFormat="false" ht="84" hidden="false" customHeight="true" outlineLevel="0" collapsed="false">
      <c r="A9" s="11" t="s">
        <v>9855</v>
      </c>
      <c r="B9" s="11" t="s">
        <v>9856</v>
      </c>
      <c r="C9" s="11" t="s">
        <v>9857</v>
      </c>
      <c r="D9" s="11" t="s">
        <v>9858</v>
      </c>
      <c r="E9" s="11" t="s">
        <v>9859</v>
      </c>
      <c r="F9" s="11" t="s">
        <v>9860</v>
      </c>
      <c r="G9" s="12" t="s">
        <v>9</v>
      </c>
    </row>
    <row r="10" customFormat="false" ht="84" hidden="false" customHeight="true" outlineLevel="0" collapsed="false">
      <c r="A10" s="11" t="s">
        <v>9861</v>
      </c>
      <c r="B10" s="11" t="s">
        <v>9862</v>
      </c>
      <c r="C10" s="11" t="s">
        <v>9863</v>
      </c>
      <c r="D10" s="11" t="s">
        <v>9864</v>
      </c>
      <c r="E10" s="11" t="s">
        <v>9865</v>
      </c>
      <c r="F10" s="11" t="s">
        <v>4127</v>
      </c>
      <c r="G10" s="12" t="s">
        <v>9</v>
      </c>
    </row>
    <row r="11" customFormat="false" ht="84" hidden="false" customHeight="true" outlineLevel="0" collapsed="false">
      <c r="A11" s="11" t="s">
        <v>9866</v>
      </c>
      <c r="B11" s="11" t="s">
        <v>9867</v>
      </c>
      <c r="C11" s="11" t="s">
        <v>9868</v>
      </c>
      <c r="D11" s="11" t="s">
        <v>9864</v>
      </c>
      <c r="E11" s="11" t="s">
        <v>9869</v>
      </c>
      <c r="F11" s="11" t="s">
        <v>4130</v>
      </c>
      <c r="G11" s="12" t="s">
        <v>9</v>
      </c>
    </row>
    <row r="12" customFormat="false" ht="84" hidden="false" customHeight="true" outlineLevel="0" collapsed="false">
      <c r="A12" s="11" t="s">
        <v>9870</v>
      </c>
      <c r="B12" s="11" t="s">
        <v>9871</v>
      </c>
      <c r="C12" s="11" t="s">
        <v>9872</v>
      </c>
      <c r="D12" s="11" t="s">
        <v>9873</v>
      </c>
      <c r="E12" s="11" t="s">
        <v>9874</v>
      </c>
      <c r="F12" s="11" t="s">
        <v>4113</v>
      </c>
      <c r="G12" s="12" t="s">
        <v>9</v>
      </c>
    </row>
    <row r="13" customFormat="false" ht="84" hidden="false" customHeight="true" outlineLevel="0" collapsed="false">
      <c r="A13" s="11" t="s">
        <v>9875</v>
      </c>
      <c r="B13" s="11" t="s">
        <v>9871</v>
      </c>
      <c r="C13" s="11" t="s">
        <v>9876</v>
      </c>
      <c r="D13" s="11" t="s">
        <v>9877</v>
      </c>
      <c r="E13" s="11" t="s">
        <v>9878</v>
      </c>
      <c r="F13" s="11" t="s">
        <v>4307</v>
      </c>
      <c r="G13" s="12" t="s">
        <v>9</v>
      </c>
    </row>
    <row r="14" customFormat="false" ht="84" hidden="false" customHeight="true" outlineLevel="0" collapsed="false">
      <c r="A14" s="11" t="s">
        <v>9879</v>
      </c>
      <c r="B14" s="11" t="s">
        <v>9880</v>
      </c>
      <c r="C14" s="11" t="s">
        <v>9881</v>
      </c>
      <c r="D14" s="11" t="s">
        <v>9882</v>
      </c>
      <c r="E14" s="11" t="s">
        <v>9883</v>
      </c>
      <c r="F14" s="11" t="s">
        <v>6827</v>
      </c>
      <c r="G14" s="12" t="s">
        <v>9</v>
      </c>
    </row>
    <row r="15" customFormat="false" ht="84" hidden="false" customHeight="true" outlineLevel="0" collapsed="false">
      <c r="A15" s="11" t="s">
        <v>9884</v>
      </c>
      <c r="B15" s="11" t="s">
        <v>9885</v>
      </c>
      <c r="C15" s="11" t="s">
        <v>9886</v>
      </c>
      <c r="D15" s="11" t="s">
        <v>9882</v>
      </c>
      <c r="E15" s="11" t="s">
        <v>9887</v>
      </c>
      <c r="F15" s="11" t="s">
        <v>9888</v>
      </c>
      <c r="G15" s="12" t="s">
        <v>9</v>
      </c>
    </row>
    <row r="16" customFormat="false" ht="84" hidden="false" customHeight="true" outlineLevel="0" collapsed="false">
      <c r="A16" s="11" t="s">
        <v>9889</v>
      </c>
      <c r="B16" s="11" t="s">
        <v>9890</v>
      </c>
      <c r="C16" s="11" t="s">
        <v>9891</v>
      </c>
      <c r="D16" s="11" t="s">
        <v>9892</v>
      </c>
      <c r="E16" s="11" t="s">
        <v>9893</v>
      </c>
      <c r="F16" s="11" t="s">
        <v>4841</v>
      </c>
      <c r="G16" s="12" t="s">
        <v>9</v>
      </c>
    </row>
    <row r="17" customFormat="false" ht="84" hidden="false" customHeight="true" outlineLevel="0" collapsed="false">
      <c r="A17" s="11" t="s">
        <v>9894</v>
      </c>
      <c r="B17" s="11" t="s">
        <v>9895</v>
      </c>
      <c r="C17" s="11" t="s">
        <v>9896</v>
      </c>
      <c r="D17" s="11" t="s">
        <v>9897</v>
      </c>
      <c r="E17" s="11" t="s">
        <v>9898</v>
      </c>
      <c r="F17" s="11" t="s">
        <v>4339</v>
      </c>
      <c r="G17" s="12" t="s">
        <v>9</v>
      </c>
    </row>
    <row r="18" customFormat="false" ht="84" hidden="false" customHeight="true" outlineLevel="0" collapsed="false">
      <c r="A18" s="11" t="s">
        <v>9899</v>
      </c>
      <c r="B18" s="11" t="s">
        <v>9900</v>
      </c>
      <c r="C18" s="11" t="s">
        <v>9901</v>
      </c>
      <c r="D18" s="11" t="s">
        <v>9902</v>
      </c>
      <c r="E18" s="11" t="s">
        <v>9903</v>
      </c>
      <c r="F18" s="11" t="s">
        <v>4833</v>
      </c>
      <c r="G18" s="12" t="s">
        <v>9</v>
      </c>
    </row>
    <row r="19" customFormat="false" ht="84" hidden="false" customHeight="true" outlineLevel="0" collapsed="false">
      <c r="A19" s="11" t="s">
        <v>9904</v>
      </c>
      <c r="B19" s="11" t="s">
        <v>4060</v>
      </c>
      <c r="C19" s="11" t="s">
        <v>9905</v>
      </c>
      <c r="D19" s="11" t="s">
        <v>9906</v>
      </c>
      <c r="E19" s="11" t="s">
        <v>9907</v>
      </c>
      <c r="F19" s="11" t="s">
        <v>4120</v>
      </c>
      <c r="G19" s="12" t="s">
        <v>9</v>
      </c>
    </row>
    <row r="20" customFormat="false" ht="84" hidden="false" customHeight="true" outlineLevel="0" collapsed="false">
      <c r="A20" s="11" t="s">
        <v>9908</v>
      </c>
      <c r="B20" s="11" t="s">
        <v>4060</v>
      </c>
      <c r="C20" s="11" t="s">
        <v>9909</v>
      </c>
      <c r="D20" s="11" t="s">
        <v>9910</v>
      </c>
      <c r="E20" s="11" t="s">
        <v>9911</v>
      </c>
      <c r="F20" s="11" t="s">
        <v>4511</v>
      </c>
      <c r="G20" s="12" t="s">
        <v>9</v>
      </c>
    </row>
    <row r="21" customFormat="false" ht="84" hidden="false" customHeight="true" outlineLevel="0" collapsed="false">
      <c r="A21" s="11" t="s">
        <v>9912</v>
      </c>
      <c r="B21" s="11" t="s">
        <v>9913</v>
      </c>
      <c r="C21" s="11" t="s">
        <v>9914</v>
      </c>
      <c r="D21" s="11" t="s">
        <v>9915</v>
      </c>
      <c r="E21" s="11" t="s">
        <v>9916</v>
      </c>
      <c r="F21" s="11" t="s">
        <v>9917</v>
      </c>
      <c r="G21" s="12" t="s">
        <v>9</v>
      </c>
    </row>
    <row r="22" customFormat="false" ht="84" hidden="false" customHeight="true" outlineLevel="0" collapsed="false">
      <c r="A22" s="11" t="s">
        <v>9918</v>
      </c>
      <c r="B22" s="11" t="s">
        <v>40</v>
      </c>
      <c r="C22" s="11" t="s">
        <v>9919</v>
      </c>
      <c r="D22" s="11" t="s">
        <v>9920</v>
      </c>
      <c r="E22" s="11" t="s">
        <v>9921</v>
      </c>
      <c r="F22" s="11" t="s">
        <v>4081</v>
      </c>
      <c r="G22" s="12" t="s">
        <v>9</v>
      </c>
    </row>
    <row r="23" customFormat="false" ht="84" hidden="false" customHeight="true" outlineLevel="0" collapsed="false">
      <c r="A23" s="11" t="s">
        <v>9922</v>
      </c>
      <c r="B23" s="11" t="s">
        <v>9923</v>
      </c>
      <c r="C23" s="11" t="s">
        <v>9924</v>
      </c>
      <c r="D23" s="11" t="s">
        <v>9925</v>
      </c>
      <c r="E23" s="11" t="s">
        <v>9926</v>
      </c>
      <c r="F23" s="11" t="s">
        <v>9927</v>
      </c>
      <c r="G23" s="12" t="s">
        <v>9</v>
      </c>
    </row>
    <row r="24" customFormat="false" ht="15" hidden="false" customHeight="false" outlineLevel="0" collapsed="false">
      <c r="A24" s="0" t="s">
        <v>9928</v>
      </c>
      <c r="B24" s="0" t="s">
        <v>9929</v>
      </c>
      <c r="C24" s="0" t="s">
        <v>9930</v>
      </c>
      <c r="D24" s="0" t="s">
        <v>9931</v>
      </c>
      <c r="E24" s="0" t="s">
        <v>9932</v>
      </c>
      <c r="F24" s="0" t="s">
        <v>4215</v>
      </c>
      <c r="G24" s="0" t="s">
        <v>9</v>
      </c>
    </row>
    <row r="25" customFormat="false" ht="15" hidden="false" customHeight="false" outlineLevel="0" collapsed="false">
      <c r="A25" s="0" t="s">
        <v>9933</v>
      </c>
      <c r="B25" s="0" t="s">
        <v>9929</v>
      </c>
      <c r="C25" s="0" t="s">
        <v>9934</v>
      </c>
      <c r="D25" s="0" t="s">
        <v>9931</v>
      </c>
      <c r="E25" s="0" t="s">
        <v>9932</v>
      </c>
      <c r="F25" s="0" t="s">
        <v>4215</v>
      </c>
      <c r="G25" s="0" t="s">
        <v>9</v>
      </c>
    </row>
    <row r="26" customFormat="false" ht="15" hidden="false" customHeight="false" outlineLevel="0" collapsed="false">
      <c r="A26" s="0" t="s">
        <v>9935</v>
      </c>
      <c r="B26" s="0" t="s">
        <v>9929</v>
      </c>
      <c r="C26" s="0" t="s">
        <v>9936</v>
      </c>
      <c r="D26" s="0" t="s">
        <v>9931</v>
      </c>
      <c r="E26" s="0" t="s">
        <v>9937</v>
      </c>
      <c r="F26" s="0" t="s">
        <v>9938</v>
      </c>
      <c r="G26" s="0" t="s">
        <v>9</v>
      </c>
    </row>
    <row r="27" customFormat="false" ht="15" hidden="false" customHeight="false" outlineLevel="0" collapsed="false">
      <c r="A27" s="0" t="s">
        <v>9939</v>
      </c>
      <c r="B27" s="0" t="s">
        <v>9929</v>
      </c>
      <c r="C27" s="0" t="s">
        <v>9940</v>
      </c>
      <c r="D27" s="0" t="s">
        <v>9931</v>
      </c>
      <c r="E27" s="0" t="s">
        <v>9937</v>
      </c>
      <c r="F27" s="0" t="s">
        <v>9941</v>
      </c>
      <c r="G27" s="0" t="s">
        <v>9</v>
      </c>
    </row>
    <row r="28" customFormat="false" ht="15" hidden="false" customHeight="false" outlineLevel="0" collapsed="false">
      <c r="A28" s="0" t="s">
        <v>9942</v>
      </c>
      <c r="B28" s="0" t="s">
        <v>9929</v>
      </c>
      <c r="C28" s="0" t="s">
        <v>9943</v>
      </c>
      <c r="D28" s="0" t="s">
        <v>9944</v>
      </c>
      <c r="E28" s="0" t="s">
        <v>9945</v>
      </c>
      <c r="F28" s="0" t="s">
        <v>4215</v>
      </c>
      <c r="G28" s="0" t="s">
        <v>9</v>
      </c>
    </row>
    <row r="29" customFormat="false" ht="15" hidden="false" customHeight="false" outlineLevel="0" collapsed="false">
      <c r="A29" s="0" t="s">
        <v>9946</v>
      </c>
      <c r="B29" s="0" t="s">
        <v>9947</v>
      </c>
      <c r="C29" s="0" t="s">
        <v>9948</v>
      </c>
      <c r="D29" s="0" t="s">
        <v>9931</v>
      </c>
      <c r="E29" s="0" t="s">
        <v>9949</v>
      </c>
      <c r="F29" s="0" t="s">
        <v>4215</v>
      </c>
      <c r="G29" s="0" t="s">
        <v>9</v>
      </c>
    </row>
    <row r="30" customFormat="false" ht="15" hidden="false" customHeight="false" outlineLevel="0" collapsed="false">
      <c r="A30" s="0" t="s">
        <v>9950</v>
      </c>
      <c r="B30" s="0" t="s">
        <v>9947</v>
      </c>
      <c r="C30" s="0" t="s">
        <v>9951</v>
      </c>
      <c r="D30" s="0" t="s">
        <v>9931</v>
      </c>
      <c r="E30" s="0" t="s">
        <v>9952</v>
      </c>
      <c r="F30" s="0" t="s">
        <v>4215</v>
      </c>
      <c r="G30" s="0" t="s">
        <v>9</v>
      </c>
    </row>
    <row r="31" customFormat="false" ht="15" hidden="false" customHeight="false" outlineLevel="0" collapsed="false">
      <c r="A31" s="0" t="s">
        <v>9953</v>
      </c>
      <c r="B31" s="0" t="s">
        <v>9954</v>
      </c>
      <c r="C31" s="0" t="s">
        <v>9955</v>
      </c>
      <c r="D31" s="0" t="s">
        <v>9956</v>
      </c>
      <c r="E31" s="0" t="s">
        <v>9957</v>
      </c>
      <c r="F31" s="0" t="s">
        <v>4215</v>
      </c>
      <c r="G31" s="0" t="s">
        <v>9</v>
      </c>
    </row>
    <row r="32" customFormat="false" ht="15" hidden="false" customHeight="false" outlineLevel="0" collapsed="false">
      <c r="A32" s="0" t="s">
        <v>9958</v>
      </c>
      <c r="B32" s="0" t="s">
        <v>9959</v>
      </c>
      <c r="C32" s="0" t="s">
        <v>9960</v>
      </c>
      <c r="D32" s="0" t="s">
        <v>9931</v>
      </c>
      <c r="E32" s="0" t="s">
        <v>9961</v>
      </c>
      <c r="F32" s="0" t="s">
        <v>4215</v>
      </c>
      <c r="G32" s="0" t="s">
        <v>9</v>
      </c>
    </row>
    <row r="33" customFormat="false" ht="15" hidden="false" customHeight="false" outlineLevel="0" collapsed="false">
      <c r="A33" s="0" t="s">
        <v>9962</v>
      </c>
      <c r="B33" s="0" t="s">
        <v>9963</v>
      </c>
      <c r="C33" s="0" t="s">
        <v>9964</v>
      </c>
      <c r="D33" s="0" t="s">
        <v>9931</v>
      </c>
      <c r="E33" s="0" t="s">
        <v>9965</v>
      </c>
      <c r="F33" s="0" t="s">
        <v>4215</v>
      </c>
      <c r="G33" s="0" t="s">
        <v>9</v>
      </c>
    </row>
    <row r="34" customFormat="false" ht="15" hidden="false" customHeight="false" outlineLevel="0" collapsed="false">
      <c r="A34" s="0" t="s">
        <v>9966</v>
      </c>
      <c r="B34" s="0" t="s">
        <v>9967</v>
      </c>
      <c r="C34" s="0" t="s">
        <v>9968</v>
      </c>
      <c r="D34" s="0" t="s">
        <v>9931</v>
      </c>
      <c r="E34" s="0" t="s">
        <v>9969</v>
      </c>
      <c r="F34" s="0" t="s">
        <v>4215</v>
      </c>
      <c r="G34" s="0" t="s">
        <v>9</v>
      </c>
    </row>
    <row r="35" customFormat="false" ht="15" hidden="false" customHeight="false" outlineLevel="0" collapsed="false">
      <c r="A35" s="0" t="s">
        <v>9970</v>
      </c>
      <c r="B35" s="0" t="s">
        <v>9971</v>
      </c>
      <c r="C35" s="0" t="s">
        <v>9972</v>
      </c>
      <c r="D35" s="0" t="s">
        <v>9931</v>
      </c>
      <c r="E35" s="0" t="s">
        <v>9969</v>
      </c>
      <c r="F35" s="0" t="s">
        <v>9973</v>
      </c>
      <c r="G35" s="0" t="s">
        <v>9</v>
      </c>
    </row>
    <row r="36" customFormat="false" ht="15" hidden="false" customHeight="false" outlineLevel="0" collapsed="false">
      <c r="A36" s="0" t="s">
        <v>9974</v>
      </c>
      <c r="B36" s="0" t="s">
        <v>9975</v>
      </c>
      <c r="C36" s="0" t="s">
        <v>9976</v>
      </c>
      <c r="D36" s="0" t="s">
        <v>9977</v>
      </c>
      <c r="E36" s="0" t="s">
        <v>9978</v>
      </c>
      <c r="F36" s="0" t="s">
        <v>6841</v>
      </c>
      <c r="G36" s="0" t="s">
        <v>9</v>
      </c>
    </row>
    <row r="37" customFormat="false" ht="15" hidden="false" customHeight="false" outlineLevel="0" collapsed="false">
      <c r="A37" s="0" t="s">
        <v>9979</v>
      </c>
      <c r="B37" s="0" t="s">
        <v>9980</v>
      </c>
      <c r="C37" s="0" t="s">
        <v>6897</v>
      </c>
      <c r="D37" s="0" t="s">
        <v>9977</v>
      </c>
      <c r="E37" s="0" t="s">
        <v>9981</v>
      </c>
      <c r="F37" s="0" t="s">
        <v>6862</v>
      </c>
      <c r="G37" s="0" t="s">
        <v>9</v>
      </c>
    </row>
    <row r="38" customFormat="false" ht="15" hidden="false" customHeight="false" outlineLevel="0" collapsed="false">
      <c r="A38" s="0" t="s">
        <v>9982</v>
      </c>
      <c r="B38" s="0" t="s">
        <v>9983</v>
      </c>
      <c r="C38" s="0" t="s">
        <v>9984</v>
      </c>
      <c r="D38" s="0" t="s">
        <v>9985</v>
      </c>
      <c r="E38" s="0" t="s">
        <v>9986</v>
      </c>
      <c r="F38" s="0" t="s">
        <v>4215</v>
      </c>
      <c r="G38" s="0" t="s">
        <v>9</v>
      </c>
    </row>
    <row r="39" customFormat="false" ht="15" hidden="false" customHeight="false" outlineLevel="0" collapsed="false">
      <c r="A39" s="0" t="s">
        <v>9987</v>
      </c>
      <c r="B39" s="0" t="s">
        <v>9988</v>
      </c>
      <c r="C39" s="0" t="s">
        <v>9989</v>
      </c>
      <c r="D39" s="0" t="s">
        <v>9882</v>
      </c>
      <c r="E39" s="0" t="s">
        <v>9990</v>
      </c>
      <c r="F39" s="0" t="s">
        <v>6827</v>
      </c>
      <c r="G39" s="0" t="s">
        <v>9</v>
      </c>
    </row>
    <row r="40" customFormat="false" ht="15" hidden="false" customHeight="false" outlineLevel="0" collapsed="false">
      <c r="A40" s="0" t="s">
        <v>9991</v>
      </c>
      <c r="B40" s="0" t="s">
        <v>9992</v>
      </c>
      <c r="C40" s="0" t="s">
        <v>9993</v>
      </c>
      <c r="D40" s="0" t="s">
        <v>9994</v>
      </c>
      <c r="E40" s="0" t="s">
        <v>9995</v>
      </c>
      <c r="F40" s="0" t="s">
        <v>6926</v>
      </c>
      <c r="G40" s="0" t="s">
        <v>9</v>
      </c>
    </row>
    <row r="41" customFormat="false" ht="15" hidden="false" customHeight="false" outlineLevel="0" collapsed="false">
      <c r="A41" s="0" t="s">
        <v>9996</v>
      </c>
      <c r="B41" s="0" t="s">
        <v>9997</v>
      </c>
      <c r="C41" s="0" t="s">
        <v>9998</v>
      </c>
      <c r="D41" s="0" t="s">
        <v>9999</v>
      </c>
      <c r="E41" s="0" t="s">
        <v>10000</v>
      </c>
      <c r="F41" s="0" t="s">
        <v>4219</v>
      </c>
      <c r="G41" s="0" t="s">
        <v>9</v>
      </c>
    </row>
    <row r="42" customFormat="false" ht="15" hidden="false" customHeight="false" outlineLevel="0" collapsed="false">
      <c r="A42" s="0" t="s">
        <v>10001</v>
      </c>
      <c r="B42" s="0" t="s">
        <v>10002</v>
      </c>
      <c r="C42" s="0" t="s">
        <v>10003</v>
      </c>
      <c r="D42" s="0" t="s">
        <v>10004</v>
      </c>
      <c r="E42" s="0" t="s">
        <v>10005</v>
      </c>
      <c r="F42" s="0" t="s">
        <v>4215</v>
      </c>
      <c r="G42" s="0" t="s">
        <v>9</v>
      </c>
    </row>
    <row r="43" customFormat="false" ht="15" hidden="false" customHeight="false" outlineLevel="0" collapsed="false">
      <c r="A43" s="0" t="s">
        <v>10006</v>
      </c>
      <c r="B43" s="0" t="s">
        <v>10007</v>
      </c>
      <c r="C43" s="0" t="s">
        <v>10008</v>
      </c>
      <c r="D43" s="0" t="s">
        <v>10009</v>
      </c>
      <c r="E43" s="0" t="s">
        <v>10010</v>
      </c>
      <c r="F43" s="0" t="s">
        <v>4215</v>
      </c>
      <c r="G43" s="0" t="s">
        <v>9</v>
      </c>
    </row>
    <row r="44" customFormat="false" ht="15" hidden="false" customHeight="false" outlineLevel="0" collapsed="false">
      <c r="A44" s="0" t="s">
        <v>10011</v>
      </c>
      <c r="B44" s="0" t="s">
        <v>10012</v>
      </c>
      <c r="C44" s="0" t="s">
        <v>10013</v>
      </c>
      <c r="D44" s="0" t="s">
        <v>10014</v>
      </c>
      <c r="E44" s="0" t="s">
        <v>10015</v>
      </c>
      <c r="F44" s="0" t="s">
        <v>4215</v>
      </c>
      <c r="G44" s="0" t="s">
        <v>9</v>
      </c>
    </row>
    <row r="45" customFormat="false" ht="15" hidden="false" customHeight="false" outlineLevel="0" collapsed="false">
      <c r="A45" s="0" t="s">
        <v>10016</v>
      </c>
      <c r="B45" s="0" t="s">
        <v>10017</v>
      </c>
      <c r="C45" s="0" t="s">
        <v>10018</v>
      </c>
      <c r="D45" s="0" t="s">
        <v>10019</v>
      </c>
      <c r="E45" s="0" t="s">
        <v>10020</v>
      </c>
      <c r="F45" s="0" t="s">
        <v>4215</v>
      </c>
      <c r="G45" s="0" t="s">
        <v>9</v>
      </c>
    </row>
    <row r="46" customFormat="false" ht="15" hidden="false" customHeight="false" outlineLevel="0" collapsed="false">
      <c r="A46" s="0" t="s">
        <v>10021</v>
      </c>
      <c r="B46" s="0" t="s">
        <v>10022</v>
      </c>
      <c r="C46" s="0" t="s">
        <v>10023</v>
      </c>
      <c r="D46" s="0" t="s">
        <v>10014</v>
      </c>
      <c r="E46" s="0" t="s">
        <v>10024</v>
      </c>
      <c r="F46" s="0" t="s">
        <v>4215</v>
      </c>
      <c r="G46" s="0" t="s">
        <v>9</v>
      </c>
    </row>
    <row r="47" customFormat="false" ht="15" hidden="false" customHeight="false" outlineLevel="0" collapsed="false">
      <c r="A47" s="0" t="s">
        <v>10025</v>
      </c>
      <c r="B47" s="0" t="s">
        <v>10026</v>
      </c>
      <c r="C47" s="0" t="s">
        <v>10027</v>
      </c>
      <c r="D47" s="0" t="s">
        <v>10028</v>
      </c>
      <c r="E47" s="0" t="s">
        <v>10029</v>
      </c>
      <c r="F47" s="0" t="s">
        <v>4215</v>
      </c>
      <c r="G47" s="0" t="s">
        <v>9</v>
      </c>
    </row>
    <row r="48" customFormat="false" ht="15" hidden="false" customHeight="false" outlineLevel="0" collapsed="false">
      <c r="A48" s="0" t="s">
        <v>10030</v>
      </c>
      <c r="B48" s="0" t="s">
        <v>10031</v>
      </c>
      <c r="C48" s="0" t="s">
        <v>10032</v>
      </c>
      <c r="D48" s="0" t="s">
        <v>10033</v>
      </c>
      <c r="E48" s="0" t="s">
        <v>10034</v>
      </c>
      <c r="F48" s="0" t="s">
        <v>55</v>
      </c>
      <c r="G48" s="0" t="s">
        <v>9</v>
      </c>
    </row>
    <row r="49" customFormat="false" ht="15" hidden="false" customHeight="false" outlineLevel="0" collapsed="false">
      <c r="A49" s="0" t="s">
        <v>10035</v>
      </c>
      <c r="B49" s="0" t="s">
        <v>10036</v>
      </c>
      <c r="C49" s="0" t="s">
        <v>10037</v>
      </c>
      <c r="D49" s="0" t="s">
        <v>10033</v>
      </c>
      <c r="E49" s="0" t="s">
        <v>10038</v>
      </c>
      <c r="F49" s="0" t="s">
        <v>10039</v>
      </c>
      <c r="G49" s="0" t="s">
        <v>9</v>
      </c>
    </row>
    <row r="50" customFormat="false" ht="15" hidden="false" customHeight="false" outlineLevel="0" collapsed="false">
      <c r="A50" s="0" t="s">
        <v>10040</v>
      </c>
      <c r="B50" s="0" t="s">
        <v>10041</v>
      </c>
      <c r="C50" s="0" t="s">
        <v>10042</v>
      </c>
      <c r="D50" s="0" t="s">
        <v>10043</v>
      </c>
      <c r="E50" s="0" t="s">
        <v>10044</v>
      </c>
      <c r="F50" s="0" t="s">
        <v>55</v>
      </c>
      <c r="G50" s="0" t="s">
        <v>9</v>
      </c>
    </row>
    <row r="51" customFormat="false" ht="15" hidden="false" customHeight="false" outlineLevel="0" collapsed="false">
      <c r="A51" s="0" t="s">
        <v>10045</v>
      </c>
      <c r="B51" s="0" t="s">
        <v>10046</v>
      </c>
      <c r="C51" s="0" t="s">
        <v>10047</v>
      </c>
      <c r="D51" s="0" t="s">
        <v>10048</v>
      </c>
      <c r="E51" s="0" t="s">
        <v>10049</v>
      </c>
      <c r="F51" s="0" t="s">
        <v>55</v>
      </c>
      <c r="G51" s="0" t="s">
        <v>9</v>
      </c>
    </row>
    <row r="52" customFormat="false" ht="15" hidden="false" customHeight="false" outlineLevel="0" collapsed="false">
      <c r="A52" s="0" t="s">
        <v>10050</v>
      </c>
      <c r="B52" s="0" t="s">
        <v>10051</v>
      </c>
      <c r="C52" s="0" t="s">
        <v>10052</v>
      </c>
      <c r="D52" s="0" t="s">
        <v>10048</v>
      </c>
      <c r="E52" s="0" t="s">
        <v>10053</v>
      </c>
      <c r="F52" s="0" t="s">
        <v>55</v>
      </c>
      <c r="G52" s="0" t="s">
        <v>9</v>
      </c>
    </row>
    <row r="53" customFormat="false" ht="15" hidden="false" customHeight="false" outlineLevel="0" collapsed="false">
      <c r="A53" s="0" t="s">
        <v>10054</v>
      </c>
      <c r="B53" s="0" t="s">
        <v>10055</v>
      </c>
      <c r="C53" s="0" t="s">
        <v>10056</v>
      </c>
      <c r="D53" s="0" t="s">
        <v>10048</v>
      </c>
      <c r="E53" s="0" t="s">
        <v>10057</v>
      </c>
      <c r="F53" s="0" t="s">
        <v>55</v>
      </c>
      <c r="G53" s="0" t="s">
        <v>9</v>
      </c>
    </row>
    <row r="54" customFormat="false" ht="15" hidden="false" customHeight="false" outlineLevel="0" collapsed="false">
      <c r="A54" s="0" t="s">
        <v>10058</v>
      </c>
      <c r="B54" s="0" t="s">
        <v>10017</v>
      </c>
      <c r="C54" s="0" t="s">
        <v>10059</v>
      </c>
      <c r="D54" s="0" t="s">
        <v>10060</v>
      </c>
      <c r="E54" s="0" t="s">
        <v>10061</v>
      </c>
      <c r="F54" s="0" t="s">
        <v>55</v>
      </c>
      <c r="G54" s="0" t="s">
        <v>9</v>
      </c>
    </row>
    <row r="55" customFormat="false" ht="15" hidden="false" customHeight="false" outlineLevel="0" collapsed="false">
      <c r="A55" s="0" t="s">
        <v>10062</v>
      </c>
      <c r="B55" s="0" t="s">
        <v>10063</v>
      </c>
      <c r="C55" s="0" t="s">
        <v>10064</v>
      </c>
      <c r="D55" s="0" t="s">
        <v>10065</v>
      </c>
      <c r="E55" s="0" t="s">
        <v>10066</v>
      </c>
      <c r="F55" s="0" t="s">
        <v>55</v>
      </c>
      <c r="G55" s="0" t="s">
        <v>9</v>
      </c>
    </row>
    <row r="56" customFormat="false" ht="15" hidden="false" customHeight="false" outlineLevel="0" collapsed="false">
      <c r="A56" s="0" t="s">
        <v>10067</v>
      </c>
      <c r="B56" s="0" t="s">
        <v>10068</v>
      </c>
      <c r="C56" s="0" t="s">
        <v>10069</v>
      </c>
      <c r="D56" s="0" t="s">
        <v>10070</v>
      </c>
      <c r="E56" s="0" t="s">
        <v>10071</v>
      </c>
      <c r="F56" s="0" t="s">
        <v>4494</v>
      </c>
      <c r="G56" s="0" t="s">
        <v>9</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3" min="2" style="0" width="18"/>
    <col collapsed="false" customWidth="true" hidden="false" outlineLevel="0" max="4" min="4" style="0" width="14"/>
    <col collapsed="false" customWidth="true" hidden="false" outlineLevel="0" max="5" min="5" style="0" width="96"/>
  </cols>
  <sheetData>
    <row r="1" customFormat="false" ht="30" hidden="false" customHeight="true" outlineLevel="0" collapsed="false">
      <c r="A1" s="1" t="s">
        <v>10072</v>
      </c>
      <c r="B1" s="1"/>
      <c r="C1" s="1"/>
      <c r="D1" s="1"/>
      <c r="E1" s="1"/>
    </row>
    <row r="2" customFormat="false" ht="42" hidden="false" customHeight="true" outlineLevel="0" collapsed="false">
      <c r="A2" s="2" t="s">
        <v>10073</v>
      </c>
      <c r="B2" s="2"/>
      <c r="C2" s="2"/>
      <c r="D2" s="2"/>
      <c r="E2" s="2"/>
    </row>
    <row r="3" customFormat="false" ht="15" hidden="false" customHeight="false" outlineLevel="0" collapsed="false">
      <c r="A3" s="3"/>
      <c r="B3" s="3"/>
      <c r="C3" s="3"/>
      <c r="D3" s="3"/>
      <c r="E3" s="3"/>
    </row>
    <row r="5" customFormat="false" ht="38" hidden="false" customHeight="true" outlineLevel="0" collapsed="false">
      <c r="A5" s="10" t="s">
        <v>4</v>
      </c>
      <c r="B5" s="10" t="s">
        <v>10074</v>
      </c>
      <c r="C5" s="10" t="s">
        <v>10075</v>
      </c>
      <c r="D5" s="10" t="s">
        <v>10076</v>
      </c>
      <c r="E5" s="10" t="s">
        <v>10077</v>
      </c>
    </row>
    <row r="6" customFormat="false" ht="52" hidden="false" customHeight="true" outlineLevel="0" collapsed="false">
      <c r="A6" s="11" t="s">
        <v>15</v>
      </c>
      <c r="B6" s="11" t="n">
        <v>7</v>
      </c>
      <c r="C6" s="11" t="n">
        <f aca="false">COUNTA('01_Характеристики'!$A$6:$A$12)</f>
        <v>7</v>
      </c>
      <c r="D6" s="12" t="str">
        <f aca="false">IF(C6=B6,"PASS","FAIL")</f>
        <v>PASS</v>
      </c>
      <c r="E6" s="11" t="s">
        <v>10078</v>
      </c>
    </row>
    <row r="7" customFormat="false" ht="52" hidden="false" customHeight="true" outlineLevel="0" collapsed="false">
      <c r="A7" s="11" t="s">
        <v>17</v>
      </c>
      <c r="B7" s="11" t="n">
        <v>3</v>
      </c>
      <c r="C7" s="11" t="n">
        <f aca="false">COUNTA('02_Расы'!$A$6:$A$8)</f>
        <v>3</v>
      </c>
      <c r="D7" s="12" t="str">
        <f aca="false">IF(C7=B7,"PASS","FAIL")</f>
        <v>PASS</v>
      </c>
      <c r="E7" s="11" t="s">
        <v>10079</v>
      </c>
    </row>
    <row r="8" customFormat="false" ht="52" hidden="false" customHeight="true" outlineLevel="0" collapsed="false">
      <c r="A8" s="11" t="s">
        <v>19</v>
      </c>
      <c r="B8" s="11" t="n">
        <v>3</v>
      </c>
      <c r="C8" s="11" t="n">
        <f aca="false">COUNTA('03_Классы'!$A$6:$A$8)</f>
        <v>3</v>
      </c>
      <c r="D8" s="12" t="str">
        <f aca="false">IF(C8=B8,"PASS","FAIL")</f>
        <v>PASS</v>
      </c>
      <c r="E8" s="11" t="s">
        <v>10080</v>
      </c>
    </row>
    <row r="9" customFormat="false" ht="52" hidden="false" customHeight="true" outlineLevel="0" collapsed="false">
      <c r="A9" s="11" t="s">
        <v>20</v>
      </c>
      <c r="B9" s="11" t="n">
        <v>45</v>
      </c>
      <c r="C9" s="11" t="n">
        <f aca="false">COUNTA('04_Навыки'!$B$6:$B$50)</f>
        <v>45</v>
      </c>
      <c r="D9" s="12" t="str">
        <f aca="false">IF(C9=B9,"PASS","FAIL")</f>
        <v>PASS</v>
      </c>
      <c r="E9" s="11" t="s">
        <v>10081</v>
      </c>
    </row>
    <row r="10" customFormat="false" ht="52" hidden="false" customHeight="true" outlineLevel="0" collapsed="false">
      <c r="A10" s="11" t="s">
        <v>22</v>
      </c>
      <c r="B10" s="11" t="n">
        <v>23</v>
      </c>
      <c r="C10" s="11" t="n">
        <f aca="false">COUNTA('07_Симбионты'!$A$6:$A$28)</f>
        <v>23</v>
      </c>
      <c r="D10" s="12" t="str">
        <f aca="false">IF(C10=B10,"PASS","FAIL")</f>
        <v>PASS</v>
      </c>
      <c r="E10" s="11" t="s">
        <v>10082</v>
      </c>
    </row>
    <row r="11" customFormat="false" ht="52" hidden="false" customHeight="true" outlineLevel="0" collapsed="false">
      <c r="A11" s="11" t="s">
        <v>24</v>
      </c>
      <c r="B11" s="11" t="n">
        <v>182</v>
      </c>
      <c r="C11" s="11" t="n">
        <f aca="false">COUNTA('09_Узлы_развития'!$A$6:$A$187)</f>
        <v>182</v>
      </c>
      <c r="D11" s="12" t="str">
        <f aca="false">IF(C11=B11,"PASS","FAIL")</f>
        <v>PASS</v>
      </c>
      <c r="E11" s="11" t="s">
        <v>10083</v>
      </c>
    </row>
    <row r="12" customFormat="false" ht="52" hidden="false" customHeight="true" outlineLevel="0" collapsed="false">
      <c r="A12" s="11" t="s">
        <v>27</v>
      </c>
      <c r="B12" s="11" t="n">
        <v>167</v>
      </c>
      <c r="C12" s="11" t="n">
        <f aca="false">COUNTA('10_Способности'!$A$6:$A$172)</f>
        <v>167</v>
      </c>
      <c r="D12" s="12" t="str">
        <f aca="false">IF(C12=B12,"PASS","FAIL")</f>
        <v>PASS</v>
      </c>
      <c r="E12" s="11" t="s">
        <v>10084</v>
      </c>
    </row>
    <row r="13" customFormat="false" ht="52" hidden="false" customHeight="true" outlineLevel="0" collapsed="false">
      <c r="A13" s="11" t="s">
        <v>30</v>
      </c>
      <c r="B13" s="11" t="n">
        <v>334</v>
      </c>
      <c r="C13" s="11" t="n">
        <f aca="false">COUNTA('11_Контексты_способностей'!$A$6:$A$339)</f>
        <v>334</v>
      </c>
      <c r="D13" s="12" t="str">
        <f aca="false">IF(C13=B13,"PASS","FAIL")</f>
        <v>PASS</v>
      </c>
      <c r="E13" s="11" t="s">
        <v>10085</v>
      </c>
    </row>
    <row r="14" customFormat="false" ht="52" hidden="false" customHeight="true" outlineLevel="0" collapsed="false">
      <c r="A14" s="11" t="s">
        <v>32</v>
      </c>
      <c r="B14" s="11" t="n">
        <v>15</v>
      </c>
      <c r="C14" s="11" t="n">
        <f aca="false">COUNTIF('09_Узлы_развития'!$K$6:$K$187,"NODE_ONLY_MANUAL")</f>
        <v>15</v>
      </c>
      <c r="D14" s="12" t="str">
        <f aca="false">IF(C14=B14,"PASS","FAIL")</f>
        <v>PASS</v>
      </c>
      <c r="E14" s="11" t="s">
        <v>10086</v>
      </c>
    </row>
    <row r="15" customFormat="false" ht="52" hidden="false" customHeight="true" outlineLevel="0" collapsed="false">
      <c r="A15" s="11" t="s">
        <v>10087</v>
      </c>
      <c r="B15" s="11" t="n">
        <v>1</v>
      </c>
      <c r="C15" s="11" t="n">
        <f aca="false">COUNTA('13_Генерируемые_объекты'!$A$6)</f>
        <v>1</v>
      </c>
      <c r="D15" s="12" t="str">
        <f aca="false">IF(C15=B15,"PASS","FAIL")</f>
        <v>PASS</v>
      </c>
      <c r="E15" s="11" t="s">
        <v>4060</v>
      </c>
    </row>
    <row r="16" customFormat="false" ht="52" hidden="false" customHeight="true" outlineLevel="0" collapsed="false">
      <c r="A16" s="11" t="s">
        <v>10088</v>
      </c>
      <c r="B16" s="11" t="n">
        <v>0</v>
      </c>
      <c r="C16" s="11" t="n">
        <v>0</v>
      </c>
      <c r="D16" s="12" t="str">
        <f aca="false">IF(C16=B16,"PASS","FAIL")</f>
        <v>PASS</v>
      </c>
      <c r="E16" s="11" t="s">
        <v>10089</v>
      </c>
    </row>
    <row r="17" customFormat="false" ht="52" hidden="false" customHeight="true" outlineLevel="0" collapsed="false">
      <c r="A17" s="11" t="s">
        <v>10090</v>
      </c>
      <c r="B17" s="11" t="n">
        <v>0</v>
      </c>
      <c r="C17" s="11" t="n">
        <v>0</v>
      </c>
      <c r="D17" s="12" t="str">
        <f aca="false">IF(C17=B17,"PASS","FAIL")</f>
        <v>PASS</v>
      </c>
      <c r="E17" s="11" t="s">
        <v>10091</v>
      </c>
    </row>
    <row r="18" customFormat="false" ht="52" hidden="false" customHeight="true" outlineLevel="0" collapsed="false">
      <c r="A18" s="11" t="s">
        <v>10092</v>
      </c>
      <c r="B18" s="11" t="n">
        <v>0</v>
      </c>
      <c r="C18" s="11" t="n">
        <v>0</v>
      </c>
      <c r="D18" s="12" t="str">
        <f aca="false">IF(C18=B18,"PASS","FAIL")</f>
        <v>PASS</v>
      </c>
      <c r="E18" s="11" t="s">
        <v>10093</v>
      </c>
    </row>
    <row r="19" customFormat="false" ht="52" hidden="false" customHeight="true" outlineLevel="0" collapsed="false">
      <c r="A19" s="11" t="s">
        <v>10094</v>
      </c>
      <c r="B19" s="11" t="n">
        <v>0</v>
      </c>
      <c r="C19" s="11" t="n">
        <f aca="false">COUNTIF('21_QA_совместимость'!$G$6:$G$56,"FAIL")</f>
        <v>0</v>
      </c>
      <c r="D19" s="12" t="str">
        <f aca="false">IF(C19=B19,"PASS","FAIL")</f>
        <v>PASS</v>
      </c>
      <c r="E19" s="11" t="s">
        <v>10095</v>
      </c>
    </row>
    <row r="20" customFormat="false" ht="52" hidden="false" customHeight="true" outlineLevel="0" collapsed="false">
      <c r="A20" s="11" t="s">
        <v>10096</v>
      </c>
      <c r="B20" s="11" t="n">
        <v>0</v>
      </c>
      <c r="C20" s="11" t="n">
        <v>0</v>
      </c>
      <c r="D20" s="12" t="str">
        <f aca="false">IF(C20=B20,"PASS","FAIL")</f>
        <v>PASS</v>
      </c>
      <c r="E20" s="11" t="s">
        <v>10097</v>
      </c>
    </row>
    <row r="21" customFormat="false" ht="52" hidden="false" customHeight="true" outlineLevel="0" collapsed="false">
      <c r="A21" s="11" t="s">
        <v>10098</v>
      </c>
      <c r="B21" s="11" t="n">
        <v>0</v>
      </c>
      <c r="C21" s="11" t="n">
        <f aca="false">COUNTIF('20_Payload_JSON'!$G$6:$G$1149,"FAIL")</f>
        <v>0</v>
      </c>
      <c r="D21" s="12" t="str">
        <f aca="false">IF(C21=B21,"PASS","FAIL")</f>
        <v>PASS</v>
      </c>
      <c r="E21" s="11" t="s">
        <v>10099</v>
      </c>
    </row>
    <row r="22" customFormat="false" ht="52" hidden="false" customHeight="true" outlineLevel="0" collapsed="false">
      <c r="A22" s="11" t="s">
        <v>10100</v>
      </c>
      <c r="B22" s="11" t="s">
        <v>9</v>
      </c>
      <c r="C22" s="11" t="str">
        <f aca="false">IF(AND(COUNTIF('20_Payload_JSON'!$F$6:$F$1147,"&lt;&gt;Rules v1.6 | Character-Skills-Symbionts v1.1 | Items v1.5_with_icons | Bestiary v1.3 | Sentient v1.2")=0,COUNTIF('20_Payload_JSON'!$F$1148:$F$1149,"Rules v1.7 | Character-Skills-Symbionts v1.2 | Items v1.6_with_icons | Bestiary v1.4 | Sentient v1.2")=2),"PASS","FAIL")</f>
        <v>PASS</v>
      </c>
      <c r="D22" s="12" t="str">
        <f aca="false">IF(C22=B22,"PASS","FAIL")</f>
        <v>PASS</v>
      </c>
      <c r="E22" s="11" t="s">
        <v>10101</v>
      </c>
    </row>
    <row r="23" customFormat="false" ht="52" hidden="false" customHeight="true" outlineLevel="0" collapsed="false">
      <c r="A23" s="11" t="s">
        <v>10102</v>
      </c>
      <c r="B23" s="11" t="s">
        <v>9</v>
      </c>
      <c r="C23" s="11" t="s">
        <v>9</v>
      </c>
      <c r="D23" s="12" t="str">
        <f aca="false">IF(C23=B23,"PASS","FAIL")</f>
        <v>PASS</v>
      </c>
      <c r="E23" s="11" t="s">
        <v>10103</v>
      </c>
    </row>
    <row r="24" customFormat="false" ht="52" hidden="false" customHeight="true" outlineLevel="0" collapsed="false">
      <c r="A24" s="11" t="s">
        <v>26</v>
      </c>
      <c r="B24" s="11" t="s">
        <v>9</v>
      </c>
      <c r="C24" s="11" t="s">
        <v>9</v>
      </c>
      <c r="D24" s="12" t="str">
        <f aca="false">IF(C24=B24,"PASS","FAIL")</f>
        <v>PASS</v>
      </c>
      <c r="E24" s="11" t="s">
        <v>10104</v>
      </c>
    </row>
    <row r="25" customFormat="false" ht="15" hidden="false" customHeight="false" outlineLevel="0" collapsed="false">
      <c r="A25" s="0" t="s">
        <v>44</v>
      </c>
      <c r="B25" s="0" t="n">
        <v>48</v>
      </c>
      <c r="C25" s="0" t="n">
        <f aca="false">COUNTA('07_Симбионты'!$A$35:$A$82)</f>
        <v>48</v>
      </c>
      <c r="D25" s="0" t="str">
        <f aca="false">IF(C25=B25,"PASS","FAIL")</f>
        <v>PASS</v>
      </c>
      <c r="E25" s="0" t="s">
        <v>10105</v>
      </c>
    </row>
    <row r="26" customFormat="false" ht="15" hidden="false" customHeight="false" outlineLevel="0" collapsed="false">
      <c r="A26" s="0" t="s">
        <v>10106</v>
      </c>
      <c r="B26" s="0" t="n">
        <v>23</v>
      </c>
      <c r="C26" s="0" t="n">
        <f aca="false">COUNTA('07_Симбионты'!$Q$6:$Q$28)</f>
        <v>23</v>
      </c>
      <c r="D26" s="0" t="str">
        <f aca="false">IF(C26=B26,"PASS","FAIL")</f>
        <v>PASS</v>
      </c>
      <c r="E26" s="0" t="s">
        <v>10107</v>
      </c>
    </row>
    <row r="27" customFormat="false" ht="15" hidden="false" customHeight="false" outlineLevel="0" collapsed="false">
      <c r="A27" s="0" t="s">
        <v>10108</v>
      </c>
      <c r="B27" s="0" t="n">
        <v>0</v>
      </c>
      <c r="C27" s="0" t="n">
        <f aca="false">COUNTIF('07_Симбионты'!$G$35:$G$82,"&lt;&gt;1")</f>
        <v>0</v>
      </c>
      <c r="D27" s="0" t="str">
        <f aca="false">IF(C27=B27,"PASS","FAIL")</f>
        <v>PASS</v>
      </c>
      <c r="E27" s="0" t="s">
        <v>10109</v>
      </c>
    </row>
    <row r="28" customFormat="false" ht="15" hidden="false" customHeight="false" outlineLevel="0" collapsed="false">
      <c r="A28" s="0" t="s">
        <v>10110</v>
      </c>
      <c r="B28" s="0" t="n">
        <v>3</v>
      </c>
      <c r="C28" s="0" t="n">
        <f aca="false">COUNTA('02_Расы'!$M$6:$M$8)</f>
        <v>3</v>
      </c>
      <c r="D28" s="0" t="str">
        <f aca="false">IF(C28=B28,"PASS","FAIL")</f>
        <v>PASS</v>
      </c>
      <c r="E28" s="0" t="s">
        <v>10111</v>
      </c>
    </row>
    <row r="29" customFormat="false" ht="15" hidden="false" customHeight="false" outlineLevel="0" collapsed="false">
      <c r="A29" s="0" t="s">
        <v>10112</v>
      </c>
      <c r="B29" s="0" t="n">
        <v>2</v>
      </c>
      <c r="C29" s="0" t="n">
        <f aca="false">COUNTIF('14_Контракты_Runtime'!$A$30:$A$44,"symbiontXpProgressPoints")+COUNTIF('14_Контракты_Runtime'!$A$30:$A$44,"unallocatedSymbiontXp")</f>
        <v>2</v>
      </c>
      <c r="D29" s="0" t="str">
        <f aca="false">IF(C29=B29,"PASS","FAIL")</f>
        <v>PASS</v>
      </c>
      <c r="E29" s="0" t="s">
        <v>10113</v>
      </c>
    </row>
    <row r="30" customFormat="false" ht="15" hidden="false" customHeight="false" outlineLevel="0" collapsed="false">
      <c r="A30" s="0" t="s">
        <v>10114</v>
      </c>
      <c r="B30" s="0" t="n">
        <v>3</v>
      </c>
      <c r="C30" s="0" t="n">
        <f aca="false">COUNTIF('14_Контракты_Runtime'!$A$49:$A$66,"xp")+COUNTIF('14_Контракты_Runtime'!$A$49:$A$66,"effectsEnabled")+COUNTIF('14_Контракты_Runtime'!$A$49:$A$66,"xpEligible")</f>
        <v>3</v>
      </c>
      <c r="D30" s="0" t="str">
        <f aca="false">IF(C30=B30,"PASS","FAIL")</f>
        <v>PASS</v>
      </c>
      <c r="E30" s="0" t="s">
        <v>10115</v>
      </c>
    </row>
    <row r="31" customFormat="false" ht="15" hidden="false" customHeight="false" outlineLevel="0" collapsed="false">
      <c r="A31" s="0" t="s">
        <v>48</v>
      </c>
      <c r="B31" s="0" t="n">
        <v>19</v>
      </c>
      <c r="C31" s="0" t="n">
        <f aca="false">COUNTA('24_XP_Runtime'!$A$59:$A$77)</f>
        <v>19</v>
      </c>
      <c r="D31" s="0" t="str">
        <f aca="false">IF(C31=B31,"PASS","FAIL")</f>
        <v>PASS</v>
      </c>
      <c r="E31" s="0" t="s">
        <v>10116</v>
      </c>
    </row>
    <row r="32" customFormat="false" ht="15" hidden="false" customHeight="false" outlineLevel="0" collapsed="false">
      <c r="A32" s="0" t="s">
        <v>10117</v>
      </c>
      <c r="B32" s="0" t="n">
        <v>3</v>
      </c>
      <c r="C32" s="0" t="n">
        <f aca="false">COUNTA('24_XP_Runtime'!$A$6:$A$8)</f>
        <v>3</v>
      </c>
      <c r="D32" s="0" t="str">
        <f aca="false">IF(C32=B32,"PASS","FAIL")</f>
        <v>PASS</v>
      </c>
      <c r="E32" s="0" t="s">
        <v>10118</v>
      </c>
    </row>
    <row r="33" customFormat="false" ht="15" hidden="false" customHeight="false" outlineLevel="0" collapsed="false">
      <c r="A33" s="0" t="s">
        <v>10119</v>
      </c>
      <c r="B33" s="0" t="n">
        <v>7</v>
      </c>
      <c r="C33" s="0" t="n">
        <f aca="false">COUNTA('24_XP_Runtime'!$A$12:$A$18)</f>
        <v>7</v>
      </c>
      <c r="D33" s="0" t="str">
        <f aca="false">IF(C33=B33,"PASS","FAIL")</f>
        <v>PASS</v>
      </c>
      <c r="E33" s="0" t="s">
        <v>10120</v>
      </c>
    </row>
    <row r="34" customFormat="false" ht="15" hidden="false" customHeight="false" outlineLevel="0" collapsed="false">
      <c r="A34" s="0" t="s">
        <v>10121</v>
      </c>
      <c r="B34" s="0" t="n">
        <v>10</v>
      </c>
      <c r="C34" s="0" t="n">
        <f aca="false">COUNTIF('24_XP_Runtime'!$B$22:$B$32,"NO_DIRECT_BUT_POOL")</f>
        <v>10</v>
      </c>
      <c r="D34" s="0" t="str">
        <f aca="false">IF(C34=B34,"PASS","FAIL")</f>
        <v>PASS</v>
      </c>
      <c r="E34" s="0" t="s">
        <v>10122</v>
      </c>
    </row>
    <row r="35" customFormat="false" ht="15" hidden="false" customHeight="false" outlineLevel="0" collapsed="false">
      <c r="A35" s="0" t="s">
        <v>10123</v>
      </c>
      <c r="B35" s="0" t="n">
        <v>8</v>
      </c>
      <c r="C35" s="0" t="n">
        <f aca="false">COUNTA('24_XP_Runtime'!$A$36:$A$43)</f>
        <v>8</v>
      </c>
      <c r="D35" s="0" t="str">
        <f aca="false">IF(C35=B35,"PASS","FAIL")</f>
        <v>PASS</v>
      </c>
      <c r="E35" s="0" t="s">
        <v>10124</v>
      </c>
    </row>
    <row r="36" customFormat="false" ht="15" hidden="false" customHeight="false" outlineLevel="0" collapsed="false">
      <c r="A36" s="0" t="s">
        <v>10125</v>
      </c>
      <c r="B36" s="0" t="n">
        <v>3</v>
      </c>
      <c r="C36" s="0" t="n">
        <f aca="false">COUNTA('24_XP_Runtime'!$A$47:$A$49)</f>
        <v>3</v>
      </c>
      <c r="D36" s="0" t="str">
        <f aca="false">IF(C36=B36,"PASS","FAIL")</f>
        <v>PASS</v>
      </c>
      <c r="E36" s="0" t="s">
        <v>10126</v>
      </c>
    </row>
    <row r="37" customFormat="false" ht="15" hidden="false" customHeight="false" outlineLevel="0" collapsed="false">
      <c r="A37" s="0" t="s">
        <v>10127</v>
      </c>
      <c r="B37" s="0" t="n">
        <v>3</v>
      </c>
      <c r="C37" s="0" t="n">
        <f aca="false">COUNTA('24_XP_Runtime'!$A$53:$A$55)</f>
        <v>3</v>
      </c>
      <c r="D37" s="0" t="str">
        <f aca="false">IF(C37=B37,"PASS","FAIL")</f>
        <v>PASS</v>
      </c>
      <c r="E37" s="0" t="s">
        <v>10128</v>
      </c>
    </row>
    <row r="38" customFormat="false" ht="15" hidden="false" customHeight="false" outlineLevel="0" collapsed="false">
      <c r="A38" s="0" t="s">
        <v>10129</v>
      </c>
      <c r="B38" s="0" t="n">
        <v>4</v>
      </c>
      <c r="C38" s="0" t="n">
        <f aca="false">COUNTIF('15_Операции'!$B$6:$B$21,"ROUTE_SYMBIONT_XP_EVENT")+COUNTIF('15_Операции'!$B$6:$B$21,"CONVERT_SYMBIONT_XP_POINTS")+COUNTIF('15_Операции'!$B$6:$B$21,"ALLOCATE_UNASSIGNED_SYMBIONT_XP")+COUNTIF('15_Операции'!$B$6:$B$21,"GM_GRANT_SYMBIONT_XP")</f>
        <v>4</v>
      </c>
      <c r="D38" s="0" t="str">
        <f aca="false">IF(C38=B38,"PASS","FAIL")</f>
        <v>PASS</v>
      </c>
      <c r="E38" s="0" t="s">
        <v>10130</v>
      </c>
    </row>
    <row r="39" customFormat="false" ht="15" hidden="false" customHeight="false" outlineLevel="0" collapsed="false">
      <c r="A39" s="0" t="s">
        <v>10131</v>
      </c>
      <c r="B39" s="0" t="n">
        <v>51</v>
      </c>
      <c r="C39" s="0" t="n">
        <f aca="false">COUNTA('21_QA_совместимость'!$A$6:$A$56)</f>
        <v>51</v>
      </c>
      <c r="D39" s="0" t="str">
        <f aca="false">IF(C39=B39,"PASS","FAIL")</f>
        <v>PASS</v>
      </c>
      <c r="E39" s="0" t="s">
        <v>10132</v>
      </c>
    </row>
    <row r="40" customFormat="false" ht="15" hidden="false" customHeight="false" outlineLevel="0" collapsed="false">
      <c r="A40" s="0" t="s">
        <v>10133</v>
      </c>
      <c r="B40" s="0" t="n">
        <v>1144</v>
      </c>
      <c r="C40" s="0" t="n">
        <f aca="false">COUNTA('20_Payload_JSON'!$A$6:$A$1149)</f>
        <v>1144</v>
      </c>
      <c r="D40" s="0" t="str">
        <f aca="false">IF(C40=B40,"PASS","FAIL")</f>
        <v>PASS</v>
      </c>
      <c r="E40" s="0" t="s">
        <v>10134</v>
      </c>
    </row>
    <row r="41" customFormat="false" ht="15" hidden="false" customHeight="false" outlineLevel="0" collapsed="false">
      <c r="A41" s="0" t="s">
        <v>10135</v>
      </c>
      <c r="B41" s="0" t="n">
        <v>21</v>
      </c>
      <c r="C41" s="0" t="n">
        <f aca="false">COUNTIF('17_Трассировка_правил'!$A$6:$A$1000,"CORE-007")+COUNTIF('17_Трассировка_правил'!$A$6:$A$1000,"CORE-073")+COUNTIF('17_Трассировка_правил'!$A$6:$A$1000,"CORE-075")+COUNTIF('17_Трассировка_правил'!$A$6:$A$1000,"CORE-082")+COUNTIF('17_Трассировка_правил'!$A$6:$A$1000,"CORE-083")+COUNTIF('17_Трассировка_правил'!$A$6:$A$1000,"CORE-084")+COUNTIF('17_Трассировка_правил'!$A$6:$A$1000,"CORE-085")+COUNTIF('17_Трассировка_правил'!$A$6:$A$1000,"CORE-125")+COUNTIF('17_Трассировка_правил'!$A$6:$A$1000,"CORE-145")+COUNTIF('17_Трассировка_правил'!$A$6:$A$1000,"CORE-146")+COUNTIF('17_Трассировка_правил'!$A$6:$A$1000,"CORE-149")+COUNTIF('17_Трассировка_правил'!$A$6:$A$1000,"CORE-208")+COUNTIF('17_Трассировка_правил'!$A$6:$A$1000,"CORE-229")+COUNTIF('17_Трассировка_правил'!$A$6:$A$1000,"CORE-230")+COUNTIF('17_Трассировка_правил'!$A$6:$A$1000,"CORE-231")+COUNTIF('17_Трассировка_правил'!$A$6:$A$1000,"CORE-232")+COUNTIF('17_Трассировка_правил'!$A$6:$A$1000,"CORE-233")+COUNTIF('17_Трассировка_правил'!$A$6:$A$1000,"CORE-234")+COUNTIF('17_Трассировка_правил'!$A$6:$A$1000,"SYM-012")+COUNTIF('17_Трассировка_правил'!$A$6:$A$1000,"SYM-021")+COUNTIF('17_Трассировка_правил'!$A$6:$A$1000,"SYM-022")</f>
        <v>21</v>
      </c>
      <c r="D41" s="0" t="str">
        <f aca="false">IF(C41=B41,"PASS","FAIL")</f>
        <v>PASS</v>
      </c>
      <c r="E41" s="0" t="s">
        <v>10136</v>
      </c>
    </row>
    <row r="42" customFormat="false" ht="15" hidden="false" customHeight="false" outlineLevel="0" collapsed="false">
      <c r="A42" s="0" t="s">
        <v>42</v>
      </c>
      <c r="B42" s="0" t="s">
        <v>9</v>
      </c>
      <c r="C42" s="0" t="str">
        <f aca="false">IF(COUNTIF($D$6:$D$53,"FAIL")=0,"PASS","FAIL")</f>
        <v>PASS</v>
      </c>
      <c r="D42" s="0" t="str">
        <f aca="false">IF(C42=B42,"PASS","FAIL")</f>
        <v>PASS</v>
      </c>
      <c r="E42" s="0" t="s">
        <v>10137</v>
      </c>
    </row>
    <row r="43" customFormat="false" ht="15" hidden="false" customHeight="false" outlineLevel="0" collapsed="false">
      <c r="A43" s="0" t="s">
        <v>10138</v>
      </c>
      <c r="B43" s="0" t="n">
        <v>1</v>
      </c>
      <c r="C43" s="0" t="n">
        <f aca="false">COUNTIF('15_Операции'!$B$6:$B$21,"GM_GRANT_SYMBIONT_XP")</f>
        <v>1</v>
      </c>
      <c r="D43" s="0" t="str">
        <f aca="false">IF(C43=B43,"PASS","FAIL")</f>
        <v>PASS</v>
      </c>
      <c r="E43" s="0" t="s">
        <v>10139</v>
      </c>
    </row>
    <row r="44" customFormat="false" ht="15" hidden="false" customHeight="false" outlineLevel="0" collapsed="false">
      <c r="A44" s="0" t="s">
        <v>10140</v>
      </c>
      <c r="B44" s="0" t="n">
        <v>1</v>
      </c>
      <c r="C44" s="0" t="n">
        <f aca="false">COUNTIF('20_Payload_JSON'!$B$6:$B$1149,"OP-SYMBIONT-XP-GM-AWARD")</f>
        <v>1</v>
      </c>
      <c r="D44" s="0" t="str">
        <f aca="false">IF(C44=B44,"PASS","FAIL")</f>
        <v>PASS</v>
      </c>
      <c r="E44" s="0" t="s">
        <v>10141</v>
      </c>
    </row>
    <row r="45" customFormat="false" ht="15" hidden="false" customHeight="false" outlineLevel="0" collapsed="false">
      <c r="A45" s="0" t="s">
        <v>10142</v>
      </c>
      <c r="B45" s="0" t="n">
        <v>8</v>
      </c>
      <c r="C45" s="0" t="n">
        <f aca="false">COUNTIF('21_QA_совместимость'!$A$6:$A$56,"GMXP-QA-001")+COUNTIF('21_QA_совместимость'!$A$6:$A$56,"GMXP-QA-002")+COUNTIF('21_QA_совместимость'!$A$6:$A$56,"GMXP-QA-003")+COUNTIF('21_QA_совместимость'!$A$6:$A$56,"GMXP-QA-004")+COUNTIF('21_QA_совместимость'!$A$6:$A$56,"GMXP-QA-005")+COUNTIF('21_QA_совместимость'!$A$6:$A$56,"GMXP-QA-006")+COUNTIF('21_QA_совместимость'!$A$6:$A$56,"GMXP-QA-007")+COUNTIF('21_QA_совместимость'!$A$6:$A$56,"GMXP-QA-008")</f>
        <v>8</v>
      </c>
      <c r="D45" s="0" t="str">
        <f aca="false">IF(C45=B45,"PASS","FAIL")</f>
        <v>PASS</v>
      </c>
      <c r="E45" s="0" t="s">
        <v>10143</v>
      </c>
    </row>
    <row r="46" customFormat="false" ht="15" hidden="false" customHeight="false" outlineLevel="0" collapsed="false">
      <c r="A46" s="0" t="s">
        <v>10144</v>
      </c>
      <c r="B46" s="0" t="n">
        <v>1</v>
      </c>
      <c r="C46" s="0" t="n">
        <f aca="false">COUNTIF('24_XP_Runtime'!$A$81,"GM_DIRECT_SYMBIONT_XP")</f>
        <v>1</v>
      </c>
      <c r="D46" s="0" t="str">
        <f aca="false">IF(C46=B46,"PASS","FAIL")</f>
        <v>PASS</v>
      </c>
      <c r="E46" s="0" t="s">
        <v>10145</v>
      </c>
    </row>
    <row r="47" customFormat="false" ht="15" hidden="false" customHeight="false" outlineLevel="0" collapsed="false">
      <c r="A47" s="0" t="s">
        <v>10146</v>
      </c>
      <c r="B47" s="0" t="n">
        <v>11</v>
      </c>
      <c r="C47" s="0" t="n">
        <f aca="false">COUNTA('24_XP_Runtime'!$A$85:$A$95)</f>
        <v>11</v>
      </c>
      <c r="D47" s="0" t="str">
        <f aca="false">IF(C47=B47,"PASS","FAIL")</f>
        <v>PASS</v>
      </c>
      <c r="E47" s="0" t="s">
        <v>10147</v>
      </c>
    </row>
    <row r="48" customFormat="false" ht="15" hidden="false" customHeight="false" outlineLevel="0" collapsed="false">
      <c r="A48" s="0" t="s">
        <v>10148</v>
      </c>
      <c r="B48" s="0" t="n">
        <v>1</v>
      </c>
      <c r="C48" s="0" t="n">
        <f aca="false">IF(ISNUMBER(SEARCH("no rollback",'24_XP_Runtime'!$G$81)),1,0)</f>
        <v>1</v>
      </c>
      <c r="D48" s="0" t="str">
        <f aca="false">IF(C48=B48,"PASS","FAIL")</f>
        <v>PASS</v>
      </c>
      <c r="E48" s="0" t="s">
        <v>10149</v>
      </c>
    </row>
    <row r="49" customFormat="false" ht="15" hidden="false" customHeight="false" outlineLevel="0" collapsed="false">
      <c r="A49" s="0" t="s">
        <v>10150</v>
      </c>
      <c r="B49" s="0" t="n">
        <v>1</v>
      </c>
      <c r="C49" s="0" t="n">
        <f aca="false">IF(ISNUMBER(SEARCH("614f0da1c3128aebbb28d67a68a89ccd189a067c57d407c92536425e46072cdc",'15_Операции'!$F$16)),1,0)</f>
        <v>1</v>
      </c>
      <c r="D49" s="0" t="str">
        <f aca="false">IF(C49=B49,"PASS","FAIL")</f>
        <v>PASS</v>
      </c>
      <c r="E49" s="0" t="s">
        <v>10151</v>
      </c>
    </row>
    <row r="50" customFormat="false" ht="15" hidden="false" customHeight="false" outlineLevel="0" collapsed="false">
      <c r="A50" s="0" t="s">
        <v>10152</v>
      </c>
      <c r="B50" s="0" t="n">
        <v>1</v>
      </c>
      <c r="C50" s="0" t="n">
        <f aca="false">COUNTIF('14_Контракты_Runtime'!$A$7:$A$26,"forwardCompatibility")</f>
        <v>1</v>
      </c>
      <c r="D50" s="0" t="str">
        <f aca="false">IF(C50=B50,"PASS","FAIL")</f>
        <v>PASS</v>
      </c>
      <c r="E50" s="0" t="s">
        <v>10153</v>
      </c>
    </row>
    <row r="51" customFormat="false" ht="15" hidden="false" customHeight="false" outlineLevel="0" collapsed="false">
      <c r="A51" s="0" t="s">
        <v>10154</v>
      </c>
      <c r="B51" s="0" t="n">
        <v>2</v>
      </c>
      <c r="C51" s="0" t="n">
        <f aca="false">COUNTIF('20_Payload_JSON'!$F$1148:$F$1149,"Rules v1.7 | Character-Skills-Symbionts v1.2 | Items v1.6_with_icons | Bestiary v1.4 | Sentient v1.2")</f>
        <v>2</v>
      </c>
      <c r="D51" s="0" t="str">
        <f aca="false">IF(C51=B51,"PASS","FAIL")</f>
        <v>PASS</v>
      </c>
      <c r="E51" s="0" t="s">
        <v>10155</v>
      </c>
    </row>
    <row r="52" customFormat="false" ht="15" hidden="false" customHeight="false" outlineLevel="0" collapsed="false">
      <c r="A52" s="0" t="s">
        <v>10156</v>
      </c>
      <c r="B52" s="0" t="n">
        <v>1</v>
      </c>
      <c r="C52" s="0" t="n">
        <f aca="false">COUNTIF('15_Операции'!$B$6:$B$21,"GENERATE_ENEMY_GROUP")</f>
        <v>1</v>
      </c>
      <c r="D52" s="0" t="str">
        <f aca="false">IF(C52=B52,"PASS","FAIL")</f>
        <v>PASS</v>
      </c>
      <c r="E52" s="0" t="s">
        <v>10157</v>
      </c>
    </row>
    <row r="53" customFormat="false" ht="15" hidden="false" customHeight="false" outlineLevel="0" collapsed="false">
      <c r="A53" s="0" t="s">
        <v>10158</v>
      </c>
      <c r="B53" s="0" t="n">
        <v>1</v>
      </c>
      <c r="C53" s="0" t="n">
        <f aca="false">COUNTIF('20_Payload_JSON'!$B$6:$B$1149,"OP-ENEMY-GROUP-GENERATE")</f>
        <v>1</v>
      </c>
      <c r="D53" s="0" t="str">
        <f aca="false">IF(C53=B53,"PASS","FAIL")</f>
        <v>PASS</v>
      </c>
      <c r="E53" s="0" t="s">
        <v>10141</v>
      </c>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4"/>
    <col collapsed="false" customWidth="true" hidden="false" outlineLevel="0" max="4" min="4" style="0" width="38"/>
    <col collapsed="false" customWidth="true" hidden="false" outlineLevel="0" max="5" min="5" style="0" width="100"/>
    <col collapsed="false" customWidth="true" hidden="false" outlineLevel="0" max="6" min="6" style="0" width="48"/>
    <col collapsed="false" customWidth="true" hidden="false" outlineLevel="0" max="7" min="7" style="0" width="76"/>
    <col collapsed="false" customWidth="true" hidden="false" outlineLevel="0" max="8" min="8" style="0" width="42"/>
    <col collapsed="false" customWidth="true" hidden="false" outlineLevel="0" max="9" min="9" style="0" width="12"/>
  </cols>
  <sheetData>
    <row r="1" customFormat="false" ht="30" hidden="false" customHeight="true" outlineLevel="0" collapsed="false">
      <c r="A1" s="1" t="s">
        <v>10159</v>
      </c>
      <c r="B1" s="1"/>
      <c r="C1" s="1"/>
      <c r="D1" s="1"/>
      <c r="E1" s="1"/>
      <c r="F1" s="1"/>
      <c r="G1" s="1"/>
      <c r="H1" s="1"/>
      <c r="I1" s="1"/>
    </row>
    <row r="2" customFormat="false" ht="42" hidden="false" customHeight="true" outlineLevel="0" collapsed="false">
      <c r="A2" s="2" t="s">
        <v>10160</v>
      </c>
      <c r="B2" s="2"/>
      <c r="C2" s="2"/>
      <c r="D2" s="2"/>
      <c r="E2" s="2"/>
      <c r="F2" s="2"/>
      <c r="G2" s="2"/>
      <c r="H2" s="2"/>
      <c r="I2" s="2"/>
    </row>
    <row r="3" customFormat="false" ht="15" hidden="false" customHeight="false" outlineLevel="0" collapsed="false">
      <c r="A3" s="3"/>
      <c r="B3" s="3"/>
      <c r="C3" s="3"/>
      <c r="D3" s="3"/>
      <c r="E3" s="3"/>
      <c r="F3" s="3"/>
      <c r="G3" s="3"/>
      <c r="H3" s="3"/>
      <c r="I3" s="3"/>
    </row>
    <row r="5" customFormat="false" ht="38" hidden="false" customHeight="true" outlineLevel="0" collapsed="false">
      <c r="A5" s="10" t="s">
        <v>10161</v>
      </c>
      <c r="B5" s="10" t="s">
        <v>10162</v>
      </c>
      <c r="C5" s="10" t="s">
        <v>10163</v>
      </c>
      <c r="D5" s="10" t="s">
        <v>10164</v>
      </c>
      <c r="E5" s="10" t="s">
        <v>10165</v>
      </c>
      <c r="F5" s="10" t="s">
        <v>10166</v>
      </c>
      <c r="G5" s="10" t="s">
        <v>10167</v>
      </c>
      <c r="H5" s="10" t="s">
        <v>10168</v>
      </c>
      <c r="I5" s="10" t="s">
        <v>4514</v>
      </c>
    </row>
    <row r="6" customFormat="false" ht="84" hidden="false" customHeight="true" outlineLevel="0" collapsed="false">
      <c r="A6" s="11" t="n">
        <v>1</v>
      </c>
      <c r="B6" s="11" t="s">
        <v>10169</v>
      </c>
      <c r="C6" s="11" t="s">
        <v>10170</v>
      </c>
      <c r="D6" s="11" t="s">
        <v>4172</v>
      </c>
      <c r="E6" s="11" t="s">
        <v>10171</v>
      </c>
      <c r="F6" s="11" t="s">
        <v>10172</v>
      </c>
      <c r="G6" s="11" t="s">
        <v>10173</v>
      </c>
      <c r="H6" s="11" t="s">
        <v>10174</v>
      </c>
      <c r="I6" s="12" t="s">
        <v>10175</v>
      </c>
    </row>
    <row r="7" customFormat="false" ht="84" hidden="false" customHeight="true" outlineLevel="0" collapsed="false">
      <c r="A7" s="11" t="n">
        <v>2</v>
      </c>
      <c r="B7" s="11" t="s">
        <v>10169</v>
      </c>
      <c r="C7" s="11" t="s">
        <v>20</v>
      </c>
      <c r="D7" s="11" t="s">
        <v>10176</v>
      </c>
      <c r="E7" s="11" t="s">
        <v>10177</v>
      </c>
      <c r="F7" s="11" t="s">
        <v>10178</v>
      </c>
      <c r="G7" s="11" t="s">
        <v>10179</v>
      </c>
      <c r="H7" s="11" t="s">
        <v>10174</v>
      </c>
      <c r="I7" s="12" t="s">
        <v>10175</v>
      </c>
    </row>
    <row r="8" customFormat="false" ht="84" hidden="false" customHeight="true" outlineLevel="0" collapsed="false">
      <c r="A8" s="11" t="n">
        <v>3</v>
      </c>
      <c r="B8" s="11" t="s">
        <v>10169</v>
      </c>
      <c r="C8" s="11" t="s">
        <v>22</v>
      </c>
      <c r="D8" s="11" t="s">
        <v>10180</v>
      </c>
      <c r="E8" s="11" t="s">
        <v>10181</v>
      </c>
      <c r="F8" s="11" t="s">
        <v>10182</v>
      </c>
      <c r="G8" s="11" t="s">
        <v>10183</v>
      </c>
      <c r="H8" s="11" t="s">
        <v>10174</v>
      </c>
      <c r="I8" s="12" t="s">
        <v>10175</v>
      </c>
    </row>
    <row r="9" customFormat="false" ht="84" hidden="false" customHeight="true" outlineLevel="0" collapsed="false">
      <c r="A9" s="11" t="n">
        <v>4</v>
      </c>
      <c r="B9" s="11" t="s">
        <v>10169</v>
      </c>
      <c r="C9" s="11" t="s">
        <v>10184</v>
      </c>
      <c r="D9" s="11" t="s">
        <v>10185</v>
      </c>
      <c r="E9" s="11" t="s">
        <v>10186</v>
      </c>
      <c r="F9" s="11" t="s">
        <v>10187</v>
      </c>
      <c r="G9" s="11" t="s">
        <v>10188</v>
      </c>
      <c r="H9" s="11" t="s">
        <v>10174</v>
      </c>
      <c r="I9" s="12" t="s">
        <v>10175</v>
      </c>
    </row>
    <row r="10" customFormat="false" ht="84" hidden="false" customHeight="true" outlineLevel="0" collapsed="false">
      <c r="A10" s="11" t="n">
        <v>5</v>
      </c>
      <c r="B10" s="11" t="s">
        <v>10169</v>
      </c>
      <c r="C10" s="11" t="s">
        <v>30</v>
      </c>
      <c r="D10" s="11" t="s">
        <v>10189</v>
      </c>
      <c r="E10" s="11" t="s">
        <v>10190</v>
      </c>
      <c r="F10" s="11" t="s">
        <v>10191</v>
      </c>
      <c r="G10" s="11" t="s">
        <v>10192</v>
      </c>
      <c r="H10" s="11" t="s">
        <v>10174</v>
      </c>
      <c r="I10" s="12" t="s">
        <v>10175</v>
      </c>
    </row>
    <row r="11" customFormat="false" ht="84" hidden="false" customHeight="true" outlineLevel="0" collapsed="false">
      <c r="A11" s="11" t="n">
        <v>6</v>
      </c>
      <c r="B11" s="11" t="s">
        <v>10169</v>
      </c>
      <c r="C11" s="11" t="s">
        <v>4060</v>
      </c>
      <c r="D11" s="11" t="s">
        <v>10193</v>
      </c>
      <c r="E11" s="11" t="s">
        <v>10194</v>
      </c>
      <c r="F11" s="11" t="s">
        <v>4511</v>
      </c>
      <c r="G11" s="11" t="s">
        <v>10195</v>
      </c>
      <c r="H11" s="11" t="s">
        <v>10196</v>
      </c>
      <c r="I11" s="12" t="s">
        <v>10175</v>
      </c>
    </row>
    <row r="12" customFormat="false" ht="84" hidden="false" customHeight="true" outlineLevel="0" collapsed="false">
      <c r="A12" s="11" t="n">
        <v>7</v>
      </c>
      <c r="B12" s="11" t="s">
        <v>10197</v>
      </c>
      <c r="C12" s="11" t="s">
        <v>10198</v>
      </c>
      <c r="D12" s="11" t="s">
        <v>10199</v>
      </c>
      <c r="E12" s="11" t="s">
        <v>10200</v>
      </c>
      <c r="F12" s="11" t="s">
        <v>10201</v>
      </c>
      <c r="G12" s="11" t="s">
        <v>10202</v>
      </c>
      <c r="H12" s="11" t="s">
        <v>10174</v>
      </c>
      <c r="I12" s="12" t="s">
        <v>10175</v>
      </c>
    </row>
    <row r="13" customFormat="false" ht="84" hidden="false" customHeight="true" outlineLevel="0" collapsed="false">
      <c r="A13" s="11" t="n">
        <v>8</v>
      </c>
      <c r="B13" s="11" t="s">
        <v>6991</v>
      </c>
      <c r="C13" s="11" t="s">
        <v>10168</v>
      </c>
      <c r="D13" s="11" t="s">
        <v>10203</v>
      </c>
      <c r="E13" s="11" t="s">
        <v>10204</v>
      </c>
      <c r="F13" s="11" t="s">
        <v>10205</v>
      </c>
      <c r="G13" s="11" t="s">
        <v>10206</v>
      </c>
      <c r="H13" s="11" t="s">
        <v>10174</v>
      </c>
      <c r="I13" s="12" t="s">
        <v>9</v>
      </c>
    </row>
    <row r="14" customFormat="false" ht="84" hidden="false" customHeight="true" outlineLevel="0" collapsed="false">
      <c r="A14" s="11" t="n">
        <v>9</v>
      </c>
      <c r="B14" s="11" t="s">
        <v>10207</v>
      </c>
      <c r="C14" s="11" t="s">
        <v>10208</v>
      </c>
      <c r="D14" s="11" t="s">
        <v>10209</v>
      </c>
      <c r="E14" s="11" t="s">
        <v>10210</v>
      </c>
      <c r="F14" s="11" t="s">
        <v>10211</v>
      </c>
      <c r="G14" s="11" t="s">
        <v>10212</v>
      </c>
      <c r="H14" s="11" t="s">
        <v>10174</v>
      </c>
      <c r="I14" s="12" t="s">
        <v>10175</v>
      </c>
    </row>
    <row r="15" customFormat="false" ht="84" hidden="false" customHeight="true" outlineLevel="0" collapsed="false">
      <c r="A15" s="11" t="n">
        <v>10</v>
      </c>
      <c r="B15" s="11" t="s">
        <v>10197</v>
      </c>
      <c r="C15" s="11" t="s">
        <v>10213</v>
      </c>
      <c r="D15" s="11" t="s">
        <v>10214</v>
      </c>
      <c r="E15" s="11" t="s">
        <v>10215</v>
      </c>
      <c r="F15" s="11" t="s">
        <v>10216</v>
      </c>
      <c r="G15" s="11" t="s">
        <v>10217</v>
      </c>
      <c r="H15" s="11" t="s">
        <v>10218</v>
      </c>
      <c r="I15" s="12" t="s">
        <v>10175</v>
      </c>
    </row>
    <row r="16" customFormat="false" ht="15" hidden="false" customHeight="false" outlineLevel="0" collapsed="false">
      <c r="A16" s="0" t="n">
        <v>11</v>
      </c>
      <c r="B16" s="0" t="s">
        <v>10169</v>
      </c>
      <c r="C16" s="0" t="s">
        <v>10219</v>
      </c>
      <c r="D16" s="0" t="s">
        <v>10220</v>
      </c>
      <c r="E16" s="0" t="s">
        <v>10221</v>
      </c>
      <c r="F16" s="0" t="s">
        <v>6980</v>
      </c>
      <c r="G16" s="0" t="s">
        <v>10222</v>
      </c>
      <c r="H16" s="0" t="s">
        <v>10223</v>
      </c>
      <c r="I16" s="0" t="s">
        <v>10175</v>
      </c>
    </row>
    <row r="17" customFormat="false" ht="15" hidden="false" customHeight="false" outlineLevel="0" collapsed="false">
      <c r="A17" s="0" t="n">
        <v>12</v>
      </c>
      <c r="B17" s="0" t="s">
        <v>10169</v>
      </c>
      <c r="C17" s="0" t="s">
        <v>10224</v>
      </c>
      <c r="D17" s="0" t="s">
        <v>10225</v>
      </c>
      <c r="E17" s="0" t="s">
        <v>10226</v>
      </c>
      <c r="F17" s="0" t="s">
        <v>10227</v>
      </c>
      <c r="G17" s="0" t="s">
        <v>10228</v>
      </c>
      <c r="H17" s="0" t="s">
        <v>10174</v>
      </c>
      <c r="I17" s="0" t="s">
        <v>10175</v>
      </c>
    </row>
    <row r="18" customFormat="false" ht="15" hidden="false" customHeight="false" outlineLevel="0" collapsed="false">
      <c r="A18" s="0" t="n">
        <v>13</v>
      </c>
      <c r="B18" s="0" t="s">
        <v>10197</v>
      </c>
      <c r="C18" s="0" t="s">
        <v>4154</v>
      </c>
      <c r="D18" s="0" t="s">
        <v>10229</v>
      </c>
      <c r="E18" s="0" t="s">
        <v>10230</v>
      </c>
      <c r="F18" s="0" t="s">
        <v>6980</v>
      </c>
      <c r="G18" s="0" t="s">
        <v>10231</v>
      </c>
      <c r="H18" s="0" t="s">
        <v>10232</v>
      </c>
      <c r="I18" s="0" t="s">
        <v>10175</v>
      </c>
    </row>
    <row r="19" customFormat="false" ht="15" hidden="false" customHeight="false" outlineLevel="0" collapsed="false">
      <c r="A19" s="0" t="n">
        <v>14</v>
      </c>
      <c r="B19" s="0" t="s">
        <v>10197</v>
      </c>
      <c r="C19" s="0" t="s">
        <v>4222</v>
      </c>
      <c r="D19" s="0" t="s">
        <v>10233</v>
      </c>
      <c r="E19" s="0" t="s">
        <v>10234</v>
      </c>
      <c r="F19" s="0" t="s">
        <v>10235</v>
      </c>
      <c r="G19" s="0" t="s">
        <v>10236</v>
      </c>
      <c r="H19" s="0" t="s">
        <v>10232</v>
      </c>
      <c r="I19" s="0" t="s">
        <v>10175</v>
      </c>
    </row>
    <row r="20" customFormat="false" ht="15" hidden="false" customHeight="false" outlineLevel="0" collapsed="false">
      <c r="A20" s="0" t="n">
        <v>15</v>
      </c>
      <c r="B20" s="0" t="s">
        <v>10197</v>
      </c>
      <c r="C20" s="0" t="s">
        <v>10237</v>
      </c>
      <c r="D20" s="0" t="s">
        <v>10238</v>
      </c>
      <c r="E20" s="0" t="s">
        <v>10239</v>
      </c>
      <c r="F20" s="0" t="s">
        <v>6980</v>
      </c>
      <c r="G20" s="0" t="s">
        <v>10240</v>
      </c>
      <c r="H20" s="0" t="s">
        <v>10174</v>
      </c>
      <c r="I20" s="0" t="s">
        <v>10175</v>
      </c>
    </row>
    <row r="21" customFormat="false" ht="15" hidden="false" customHeight="false" outlineLevel="0" collapsed="false">
      <c r="A21" s="0" t="n">
        <v>16</v>
      </c>
      <c r="B21" s="0" t="s">
        <v>10169</v>
      </c>
      <c r="C21" s="0" t="s">
        <v>10241</v>
      </c>
      <c r="D21" s="0" t="s">
        <v>10242</v>
      </c>
      <c r="E21" s="0" t="s">
        <v>10243</v>
      </c>
      <c r="F21" s="0" t="s">
        <v>6980</v>
      </c>
      <c r="G21" s="0" t="s">
        <v>10244</v>
      </c>
      <c r="H21" s="0" t="s">
        <v>10174</v>
      </c>
      <c r="I21" s="0" t="s">
        <v>10175</v>
      </c>
    </row>
    <row r="22" customFormat="false" ht="15" hidden="false" customHeight="false" outlineLevel="0" collapsed="false">
      <c r="A22" s="0" t="n">
        <v>17</v>
      </c>
      <c r="B22" s="0" t="s">
        <v>10169</v>
      </c>
      <c r="C22" s="0" t="s">
        <v>10245</v>
      </c>
      <c r="D22" s="0" t="s">
        <v>10246</v>
      </c>
      <c r="E22" s="0" t="s">
        <v>10247</v>
      </c>
      <c r="F22" s="0" t="s">
        <v>6980</v>
      </c>
      <c r="G22" s="0" t="s">
        <v>10248</v>
      </c>
      <c r="H22" s="0" t="s">
        <v>10174</v>
      </c>
      <c r="I22" s="0" t="s">
        <v>10175</v>
      </c>
    </row>
    <row r="23" customFormat="false" ht="15" hidden="false" customHeight="false" outlineLevel="0" collapsed="false">
      <c r="A23" s="0" t="n">
        <v>18</v>
      </c>
      <c r="B23" s="0" t="s">
        <v>10169</v>
      </c>
      <c r="C23" s="0" t="s">
        <v>10249</v>
      </c>
      <c r="D23" s="0" t="s">
        <v>1052</v>
      </c>
      <c r="E23" s="0" t="s">
        <v>10250</v>
      </c>
      <c r="F23" s="0" t="s">
        <v>1055</v>
      </c>
      <c r="G23" s="0" t="s">
        <v>10251</v>
      </c>
      <c r="H23" s="0" t="s">
        <v>10174</v>
      </c>
      <c r="I23" s="0" t="s">
        <v>10175</v>
      </c>
    </row>
    <row r="24" customFormat="false" ht="15" hidden="false" customHeight="false" outlineLevel="0" collapsed="false">
      <c r="A24" s="0" t="n">
        <v>19</v>
      </c>
      <c r="B24" s="0" t="s">
        <v>6991</v>
      </c>
      <c r="C24" s="0" t="s">
        <v>10252</v>
      </c>
      <c r="D24" s="0" t="s">
        <v>10253</v>
      </c>
      <c r="E24" s="0" t="s">
        <v>10254</v>
      </c>
      <c r="F24" s="0" t="s">
        <v>6980</v>
      </c>
      <c r="G24" s="0" t="s">
        <v>10255</v>
      </c>
      <c r="H24" s="0" t="s">
        <v>42</v>
      </c>
      <c r="I24" s="0" t="s">
        <v>9</v>
      </c>
    </row>
    <row r="25" customFormat="false" ht="15" hidden="false" customHeight="false" outlineLevel="0" collapsed="false">
      <c r="A25" s="0" t="n">
        <v>20</v>
      </c>
      <c r="B25" s="0" t="s">
        <v>10197</v>
      </c>
      <c r="C25" s="0" t="s">
        <v>40</v>
      </c>
      <c r="D25" s="0" t="s">
        <v>10256</v>
      </c>
      <c r="E25" s="0" t="s">
        <v>10257</v>
      </c>
      <c r="F25" s="0" t="s">
        <v>4084</v>
      </c>
      <c r="G25" s="0" t="s">
        <v>10258</v>
      </c>
      <c r="H25" s="0" t="s">
        <v>10259</v>
      </c>
      <c r="I25" s="0" t="s">
        <v>10175</v>
      </c>
    </row>
    <row r="26" customFormat="false" ht="15" hidden="false" customHeight="false" outlineLevel="0" collapsed="false">
      <c r="A26" s="0" t="n">
        <v>21</v>
      </c>
      <c r="B26" s="0" t="s">
        <v>10207</v>
      </c>
      <c r="C26" s="0" t="s">
        <v>10260</v>
      </c>
      <c r="D26" s="0" t="s">
        <v>10261</v>
      </c>
      <c r="E26" s="0" t="s">
        <v>10262</v>
      </c>
      <c r="F26" s="0" t="s">
        <v>6980</v>
      </c>
      <c r="G26" s="0" t="s">
        <v>10263</v>
      </c>
      <c r="H26" s="0" t="s">
        <v>10223</v>
      </c>
      <c r="I26" s="0" t="s">
        <v>10175</v>
      </c>
    </row>
    <row r="27" customFormat="false" ht="15" hidden="false" customHeight="false" outlineLevel="0" collapsed="false">
      <c r="A27" s="0" t="n">
        <v>22</v>
      </c>
      <c r="B27" s="0" t="s">
        <v>10197</v>
      </c>
      <c r="C27" s="0" t="s">
        <v>10213</v>
      </c>
      <c r="D27" s="0" t="s">
        <v>10214</v>
      </c>
      <c r="E27" s="0" t="s">
        <v>10264</v>
      </c>
      <c r="F27" s="0" t="s">
        <v>10216</v>
      </c>
      <c r="G27" s="0" t="s">
        <v>10265</v>
      </c>
      <c r="H27" s="0" t="s">
        <v>10266</v>
      </c>
      <c r="I27" s="0" t="s">
        <v>10175</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5" min="3" style="0" width="20"/>
    <col collapsed="false" customWidth="true" hidden="false" outlineLevel="0" max="6" min="6" style="0" width="42"/>
    <col collapsed="false" customWidth="true" hidden="false" outlineLevel="0" max="8" min="7" style="0" width="28"/>
    <col collapsed="false" customWidth="true" hidden="false" outlineLevel="0" max="10" min="9" style="0" width="14"/>
  </cols>
  <sheetData>
    <row r="1" customFormat="false" ht="26" hidden="false" customHeight="true" outlineLevel="0" collapsed="false">
      <c r="A1" s="28" t="s">
        <v>10267</v>
      </c>
      <c r="B1" s="28" t="s">
        <v>10268</v>
      </c>
      <c r="C1" s="28" t="s">
        <v>10268</v>
      </c>
      <c r="D1" s="28" t="s">
        <v>10268</v>
      </c>
      <c r="E1" s="28" t="s">
        <v>10268</v>
      </c>
      <c r="F1" s="28" t="s">
        <v>10268</v>
      </c>
      <c r="G1" s="28" t="s">
        <v>10268</v>
      </c>
      <c r="H1" s="28" t="s">
        <v>10268</v>
      </c>
      <c r="I1" s="28" t="s">
        <v>10268</v>
      </c>
      <c r="J1" s="28" t="s">
        <v>10268</v>
      </c>
    </row>
    <row r="2" customFormat="false" ht="32" hidden="false" customHeight="true" outlineLevel="0" collapsed="false">
      <c r="A2" s="21" t="s">
        <v>10269</v>
      </c>
      <c r="B2" s="21" t="s">
        <v>10270</v>
      </c>
      <c r="C2" s="21" t="s">
        <v>10270</v>
      </c>
      <c r="D2" s="21" t="s">
        <v>10270</v>
      </c>
      <c r="E2" s="21" t="s">
        <v>10270</v>
      </c>
      <c r="F2" s="21" t="s">
        <v>10270</v>
      </c>
      <c r="G2" s="21" t="s">
        <v>10270</v>
      </c>
      <c r="H2" s="21" t="s">
        <v>10270</v>
      </c>
      <c r="I2" s="21" t="s">
        <v>10270</v>
      </c>
      <c r="J2" s="21" t="s">
        <v>10270</v>
      </c>
    </row>
    <row r="3" customFormat="false" ht="15" hidden="false" customHeight="false" outlineLevel="0" collapsed="false">
      <c r="A3" s="14"/>
      <c r="B3" s="14"/>
      <c r="C3" s="14"/>
      <c r="D3" s="14"/>
      <c r="E3" s="14"/>
      <c r="F3" s="14"/>
      <c r="G3" s="14"/>
      <c r="H3" s="14"/>
      <c r="I3" s="14"/>
      <c r="J3" s="14"/>
    </row>
    <row r="4" customFormat="false" ht="22" hidden="false" customHeight="true" outlineLevel="0" collapsed="false">
      <c r="A4" s="20" t="s">
        <v>10271</v>
      </c>
      <c r="B4" s="20" t="s">
        <v>10271</v>
      </c>
      <c r="C4" s="20" t="s">
        <v>10271</v>
      </c>
      <c r="D4" s="20" t="s">
        <v>10271</v>
      </c>
      <c r="E4" s="20" t="s">
        <v>10271</v>
      </c>
      <c r="F4" s="20" t="s">
        <v>10271</v>
      </c>
      <c r="G4" s="20" t="s">
        <v>10271</v>
      </c>
      <c r="H4" s="20" t="s">
        <v>10271</v>
      </c>
      <c r="I4" s="20" t="s">
        <v>10271</v>
      </c>
      <c r="J4" s="14"/>
    </row>
    <row r="5" customFormat="false" ht="15" hidden="false" customHeight="false" outlineLevel="0" collapsed="false">
      <c r="A5" s="14" t="s">
        <v>10272</v>
      </c>
      <c r="B5" s="14" t="s">
        <v>10273</v>
      </c>
      <c r="C5" s="14" t="s">
        <v>10274</v>
      </c>
      <c r="D5" s="14" t="s">
        <v>10275</v>
      </c>
      <c r="E5" s="14" t="s">
        <v>10276</v>
      </c>
      <c r="F5" s="14" t="s">
        <v>10277</v>
      </c>
      <c r="G5" s="14" t="s">
        <v>10278</v>
      </c>
      <c r="H5" s="14" t="s">
        <v>104</v>
      </c>
      <c r="I5" s="14" t="s">
        <v>69</v>
      </c>
      <c r="J5" s="14"/>
    </row>
    <row r="6" customFormat="false" ht="79.85" hidden="false" customHeight="false" outlineLevel="0" collapsed="false">
      <c r="A6" s="14" t="s">
        <v>6819</v>
      </c>
      <c r="B6" s="14" t="s">
        <v>10279</v>
      </c>
      <c r="C6" s="14" t="b">
        <f aca="false">TRUE()</f>
        <v>1</v>
      </c>
      <c r="D6" s="14" t="b">
        <f aca="false">FALSE()</f>
        <v>0</v>
      </c>
      <c r="E6" s="14" t="s">
        <v>6820</v>
      </c>
      <c r="F6" s="14" t="b">
        <f aca="false">TRUE()</f>
        <v>1</v>
      </c>
      <c r="G6" s="14" t="s">
        <v>6821</v>
      </c>
      <c r="H6" s="14" t="s">
        <v>115</v>
      </c>
      <c r="I6" s="14" t="n">
        <f aca="false">COUNTIF($A$6:$A$8,A6)</f>
        <v>1</v>
      </c>
      <c r="J6" s="14"/>
    </row>
    <row r="7" customFormat="false" ht="68.65" hidden="false" customHeight="false" outlineLevel="0" collapsed="false">
      <c r="A7" s="14" t="s">
        <v>6822</v>
      </c>
      <c r="B7" s="14" t="s">
        <v>10280</v>
      </c>
      <c r="C7" s="14" t="b">
        <f aca="false">FALSE()</f>
        <v>0</v>
      </c>
      <c r="D7" s="14" t="b">
        <f aca="false">TRUE()</f>
        <v>1</v>
      </c>
      <c r="E7" s="14" t="s">
        <v>6823</v>
      </c>
      <c r="F7" s="14" t="b">
        <f aca="false">TRUE()</f>
        <v>1</v>
      </c>
      <c r="G7" s="14" t="s">
        <v>6824</v>
      </c>
      <c r="H7" s="14" t="s">
        <v>115</v>
      </c>
      <c r="I7" s="14" t="n">
        <f aca="false">COUNTIF($A$6:$A$8,A7)</f>
        <v>1</v>
      </c>
      <c r="J7" s="14"/>
    </row>
    <row r="8" customFormat="false" ht="91" hidden="false" customHeight="false" outlineLevel="0" collapsed="false">
      <c r="A8" s="14" t="s">
        <v>6825</v>
      </c>
      <c r="B8" s="14" t="s">
        <v>10281</v>
      </c>
      <c r="C8" s="14" t="b">
        <f aca="false">FALSE()</f>
        <v>0</v>
      </c>
      <c r="D8" s="14" t="b">
        <f aca="false">FALSE()</f>
        <v>0</v>
      </c>
      <c r="E8" s="14" t="s">
        <v>6826</v>
      </c>
      <c r="F8" s="14" t="b">
        <f aca="false">TRUE()</f>
        <v>1</v>
      </c>
      <c r="G8" s="14" t="s">
        <v>6827</v>
      </c>
      <c r="H8" s="14" t="s">
        <v>115</v>
      </c>
      <c r="I8" s="14" t="n">
        <f aca="false">COUNTIF($A$6:$A$8,A8)</f>
        <v>1</v>
      </c>
      <c r="J8" s="14"/>
    </row>
    <row r="9" customFormat="false" ht="15" hidden="false" customHeight="false" outlineLevel="0" collapsed="false">
      <c r="A9" s="14"/>
      <c r="B9" s="14"/>
      <c r="C9" s="14"/>
      <c r="D9" s="14"/>
      <c r="E9" s="14"/>
      <c r="F9" s="14"/>
      <c r="G9" s="14"/>
      <c r="H9" s="14"/>
      <c r="I9" s="14"/>
      <c r="J9" s="14"/>
    </row>
    <row r="10" customFormat="false" ht="22" hidden="false" customHeight="true" outlineLevel="0" collapsed="false">
      <c r="A10" s="20" t="s">
        <v>10282</v>
      </c>
      <c r="B10" s="20" t="s">
        <v>10282</v>
      </c>
      <c r="C10" s="20" t="s">
        <v>10282</v>
      </c>
      <c r="D10" s="20" t="s">
        <v>10282</v>
      </c>
      <c r="E10" s="20" t="s">
        <v>10282</v>
      </c>
      <c r="F10" s="20" t="s">
        <v>10282</v>
      </c>
      <c r="G10" s="20" t="s">
        <v>10282</v>
      </c>
      <c r="H10" s="20" t="s">
        <v>10282</v>
      </c>
      <c r="I10" s="20" t="s">
        <v>10282</v>
      </c>
      <c r="J10" s="14"/>
    </row>
    <row r="11" customFormat="false" ht="15" hidden="false" customHeight="false" outlineLevel="0" collapsed="false">
      <c r="A11" s="14" t="s">
        <v>10283</v>
      </c>
      <c r="B11" s="14" t="s">
        <v>10284</v>
      </c>
      <c r="C11" s="14" t="s">
        <v>10285</v>
      </c>
      <c r="D11" s="14" t="s">
        <v>6859</v>
      </c>
      <c r="E11" s="14" t="s">
        <v>10286</v>
      </c>
      <c r="F11" s="14" t="s">
        <v>10287</v>
      </c>
      <c r="G11" s="14" t="s">
        <v>10278</v>
      </c>
      <c r="H11" s="14" t="s">
        <v>104</v>
      </c>
      <c r="I11" s="14" t="s">
        <v>69</v>
      </c>
      <c r="J11" s="14"/>
    </row>
    <row r="12" customFormat="false" ht="23.85" hidden="false" customHeight="false" outlineLevel="0" collapsed="false">
      <c r="A12" s="14" t="s">
        <v>9745</v>
      </c>
      <c r="B12" s="14" t="n">
        <v>20</v>
      </c>
      <c r="C12" s="14" t="n">
        <v>0</v>
      </c>
      <c r="D12" s="14" t="s">
        <v>600</v>
      </c>
      <c r="E12" s="14" t="n">
        <v>1</v>
      </c>
      <c r="F12" s="14" t="b">
        <f aca="false">TRUE()</f>
        <v>1</v>
      </c>
      <c r="G12" s="14" t="s">
        <v>4215</v>
      </c>
      <c r="H12" s="14" t="s">
        <v>115</v>
      </c>
      <c r="I12" s="14" t="n">
        <f aca="false">COUNTIF($A$12:$A$18,A12)</f>
        <v>1</v>
      </c>
      <c r="J12" s="14"/>
    </row>
    <row r="13" customFormat="false" ht="23.85" hidden="false" customHeight="false" outlineLevel="0" collapsed="false">
      <c r="A13" s="14" t="s">
        <v>9748</v>
      </c>
      <c r="B13" s="14" t="n">
        <v>1</v>
      </c>
      <c r="C13" s="14" t="n">
        <v>0</v>
      </c>
      <c r="D13" s="14" t="s">
        <v>600</v>
      </c>
      <c r="E13" s="14" t="n">
        <v>1</v>
      </c>
      <c r="F13" s="14" t="b">
        <f aca="false">TRUE()</f>
        <v>1</v>
      </c>
      <c r="G13" s="14" t="s">
        <v>4215</v>
      </c>
      <c r="H13" s="14" t="s">
        <v>115</v>
      </c>
      <c r="I13" s="14" t="n">
        <f aca="false">COUNTIF($A$12:$A$18,A13)</f>
        <v>1</v>
      </c>
      <c r="J13" s="14"/>
    </row>
    <row r="14" customFormat="false" ht="35.05" hidden="false" customHeight="false" outlineLevel="0" collapsed="false">
      <c r="A14" s="14" t="s">
        <v>9751</v>
      </c>
      <c r="B14" s="14" t="s">
        <v>10288</v>
      </c>
      <c r="C14" s="14" t="n">
        <v>1</v>
      </c>
      <c r="D14" s="14" t="s">
        <v>10289</v>
      </c>
      <c r="E14" s="14" t="n">
        <v>1</v>
      </c>
      <c r="F14" s="14" t="b">
        <f aca="false">TRUE()</f>
        <v>1</v>
      </c>
      <c r="G14" s="14" t="s">
        <v>10290</v>
      </c>
      <c r="H14" s="14" t="s">
        <v>115</v>
      </c>
      <c r="I14" s="14" t="n">
        <f aca="false">COUNTIF($A$12:$A$18,A14)</f>
        <v>1</v>
      </c>
      <c r="J14" s="14"/>
    </row>
    <row r="15" customFormat="false" ht="35.05" hidden="false" customHeight="false" outlineLevel="0" collapsed="false">
      <c r="A15" s="14" t="s">
        <v>9754</v>
      </c>
      <c r="B15" s="14" t="s">
        <v>10288</v>
      </c>
      <c r="C15" s="14" t="n">
        <v>2</v>
      </c>
      <c r="D15" s="14" t="s">
        <v>10289</v>
      </c>
      <c r="E15" s="14" t="n">
        <v>2</v>
      </c>
      <c r="F15" s="14" t="b">
        <f aca="false">TRUE()</f>
        <v>1</v>
      </c>
      <c r="G15" s="14" t="s">
        <v>10290</v>
      </c>
      <c r="H15" s="14" t="s">
        <v>115</v>
      </c>
      <c r="I15" s="14" t="n">
        <f aca="false">COUNTIF($A$12:$A$18,A15)</f>
        <v>1</v>
      </c>
      <c r="J15" s="14"/>
    </row>
    <row r="16" customFormat="false" ht="35.05" hidden="false" customHeight="false" outlineLevel="0" collapsed="false">
      <c r="A16" s="14" t="s">
        <v>9757</v>
      </c>
      <c r="B16" s="14" t="s">
        <v>10288</v>
      </c>
      <c r="C16" s="14" t="n">
        <v>3</v>
      </c>
      <c r="D16" s="14" t="s">
        <v>10289</v>
      </c>
      <c r="E16" s="14" t="n">
        <v>3</v>
      </c>
      <c r="F16" s="14" t="b">
        <f aca="false">TRUE()</f>
        <v>1</v>
      </c>
      <c r="G16" s="14" t="s">
        <v>10290</v>
      </c>
      <c r="H16" s="14" t="s">
        <v>115</v>
      </c>
      <c r="I16" s="14" t="n">
        <f aca="false">COUNTIF($A$12:$A$18,A16)</f>
        <v>1</v>
      </c>
      <c r="J16" s="14"/>
    </row>
    <row r="17" customFormat="false" ht="35.05" hidden="false" customHeight="false" outlineLevel="0" collapsed="false">
      <c r="A17" s="14" t="s">
        <v>9760</v>
      </c>
      <c r="B17" s="14" t="s">
        <v>10288</v>
      </c>
      <c r="C17" s="14" t="n">
        <v>4</v>
      </c>
      <c r="D17" s="14" t="s">
        <v>10289</v>
      </c>
      <c r="E17" s="14" t="n">
        <v>4</v>
      </c>
      <c r="F17" s="14" t="b">
        <f aca="false">TRUE()</f>
        <v>1</v>
      </c>
      <c r="G17" s="14" t="s">
        <v>10290</v>
      </c>
      <c r="H17" s="14" t="s">
        <v>115</v>
      </c>
      <c r="I17" s="14" t="n">
        <f aca="false">COUNTIF($A$12:$A$18,A17)</f>
        <v>1</v>
      </c>
      <c r="J17" s="14"/>
    </row>
    <row r="18" customFormat="false" ht="35.05" hidden="false" customHeight="false" outlineLevel="0" collapsed="false">
      <c r="A18" s="14" t="s">
        <v>9763</v>
      </c>
      <c r="B18" s="14" t="s">
        <v>10288</v>
      </c>
      <c r="C18" s="14" t="n">
        <v>5</v>
      </c>
      <c r="D18" s="14" t="s">
        <v>10289</v>
      </c>
      <c r="E18" s="14" t="n">
        <v>5</v>
      </c>
      <c r="F18" s="14" t="b">
        <f aca="false">TRUE()</f>
        <v>1</v>
      </c>
      <c r="G18" s="14" t="s">
        <v>10290</v>
      </c>
      <c r="H18" s="14" t="s">
        <v>115</v>
      </c>
      <c r="I18" s="14" t="n">
        <f aca="false">COUNTIF($A$12:$A$18,A18)</f>
        <v>1</v>
      </c>
      <c r="J18" s="14"/>
    </row>
    <row r="19" customFormat="false" ht="15" hidden="false" customHeight="false" outlineLevel="0" collapsed="false">
      <c r="A19" s="14"/>
      <c r="B19" s="14"/>
      <c r="C19" s="14"/>
      <c r="D19" s="14"/>
      <c r="E19" s="14"/>
      <c r="F19" s="14"/>
      <c r="G19" s="14"/>
      <c r="H19" s="14"/>
      <c r="I19" s="14"/>
      <c r="J19" s="14"/>
    </row>
    <row r="20" customFormat="false" ht="22" hidden="false" customHeight="true" outlineLevel="0" collapsed="false">
      <c r="A20" s="20" t="s">
        <v>10291</v>
      </c>
      <c r="B20" s="20" t="s">
        <v>10291</v>
      </c>
      <c r="C20" s="20" t="s">
        <v>10291</v>
      </c>
      <c r="D20" s="20" t="s">
        <v>10291</v>
      </c>
      <c r="E20" s="20" t="s">
        <v>10291</v>
      </c>
      <c r="F20" s="20" t="s">
        <v>10291</v>
      </c>
      <c r="G20" s="20" t="s">
        <v>10291</v>
      </c>
      <c r="H20" s="20" t="s">
        <v>10291</v>
      </c>
      <c r="I20" s="20" t="s">
        <v>10291</v>
      </c>
      <c r="J20" s="14"/>
    </row>
    <row r="21" customFormat="false" ht="15" hidden="false" customHeight="false" outlineLevel="0" collapsed="false">
      <c r="A21" s="14" t="s">
        <v>10292</v>
      </c>
      <c r="B21" s="14" t="s">
        <v>10293</v>
      </c>
      <c r="C21" s="14" t="s">
        <v>10294</v>
      </c>
      <c r="D21" s="14" t="s">
        <v>10295</v>
      </c>
      <c r="E21" s="14" t="s">
        <v>10296</v>
      </c>
      <c r="F21" s="14" t="s">
        <v>10297</v>
      </c>
      <c r="G21" s="14" t="s">
        <v>10278</v>
      </c>
      <c r="H21" s="14" t="s">
        <v>104</v>
      </c>
      <c r="I21" s="14" t="s">
        <v>69</v>
      </c>
      <c r="J21" s="14"/>
    </row>
    <row r="22" customFormat="false" ht="35.05" hidden="false" customHeight="false" outlineLevel="0" collapsed="false">
      <c r="A22" s="14" t="s">
        <v>6880</v>
      </c>
      <c r="B22" s="14" t="s">
        <v>6829</v>
      </c>
      <c r="C22" s="14" t="b">
        <f aca="false">TRUE()</f>
        <v>1</v>
      </c>
      <c r="D22" s="14" t="b">
        <f aca="false">TRUE()</f>
        <v>1</v>
      </c>
      <c r="E22" s="14" t="b">
        <f aca="false">TRUE()</f>
        <v>1</v>
      </c>
      <c r="F22" s="14" t="b">
        <f aca="false">TRUE()</f>
        <v>1</v>
      </c>
      <c r="G22" s="14" t="s">
        <v>6881</v>
      </c>
      <c r="H22" s="14" t="s">
        <v>115</v>
      </c>
      <c r="I22" s="14" t="n">
        <f aca="false">COUNTIF($A$22:$A$32,A22)</f>
        <v>1</v>
      </c>
      <c r="J22" s="14"/>
    </row>
    <row r="23" customFormat="false" ht="23.85" hidden="false" customHeight="false" outlineLevel="0" collapsed="false">
      <c r="A23" s="14" t="s">
        <v>6882</v>
      </c>
      <c r="B23" s="14" t="s">
        <v>6832</v>
      </c>
      <c r="C23" s="14" t="b">
        <f aca="false">FALSE()</f>
        <v>0</v>
      </c>
      <c r="D23" s="14" t="b">
        <f aca="false">TRUE()</f>
        <v>1</v>
      </c>
      <c r="E23" s="14" t="b">
        <f aca="false">FALSE()</f>
        <v>0</v>
      </c>
      <c r="F23" s="14" t="b">
        <f aca="false">TRUE()</f>
        <v>1</v>
      </c>
      <c r="G23" s="14" t="s">
        <v>6883</v>
      </c>
      <c r="H23" s="14" t="s">
        <v>115</v>
      </c>
      <c r="I23" s="14" t="n">
        <f aca="false">COUNTIF($A$22:$A$32,A23)</f>
        <v>1</v>
      </c>
      <c r="J23" s="14"/>
    </row>
    <row r="24" customFormat="false" ht="23.85" hidden="false" customHeight="false" outlineLevel="0" collapsed="false">
      <c r="A24" s="14" t="s">
        <v>6884</v>
      </c>
      <c r="B24" s="14" t="s">
        <v>6832</v>
      </c>
      <c r="C24" s="14" t="b">
        <f aca="false">FALSE()</f>
        <v>0</v>
      </c>
      <c r="D24" s="14" t="b">
        <f aca="false">TRUE()</f>
        <v>1</v>
      </c>
      <c r="E24" s="14" t="b">
        <f aca="false">FALSE()</f>
        <v>0</v>
      </c>
      <c r="F24" s="14" t="b">
        <f aca="false">TRUE()</f>
        <v>1</v>
      </c>
      <c r="G24" s="14" t="s">
        <v>6883</v>
      </c>
      <c r="H24" s="14" t="s">
        <v>115</v>
      </c>
      <c r="I24" s="14" t="n">
        <f aca="false">COUNTIF($A$22:$A$32,A24)</f>
        <v>1</v>
      </c>
      <c r="J24" s="14"/>
    </row>
    <row r="25" customFormat="false" ht="23.85" hidden="false" customHeight="false" outlineLevel="0" collapsed="false">
      <c r="A25" s="14" t="s">
        <v>6885</v>
      </c>
      <c r="B25" s="14" t="s">
        <v>6832</v>
      </c>
      <c r="C25" s="14" t="b">
        <f aca="false">FALSE()</f>
        <v>0</v>
      </c>
      <c r="D25" s="14" t="b">
        <f aca="false">TRUE()</f>
        <v>1</v>
      </c>
      <c r="E25" s="14" t="b">
        <f aca="false">FALSE()</f>
        <v>0</v>
      </c>
      <c r="F25" s="14" t="b">
        <f aca="false">TRUE()</f>
        <v>1</v>
      </c>
      <c r="G25" s="14" t="s">
        <v>6883</v>
      </c>
      <c r="H25" s="14" t="s">
        <v>115</v>
      </c>
      <c r="I25" s="14" t="n">
        <f aca="false">COUNTIF($A$22:$A$32,A25)</f>
        <v>1</v>
      </c>
      <c r="J25" s="14"/>
    </row>
    <row r="26" customFormat="false" ht="23.85" hidden="false" customHeight="false" outlineLevel="0" collapsed="false">
      <c r="A26" s="14" t="s">
        <v>6886</v>
      </c>
      <c r="B26" s="14" t="s">
        <v>6832</v>
      </c>
      <c r="C26" s="14" t="b">
        <f aca="false">FALSE()</f>
        <v>0</v>
      </c>
      <c r="D26" s="14" t="b">
        <f aca="false">TRUE()</f>
        <v>1</v>
      </c>
      <c r="E26" s="14" t="b">
        <f aca="false">FALSE()</f>
        <v>0</v>
      </c>
      <c r="F26" s="14" t="b">
        <f aca="false">TRUE()</f>
        <v>1</v>
      </c>
      <c r="G26" s="14" t="s">
        <v>6883</v>
      </c>
      <c r="H26" s="14" t="s">
        <v>115</v>
      </c>
      <c r="I26" s="14" t="n">
        <f aca="false">COUNTIF($A$22:$A$32,A26)</f>
        <v>1</v>
      </c>
      <c r="J26" s="14"/>
    </row>
    <row r="27" customFormat="false" ht="23.85" hidden="false" customHeight="false" outlineLevel="0" collapsed="false">
      <c r="A27" s="14" t="s">
        <v>6887</v>
      </c>
      <c r="B27" s="14" t="s">
        <v>6832</v>
      </c>
      <c r="C27" s="14" t="b">
        <f aca="false">FALSE()</f>
        <v>0</v>
      </c>
      <c r="D27" s="14" t="b">
        <f aca="false">TRUE()</f>
        <v>1</v>
      </c>
      <c r="E27" s="14" t="b">
        <f aca="false">FALSE()</f>
        <v>0</v>
      </c>
      <c r="F27" s="14" t="b">
        <f aca="false">TRUE()</f>
        <v>1</v>
      </c>
      <c r="G27" s="14" t="s">
        <v>6883</v>
      </c>
      <c r="H27" s="14" t="s">
        <v>115</v>
      </c>
      <c r="I27" s="14" t="n">
        <f aca="false">COUNTIF($A$22:$A$32,A27)</f>
        <v>1</v>
      </c>
      <c r="J27" s="14"/>
    </row>
    <row r="28" customFormat="false" ht="23.85" hidden="false" customHeight="false" outlineLevel="0" collapsed="false">
      <c r="A28" s="14" t="s">
        <v>6888</v>
      </c>
      <c r="B28" s="14" t="s">
        <v>6832</v>
      </c>
      <c r="C28" s="14" t="b">
        <f aca="false">FALSE()</f>
        <v>0</v>
      </c>
      <c r="D28" s="14" t="b">
        <f aca="false">TRUE()</f>
        <v>1</v>
      </c>
      <c r="E28" s="14" t="b">
        <f aca="false">FALSE()</f>
        <v>0</v>
      </c>
      <c r="F28" s="14" t="b">
        <f aca="false">TRUE()</f>
        <v>1</v>
      </c>
      <c r="G28" s="14" t="s">
        <v>6883</v>
      </c>
      <c r="H28" s="14" t="s">
        <v>115</v>
      </c>
      <c r="I28" s="14" t="n">
        <f aca="false">COUNTIF($A$22:$A$32,A28)</f>
        <v>1</v>
      </c>
      <c r="J28" s="14"/>
    </row>
    <row r="29" customFormat="false" ht="23.85" hidden="false" customHeight="false" outlineLevel="0" collapsed="false">
      <c r="A29" s="14" t="s">
        <v>6889</v>
      </c>
      <c r="B29" s="14" t="s">
        <v>6832</v>
      </c>
      <c r="C29" s="14" t="b">
        <f aca="false">FALSE()</f>
        <v>0</v>
      </c>
      <c r="D29" s="14" t="b">
        <f aca="false">TRUE()</f>
        <v>1</v>
      </c>
      <c r="E29" s="14" t="b">
        <f aca="false">FALSE()</f>
        <v>0</v>
      </c>
      <c r="F29" s="14" t="b">
        <f aca="false">TRUE()</f>
        <v>1</v>
      </c>
      <c r="G29" s="14" t="s">
        <v>6883</v>
      </c>
      <c r="H29" s="14" t="s">
        <v>115</v>
      </c>
      <c r="I29" s="14" t="n">
        <f aca="false">COUNTIF($A$22:$A$32,A29)</f>
        <v>1</v>
      </c>
      <c r="J29" s="14"/>
    </row>
    <row r="30" customFormat="false" ht="23.85" hidden="false" customHeight="false" outlineLevel="0" collapsed="false">
      <c r="A30" s="14" t="s">
        <v>6890</v>
      </c>
      <c r="B30" s="14" t="s">
        <v>6832</v>
      </c>
      <c r="C30" s="14" t="b">
        <f aca="false">FALSE()</f>
        <v>0</v>
      </c>
      <c r="D30" s="14" t="b">
        <f aca="false">TRUE()</f>
        <v>1</v>
      </c>
      <c r="E30" s="14" t="b">
        <f aca="false">FALSE()</f>
        <v>0</v>
      </c>
      <c r="F30" s="14" t="b">
        <f aca="false">TRUE()</f>
        <v>1</v>
      </c>
      <c r="G30" s="14" t="s">
        <v>6883</v>
      </c>
      <c r="H30" s="14" t="s">
        <v>115</v>
      </c>
      <c r="I30" s="14" t="n">
        <f aca="false">COUNTIF($A$22:$A$32,A30)</f>
        <v>1</v>
      </c>
      <c r="J30" s="14"/>
    </row>
    <row r="31" customFormat="false" ht="23.85" hidden="false" customHeight="false" outlineLevel="0" collapsed="false">
      <c r="A31" s="14" t="s">
        <v>6891</v>
      </c>
      <c r="B31" s="14" t="s">
        <v>6832</v>
      </c>
      <c r="C31" s="14" t="b">
        <f aca="false">FALSE()</f>
        <v>0</v>
      </c>
      <c r="D31" s="14" t="b">
        <f aca="false">TRUE()</f>
        <v>1</v>
      </c>
      <c r="E31" s="14" t="b">
        <f aca="false">FALSE()</f>
        <v>0</v>
      </c>
      <c r="F31" s="14" t="b">
        <f aca="false">TRUE()</f>
        <v>1</v>
      </c>
      <c r="G31" s="14" t="s">
        <v>6883</v>
      </c>
      <c r="H31" s="14" t="s">
        <v>115</v>
      </c>
      <c r="I31" s="14" t="n">
        <f aca="false">COUNTIF($A$22:$A$32,A31)</f>
        <v>1</v>
      </c>
      <c r="J31" s="14"/>
    </row>
    <row r="32" customFormat="false" ht="23.85" hidden="false" customHeight="false" outlineLevel="0" collapsed="false">
      <c r="A32" s="14" t="s">
        <v>6892</v>
      </c>
      <c r="B32" s="14" t="s">
        <v>6832</v>
      </c>
      <c r="C32" s="14" t="b">
        <f aca="false">FALSE()</f>
        <v>0</v>
      </c>
      <c r="D32" s="14" t="b">
        <f aca="false">TRUE()</f>
        <v>1</v>
      </c>
      <c r="E32" s="14" t="b">
        <f aca="false">FALSE()</f>
        <v>0</v>
      </c>
      <c r="F32" s="14" t="b">
        <f aca="false">TRUE()</f>
        <v>1</v>
      </c>
      <c r="G32" s="14" t="s">
        <v>6883</v>
      </c>
      <c r="H32" s="14" t="s">
        <v>115</v>
      </c>
      <c r="I32" s="14" t="n">
        <f aca="false">COUNTIF($A$22:$A$32,A32)</f>
        <v>1</v>
      </c>
      <c r="J32" s="14"/>
    </row>
    <row r="33" customFormat="false" ht="15" hidden="false" customHeight="false" outlineLevel="0" collapsed="false">
      <c r="A33" s="14"/>
      <c r="B33" s="14"/>
      <c r="C33" s="14"/>
      <c r="D33" s="14"/>
      <c r="E33" s="14"/>
      <c r="F33" s="14"/>
      <c r="G33" s="14"/>
      <c r="H33" s="14"/>
      <c r="I33" s="14"/>
      <c r="J33" s="14"/>
    </row>
    <row r="34" customFormat="false" ht="22" hidden="false" customHeight="true" outlineLevel="0" collapsed="false">
      <c r="A34" s="20" t="s">
        <v>10298</v>
      </c>
      <c r="B34" s="20" t="s">
        <v>10298</v>
      </c>
      <c r="C34" s="20" t="s">
        <v>10298</v>
      </c>
      <c r="D34" s="20" t="s">
        <v>10298</v>
      </c>
      <c r="E34" s="20" t="s">
        <v>10298</v>
      </c>
      <c r="F34" s="20" t="s">
        <v>10298</v>
      </c>
      <c r="G34" s="20" t="s">
        <v>10298</v>
      </c>
      <c r="H34" s="20" t="s">
        <v>10298</v>
      </c>
      <c r="I34" s="20" t="s">
        <v>10298</v>
      </c>
      <c r="J34" s="14"/>
    </row>
    <row r="35" customFormat="false" ht="23.85" hidden="false" customHeight="false" outlineLevel="0" collapsed="false">
      <c r="A35" s="14" t="s">
        <v>10299</v>
      </c>
      <c r="B35" s="14" t="s">
        <v>10300</v>
      </c>
      <c r="C35" s="14" t="s">
        <v>6818</v>
      </c>
      <c r="D35" s="14" t="s">
        <v>10301</v>
      </c>
      <c r="E35" s="14" t="s">
        <v>10302</v>
      </c>
      <c r="F35" s="14" t="s">
        <v>10303</v>
      </c>
      <c r="G35" s="14" t="s">
        <v>10278</v>
      </c>
      <c r="H35" s="14" t="s">
        <v>104</v>
      </c>
      <c r="I35" s="14" t="s">
        <v>69</v>
      </c>
      <c r="J35" s="14"/>
    </row>
    <row r="36" customFormat="false" ht="23.85" hidden="false" customHeight="false" outlineLevel="0" collapsed="false">
      <c r="A36" s="14" t="s">
        <v>6893</v>
      </c>
      <c r="B36" s="14" t="s">
        <v>6895</v>
      </c>
      <c r="C36" s="14" t="s">
        <v>6825</v>
      </c>
      <c r="D36" s="14" t="b">
        <f aca="false">FALSE()</f>
        <v>0</v>
      </c>
      <c r="E36" s="14" t="b">
        <f aca="false">FALSE()</f>
        <v>0</v>
      </c>
      <c r="F36" s="14" t="b">
        <f aca="false">TRUE()</f>
        <v>1</v>
      </c>
      <c r="G36" s="14" t="s">
        <v>4215</v>
      </c>
      <c r="H36" s="14" t="s">
        <v>115</v>
      </c>
      <c r="I36" s="14" t="n">
        <f aca="false">COUNTIF($A$36:$A$43,A36)</f>
        <v>1</v>
      </c>
      <c r="J36" s="14"/>
    </row>
    <row r="37" customFormat="false" ht="23.85" hidden="false" customHeight="false" outlineLevel="0" collapsed="false">
      <c r="A37" s="14" t="s">
        <v>6896</v>
      </c>
      <c r="B37" s="14" t="s">
        <v>6897</v>
      </c>
      <c r="C37" s="14" t="s">
        <v>6825</v>
      </c>
      <c r="D37" s="14" t="b">
        <f aca="false">FALSE()</f>
        <v>0</v>
      </c>
      <c r="E37" s="14" t="b">
        <f aca="false">FALSE()</f>
        <v>0</v>
      </c>
      <c r="F37" s="14" t="b">
        <f aca="false">TRUE()</f>
        <v>1</v>
      </c>
      <c r="G37" s="14" t="s">
        <v>6862</v>
      </c>
      <c r="H37" s="14" t="s">
        <v>115</v>
      </c>
      <c r="I37" s="14" t="n">
        <f aca="false">COUNTIF($A$36:$A$43,A37)</f>
        <v>1</v>
      </c>
      <c r="J37" s="14"/>
    </row>
    <row r="38" customFormat="false" ht="23.85" hidden="false" customHeight="false" outlineLevel="0" collapsed="false">
      <c r="A38" s="14" t="s">
        <v>6898</v>
      </c>
      <c r="B38" s="14" t="s">
        <v>6899</v>
      </c>
      <c r="C38" s="14" t="s">
        <v>6825</v>
      </c>
      <c r="D38" s="14" t="b">
        <f aca="false">FALSE()</f>
        <v>0</v>
      </c>
      <c r="E38" s="14" t="b">
        <f aca="false">FALSE()</f>
        <v>0</v>
      </c>
      <c r="F38" s="14" t="b">
        <f aca="false">TRUE()</f>
        <v>1</v>
      </c>
      <c r="G38" s="14" t="s">
        <v>6827</v>
      </c>
      <c r="H38" s="14" t="s">
        <v>115</v>
      </c>
      <c r="I38" s="14" t="n">
        <f aca="false">COUNTIF($A$36:$A$43,A38)</f>
        <v>1</v>
      </c>
      <c r="J38" s="14"/>
    </row>
    <row r="39" customFormat="false" ht="23.85" hidden="false" customHeight="false" outlineLevel="0" collapsed="false">
      <c r="A39" s="14" t="s">
        <v>6900</v>
      </c>
      <c r="B39" s="14" t="s">
        <v>6901</v>
      </c>
      <c r="C39" s="14" t="s">
        <v>6825</v>
      </c>
      <c r="D39" s="14" t="b">
        <f aca="false">FALSE()</f>
        <v>0</v>
      </c>
      <c r="E39" s="14" t="b">
        <f aca="false">FALSE()</f>
        <v>0</v>
      </c>
      <c r="F39" s="14" t="b">
        <f aca="false">TRUE()</f>
        <v>1</v>
      </c>
      <c r="G39" s="14" t="s">
        <v>6902</v>
      </c>
      <c r="H39" s="14" t="s">
        <v>115</v>
      </c>
      <c r="I39" s="14" t="n">
        <f aca="false">COUNTIF($A$36:$A$43,A39)</f>
        <v>1</v>
      </c>
      <c r="J39" s="14"/>
    </row>
    <row r="40" customFormat="false" ht="23.85" hidden="false" customHeight="false" outlineLevel="0" collapsed="false">
      <c r="A40" s="14" t="s">
        <v>6858</v>
      </c>
      <c r="B40" s="14" t="s">
        <v>6903</v>
      </c>
      <c r="C40" s="14" t="s">
        <v>6825</v>
      </c>
      <c r="D40" s="14" t="b">
        <f aca="false">FALSE()</f>
        <v>0</v>
      </c>
      <c r="E40" s="14" t="b">
        <f aca="false">FALSE()</f>
        <v>0</v>
      </c>
      <c r="F40" s="14" t="b">
        <f aca="false">TRUE()</f>
        <v>1</v>
      </c>
      <c r="G40" s="14" t="s">
        <v>6841</v>
      </c>
      <c r="H40" s="14" t="s">
        <v>115</v>
      </c>
      <c r="I40" s="14" t="n">
        <f aca="false">COUNTIF($A$36:$A$43,A40)</f>
        <v>1</v>
      </c>
      <c r="J40" s="14"/>
    </row>
    <row r="41" customFormat="false" ht="23.85" hidden="false" customHeight="false" outlineLevel="0" collapsed="false">
      <c r="A41" s="14" t="s">
        <v>6904</v>
      </c>
      <c r="B41" s="14" t="s">
        <v>6905</v>
      </c>
      <c r="C41" s="14" t="s">
        <v>6825</v>
      </c>
      <c r="D41" s="14" t="b">
        <f aca="false">FALSE()</f>
        <v>0</v>
      </c>
      <c r="E41" s="14" t="b">
        <f aca="false">FALSE()</f>
        <v>0</v>
      </c>
      <c r="F41" s="14" t="b">
        <f aca="false">TRUE()</f>
        <v>1</v>
      </c>
      <c r="G41" s="14" t="s">
        <v>4215</v>
      </c>
      <c r="H41" s="14" t="s">
        <v>115</v>
      </c>
      <c r="I41" s="14" t="n">
        <f aca="false">COUNTIF($A$36:$A$43,A41)</f>
        <v>1</v>
      </c>
      <c r="J41" s="14"/>
    </row>
    <row r="42" customFormat="false" ht="23.85" hidden="false" customHeight="false" outlineLevel="0" collapsed="false">
      <c r="A42" s="14" t="s">
        <v>6906</v>
      </c>
      <c r="B42" s="14" t="s">
        <v>6907</v>
      </c>
      <c r="C42" s="14" t="s">
        <v>6825</v>
      </c>
      <c r="D42" s="14" t="b">
        <f aca="false">FALSE()</f>
        <v>0</v>
      </c>
      <c r="E42" s="14" t="b">
        <f aca="false">FALSE()</f>
        <v>0</v>
      </c>
      <c r="F42" s="14" t="b">
        <f aca="false">TRUE()</f>
        <v>1</v>
      </c>
      <c r="G42" s="14" t="s">
        <v>4215</v>
      </c>
      <c r="H42" s="14" t="s">
        <v>115</v>
      </c>
      <c r="I42" s="14" t="n">
        <f aca="false">COUNTIF($A$36:$A$43,A42)</f>
        <v>1</v>
      </c>
      <c r="J42" s="14"/>
    </row>
    <row r="43" customFormat="false" ht="23.85" hidden="false" customHeight="false" outlineLevel="0" collapsed="false">
      <c r="A43" s="14" t="s">
        <v>6908</v>
      </c>
      <c r="B43" s="14" t="s">
        <v>6909</v>
      </c>
      <c r="C43" s="14" t="s">
        <v>6825</v>
      </c>
      <c r="D43" s="14" t="b">
        <f aca="false">FALSE()</f>
        <v>0</v>
      </c>
      <c r="E43" s="14" t="b">
        <f aca="false">FALSE()</f>
        <v>0</v>
      </c>
      <c r="F43" s="14" t="b">
        <f aca="false">TRUE()</f>
        <v>1</v>
      </c>
      <c r="G43" s="14" t="s">
        <v>4215</v>
      </c>
      <c r="H43" s="14" t="s">
        <v>115</v>
      </c>
      <c r="I43" s="14" t="n">
        <f aca="false">COUNTIF($A$36:$A$43,A43)</f>
        <v>1</v>
      </c>
      <c r="J43" s="14"/>
    </row>
    <row r="44" customFormat="false" ht="15" hidden="false" customHeight="false" outlineLevel="0" collapsed="false">
      <c r="A44" s="14"/>
      <c r="B44" s="14"/>
      <c r="C44" s="14"/>
      <c r="D44" s="14"/>
      <c r="E44" s="14"/>
      <c r="F44" s="14"/>
      <c r="G44" s="14"/>
      <c r="H44" s="14"/>
      <c r="I44" s="14"/>
      <c r="J44" s="14"/>
    </row>
    <row r="45" customFormat="false" ht="22" hidden="false" customHeight="true" outlineLevel="0" collapsed="false">
      <c r="A45" s="20" t="s">
        <v>10304</v>
      </c>
      <c r="B45" s="20" t="s">
        <v>10304</v>
      </c>
      <c r="C45" s="20" t="s">
        <v>10304</v>
      </c>
      <c r="D45" s="20" t="s">
        <v>10304</v>
      </c>
      <c r="E45" s="20" t="s">
        <v>10304</v>
      </c>
      <c r="F45" s="20" t="s">
        <v>10304</v>
      </c>
      <c r="G45" s="20" t="s">
        <v>10304</v>
      </c>
      <c r="H45" s="20" t="s">
        <v>10304</v>
      </c>
      <c r="I45" s="20" t="s">
        <v>10304</v>
      </c>
      <c r="J45" s="20" t="s">
        <v>10304</v>
      </c>
    </row>
    <row r="46" customFormat="false" ht="23.85" hidden="false" customHeight="false" outlineLevel="0" collapsed="false">
      <c r="A46" s="14" t="s">
        <v>96</v>
      </c>
      <c r="B46" s="14" t="s">
        <v>10305</v>
      </c>
      <c r="C46" s="14" t="s">
        <v>10306</v>
      </c>
      <c r="D46" s="14" t="s">
        <v>10307</v>
      </c>
      <c r="E46" s="14" t="s">
        <v>10308</v>
      </c>
      <c r="F46" s="14" t="s">
        <v>10309</v>
      </c>
      <c r="G46" s="14" t="s">
        <v>10310</v>
      </c>
      <c r="H46" s="14" t="s">
        <v>10278</v>
      </c>
      <c r="I46" s="14" t="s">
        <v>104</v>
      </c>
      <c r="J46" s="14" t="s">
        <v>69</v>
      </c>
    </row>
    <row r="47" customFormat="false" ht="23.85" hidden="false" customHeight="false" outlineLevel="0" collapsed="false">
      <c r="A47" s="14" t="s">
        <v>108</v>
      </c>
      <c r="B47" s="14" t="n">
        <v>1</v>
      </c>
      <c r="C47" s="14" t="n">
        <v>1</v>
      </c>
      <c r="D47" s="14" t="n">
        <v>3</v>
      </c>
      <c r="E47" s="14" t="n">
        <v>1</v>
      </c>
      <c r="F47" s="14" t="n">
        <v>1</v>
      </c>
      <c r="G47" s="14" t="b">
        <f aca="false">TRUE()</f>
        <v>1</v>
      </c>
      <c r="H47" s="14" t="s">
        <v>4215</v>
      </c>
      <c r="I47" s="14" t="s">
        <v>115</v>
      </c>
      <c r="J47" s="14" t="n">
        <f aca="false">COUNTIF($A$47:$A$49,A47)</f>
        <v>1</v>
      </c>
    </row>
    <row r="48" customFormat="false" ht="23.85" hidden="false" customHeight="false" outlineLevel="0" collapsed="false">
      <c r="A48" s="14" t="s">
        <v>116</v>
      </c>
      <c r="B48" s="14" t="n">
        <v>2</v>
      </c>
      <c r="C48" s="14" t="n">
        <v>1</v>
      </c>
      <c r="D48" s="14" t="n">
        <v>3</v>
      </c>
      <c r="E48" s="14" t="n">
        <v>1</v>
      </c>
      <c r="F48" s="14" t="n">
        <v>2</v>
      </c>
      <c r="G48" s="14" t="b">
        <f aca="false">TRUE()</f>
        <v>1</v>
      </c>
      <c r="H48" s="14" t="s">
        <v>4219</v>
      </c>
      <c r="I48" s="14" t="s">
        <v>115</v>
      </c>
      <c r="J48" s="14" t="n">
        <f aca="false">COUNTIF($A$47:$A$49,A48)</f>
        <v>1</v>
      </c>
    </row>
    <row r="49" customFormat="false" ht="23.85" hidden="false" customHeight="false" outlineLevel="0" collapsed="false">
      <c r="A49" s="14" t="s">
        <v>122</v>
      </c>
      <c r="B49" s="14" t="n">
        <v>1</v>
      </c>
      <c r="C49" s="14" t="n">
        <v>1</v>
      </c>
      <c r="D49" s="14" t="n">
        <v>3</v>
      </c>
      <c r="E49" s="14" t="n">
        <v>1</v>
      </c>
      <c r="F49" s="14" t="n">
        <v>1</v>
      </c>
      <c r="G49" s="14" t="b">
        <f aca="false">TRUE()</f>
        <v>1</v>
      </c>
      <c r="H49" s="14" t="s">
        <v>4215</v>
      </c>
      <c r="I49" s="14" t="s">
        <v>115</v>
      </c>
      <c r="J49" s="14" t="n">
        <f aca="false">COUNTIF($A$47:$A$49,A49)</f>
        <v>1</v>
      </c>
    </row>
    <row r="50" customFormat="false" ht="15" hidden="false" customHeight="false" outlineLevel="0" collapsed="false">
      <c r="A50" s="14"/>
      <c r="B50" s="14"/>
      <c r="C50" s="14"/>
      <c r="D50" s="14"/>
      <c r="E50" s="14"/>
      <c r="F50" s="14"/>
      <c r="G50" s="14"/>
      <c r="H50" s="14"/>
      <c r="I50" s="14"/>
      <c r="J50" s="14"/>
    </row>
    <row r="51" customFormat="false" ht="22" hidden="false" customHeight="true" outlineLevel="0" collapsed="false">
      <c r="A51" s="20" t="s">
        <v>10311</v>
      </c>
      <c r="B51" s="20" t="s">
        <v>10311</v>
      </c>
      <c r="C51" s="20" t="s">
        <v>10311</v>
      </c>
      <c r="D51" s="20" t="s">
        <v>10311</v>
      </c>
      <c r="E51" s="20" t="s">
        <v>10311</v>
      </c>
      <c r="F51" s="20" t="s">
        <v>10311</v>
      </c>
      <c r="G51" s="20" t="s">
        <v>10311</v>
      </c>
      <c r="H51" s="20" t="s">
        <v>10311</v>
      </c>
      <c r="I51" s="20" t="s">
        <v>10311</v>
      </c>
      <c r="J51" s="20" t="s">
        <v>10311</v>
      </c>
    </row>
    <row r="52" customFormat="false" ht="15" hidden="false" customHeight="false" outlineLevel="0" collapsed="false">
      <c r="A52" s="14" t="s">
        <v>10312</v>
      </c>
      <c r="B52" s="14" t="s">
        <v>581</v>
      </c>
      <c r="C52" s="14" t="s">
        <v>10313</v>
      </c>
      <c r="D52" s="14" t="s">
        <v>10314</v>
      </c>
      <c r="E52" s="14" t="s">
        <v>10315</v>
      </c>
      <c r="F52" s="14" t="s">
        <v>10316</v>
      </c>
      <c r="G52" s="14" t="s">
        <v>1639</v>
      </c>
      <c r="H52" s="14" t="s">
        <v>10278</v>
      </c>
      <c r="I52" s="14" t="s">
        <v>104</v>
      </c>
      <c r="J52" s="14" t="s">
        <v>69</v>
      </c>
    </row>
    <row r="53" customFormat="false" ht="15" hidden="false" customHeight="false" outlineLevel="0" collapsed="false">
      <c r="A53" s="14" t="s">
        <v>4011</v>
      </c>
      <c r="B53" s="14" t="s">
        <v>544</v>
      </c>
      <c r="C53" s="14" t="s">
        <v>557</v>
      </c>
      <c r="D53" s="14" t="b">
        <f aca="false">FALSE()</f>
        <v>0</v>
      </c>
      <c r="E53" s="14" t="b">
        <f aca="false">FALSE()</f>
        <v>0</v>
      </c>
      <c r="F53" s="14" t="b">
        <f aca="false">TRUE()</f>
        <v>1</v>
      </c>
      <c r="G53" s="14" t="n">
        <v>100</v>
      </c>
      <c r="H53" s="14" t="s">
        <v>10317</v>
      </c>
      <c r="I53" s="14" t="s">
        <v>115</v>
      </c>
      <c r="J53" s="14" t="n">
        <f aca="false">COUNTIF($A$53:$A$55,A53)</f>
        <v>1</v>
      </c>
    </row>
    <row r="54" customFormat="false" ht="23.85" hidden="false" customHeight="false" outlineLevel="0" collapsed="false">
      <c r="A54" s="14" t="s">
        <v>4031</v>
      </c>
      <c r="B54" s="14" t="s">
        <v>644</v>
      </c>
      <c r="C54" s="14" t="s">
        <v>628</v>
      </c>
      <c r="D54" s="14" t="b">
        <f aca="false">FALSE()</f>
        <v>0</v>
      </c>
      <c r="E54" s="14" t="b">
        <f aca="false">FALSE()</f>
        <v>0</v>
      </c>
      <c r="F54" s="14" t="b">
        <f aca="false">TRUE()</f>
        <v>1</v>
      </c>
      <c r="G54" s="14" t="n">
        <v>100</v>
      </c>
      <c r="H54" s="14" t="s">
        <v>10318</v>
      </c>
      <c r="I54" s="14" t="s">
        <v>115</v>
      </c>
      <c r="J54" s="14" t="n">
        <f aca="false">COUNTIF($A$53:$A$55,A54)</f>
        <v>1</v>
      </c>
    </row>
    <row r="55" customFormat="false" ht="23.85" hidden="false" customHeight="false" outlineLevel="0" collapsed="false">
      <c r="A55" s="14" t="s">
        <v>4034</v>
      </c>
      <c r="B55" s="14" t="s">
        <v>674</v>
      </c>
      <c r="C55" s="14" t="s">
        <v>628</v>
      </c>
      <c r="D55" s="14" t="b">
        <f aca="false">FALSE()</f>
        <v>0</v>
      </c>
      <c r="E55" s="14" t="b">
        <f aca="false">TRUE()</f>
        <v>1</v>
      </c>
      <c r="F55" s="14" t="b">
        <f aca="false">TRUE()</f>
        <v>1</v>
      </c>
      <c r="G55" s="14" t="n">
        <v>100</v>
      </c>
      <c r="H55" s="14" t="s">
        <v>4036</v>
      </c>
      <c r="I55" s="14" t="s">
        <v>115</v>
      </c>
      <c r="J55" s="14" t="n">
        <f aca="false">COUNTIF($A$53:$A$55,A55)</f>
        <v>1</v>
      </c>
    </row>
    <row r="56" customFormat="false" ht="15" hidden="false" customHeight="false" outlineLevel="0" collapsed="false">
      <c r="A56" s="14"/>
      <c r="B56" s="14"/>
      <c r="C56" s="14"/>
      <c r="D56" s="14"/>
      <c r="E56" s="14"/>
      <c r="F56" s="14"/>
      <c r="G56" s="14"/>
      <c r="H56" s="14"/>
      <c r="I56" s="14"/>
      <c r="J56" s="14"/>
    </row>
    <row r="57" customFormat="false" ht="22" hidden="false" customHeight="true" outlineLevel="0" collapsed="false">
      <c r="A57" s="20" t="s">
        <v>10319</v>
      </c>
      <c r="B57" s="20" t="s">
        <v>10319</v>
      </c>
      <c r="C57" s="20" t="s">
        <v>10319</v>
      </c>
      <c r="D57" s="20" t="s">
        <v>10319</v>
      </c>
      <c r="E57" s="20" t="s">
        <v>10319</v>
      </c>
      <c r="F57" s="20" t="s">
        <v>10319</v>
      </c>
      <c r="G57" s="20" t="s">
        <v>10319</v>
      </c>
      <c r="H57" s="20" t="s">
        <v>10319</v>
      </c>
      <c r="I57" s="20" t="s">
        <v>10319</v>
      </c>
      <c r="J57" s="14"/>
    </row>
    <row r="58" customFormat="false" ht="15" hidden="false" customHeight="false" outlineLevel="0" collapsed="false">
      <c r="A58" s="14" t="s">
        <v>4146</v>
      </c>
      <c r="B58" s="14" t="s">
        <v>4147</v>
      </c>
      <c r="C58" s="14" t="s">
        <v>4148</v>
      </c>
      <c r="D58" s="14" t="s">
        <v>4149</v>
      </c>
      <c r="E58" s="14" t="s">
        <v>4150</v>
      </c>
      <c r="F58" s="14" t="s">
        <v>4151</v>
      </c>
      <c r="G58" s="14" t="s">
        <v>4152</v>
      </c>
      <c r="H58" s="14" t="s">
        <v>67</v>
      </c>
      <c r="I58" s="14" t="s">
        <v>69</v>
      </c>
      <c r="J58" s="14"/>
    </row>
    <row r="59" customFormat="false" ht="23.85" hidden="false" customHeight="false" outlineLevel="0" collapsed="false">
      <c r="A59" s="14" t="s">
        <v>10320</v>
      </c>
      <c r="B59" s="14" t="s">
        <v>10321</v>
      </c>
      <c r="C59" s="14" t="s">
        <v>4155</v>
      </c>
      <c r="D59" s="14" t="b">
        <f aca="false">TRUE()</f>
        <v>1</v>
      </c>
      <c r="E59" s="14"/>
      <c r="F59" s="14" t="s">
        <v>10322</v>
      </c>
      <c r="G59" s="14" t="s">
        <v>10323</v>
      </c>
      <c r="H59" s="14" t="s">
        <v>4215</v>
      </c>
      <c r="I59" s="14" t="n">
        <f aca="false">COUNTIF($A$59:$A$77,A59)</f>
        <v>1</v>
      </c>
      <c r="J59" s="14"/>
    </row>
    <row r="60" customFormat="false" ht="23.85" hidden="false" customHeight="false" outlineLevel="0" collapsed="false">
      <c r="A60" s="14" t="s">
        <v>10324</v>
      </c>
      <c r="B60" s="14" t="s">
        <v>10321</v>
      </c>
      <c r="C60" s="14" t="s">
        <v>4155</v>
      </c>
      <c r="D60" s="14" t="b">
        <f aca="false">TRUE()</f>
        <v>1</v>
      </c>
      <c r="E60" s="14"/>
      <c r="F60" s="14" t="s">
        <v>10325</v>
      </c>
      <c r="G60" s="14" t="s">
        <v>10326</v>
      </c>
      <c r="H60" s="14" t="s">
        <v>4215</v>
      </c>
      <c r="I60" s="14" t="n">
        <f aca="false">COUNTIF($A$59:$A$77,A60)</f>
        <v>1</v>
      </c>
      <c r="J60" s="14"/>
    </row>
    <row r="61" customFormat="false" ht="35.05" hidden="false" customHeight="false" outlineLevel="0" collapsed="false">
      <c r="A61" s="14" t="s">
        <v>10327</v>
      </c>
      <c r="B61" s="14" t="s">
        <v>10321</v>
      </c>
      <c r="C61" s="14" t="s">
        <v>4161</v>
      </c>
      <c r="D61" s="14" t="b">
        <f aca="false">TRUE()</f>
        <v>1</v>
      </c>
      <c r="E61" s="14"/>
      <c r="F61" s="14" t="s">
        <v>10328</v>
      </c>
      <c r="G61" s="14" t="s">
        <v>10329</v>
      </c>
      <c r="H61" s="14" t="s">
        <v>4215</v>
      </c>
      <c r="I61" s="14" t="n">
        <f aca="false">COUNTIF($A$59:$A$77,A61)</f>
        <v>1</v>
      </c>
      <c r="J61" s="14"/>
    </row>
    <row r="62" customFormat="false" ht="23.85" hidden="false" customHeight="false" outlineLevel="0" collapsed="false">
      <c r="A62" s="14" t="s">
        <v>10330</v>
      </c>
      <c r="B62" s="14" t="s">
        <v>10321</v>
      </c>
      <c r="C62" s="14" t="s">
        <v>4161</v>
      </c>
      <c r="D62" s="14" t="b">
        <f aca="false">TRUE()</f>
        <v>1</v>
      </c>
      <c r="E62" s="14"/>
      <c r="F62" s="14" t="s">
        <v>10331</v>
      </c>
      <c r="G62" s="14" t="s">
        <v>10332</v>
      </c>
      <c r="H62" s="14" t="s">
        <v>6827</v>
      </c>
      <c r="I62" s="14" t="n">
        <f aca="false">COUNTIF($A$59:$A$77,A62)</f>
        <v>1</v>
      </c>
      <c r="J62" s="14"/>
    </row>
    <row r="63" customFormat="false" ht="23.85" hidden="false" customHeight="false" outlineLevel="0" collapsed="false">
      <c r="A63" s="14" t="s">
        <v>10333</v>
      </c>
      <c r="B63" s="14" t="s">
        <v>10321</v>
      </c>
      <c r="C63" s="14" t="s">
        <v>4161</v>
      </c>
      <c r="D63" s="14" t="b">
        <f aca="false">TRUE()</f>
        <v>1</v>
      </c>
      <c r="E63" s="14" t="s">
        <v>6920</v>
      </c>
      <c r="F63" s="14" t="s">
        <v>10334</v>
      </c>
      <c r="G63" s="14" t="s">
        <v>10335</v>
      </c>
      <c r="H63" s="14" t="s">
        <v>4215</v>
      </c>
      <c r="I63" s="14" t="n">
        <f aca="false">COUNTIF($A$59:$A$77,A63)</f>
        <v>1</v>
      </c>
      <c r="J63" s="14"/>
    </row>
    <row r="64" customFormat="false" ht="23.85" hidden="false" customHeight="false" outlineLevel="0" collapsed="false">
      <c r="A64" s="14" t="s">
        <v>10336</v>
      </c>
      <c r="B64" s="14" t="s">
        <v>10321</v>
      </c>
      <c r="C64" s="14" t="s">
        <v>4192</v>
      </c>
      <c r="D64" s="14" t="b">
        <f aca="false">TRUE()</f>
        <v>1</v>
      </c>
      <c r="E64" s="14"/>
      <c r="F64" s="14" t="s">
        <v>10337</v>
      </c>
      <c r="G64" s="14" t="s">
        <v>10338</v>
      </c>
      <c r="H64" s="14" t="s">
        <v>10339</v>
      </c>
      <c r="I64" s="14" t="n">
        <f aca="false">COUNTIF($A$59:$A$77,A64)</f>
        <v>1</v>
      </c>
      <c r="J64" s="14"/>
    </row>
    <row r="65" customFormat="false" ht="23.85" hidden="false" customHeight="false" outlineLevel="0" collapsed="false">
      <c r="A65" s="14" t="s">
        <v>10340</v>
      </c>
      <c r="B65" s="14" t="s">
        <v>10321</v>
      </c>
      <c r="C65" s="14" t="s">
        <v>4161</v>
      </c>
      <c r="D65" s="14" t="b">
        <f aca="false">TRUE()</f>
        <v>1</v>
      </c>
      <c r="E65" s="14"/>
      <c r="F65" s="14" t="s">
        <v>10341</v>
      </c>
      <c r="G65" s="14" t="s">
        <v>10342</v>
      </c>
      <c r="H65" s="14" t="s">
        <v>4215</v>
      </c>
      <c r="I65" s="14" t="n">
        <f aca="false">COUNTIF($A$59:$A$77,A65)</f>
        <v>1</v>
      </c>
      <c r="J65" s="14"/>
    </row>
    <row r="66" customFormat="false" ht="23.85" hidden="false" customHeight="false" outlineLevel="0" collapsed="false">
      <c r="A66" s="14" t="s">
        <v>10343</v>
      </c>
      <c r="B66" s="14" t="s">
        <v>10321</v>
      </c>
      <c r="C66" s="14" t="s">
        <v>4161</v>
      </c>
      <c r="D66" s="14" t="b">
        <f aca="false">TRUE()</f>
        <v>1</v>
      </c>
      <c r="E66" s="14" t="s">
        <v>600</v>
      </c>
      <c r="F66" s="14" t="s">
        <v>10344</v>
      </c>
      <c r="G66" s="14" t="s">
        <v>10345</v>
      </c>
      <c r="H66" s="14" t="s">
        <v>6913</v>
      </c>
      <c r="I66" s="14" t="n">
        <f aca="false">COUNTIF($A$59:$A$77,A66)</f>
        <v>1</v>
      </c>
      <c r="J66" s="14"/>
    </row>
    <row r="67" customFormat="false" ht="23.85" hidden="false" customHeight="false" outlineLevel="0" collapsed="false">
      <c r="A67" s="14" t="s">
        <v>10346</v>
      </c>
      <c r="B67" s="14" t="s">
        <v>10321</v>
      </c>
      <c r="C67" s="14" t="s">
        <v>10347</v>
      </c>
      <c r="D67" s="14" t="b">
        <f aca="false">TRUE()</f>
        <v>1</v>
      </c>
      <c r="E67" s="14" t="s">
        <v>4188</v>
      </c>
      <c r="F67" s="14" t="s">
        <v>10348</v>
      </c>
      <c r="G67" s="14" t="s">
        <v>10349</v>
      </c>
      <c r="H67" s="14" t="s">
        <v>4215</v>
      </c>
      <c r="I67" s="14" t="n">
        <f aca="false">COUNTIF($A$59:$A$77,A67)</f>
        <v>1</v>
      </c>
      <c r="J67" s="14"/>
    </row>
    <row r="68" customFormat="false" ht="35.05" hidden="false" customHeight="false" outlineLevel="0" collapsed="false">
      <c r="A68" s="14" t="s">
        <v>10350</v>
      </c>
      <c r="B68" s="14" t="s">
        <v>10321</v>
      </c>
      <c r="C68" s="14" t="s">
        <v>4161</v>
      </c>
      <c r="D68" s="14" t="b">
        <f aca="false">TRUE()</f>
        <v>1</v>
      </c>
      <c r="E68" s="14" t="s">
        <v>600</v>
      </c>
      <c r="F68" s="14" t="s">
        <v>10351</v>
      </c>
      <c r="G68" s="14" t="s">
        <v>10352</v>
      </c>
      <c r="H68" s="14" t="s">
        <v>6827</v>
      </c>
      <c r="I68" s="14" t="n">
        <f aca="false">COUNTIF($A$59:$A$77,A68)</f>
        <v>1</v>
      </c>
      <c r="J68" s="14"/>
    </row>
    <row r="69" customFormat="false" ht="35.05" hidden="false" customHeight="false" outlineLevel="0" collapsed="false">
      <c r="A69" s="14" t="s">
        <v>10353</v>
      </c>
      <c r="B69" s="14" t="s">
        <v>10321</v>
      </c>
      <c r="C69" s="14" t="s">
        <v>4161</v>
      </c>
      <c r="D69" s="14" t="b">
        <f aca="false">TRUE()</f>
        <v>1</v>
      </c>
      <c r="E69" s="14" t="s">
        <v>600</v>
      </c>
      <c r="F69" s="14" t="s">
        <v>10354</v>
      </c>
      <c r="G69" s="14" t="s">
        <v>10355</v>
      </c>
      <c r="H69" s="14" t="s">
        <v>10290</v>
      </c>
      <c r="I69" s="14" t="n">
        <f aca="false">COUNTIF($A$59:$A$77,A69)</f>
        <v>1</v>
      </c>
      <c r="J69" s="14"/>
    </row>
    <row r="70" customFormat="false" ht="35.05" hidden="false" customHeight="false" outlineLevel="0" collapsed="false">
      <c r="A70" s="14" t="s">
        <v>10356</v>
      </c>
      <c r="B70" s="14" t="s">
        <v>10321</v>
      </c>
      <c r="C70" s="14" t="s">
        <v>4192</v>
      </c>
      <c r="D70" s="14" t="b">
        <f aca="false">TRUE()</f>
        <v>1</v>
      </c>
      <c r="E70" s="14" t="n">
        <v>0</v>
      </c>
      <c r="F70" s="14" t="s">
        <v>10357</v>
      </c>
      <c r="G70" s="14" t="s">
        <v>10358</v>
      </c>
      <c r="H70" s="14" t="s">
        <v>10290</v>
      </c>
      <c r="I70" s="14" t="n">
        <f aca="false">COUNTIF($A$59:$A$77,A70)</f>
        <v>1</v>
      </c>
      <c r="J70" s="14"/>
    </row>
    <row r="71" customFormat="false" ht="23.85" hidden="false" customHeight="false" outlineLevel="0" collapsed="false">
      <c r="A71" s="14" t="s">
        <v>10359</v>
      </c>
      <c r="B71" s="14" t="s">
        <v>10321</v>
      </c>
      <c r="C71" s="14" t="s">
        <v>4262</v>
      </c>
      <c r="D71" s="14" t="b">
        <f aca="false">TRUE()</f>
        <v>1</v>
      </c>
      <c r="E71" s="14" t="b">
        <f aca="false">TRUE()</f>
        <v>1</v>
      </c>
      <c r="F71" s="14" t="s">
        <v>10360</v>
      </c>
      <c r="G71" s="14" t="s">
        <v>10361</v>
      </c>
      <c r="H71" s="14" t="s">
        <v>4215</v>
      </c>
      <c r="I71" s="14" t="n">
        <f aca="false">COUNTIF($A$59:$A$77,A71)</f>
        <v>1</v>
      </c>
      <c r="J71" s="14"/>
    </row>
    <row r="72" customFormat="false" ht="23.85" hidden="false" customHeight="false" outlineLevel="0" collapsed="false">
      <c r="A72" s="14" t="s">
        <v>10362</v>
      </c>
      <c r="B72" s="14" t="s">
        <v>10321</v>
      </c>
      <c r="C72" s="14" t="s">
        <v>4262</v>
      </c>
      <c r="D72" s="14" t="b">
        <f aca="false">TRUE()</f>
        <v>1</v>
      </c>
      <c r="E72" s="14" t="b">
        <f aca="false">FALSE()</f>
        <v>0</v>
      </c>
      <c r="F72" s="14" t="s">
        <v>10363</v>
      </c>
      <c r="G72" s="14" t="s">
        <v>10364</v>
      </c>
      <c r="H72" s="14" t="s">
        <v>6862</v>
      </c>
      <c r="I72" s="14" t="n">
        <f aca="false">COUNTIF($A$59:$A$77,A72)</f>
        <v>1</v>
      </c>
      <c r="J72" s="14"/>
    </row>
    <row r="73" customFormat="false" ht="23.85" hidden="false" customHeight="false" outlineLevel="0" collapsed="false">
      <c r="A73" s="14" t="s">
        <v>10365</v>
      </c>
      <c r="B73" s="14" t="s">
        <v>10321</v>
      </c>
      <c r="C73" s="14" t="s">
        <v>4262</v>
      </c>
      <c r="D73" s="14" t="b">
        <f aca="false">TRUE()</f>
        <v>1</v>
      </c>
      <c r="E73" s="14" t="b">
        <f aca="false">FALSE()</f>
        <v>0</v>
      </c>
      <c r="F73" s="14" t="s">
        <v>10363</v>
      </c>
      <c r="G73" s="14" t="s">
        <v>10366</v>
      </c>
      <c r="H73" s="14" t="s">
        <v>6841</v>
      </c>
      <c r="I73" s="14" t="n">
        <f aca="false">COUNTIF($A$59:$A$77,A73)</f>
        <v>1</v>
      </c>
      <c r="J73" s="14"/>
    </row>
    <row r="74" customFormat="false" ht="35.05" hidden="false" customHeight="false" outlineLevel="0" collapsed="false">
      <c r="A74" s="14" t="s">
        <v>10367</v>
      </c>
      <c r="B74" s="14" t="s">
        <v>10321</v>
      </c>
      <c r="C74" s="14" t="s">
        <v>4161</v>
      </c>
      <c r="D74" s="14" t="b">
        <f aca="false">TRUE()</f>
        <v>1</v>
      </c>
      <c r="E74" s="14"/>
      <c r="F74" s="14" t="s">
        <v>10368</v>
      </c>
      <c r="G74" s="14" t="s">
        <v>10369</v>
      </c>
      <c r="H74" s="14" t="s">
        <v>4215</v>
      </c>
      <c r="I74" s="14" t="n">
        <f aca="false">COUNTIF($A$59:$A$77,A74)</f>
        <v>1</v>
      </c>
      <c r="J74" s="14"/>
    </row>
    <row r="75" customFormat="false" ht="23.85" hidden="false" customHeight="false" outlineLevel="0" collapsed="false">
      <c r="A75" s="14" t="s">
        <v>10370</v>
      </c>
      <c r="B75" s="14" t="s">
        <v>10321</v>
      </c>
      <c r="C75" s="14" t="s">
        <v>4192</v>
      </c>
      <c r="D75" s="14" t="b">
        <f aca="false">TRUE()</f>
        <v>1</v>
      </c>
      <c r="E75" s="14" t="n">
        <v>0</v>
      </c>
      <c r="F75" s="14" t="s">
        <v>10371</v>
      </c>
      <c r="G75" s="14" t="s">
        <v>10372</v>
      </c>
      <c r="H75" s="14" t="s">
        <v>4215</v>
      </c>
      <c r="I75" s="14" t="n">
        <f aca="false">COUNTIF($A$59:$A$77,A75)</f>
        <v>1</v>
      </c>
      <c r="J75" s="14"/>
    </row>
    <row r="76" customFormat="false" ht="23.85" hidden="false" customHeight="false" outlineLevel="0" collapsed="false">
      <c r="A76" s="14" t="s">
        <v>10373</v>
      </c>
      <c r="B76" s="14" t="s">
        <v>10321</v>
      </c>
      <c r="C76" s="14" t="s">
        <v>10374</v>
      </c>
      <c r="D76" s="14" t="b">
        <f aca="false">TRUE()</f>
        <v>1</v>
      </c>
      <c r="E76" s="14"/>
      <c r="F76" s="14" t="s">
        <v>10375</v>
      </c>
      <c r="G76" s="14" t="s">
        <v>10376</v>
      </c>
      <c r="H76" s="14" t="s">
        <v>4215</v>
      </c>
      <c r="I76" s="14" t="n">
        <f aca="false">COUNTIF($A$59:$A$77,A76)</f>
        <v>1</v>
      </c>
      <c r="J76" s="14"/>
    </row>
    <row r="77" customFormat="false" ht="35.05" hidden="false" customHeight="false" outlineLevel="0" collapsed="false">
      <c r="A77" s="14" t="s">
        <v>10377</v>
      </c>
      <c r="B77" s="14" t="s">
        <v>10321</v>
      </c>
      <c r="C77" s="14" t="s">
        <v>4161</v>
      </c>
      <c r="D77" s="14" t="b">
        <f aca="false">TRUE()</f>
        <v>1</v>
      </c>
      <c r="E77" s="14" t="s">
        <v>6865</v>
      </c>
      <c r="F77" s="14" t="s">
        <v>10378</v>
      </c>
      <c r="G77" s="14" t="s">
        <v>10379</v>
      </c>
      <c r="H77" s="14" t="s">
        <v>4215</v>
      </c>
      <c r="I77" s="14" t="n">
        <f aca="false">COUNTIF($A$59:$A$77,A77)</f>
        <v>1</v>
      </c>
      <c r="J77" s="14"/>
    </row>
    <row r="79" customFormat="false" ht="15" hidden="false" customHeight="false" outlineLevel="0" collapsed="false">
      <c r="A79" s="29" t="s">
        <v>10380</v>
      </c>
      <c r="B79" s="29"/>
      <c r="C79" s="29"/>
      <c r="D79" s="29"/>
      <c r="E79" s="29"/>
      <c r="F79" s="29"/>
      <c r="G79" s="29"/>
      <c r="H79" s="29"/>
      <c r="I79" s="29"/>
      <c r="J79" s="29"/>
    </row>
    <row r="80" customFormat="false" ht="15" hidden="false" customHeight="false" outlineLevel="0" collapsed="false">
      <c r="A80" s="30" t="s">
        <v>10312</v>
      </c>
      <c r="B80" s="30" t="s">
        <v>10273</v>
      </c>
      <c r="C80" s="30" t="s">
        <v>4318</v>
      </c>
      <c r="D80" s="30" t="s">
        <v>10381</v>
      </c>
      <c r="E80" s="30" t="s">
        <v>10382</v>
      </c>
      <c r="F80" s="30" t="s">
        <v>10383</v>
      </c>
      <c r="G80" s="30" t="s">
        <v>10384</v>
      </c>
      <c r="H80" s="30" t="s">
        <v>10017</v>
      </c>
      <c r="I80" s="30" t="s">
        <v>10385</v>
      </c>
      <c r="J80" s="30" t="s">
        <v>104</v>
      </c>
    </row>
    <row r="81" customFormat="false" ht="35.05" hidden="false" customHeight="false" outlineLevel="0" collapsed="false">
      <c r="A81" s="31" t="s">
        <v>51</v>
      </c>
      <c r="B81" s="31" t="s">
        <v>10386</v>
      </c>
      <c r="C81" s="31" t="s">
        <v>10387</v>
      </c>
      <c r="D81" s="31" t="s">
        <v>10388</v>
      </c>
      <c r="E81" s="31" t="s">
        <v>10389</v>
      </c>
      <c r="F81" s="31" t="s">
        <v>10390</v>
      </c>
      <c r="G81" s="31" t="s">
        <v>10391</v>
      </c>
      <c r="H81" s="31" t="s">
        <v>10392</v>
      </c>
      <c r="I81" s="31" t="s">
        <v>10393</v>
      </c>
      <c r="J81" s="31" t="s">
        <v>115</v>
      </c>
    </row>
    <row r="83" customFormat="false" ht="15" hidden="false" customHeight="false" outlineLevel="0" collapsed="false">
      <c r="A83" s="29" t="s">
        <v>10394</v>
      </c>
      <c r="B83" s="29"/>
      <c r="C83" s="29"/>
      <c r="D83" s="29"/>
      <c r="E83" s="29"/>
      <c r="F83" s="29"/>
      <c r="G83" s="29"/>
      <c r="H83" s="29"/>
      <c r="I83" s="29"/>
    </row>
    <row r="84" customFormat="false" ht="15" hidden="false" customHeight="false" outlineLevel="0" collapsed="false">
      <c r="A84" s="30" t="s">
        <v>4146</v>
      </c>
      <c r="B84" s="30" t="s">
        <v>4147</v>
      </c>
      <c r="C84" s="30" t="s">
        <v>4148</v>
      </c>
      <c r="D84" s="30" t="s">
        <v>4149</v>
      </c>
      <c r="E84" s="30" t="s">
        <v>4150</v>
      </c>
      <c r="F84" s="30" t="s">
        <v>4151</v>
      </c>
      <c r="G84" s="30" t="s">
        <v>4152</v>
      </c>
      <c r="H84" s="30" t="s">
        <v>67</v>
      </c>
      <c r="I84" s="30" t="s">
        <v>69</v>
      </c>
    </row>
    <row r="85" customFormat="false" ht="15" hidden="false" customHeight="false" outlineLevel="0" collapsed="false">
      <c r="A85" s="31" t="s">
        <v>10395</v>
      </c>
      <c r="B85" s="31" t="s">
        <v>10396</v>
      </c>
      <c r="C85" s="31" t="s">
        <v>4155</v>
      </c>
      <c r="D85" s="31" t="b">
        <f aca="false">TRUE()</f>
        <v>1</v>
      </c>
      <c r="E85" s="31"/>
      <c r="F85" s="31" t="s">
        <v>10397</v>
      </c>
      <c r="G85" s="31" t="s">
        <v>10017</v>
      </c>
      <c r="H85" s="31" t="s">
        <v>55</v>
      </c>
      <c r="I85" s="31" t="n">
        <f aca="false">COUNTIF($A$85:$A$95,A85)</f>
        <v>1</v>
      </c>
    </row>
    <row r="86" customFormat="false" ht="15" hidden="false" customHeight="false" outlineLevel="0" collapsed="false">
      <c r="A86" s="31" t="s">
        <v>10398</v>
      </c>
      <c r="B86" s="31" t="s">
        <v>10396</v>
      </c>
      <c r="C86" s="31" t="s">
        <v>4155</v>
      </c>
      <c r="D86" s="31" t="b">
        <f aca="false">TRUE()</f>
        <v>1</v>
      </c>
      <c r="E86" s="31"/>
      <c r="F86" s="31" t="s">
        <v>10399</v>
      </c>
      <c r="G86" s="31" t="s">
        <v>10400</v>
      </c>
      <c r="H86" s="31" t="s">
        <v>55</v>
      </c>
      <c r="I86" s="31" t="n">
        <f aca="false">COUNTIF($A$85:$A$95,A86)</f>
        <v>1</v>
      </c>
    </row>
    <row r="87" customFormat="false" ht="15" hidden="false" customHeight="false" outlineLevel="0" collapsed="false">
      <c r="A87" s="31" t="s">
        <v>10324</v>
      </c>
      <c r="B87" s="31" t="s">
        <v>10396</v>
      </c>
      <c r="C87" s="31" t="s">
        <v>4155</v>
      </c>
      <c r="D87" s="31" t="b">
        <f aca="false">TRUE()</f>
        <v>1</v>
      </c>
      <c r="E87" s="31"/>
      <c r="F87" s="31" t="s">
        <v>10401</v>
      </c>
      <c r="G87" s="31" t="s">
        <v>10402</v>
      </c>
      <c r="H87" s="31" t="s">
        <v>55</v>
      </c>
      <c r="I87" s="31" t="n">
        <f aca="false">COUNTIF($A$85:$A$95,A87)</f>
        <v>1</v>
      </c>
    </row>
    <row r="88" customFormat="false" ht="15" hidden="false" customHeight="false" outlineLevel="0" collapsed="false">
      <c r="A88" s="31" t="s">
        <v>4221</v>
      </c>
      <c r="B88" s="31" t="s">
        <v>10396</v>
      </c>
      <c r="C88" s="31" t="s">
        <v>4155</v>
      </c>
      <c r="D88" s="31" t="b">
        <f aca="false">TRUE()</f>
        <v>1</v>
      </c>
      <c r="E88" s="31"/>
      <c r="F88" s="31" t="s">
        <v>10403</v>
      </c>
      <c r="G88" s="31" t="s">
        <v>10404</v>
      </c>
      <c r="H88" s="31" t="s">
        <v>55</v>
      </c>
      <c r="I88" s="31" t="n">
        <f aca="false">COUNTIF($A$85:$A$95,A88)</f>
        <v>1</v>
      </c>
    </row>
    <row r="89" customFormat="false" ht="15" hidden="false" customHeight="false" outlineLevel="0" collapsed="false">
      <c r="A89" s="31" t="s">
        <v>10405</v>
      </c>
      <c r="B89" s="31" t="s">
        <v>10396</v>
      </c>
      <c r="C89" s="31" t="s">
        <v>4192</v>
      </c>
      <c r="D89" s="31" t="b">
        <f aca="false">TRUE()</f>
        <v>1</v>
      </c>
      <c r="E89" s="31"/>
      <c r="F89" s="31" t="s">
        <v>10406</v>
      </c>
      <c r="G89" s="31" t="s">
        <v>10407</v>
      </c>
      <c r="H89" s="31" t="s">
        <v>55</v>
      </c>
      <c r="I89" s="31" t="n">
        <f aca="false">COUNTIF($A$85:$A$95,A89)</f>
        <v>1</v>
      </c>
    </row>
    <row r="90" customFormat="false" ht="15" hidden="false" customHeight="false" outlineLevel="0" collapsed="false">
      <c r="A90" s="31" t="s">
        <v>10408</v>
      </c>
      <c r="B90" s="31" t="s">
        <v>10396</v>
      </c>
      <c r="C90" s="31" t="s">
        <v>10409</v>
      </c>
      <c r="D90" s="31" t="b">
        <f aca="false">TRUE()</f>
        <v>1</v>
      </c>
      <c r="E90" s="31"/>
      <c r="F90" s="31" t="s">
        <v>10410</v>
      </c>
      <c r="G90" s="31" t="s">
        <v>10411</v>
      </c>
      <c r="H90" s="31" t="s">
        <v>55</v>
      </c>
      <c r="I90" s="31" t="n">
        <f aca="false">COUNTIF($A$85:$A$95,A90)</f>
        <v>1</v>
      </c>
    </row>
    <row r="91" customFormat="false" ht="15" hidden="false" customHeight="false" outlineLevel="0" collapsed="false">
      <c r="A91" s="31" t="s">
        <v>10412</v>
      </c>
      <c r="B91" s="31" t="s">
        <v>10396</v>
      </c>
      <c r="C91" s="31" t="s">
        <v>4192</v>
      </c>
      <c r="D91" s="31" t="b">
        <f aca="false">TRUE()</f>
        <v>1</v>
      </c>
      <c r="E91" s="31" t="n">
        <v>1</v>
      </c>
      <c r="F91" s="31" t="s">
        <v>10413</v>
      </c>
      <c r="G91" s="31" t="s">
        <v>10414</v>
      </c>
      <c r="H91" s="31" t="s">
        <v>4558</v>
      </c>
      <c r="I91" s="31" t="n">
        <f aca="false">COUNTIF($A$85:$A$95,A91)</f>
        <v>1</v>
      </c>
    </row>
    <row r="92" customFormat="false" ht="15" hidden="false" customHeight="false" outlineLevel="0" collapsed="false">
      <c r="A92" s="31" t="s">
        <v>10415</v>
      </c>
      <c r="B92" s="31" t="s">
        <v>10396</v>
      </c>
      <c r="C92" s="31" t="s">
        <v>4192</v>
      </c>
      <c r="D92" s="31" t="b">
        <f aca="false">TRUE()</f>
        <v>1</v>
      </c>
      <c r="E92" s="31"/>
      <c r="F92" s="31" t="s">
        <v>10416</v>
      </c>
      <c r="G92" s="31" t="s">
        <v>10417</v>
      </c>
      <c r="H92" s="31" t="s">
        <v>55</v>
      </c>
      <c r="I92" s="31" t="n">
        <f aca="false">COUNTIF($A$85:$A$95,A92)</f>
        <v>1</v>
      </c>
    </row>
    <row r="93" customFormat="false" ht="15" hidden="false" customHeight="false" outlineLevel="0" collapsed="false">
      <c r="A93" s="31" t="s">
        <v>10418</v>
      </c>
      <c r="B93" s="31" t="s">
        <v>10396</v>
      </c>
      <c r="C93" s="31" t="s">
        <v>10419</v>
      </c>
      <c r="D93" s="31" t="b">
        <f aca="false">TRUE()</f>
        <v>1</v>
      </c>
      <c r="E93" s="31"/>
      <c r="F93" s="31" t="s">
        <v>10420</v>
      </c>
      <c r="G93" s="31" t="s">
        <v>10421</v>
      </c>
      <c r="H93" s="31" t="s">
        <v>55</v>
      </c>
      <c r="I93" s="31" t="n">
        <f aca="false">COUNTIF($A$85:$A$95,A93)</f>
        <v>1</v>
      </c>
    </row>
    <row r="94" customFormat="false" ht="15" hidden="false" customHeight="false" outlineLevel="0" collapsed="false">
      <c r="A94" s="31" t="s">
        <v>10422</v>
      </c>
      <c r="B94" s="31" t="s">
        <v>10396</v>
      </c>
      <c r="C94" s="31" t="s">
        <v>4256</v>
      </c>
      <c r="D94" s="31" t="b">
        <f aca="false">TRUE()</f>
        <v>1</v>
      </c>
      <c r="E94" s="31"/>
      <c r="F94" s="31" t="s">
        <v>10423</v>
      </c>
      <c r="G94" s="31" t="s">
        <v>10424</v>
      </c>
      <c r="H94" s="31" t="s">
        <v>55</v>
      </c>
      <c r="I94" s="31" t="n">
        <f aca="false">COUNTIF($A$85:$A$95,A94)</f>
        <v>1</v>
      </c>
    </row>
    <row r="95" customFormat="false" ht="15" hidden="false" customHeight="false" outlineLevel="0" collapsed="false">
      <c r="A95" s="31" t="s">
        <v>10425</v>
      </c>
      <c r="B95" s="31" t="s">
        <v>10396</v>
      </c>
      <c r="C95" s="31" t="s">
        <v>4262</v>
      </c>
      <c r="D95" s="31" t="b">
        <f aca="false">TRUE()</f>
        <v>1</v>
      </c>
      <c r="E95" s="31" t="b">
        <f aca="false">TRUE()</f>
        <v>1</v>
      </c>
      <c r="F95" s="31" t="s">
        <v>10426</v>
      </c>
      <c r="G95" s="31" t="s">
        <v>10427</v>
      </c>
      <c r="H95" s="31" t="s">
        <v>55</v>
      </c>
      <c r="I95" s="31" t="n">
        <f aca="false">COUNTIF($A$85:$A$95,A95)</f>
        <v>1</v>
      </c>
    </row>
  </sheetData>
  <mergeCells count="11">
    <mergeCell ref="A1:J1"/>
    <mergeCell ref="A2:J2"/>
    <mergeCell ref="A4:I4"/>
    <mergeCell ref="A10:I10"/>
    <mergeCell ref="A20:I20"/>
    <mergeCell ref="A34:I34"/>
    <mergeCell ref="A45:J45"/>
    <mergeCell ref="A51:J51"/>
    <mergeCell ref="A57:I57"/>
    <mergeCell ref="A79:J79"/>
    <mergeCell ref="A83:I8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42"/>
    <col collapsed="false" customWidth="true" hidden="false" outlineLevel="0" max="5" min="5" style="0" width="34"/>
    <col collapsed="false" customWidth="true" hidden="false" outlineLevel="0" max="6" min="6" style="0" width="12"/>
  </cols>
  <sheetData>
    <row r="1" customFormat="false" ht="30" hidden="false" customHeight="true" outlineLevel="0" collapsed="false">
      <c r="A1" s="32" t="s">
        <v>10428</v>
      </c>
      <c r="B1" s="32"/>
      <c r="C1" s="32"/>
      <c r="D1" s="32"/>
      <c r="E1" s="32"/>
      <c r="F1" s="32"/>
    </row>
    <row r="2" customFormat="false" ht="30" hidden="false" customHeight="true" outlineLevel="0" collapsed="false">
      <c r="A2" s="33" t="s">
        <v>10429</v>
      </c>
      <c r="B2" s="33"/>
      <c r="C2" s="33"/>
      <c r="D2" s="33"/>
      <c r="E2" s="33"/>
      <c r="F2" s="33"/>
    </row>
    <row r="4" customFormat="false" ht="44" hidden="false" customHeight="true" outlineLevel="0" collapsed="false">
      <c r="A4" s="34" t="s">
        <v>10430</v>
      </c>
      <c r="B4" s="34" t="s">
        <v>10163</v>
      </c>
      <c r="C4" s="34" t="s">
        <v>10431</v>
      </c>
      <c r="D4" s="34" t="s">
        <v>10432</v>
      </c>
      <c r="E4" s="34" t="s">
        <v>10166</v>
      </c>
      <c r="F4" s="34" t="s">
        <v>4514</v>
      </c>
    </row>
    <row r="5" customFormat="false" ht="44" hidden="false" customHeight="true" outlineLevel="0" collapsed="false">
      <c r="A5" s="31" t="s">
        <v>10433</v>
      </c>
      <c r="B5" s="31" t="s">
        <v>493</v>
      </c>
      <c r="C5" s="31" t="s">
        <v>10434</v>
      </c>
      <c r="D5" s="31" t="s">
        <v>10435</v>
      </c>
      <c r="E5" s="31" t="s">
        <v>55</v>
      </c>
      <c r="F5" s="35" t="s">
        <v>9</v>
      </c>
    </row>
    <row r="6" customFormat="false" ht="44" hidden="false" customHeight="true" outlineLevel="0" collapsed="false">
      <c r="A6" s="31" t="s">
        <v>10436</v>
      </c>
      <c r="B6" s="31" t="s">
        <v>10437</v>
      </c>
      <c r="C6" s="31" t="s">
        <v>10438</v>
      </c>
      <c r="D6" s="31" t="s">
        <v>10439</v>
      </c>
      <c r="E6" s="31" t="s">
        <v>52</v>
      </c>
      <c r="F6" s="35" t="s">
        <v>9</v>
      </c>
    </row>
    <row r="7" customFormat="false" ht="44" hidden="false" customHeight="true" outlineLevel="0" collapsed="false">
      <c r="A7" s="31" t="s">
        <v>10440</v>
      </c>
      <c r="B7" s="31" t="s">
        <v>10441</v>
      </c>
      <c r="C7" s="31" t="s">
        <v>10442</v>
      </c>
      <c r="D7" s="31" t="s">
        <v>10443</v>
      </c>
      <c r="E7" s="31" t="s">
        <v>52</v>
      </c>
      <c r="F7" s="35" t="s">
        <v>9</v>
      </c>
    </row>
    <row r="8" customFormat="false" ht="44" hidden="false" customHeight="true" outlineLevel="0" collapsed="false">
      <c r="A8" s="31" t="s">
        <v>10444</v>
      </c>
      <c r="B8" s="31" t="s">
        <v>10063</v>
      </c>
      <c r="C8" s="31" t="s">
        <v>10445</v>
      </c>
      <c r="D8" s="31" t="s">
        <v>10446</v>
      </c>
      <c r="E8" s="31" t="s">
        <v>10447</v>
      </c>
      <c r="F8" s="35" t="s">
        <v>9</v>
      </c>
    </row>
    <row r="9" customFormat="false" ht="44" hidden="false" customHeight="true" outlineLevel="0" collapsed="false">
      <c r="A9" s="31" t="s">
        <v>10448</v>
      </c>
      <c r="B9" s="31" t="s">
        <v>40</v>
      </c>
      <c r="C9" s="31" t="s">
        <v>10449</v>
      </c>
      <c r="D9" s="31" t="s">
        <v>10450</v>
      </c>
      <c r="E9" s="31" t="s">
        <v>10451</v>
      </c>
      <c r="F9" s="35" t="s">
        <v>9</v>
      </c>
    </row>
    <row r="10" customFormat="false" ht="44" hidden="false" customHeight="true" outlineLevel="0" collapsed="false">
      <c r="A10" s="31" t="s">
        <v>10452</v>
      </c>
      <c r="B10" s="31" t="s">
        <v>10453</v>
      </c>
      <c r="C10" s="31" t="s">
        <v>10454</v>
      </c>
      <c r="D10" s="31" t="s">
        <v>10455</v>
      </c>
      <c r="E10" s="31" t="s">
        <v>10456</v>
      </c>
      <c r="F10" s="35" t="s">
        <v>9</v>
      </c>
    </row>
    <row r="11" customFormat="false" ht="44" hidden="false" customHeight="true" outlineLevel="0" collapsed="false">
      <c r="A11" s="31" t="s">
        <v>10457</v>
      </c>
      <c r="B11" s="31" t="s">
        <v>6991</v>
      </c>
      <c r="C11" s="31" t="s">
        <v>10458</v>
      </c>
      <c r="D11" s="31" t="s">
        <v>10459</v>
      </c>
      <c r="E11" s="31" t="s">
        <v>42</v>
      </c>
      <c r="F11" s="35" t="s">
        <v>9</v>
      </c>
    </row>
    <row r="12" customFormat="false" ht="44" hidden="false" customHeight="true" outlineLevel="0" collapsed="false">
      <c r="A12" s="31" t="s">
        <v>10460</v>
      </c>
      <c r="B12" s="31" t="s">
        <v>10461</v>
      </c>
      <c r="C12" s="31" t="s">
        <v>10462</v>
      </c>
      <c r="D12" s="31" t="s">
        <v>10463</v>
      </c>
      <c r="E12" s="31" t="s">
        <v>10464</v>
      </c>
      <c r="F12" s="35" t="s">
        <v>9</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