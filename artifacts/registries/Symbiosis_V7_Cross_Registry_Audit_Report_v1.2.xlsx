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2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00_Сводка" sheetId="1" state="visible" r:id="rId3"/>
    <sheet name="01_Расхождения" sheetId="2" state="visible" r:id="rId4"/>
    <sheet name="02_Изменения_Rules" sheetId="3" state="visible" r:id="rId5"/>
    <sheet name="03_Runtime_контракты" sheetId="4" state="visible" r:id="rId6"/>
    <sheet name="04_Проверки" sheetId="5" state="visible" r:id="rId7"/>
    <sheet name="05_SHA256" sheetId="6" state="visible" r:id="rId8"/>
    <sheet name="06_Совместимость" sheetId="7" state="visible" r:id="rId9"/>
    <sheet name="07_Визуальный_аудит" sheetId="8" state="visible" r:id="rId10"/>
    <sheet name="08_Вопросы" sheetId="9" state="visible" r:id="rId11"/>
    <sheet name="09_Изменения_v1.2" sheetId="10" state="visible" r:id="rId12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<sst xmlns="http://schemas.openxmlformats.org/spreadsheetml/2006/main" count="875" uniqueCount="593">
  <si>
    <t xml:space="preserve">SYMBIOSIS V7 — Cross Registry Audit Report v1.2</t>
  </si>
  <si>
    <t xml:space="preserve">2026-08-01 • Rules v1.7 | Character v1.2 | Items v1.6_with_icons | Effects v1.2 | Bestiary v1.4 | Sentient v1.2 | Q&amp;A v1.2 | Soundtrack v1.1 | Atlas v1.1 • frozen artifacts use builtAgainst + forward compatibility</t>
  </si>
  <si>
    <t xml:space="preserve">Показатель</t>
  </si>
  <si>
    <t xml:space="preserve">Фактически</t>
  </si>
  <si>
    <t xml:space="preserve">Ожидается</t>
  </si>
  <si>
    <t xml:space="preserve">Статус</t>
  </si>
  <si>
    <t xml:space="preserve">Расхождений</t>
  </si>
  <si>
    <t xml:space="preserve">Source artifacts</t>
  </si>
  <si>
    <t xml:space="preserve">Исправлено</t>
  </si>
  <si>
    <t xml:space="preserve">SHA PASS</t>
  </si>
  <si>
    <t xml:space="preserve">Не разрешено</t>
  </si>
  <si>
    <t xml:space="preserve">Compatibility PASS</t>
  </si>
  <si>
    <t xml:space="preserve">Открытых вопросов</t>
  </si>
  <si>
    <t xml:space="preserve">Visual PASS</t>
  </si>
  <si>
    <t xml:space="preserve">QA rows</t>
  </si>
  <si>
    <t xml:space="preserve">ScreenFormID</t>
  </si>
  <si>
    <t xml:space="preserve">QA unique codes</t>
  </si>
  <si>
    <t xml:space="preserve">Atlas pages</t>
  </si>
  <si>
    <t xml:space="preserve">Rules cards</t>
  </si>
  <si>
    <t xml:space="preserve">Runtime pack files</t>
  </si>
  <si>
    <t xml:space="preserve">Character payload</t>
  </si>
  <si>
    <t xml:space="preserve">Physical delivery files</t>
  </si>
  <si>
    <t xml:space="preserve">Итоговый release gate</t>
  </si>
  <si>
    <t xml:space="preserve">Реестр выявленных расхождений</t>
  </si>
  <si>
    <t xml:space="preserve">27/27 resolved; no remaining ambiguity after the two direct answers of 2026-08-01.</t>
  </si>
  <si>
    <t xml:space="preserve">ID</t>
  </si>
  <si>
    <t xml:space="preserve">Критичность</t>
  </si>
  <si>
    <t xml:space="preserve">Область</t>
  </si>
  <si>
    <t xml:space="preserve">Проблема</t>
  </si>
  <si>
    <t xml:space="preserve">Исправление</t>
  </si>
  <si>
    <t xml:space="preserve">Нормативное основание</t>
  </si>
  <si>
    <t xml:space="preserve">Проверка</t>
  </si>
  <si>
    <t xml:space="preserve">Результат</t>
  </si>
  <si>
    <t xml:space="preserve">AUD-001</t>
  </si>
  <si>
    <t xml:space="preserve">BLOCKER</t>
  </si>
  <si>
    <t xml:space="preserve">Runtime Pack</t>
  </si>
  <si>
    <t xml:space="preserve">Обязательный ZIP отсутствовал</t>
  </si>
  <si>
    <t xml:space="preserve">Включён исходный v1.2 без пересборки</t>
  </si>
  <si>
    <t xml:space="preserve">Ожидаемый SHA</t>
  </si>
  <si>
    <t xml:space="preserve">ZIP/package/payload/art</t>
  </si>
  <si>
    <t xml:space="preserve">50 files; full SHA match</t>
  </si>
  <si>
    <t xml:space="preserve">FIXED</t>
  </si>
  <si>
    <t xml:space="preserve">AUD-002</t>
  </si>
  <si>
    <t xml:space="preserve">GM XP</t>
  </si>
  <si>
    <t xml:space="preserve">Произвольное начисление мастером не определено</t>
  </si>
  <si>
    <t xml:space="preserve">CORE-234 + typed operation + UI</t>
  </si>
  <si>
    <t xml:space="preserve">Q-GM-XP-001</t>
  </si>
  <si>
    <t xml:space="preserve">Rules/Character/Atlas</t>
  </si>
  <si>
    <t xml:space="preserve">End-to-end path present</t>
  </si>
  <si>
    <t xml:space="preserve">AUD-003</t>
  </si>
  <si>
    <t xml:space="preserve">Неясны rollback/compensation</t>
  </si>
  <si>
    <t xml:space="preserve">Committed award always valid; inverse operations absent</t>
  </si>
  <si>
    <t xml:space="preserve">Direct answer 2026-08-01</t>
  </si>
  <si>
    <t xml:space="preserve">Negative/idempotency QA</t>
  </si>
  <si>
    <t xml:space="preserve">No rollback/negative/compensation</t>
  </si>
  <si>
    <t xml:space="preserve">AUD-004</t>
  </si>
  <si>
    <t xml:space="preserve">HIGH</t>
  </si>
  <si>
    <t xml:space="preserve">Soundtrack</t>
  </si>
  <si>
    <t xml:space="preserve">Музыкальная ночь начиналась в 18:00</t>
  </si>
  <si>
    <t xml:space="preserve">Night=[21:00,06:00)</t>
  </si>
  <si>
    <t xml:space="preserve">Q-SOUND-NIGHT-001</t>
  </si>
  <si>
    <t xml:space="preserve">Algorithm/QA/decision</t>
  </si>
  <si>
    <t xml:space="preserve">All named cells use 21:00</t>
  </si>
  <si>
    <t xml:space="preserve">AUD-005</t>
  </si>
  <si>
    <t xml:space="preserve">Enemy generator</t>
  </si>
  <si>
    <t xml:space="preserve">AQA-044/CORE-215 запрещали сохранённое требование</t>
  </si>
  <si>
    <t xml:space="preserve">Генератор 80–150%, avg80, cap35 restored</t>
  </si>
  <si>
    <t xml:space="preserve">Q-ENEMY-B14 superseded</t>
  </si>
  <si>
    <t xml:space="preserve">Rules/Character/Items/Atlas</t>
  </si>
  <si>
    <t xml:space="preserve">Machine contract + UI present</t>
  </si>
  <si>
    <t xml:space="preserve">AUD-006</t>
  </si>
  <si>
    <t xml:space="preserve">Q&amp;A</t>
  </si>
  <si>
    <t xml:space="preserve">50 нормативных решений Rules отсутствовали</t>
  </si>
  <si>
    <t xml:space="preserve">Импортированы Q-ENEMY/Q-PREDEV/Q-CROSS</t>
  </si>
  <si>
    <t xml:space="preserve">Authoritative completeness</t>
  </si>
  <si>
    <t xml:space="preserve">Question-ID set</t>
  </si>
  <si>
    <t xml:space="preserve">444 rows / 410 unique</t>
  </si>
  <si>
    <t xml:space="preserve">AUD-007</t>
  </si>
  <si>
    <t xml:space="preserve">Rules summary</t>
  </si>
  <si>
    <t xml:space="preserve">B19/B20 считали несвязанные диапазоны</t>
  </si>
  <si>
    <t xml:space="preserve">Формулы duplicates/open questions исправлены</t>
  </si>
  <si>
    <t xml:space="preserve">Formula audit</t>
  </si>
  <si>
    <t xml:space="preserve">Office recalc</t>
  </si>
  <si>
    <t xml:space="preserve">Both return 0</t>
  </si>
  <si>
    <t xml:space="preserve">AUD-008</t>
  </si>
  <si>
    <t xml:space="preserve">Rules control</t>
  </si>
  <si>
    <t xml:space="preserve">Rows 42–52 были тавтологиями</t>
  </si>
  <si>
    <t xml:space="preserve">Независимые v1.7 checks</t>
  </si>
  <si>
    <t xml:space="preserve">0 FAIL</t>
  </si>
  <si>
    <t xml:space="preserve">AUD-009</t>
  </si>
  <si>
    <t xml:space="preserve">Compatibility</t>
  </si>
  <si>
    <t xml:space="preserve">Exact tuple отвергал frozen pack</t>
  </si>
  <si>
    <t xml:space="preserve">builtAgainst + forward assertion + SHA pin</t>
  </si>
  <si>
    <t xml:space="preserve">Manifest v1.2</t>
  </si>
  <si>
    <t xml:space="preserve">Importer contract</t>
  </si>
  <si>
    <t xml:space="preserve">Frozen v1.2 accepted safely</t>
  </si>
  <si>
    <t xml:space="preserve">AUD-010</t>
  </si>
  <si>
    <t xml:space="preserve">Atlas GM</t>
  </si>
  <si>
    <t xml:space="preserve">GM-007 был gap</t>
  </si>
  <si>
    <t xml:space="preserve">Рабочая форма + receipt + notification</t>
  </si>
  <si>
    <t xml:space="preserve">CORE-234</t>
  </si>
  <si>
    <t xml:space="preserve">Atlas p266</t>
  </si>
  <si>
    <t xml:space="preserve">Complete</t>
  </si>
  <si>
    <t xml:space="preserve">AUD-011</t>
  </si>
  <si>
    <t xml:space="preserve">Atlas generator</t>
  </si>
  <si>
    <t xml:space="preserve">UI отсутствовал/запрещал flow</t>
  </si>
  <si>
    <t xml:space="preserve">ENM-024..026 added</t>
  </si>
  <si>
    <t xml:space="preserve">AQA-044/CORE-215</t>
  </si>
  <si>
    <t xml:space="preserve">Atlas p267</t>
  </si>
  <si>
    <t xml:space="preserve">AUD-012</t>
  </si>
  <si>
    <t xml:space="preserve">Atlas combat</t>
  </si>
  <si>
    <t xml:space="preserve">Ammo/reload/coating forms missing</t>
  </si>
  <si>
    <t xml:space="preserve">CMB-068..070 added</t>
  </si>
  <si>
    <t xml:space="preserve">Combat operations</t>
  </si>
  <si>
    <t xml:space="preserve">Atlas addendum</t>
  </si>
  <si>
    <t xml:space="preserve">AUD-013</t>
  </si>
  <si>
    <t xml:space="preserve">Runtime objects/pickup/return missing</t>
  </si>
  <si>
    <t xml:space="preserve">CMB-071/072 added</t>
  </si>
  <si>
    <t xml:space="preserve">AUD-014</t>
  </si>
  <si>
    <t xml:space="preserve">MEDIUM</t>
  </si>
  <si>
    <t xml:space="preserve">CMB-011/016/048 and PLY-020/021 lacked composition</t>
  </si>
  <si>
    <t xml:space="preserve">Detailed variants added</t>
  </si>
  <si>
    <t xml:space="preserve">Combat coverage</t>
  </si>
  <si>
    <t xml:space="preserve">AUD-015</t>
  </si>
  <si>
    <t xml:space="preserve">Atlas devices</t>
  </si>
  <si>
    <t xml:space="preserve">No fixed local-player limit</t>
  </si>
  <si>
    <t xml:space="preserve">0–3 player tabs; separate GM tab</t>
  </si>
  <si>
    <t xml:space="preserve">Baseline device limit</t>
  </si>
  <si>
    <t xml:space="preserve">Atlas p268</t>
  </si>
  <si>
    <t xml:space="preserve">Limit explicit</t>
  </si>
  <si>
    <t xml:space="preserve">AUD-016</t>
  </si>
  <si>
    <t xml:space="preserve">Atlas rolls</t>
  </si>
  <si>
    <t xml:space="preserve">Unauthorized pre-roll pool</t>
  </si>
  <si>
    <t xml:space="preserve">Per-command rollRequestId queue</t>
  </si>
  <si>
    <t xml:space="preserve">Roll contract</t>
  </si>
  <si>
    <t xml:space="preserve">No cross-command reuse</t>
  </si>
  <si>
    <t xml:space="preserve">AUD-017</t>
  </si>
  <si>
    <t xml:space="preserve">Atlas visibility</t>
  </si>
  <si>
    <t xml:space="preserve">Hidden actor art/name leaked to player</t>
  </si>
  <si>
    <t xml:space="preserve">Neutral last-known marker only</t>
  </si>
  <si>
    <t xml:space="preserve">Observer-specific visibility</t>
  </si>
  <si>
    <t xml:space="preserve">Leak removed</t>
  </si>
  <si>
    <t xml:space="preserve">AUD-018</t>
  </si>
  <si>
    <t xml:space="preserve">Effects/Atlas</t>
  </si>
  <si>
    <t xml:space="preserve">NOT_MODELED blindness shown as active token</t>
  </si>
  <si>
    <t xml:space="preserve">Tombstone separated; no new runtime state</t>
  </si>
  <si>
    <t xml:space="preserve">Effects v1.2</t>
  </si>
  <si>
    <t xml:space="preserve">Visual matrix</t>
  </si>
  <si>
    <t xml:space="preserve">Boundary preserved</t>
  </si>
  <si>
    <t xml:space="preserve">AUD-019</t>
  </si>
  <si>
    <t xml:space="preserve">Atlas mappings</t>
  </si>
  <si>
    <t xml:space="preserve">Operation-to-UI references incorrect</t>
  </si>
  <si>
    <t xml:space="preserve">Per-operation mapping table rebuilt</t>
  </si>
  <si>
    <t xml:space="preserve">Runtime operations</t>
  </si>
  <si>
    <t xml:space="preserve">Atlas p275</t>
  </si>
  <si>
    <t xml:space="preserve">Mapped</t>
  </si>
  <si>
    <t xml:space="preserve">AUD-020</t>
  </si>
  <si>
    <t xml:space="preserve">Atlas flows</t>
  </si>
  <si>
    <t xml:space="preserve">Combat/reconnect/crit routes incorrect</t>
  </si>
  <si>
    <t xml:space="preserve">Authoritative flows rebuilt</t>
  </si>
  <si>
    <t xml:space="preserve">Screen graph</t>
  </si>
  <si>
    <t xml:space="preserve">Atlas p276</t>
  </si>
  <si>
    <t xml:space="preserve">AUD-021</t>
  </si>
  <si>
    <t xml:space="preserve">Bestiary</t>
  </si>
  <si>
    <t xml:space="preserve">Summary referenced Rules v1.5</t>
  </si>
  <si>
    <t xml:space="preserve">Metadata-only v1.4 references Rules v1.7</t>
  </si>
  <si>
    <t xml:space="preserve">Cross-registry version audit</t>
  </si>
  <si>
    <t xml:space="preserve">A23/B30/control</t>
  </si>
  <si>
    <t xml:space="preserve">Updated; content unchanged</t>
  </si>
  <si>
    <t xml:space="preserve">AUD-022</t>
  </si>
  <si>
    <t xml:space="preserve">Items</t>
  </si>
  <si>
    <t xml:space="preserve">Trace mirrored generator prohibition</t>
  </si>
  <si>
    <t xml:space="preserve">AQA-044/CORE-215 trace synchronized</t>
  </si>
  <si>
    <t xml:space="preserve">Rules v1.7</t>
  </si>
  <si>
    <t xml:space="preserve">D105/E105/D138</t>
  </si>
  <si>
    <t xml:space="preserve">64 icons/content preserved</t>
  </si>
  <si>
    <t xml:space="preserve">AUD-023</t>
  </si>
  <si>
    <t xml:space="preserve">Manifest</t>
  </si>
  <si>
    <t xml:space="preserve">Effects/Soundtrack/Atlas absent</t>
  </si>
  <si>
    <t xml:space="preserve">All 11 non-self artifacts enumerated</t>
  </si>
  <si>
    <t xml:space="preserve">Delivery scope</t>
  </si>
  <si>
    <t xml:space="preserve">Manifest rows</t>
  </si>
  <si>
    <t xml:space="preserve">12 physical files</t>
  </si>
  <si>
    <t xml:space="preserve">AUD-024</t>
  </si>
  <si>
    <t xml:space="preserve">Music assets</t>
  </si>
  <si>
    <t xml:space="preserve">Files external to delivery</t>
  </si>
  <si>
    <t xml:space="preserve">Silent fallback + registry mechanics retained</t>
  </si>
  <si>
    <t xml:space="preserve">User constraint</t>
  </si>
  <si>
    <t xml:space="preserve">Soundtrack/Atlas</t>
  </si>
  <si>
    <t xml:space="preserve">No missing-file crash</t>
  </si>
  <si>
    <t xml:space="preserve">AUD-025</t>
  </si>
  <si>
    <t xml:space="preserve">Hash policy</t>
  </si>
  <si>
    <t xml:space="preserve">Self-hash would create cycle</t>
  </si>
  <si>
    <t xml:space="preserve">Audit hashes 10 sources; Manifest hashes 11 non-self; self reported externally</t>
  </si>
  <si>
    <t xml:space="preserve">Release policy</t>
  </si>
  <si>
    <t xml:space="preserve">Build order</t>
  </si>
  <si>
    <t xml:space="preserve">No cyclic hash</t>
  </si>
  <si>
    <t xml:space="preserve">AUD-026</t>
  </si>
  <si>
    <t xml:space="preserve">Items control</t>
  </si>
  <si>
    <t xml:space="preserve">Trace title used Rules v1.7, but the control still expected v1.6</t>
  </si>
  <si>
    <t xml:space="preserve">Control label and formula synchronized to Rules v1.7</t>
  </si>
  <si>
    <t xml:space="preserve">Independent release-gate review</t>
  </si>
  <si>
    <t xml:space="preserve">Office recalc / 13_Контроль row 56</t>
  </si>
  <si>
    <t xml:space="preserve">0 FAIL; 64 icons preserved</t>
  </si>
  <si>
    <t xml:space="preserve">AUD-027</t>
  </si>
  <si>
    <t xml:space="preserve">Character passport</t>
  </si>
  <si>
    <t xml:space="preserve">XP policy count was 36 after GM_DIRECT, but the passport control still expected 35</t>
  </si>
  <si>
    <t xml:space="preserve">Expected count synchronized to 36</t>
  </si>
  <si>
    <t xml:space="preserve">Independent full-workbook FAIL scan</t>
  </si>
  <si>
    <t xml:space="preserve">Office recalc / 00_Паспорт row 23</t>
  </si>
  <si>
    <t xml:space="preserve">0 FAIL; release gate remains PASS</t>
  </si>
  <si>
    <t xml:space="preserve">Изменения нормативных реестров</t>
  </si>
  <si>
    <t xml:space="preserve">Scope-changing and consistency-only changes are separated explicitly.</t>
  </si>
  <si>
    <t xml:space="preserve">Артефакт / объект</t>
  </si>
  <si>
    <t xml:space="preserve">Было</t>
  </si>
  <si>
    <t xml:space="preserve">Стало</t>
  </si>
  <si>
    <t xml:space="preserve">Основание</t>
  </si>
  <si>
    <t xml:space="preserve">Тип изменения</t>
  </si>
  <si>
    <t xml:space="preserve">CHG-001</t>
  </si>
  <si>
    <t xml:space="preserve">Rules CORE-007</t>
  </si>
  <si>
    <t xml:space="preserve">awardSource без GM</t>
  </si>
  <si>
    <t xml:space="preserve">GM_DIRECT; FREE ×2 once</t>
  </si>
  <si>
    <t xml:space="preserve">NORMATIVE</t>
  </si>
  <si>
    <t xml:space="preserve">PASS</t>
  </si>
  <si>
    <t xml:space="preserve">CHG-002</t>
  </si>
  <si>
    <t xml:space="preserve">Rules CORE-234</t>
  </si>
  <si>
    <t xml:space="preserve">Отсутствовал</t>
  </si>
  <si>
    <t xml:space="preserve">Immutable GM grant</t>
  </si>
  <si>
    <t xml:space="preserve">Direct answer</t>
  </si>
  <si>
    <t xml:space="preserve">CHG-003</t>
  </si>
  <si>
    <t xml:space="preserve">Rules AQA-044</t>
  </si>
  <si>
    <t xml:space="preserve">Generator prohibited</t>
  </si>
  <si>
    <t xml:space="preserve">80–150%, avg80, cap35</t>
  </si>
  <si>
    <t xml:space="preserve">Preserved requirement</t>
  </si>
  <si>
    <t xml:space="preserve">CHG-004</t>
  </si>
  <si>
    <t xml:space="preserve">Rules CORE-215</t>
  </si>
  <si>
    <t xml:space="preserve">Generator excluded</t>
  </si>
  <si>
    <t xml:space="preserve">Generator allowed; AI excluded</t>
  </si>
  <si>
    <t xml:space="preserve">CHG-005</t>
  </si>
  <si>
    <t xml:space="preserve">Rules formulas</t>
  </si>
  <si>
    <t xml:space="preserve">Invalid/tautological</t>
  </si>
  <si>
    <t xml:space="preserve">Independent controls</t>
  </si>
  <si>
    <t xml:space="preserve">Audit</t>
  </si>
  <si>
    <t xml:space="preserve">ASSURANCE</t>
  </si>
  <si>
    <t xml:space="preserve">CHG-006</t>
  </si>
  <si>
    <t xml:space="preserve">Character operations</t>
  </si>
  <si>
    <t xml:space="preserve">14 operations</t>
  </si>
  <si>
    <t xml:space="preserve">GM grant + enemy generator</t>
  </si>
  <si>
    <t xml:space="preserve">CHG-007</t>
  </si>
  <si>
    <t xml:space="preserve">1142</t>
  </si>
  <si>
    <t xml:space="preserve">1144</t>
  </si>
  <si>
    <t xml:space="preserve">Forward extension</t>
  </si>
  <si>
    <t xml:space="preserve">CHG-008</t>
  </si>
  <si>
    <t xml:space="preserve">392 rows</t>
  </si>
  <si>
    <t xml:space="preserve">444 rows</t>
  </si>
  <si>
    <t xml:space="preserve">Completeness + direct answers</t>
  </si>
  <si>
    <t xml:space="preserve">AUTHORITATIVE_QA</t>
  </si>
  <si>
    <t xml:space="preserve">CHG-009</t>
  </si>
  <si>
    <t xml:space="preserve">Generator prohibition in trace</t>
  </si>
  <si>
    <t xml:space="preserve">Trace synchronized</t>
  </si>
  <si>
    <t xml:space="preserve">TRACE_ONLY</t>
  </si>
  <si>
    <t xml:space="preserve">CHG-010</t>
  </si>
  <si>
    <t xml:space="preserve">Rules v1.5 metadata</t>
  </si>
  <si>
    <t xml:space="preserve">Rules v1.7 metadata</t>
  </si>
  <si>
    <t xml:space="preserve">Version audit</t>
  </si>
  <si>
    <t xml:space="preserve">METADATA_ONLY</t>
  </si>
  <si>
    <t xml:space="preserve">CHG-011</t>
  </si>
  <si>
    <t xml:space="preserve">Night at 18:00</t>
  </si>
  <si>
    <t xml:space="preserve">Night at 21:00</t>
  </si>
  <si>
    <t xml:space="preserve">IMPLEMENTATION_SPEC</t>
  </si>
  <si>
    <t xml:space="preserve">CHG-012</t>
  </si>
  <si>
    <t xml:space="preserve">Atlas</t>
  </si>
  <si>
    <t xml:space="preserve">347 IDs / gaps</t>
  </si>
  <si>
    <t xml:space="preserve">355 IDs / covered combat</t>
  </si>
  <si>
    <t xml:space="preserve">UI audit</t>
  </si>
  <si>
    <t xml:space="preserve">CHG-013</t>
  </si>
  <si>
    <t xml:space="preserve">Expected trace title Rules v1.6</t>
  </si>
  <si>
    <t xml:space="preserve">Expected trace title Rules v1.7</t>
  </si>
  <si>
    <t xml:space="preserve">Independent formula audit</t>
  </si>
  <si>
    <t xml:space="preserve">CHG-014</t>
  </si>
  <si>
    <t xml:space="preserve">Expected 35 XP policy rows</t>
  </si>
  <si>
    <t xml:space="preserve">Expected 36 after GM_DIRECT</t>
  </si>
  <si>
    <t xml:space="preserve">Runtime-контракты v1.2</t>
  </si>
  <si>
    <t xml:space="preserve">Machine-facing invariants for GM XP, group generation, time and frozen runtime imports.</t>
  </si>
  <si>
    <t xml:space="preserve">ContractID</t>
  </si>
  <si>
    <t xml:space="preserve">Area</t>
  </si>
  <si>
    <t xml:space="preserve">Input</t>
  </si>
  <si>
    <t xml:space="preserve">Precondition</t>
  </si>
  <si>
    <t xml:space="preserve">Transition</t>
  </si>
  <si>
    <t xml:space="preserve">Forbidden</t>
  </si>
  <si>
    <t xml:space="preserve">Evidence</t>
  </si>
  <si>
    <t xml:space="preserve">Status</t>
  </si>
  <si>
    <t xml:space="preserve">RTC-001</t>
  </si>
  <si>
    <t xml:space="preserve">awardId, actor, symbiont, baseXP, reason</t>
  </si>
  <si>
    <t xml:space="preserve">PLAYER_CHARACTER; owned xpEligible; baseXP&gt;=1</t>
  </si>
  <si>
    <t xml:space="preserve">xp += base×raceMultiplier</t>
  </si>
  <si>
    <t xml:space="preserve">rollback/delete/negative/compensation</t>
  </si>
  <si>
    <t xml:space="preserve">RTC-002</t>
  </si>
  <si>
    <t xml:space="preserve">awardId retry</t>
  </si>
  <si>
    <t xml:space="preserve">Same payload</t>
  </si>
  <si>
    <t xml:space="preserve">Return same receipt</t>
  </si>
  <si>
    <t xml:space="preserve">Second delta</t>
  </si>
  <si>
    <t xml:space="preserve">Character operation</t>
  </si>
  <si>
    <t xml:space="preserve">RTC-003</t>
  </si>
  <si>
    <t xml:space="preserve">FREE race</t>
  </si>
  <si>
    <t xml:space="preserve">Valid award</t>
  </si>
  <si>
    <t xml:space="preserve">Multiplier 2 exactly once</t>
  </si>
  <si>
    <t xml:space="preserve">Counter multiplier</t>
  </si>
  <si>
    <t xml:space="preserve">CORE-007</t>
  </si>
  <si>
    <t xml:space="preserve">RTC-004</t>
  </si>
  <si>
    <t xml:space="preserve">Current counters</t>
  </si>
  <si>
    <t xml:space="preserve">Any values</t>
  </si>
  <si>
    <t xml:space="preserve">No read/write; no 3:1</t>
  </si>
  <si>
    <t xml:space="preserve">Counter consumption</t>
  </si>
  <si>
    <t xml:space="preserve">RTC-005</t>
  </si>
  <si>
    <t xml:space="preserve">Generator</t>
  </si>
  <si>
    <t xml:space="preserve">party snapshot, origins, seed</t>
  </si>
  <si>
    <t xml:space="preserve">Stable active PC group</t>
  </si>
  <si>
    <t xml:space="preserve">Preview only</t>
  </si>
  <si>
    <t xml:space="preserve">Template mutation</t>
  </si>
  <si>
    <t xml:space="preserve">AQA-044</t>
  </si>
  <si>
    <t xml:space="preserve">RTC-006</t>
  </si>
  <si>
    <t xml:space="preserve">balancePercent</t>
  </si>
  <si>
    <t xml:space="preserve">Integer 80..150</t>
  </si>
  <si>
    <t xml:space="preserve">targetTotal=round(party×percent/100)</t>
  </si>
  <si>
    <t xml:space="preserve">Hidden clamp</t>
  </si>
  <si>
    <t xml:space="preserve">RTC-007</t>
  </si>
  <si>
    <t xml:space="preserve">Seven stats per enemy</t>
  </si>
  <si>
    <t xml:space="preserve">Integer; each &lt;=35</t>
  </si>
  <si>
    <t xml:space="preserve">actualTotal=targetTotal; avg oriented to80</t>
  </si>
  <si>
    <t xml:space="preserve">Combat AI / auto-target</t>
  </si>
  <si>
    <t xml:space="preserve">CORE-215</t>
  </si>
  <si>
    <t xml:space="preserve">RTC-008</t>
  </si>
  <si>
    <t xml:space="preserve">Accept preview</t>
  </si>
  <si>
    <t xml:space="preserve">Validated result</t>
  </si>
  <si>
    <t xml:space="preserve">Atomic deep-clone into combat setup</t>
  </si>
  <si>
    <t xml:space="preserve">Partial commit</t>
  </si>
  <si>
    <t xml:space="preserve">CORE-214</t>
  </si>
  <si>
    <t xml:space="preserve">RTC-009</t>
  </si>
  <si>
    <t xml:space="preserve">Time/music</t>
  </si>
  <si>
    <t xml:space="preserve">campaign dayPhase</t>
  </si>
  <si>
    <t xml:space="preserve">Outside battle</t>
  </si>
  <si>
    <t xml:space="preserve">21:00→night pool; 06:00→day</t>
  </si>
  <si>
    <t xml:space="preserve">localLighting changes music</t>
  </si>
  <si>
    <t xml:space="preserve">Soundtrack R-007</t>
  </si>
  <si>
    <t xml:space="preserve">RTC-010</t>
  </si>
  <si>
    <t xml:space="preserve">Runtime import</t>
  </si>
  <si>
    <t xml:space="preserve">Pack v1.2 + full SHA</t>
  </si>
  <si>
    <t xml:space="preserve">Forward assertion true</t>
  </si>
  <si>
    <t xml:space="preserve">Accept 44 NO_XP templates</t>
  </si>
  <si>
    <t xml:space="preserve">Exact current tuple equality</t>
  </si>
  <si>
    <t xml:space="preserve">Character OP-SENTIENT-IMPORT</t>
  </si>
  <si>
    <t xml:space="preserve">RTC-011</t>
  </si>
  <si>
    <t xml:space="preserve">Sentient</t>
  </si>
  <si>
    <t xml:space="preserve">SYSTEM_SENTIENT_ENEMY</t>
  </si>
  <si>
    <t xml:space="preserve">Frozen payload</t>
  </si>
  <si>
    <t xml:space="preserve">NO_XP_PROGRESSION unchanged</t>
  </si>
  <si>
    <t xml:space="preserve">GM/player progression fields</t>
  </si>
  <si>
    <t xml:space="preserve">Registry/pack equality</t>
  </si>
  <si>
    <t xml:space="preserve">RTC-012</t>
  </si>
  <si>
    <t xml:space="preserve">Hash model</t>
  </si>
  <si>
    <t xml:space="preserve">10 source + Audit</t>
  </si>
  <si>
    <t xml:space="preserve">Finalize in order</t>
  </si>
  <si>
    <t xml:space="preserve">Manifest hashes 11 non-self</t>
  </si>
  <si>
    <t xml:space="preserve">Workbook self-hash</t>
  </si>
  <si>
    <t xml:space="preserve">Сценарные и структурные проверки</t>
  </si>
  <si>
    <t xml:space="preserve">Actual values were obtained after office recalculation and visual/PDF/ZIP validation.</t>
  </si>
  <si>
    <t xml:space="preserve">CheckID</t>
  </si>
  <si>
    <t xml:space="preserve">CHK-001</t>
  </si>
  <si>
    <t xml:space="preserve">Rules Summary/Control</t>
  </si>
  <si>
    <t xml:space="preserve">CHK-002</t>
  </si>
  <si>
    <t xml:space="preserve">Rules active</t>
  </si>
  <si>
    <t xml:space="preserve">Rules Control</t>
  </si>
  <si>
    <t xml:space="preserve">CHK-003</t>
  </si>
  <si>
    <t xml:space="preserve">Rules control FAIL</t>
  </si>
  <si>
    <t xml:space="preserve">Office recalc D2:D100</t>
  </si>
  <si>
    <t xml:space="preserve">CHK-004</t>
  </si>
  <si>
    <t xml:space="preserve">Q&amp;A rows</t>
  </si>
  <si>
    <t xml:space="preserve">Registry rows 2:445</t>
  </si>
  <si>
    <t xml:space="preserve">CHK-005</t>
  </si>
  <si>
    <t xml:space="preserve">Q&amp;A unique codes</t>
  </si>
  <si>
    <t xml:space="preserve">Set(C2:C445)</t>
  </si>
  <si>
    <t xml:space="preserve">CHK-006</t>
  </si>
  <si>
    <t xml:space="preserve">Q&amp;A open</t>
  </si>
  <si>
    <t xml:space="preserve">Status column</t>
  </si>
  <si>
    <t xml:space="preserve">CHK-007</t>
  </si>
  <si>
    <t xml:space="preserve">Rows 6:1149</t>
  </si>
  <si>
    <t xml:space="preserve">CHK-008</t>
  </si>
  <si>
    <t xml:space="preserve">Character QA</t>
  </si>
  <si>
    <t xml:space="preserve">Rows 6:56</t>
  </si>
  <si>
    <t xml:space="preserve">CHK-009</t>
  </si>
  <si>
    <t xml:space="preserve">Character control FAIL</t>
  </si>
  <si>
    <t xml:space="preserve">Office recalc D6:D53</t>
  </si>
  <si>
    <t xml:space="preserve">CHK-010</t>
  </si>
  <si>
    <t xml:space="preserve">Item embedded icons</t>
  </si>
  <si>
    <t xml:space="preserve">OOXML media count</t>
  </si>
  <si>
    <t xml:space="preserve">CHK-011</t>
  </si>
  <si>
    <t xml:space="preserve">Bestiary embedded art</t>
  </si>
  <si>
    <t xml:space="preserve">CHK-012</t>
  </si>
  <si>
    <t xml:space="preserve">Sentient templates</t>
  </si>
  <si>
    <t xml:space="preserve">Registry/runtime catalog</t>
  </si>
  <si>
    <t xml:space="preserve">CHK-013</t>
  </si>
  <si>
    <t xml:space="preserve">ZIP audit</t>
  </si>
  <si>
    <t xml:space="preserve">CHK-014</t>
  </si>
  <si>
    <t xml:space="preserve">pdfinfo/Poppler</t>
  </si>
  <si>
    <t xml:space="preserve">CHK-015</t>
  </si>
  <si>
    <t xml:space="preserve">Atlas ScreenFormID</t>
  </si>
  <si>
    <t xml:space="preserve">Cover/catalog extension</t>
  </si>
  <si>
    <t xml:space="preserve">CHK-016</t>
  </si>
  <si>
    <t xml:space="preserve">Item control FAIL</t>
  </si>
  <si>
    <t xml:space="preserve">Office recalc 13_Контроль</t>
  </si>
  <si>
    <t xml:space="preserve">CHK-017</t>
  </si>
  <si>
    <t xml:space="preserve">Character passport FAIL</t>
  </si>
  <si>
    <t xml:space="preserve">Office recalc 00_Паспорт</t>
  </si>
  <si>
    <t xml:space="preserve">SHA-256 source freeze</t>
  </si>
  <si>
    <t xml:space="preserve">10 source artifacts are hashed here; Audit is hashed later and embedded by Manifest.</t>
  </si>
  <si>
    <t xml:space="preserve">№</t>
  </si>
  <si>
    <t xml:space="preserve">Файл</t>
  </si>
  <si>
    <t xml:space="preserve">Версия</t>
  </si>
  <si>
    <t xml:space="preserve">Bytes</t>
  </si>
  <si>
    <t xml:space="preserve">SHA-256</t>
  </si>
  <si>
    <t xml:space="preserve">Disposition</t>
  </si>
  <si>
    <t xml:space="preserve">Symbiosis_V7_Executable_Rules_Registry_v1.7.xlsx</t>
  </si>
  <si>
    <t xml:space="preserve">v1.7</t>
  </si>
  <si>
    <t xml:space="preserve">517818d1fb286361592c4405181827f1e5c190a1c4d3259ae6056018f1c62646</t>
  </si>
  <si>
    <t xml:space="preserve">REISSUE</t>
  </si>
  <si>
    <t xml:space="preserve">Symbiosis_V7_Character_Skills_Symbionts_Registry_v1.2.xlsx</t>
  </si>
  <si>
    <t xml:space="preserve">v1.2</t>
  </si>
  <si>
    <t xml:space="preserve">f36219e6a143e338988d3354447cde1f8b919ab8ba4019b017c952d7c68cf38c</t>
  </si>
  <si>
    <t xml:space="preserve">Symbiosis_V7_All_Questions_and_Answers_Registry_v1.2.xlsx</t>
  </si>
  <si>
    <t xml:space="preserve">ce472fa8e08c0e8ac9a2b6856052688aef18934b43772e9ceea73a98ae692d40</t>
  </si>
  <si>
    <t xml:space="preserve">Symbiosis_V7_Item_Registry_v1.6_with_icons.xlsx</t>
  </si>
  <si>
    <t xml:space="preserve">v1.6_with_icons</t>
  </si>
  <si>
    <t xml:space="preserve">7e69647fa0a4b8e679dc9158dcdde410195dc7b4d8119031b5aece0b63637b27</t>
  </si>
  <si>
    <t xml:space="preserve">REISSUE_TRACE_ONLY</t>
  </si>
  <si>
    <t xml:space="preserve">Symbiosis_V7_Effects_and_Diseases_Registry_v1.2.xlsx</t>
  </si>
  <si>
    <t xml:space="preserve">003186285a9b868c8a9596f610b254b349f0c47478142aef1744d75654ead33b</t>
  </si>
  <si>
    <t xml:space="preserve">FROZEN_BYTES</t>
  </si>
  <si>
    <t xml:space="preserve">Symbiosis_V7_Canonical_Bestiary_Registry_v1.4.xlsx</t>
  </si>
  <si>
    <t xml:space="preserve">v1.4</t>
  </si>
  <si>
    <t xml:space="preserve">15929616cba0c527e45ea35dd06b97ea8b09b364362998c6ca610f76d410292e</t>
  </si>
  <si>
    <t xml:space="preserve">REISSUE_METADATA_ONLY</t>
  </si>
  <si>
    <t xml:space="preserve">Symbiosis_V7_Default_Sentient_Enemy_Registry_v1.2.xlsx</t>
  </si>
  <si>
    <t xml:space="preserve">b4c8ff7199e8a9798e5e4928599ee63c9efba3b4244b9c412666a70111ad175f</t>
  </si>
  <si>
    <t xml:space="preserve">Symbiosis_V7_Default_Sentient_Enemy_Runtime_Pack_v1.2.zip</t>
  </si>
  <si>
    <t xml:space="preserve">614f0da1c3128aebbb28d67a68a89ccd189a067c57d407c92536425e46072cdc</t>
  </si>
  <si>
    <t xml:space="preserve">FROZEN_BYTES_REQUIRED</t>
  </si>
  <si>
    <t xml:space="preserve">Symbiosis_V7_Soundtrack_Playback_Registry_v1.1.xlsx</t>
  </si>
  <si>
    <t xml:space="preserve">v1.1</t>
  </si>
  <si>
    <t xml:space="preserve">839f8d2bc09c48ddae361de154d076b11e8a3d3de27b7570df57130314a63479</t>
  </si>
  <si>
    <t xml:space="preserve">Symbiosis_V7_Windows_UI_Screen_Atlas_v1.1.pdf</t>
  </si>
  <si>
    <t xml:space="preserve">bb1f0e94799b770abefe522bb0bfe70bf7f18b07b949511b7bf3bf4c45f98889</t>
  </si>
  <si>
    <t xml:space="preserve">Матрица совместимости</t>
  </si>
  <si>
    <t xml:space="preserve">Literal tuple equality is replaced only where a named invariant and evidence are present.</t>
  </si>
  <si>
    <t xml:space="preserve">Artifact</t>
  </si>
  <si>
    <t xml:space="preserve">Mode</t>
  </si>
  <si>
    <t xml:space="preserve">builtAgainst</t>
  </si>
  <si>
    <t xml:space="preserve">Current consumer</t>
  </si>
  <si>
    <t xml:space="preserve">Invariant</t>
  </si>
  <si>
    <t xml:space="preserve">Risk</t>
  </si>
  <si>
    <t xml:space="preserve">CURRENT</t>
  </si>
  <si>
    <t xml:space="preserve">Rules v1.7 | Character v1.2 | Items v1.6_with_icons | Effects v1.2 | Bestiary v1.4 | Sentient v1.2 | Q&amp;A v1.2 | Soundtrack v1.1 | Atlas v1.1</t>
  </si>
  <si>
    <t xml:space="preserve">Current normative source</t>
  </si>
  <si>
    <t xml:space="preserve">Rules controls 0 FAIL</t>
  </si>
  <si>
    <t xml:space="preserve">LOW</t>
  </si>
  <si>
    <t xml:space="preserve">Current extension; old payload rows retain builtAgainst</t>
  </si>
  <si>
    <t xml:space="preserve">Payload/QA controls 0 FAIL</t>
  </si>
  <si>
    <t xml:space="preserve">DECISION_SOURCE</t>
  </si>
  <si>
    <t xml:space="preserve">Rules Decisions QA 444 + direct answers</t>
  </si>
  <si>
    <t xml:space="preserve">Decision source matches Rules QA codes</t>
  </si>
  <si>
    <t xml:space="preserve">444 rows / 410 unique / 0 open</t>
  </si>
  <si>
    <t xml:space="preserve">Only trace changed; item schemas/content/icons preserved</t>
  </si>
  <si>
    <t xml:space="preserve">64 icon bytes preserved</t>
  </si>
  <si>
    <t xml:space="preserve">FORWARD_COMPAT_ASSERTED</t>
  </si>
  <si>
    <t xml:space="preserve">Rules v1.6 | Character v1.1 | Items v1.5_with_icons | Bestiary v1.3 | Sentient v1.2</t>
  </si>
  <si>
    <t xml:space="preserve">GM XP/generator/time do not alter effect schemas or blindness boundary</t>
  </si>
  <si>
    <t xml:space="preserve">Frozen SHA; no generator prohibition</t>
  </si>
  <si>
    <t xml:space="preserve">Metadata-only reissue; statblocks/attacks/art unchanged</t>
  </si>
  <si>
    <t xml:space="preserve">16 art; content counts preserved</t>
  </si>
  <si>
    <t xml:space="preserve">44 system templates remain NO_XP_PROGRESSION</t>
  </si>
  <si>
    <t xml:space="preserve">Frozen SHA and payload equality</t>
  </si>
  <si>
    <t xml:space="preserve">No rebuild/relabel; pinned by full SHA</t>
  </si>
  <si>
    <t xml:space="preserve">50 files / 1195 validations</t>
  </si>
  <si>
    <t xml:space="preserve">TIME_CONTRACT</t>
  </si>
  <si>
    <t xml:space="preserve">Rules v1.7 | Character v1.2 | Items v1.6_with_icons | Effects v1.2 | Bestiary v1.4 | Sentient v1.2 | Q&amp;A v1.2 | Soundtrack v1.1 | Atlas v1.1 + campaign dayPhase</t>
  </si>
  <si>
    <t xml:space="preserve">Music follows campaign dayPhase; assets may be external</t>
  </si>
  <si>
    <t xml:space="preserve">21:00 cells and QA synchronized</t>
  </si>
  <si>
    <t xml:space="preserve">UI_CONTRACT</t>
  </si>
  <si>
    <t xml:space="preserve">Rules v1.7 | Character v1.2 | Items v1.6_with_icons | Effects v1.2 | Bestiary v1.4 | Sentient v1.2 | Q&amp;A v1.2 | Soundtrack v1.1 | Atlas v1.1 + Effects v1.2</t>
  </si>
  <si>
    <t xml:space="preserve">Amendment badges supersede stale v1.0 pages</t>
  </si>
  <si>
    <t xml:space="preserve">279 pages / 355 IDs / visual QA</t>
  </si>
  <si>
    <t xml:space="preserve">Визуальный и UI-аудит</t>
  </si>
  <si>
    <t xml:space="preserve">All inspected pages render at 960×540; no clipping or missing glyphs observed.</t>
  </si>
  <si>
    <t xml:space="preserve">VisualID</t>
  </si>
  <si>
    <t xml:space="preserve">Объект</t>
  </si>
  <si>
    <t xml:space="preserve">Проверено</t>
  </si>
  <si>
    <t xml:space="preserve">VIS-001</t>
  </si>
  <si>
    <t xml:space="preserve">Atlas cover</t>
  </si>
  <si>
    <t xml:space="preserve">v1.1 / 355 IDs / baseline</t>
  </si>
  <si>
    <t xml:space="preserve">Rendered p001</t>
  </si>
  <si>
    <t xml:space="preserve">Readable</t>
  </si>
  <si>
    <t xml:space="preserve">VIS-002</t>
  </si>
  <si>
    <t xml:space="preserve">Selection, baseXP, reason, ×2, irreversible commit</t>
  </si>
  <si>
    <t xml:space="preserve">Rendered p266</t>
  </si>
  <si>
    <t xml:space="preserve">VIS-003</t>
  </si>
  <si>
    <t xml:space="preserve">ENM-024..026; 80–150%; cap35; seed</t>
  </si>
  <si>
    <t xml:space="preserve">Rendered p267</t>
  </si>
  <si>
    <t xml:space="preserve">VIS-004</t>
  </si>
  <si>
    <t xml:space="preserve">Night/local players</t>
  </si>
  <si>
    <t xml:space="preserve">21:00 and 0–3 tabs + GM</t>
  </si>
  <si>
    <t xml:space="preserve">Rendered p268</t>
  </si>
  <si>
    <t xml:space="preserve">VIS-005</t>
  </si>
  <si>
    <t xml:space="preserve">Ammo/runtime objects</t>
  </si>
  <si>
    <t xml:space="preserve">CMB-068..072</t>
  </si>
  <si>
    <t xml:space="preserve">Rendered addendum</t>
  </si>
  <si>
    <t xml:space="preserve">VIS-006</t>
  </si>
  <si>
    <t xml:space="preserve">Roll/visibility/effects</t>
  </si>
  <si>
    <t xml:space="preserve">Per-command queue; no hidden leak; tombstones</t>
  </si>
  <si>
    <t xml:space="preserve">VIS-007</t>
  </si>
  <si>
    <t xml:space="preserve">Operation mappings</t>
  </si>
  <si>
    <t xml:space="preserve">Reload/coating/loot/death UI</t>
  </si>
  <si>
    <t xml:space="preserve">Rendered p275</t>
  </si>
  <si>
    <t xml:space="preserve">VIS-008</t>
  </si>
  <si>
    <t xml:space="preserve">Flows</t>
  </si>
  <si>
    <t xml:space="preserve">Combat/reconnect/crit routes</t>
  </si>
  <si>
    <t xml:space="preserve">Rendered p276</t>
  </si>
  <si>
    <t xml:space="preserve">VIS-009</t>
  </si>
  <si>
    <t xml:space="preserve">Battle coverage matrix 1</t>
  </si>
  <si>
    <t xml:space="preserve">Setup through attack/ammo</t>
  </si>
  <si>
    <t xml:space="preserve">Rendered p277</t>
  </si>
  <si>
    <t xml:space="preserve">VIS-010</t>
  </si>
  <si>
    <t xml:space="preserve">Battle coverage matrix 2/final</t>
  </si>
  <si>
    <t xml:space="preserve">States, death, loot, reconnect</t>
  </si>
  <si>
    <t xml:space="preserve">Rendered p278–279</t>
  </si>
  <si>
    <t xml:space="preserve">Разрешённые вопросы</t>
  </si>
  <si>
    <t xml:space="preserve">No question remains open before final freeze.</t>
  </si>
  <si>
    <t xml:space="preserve">QuestionID</t>
  </si>
  <si>
    <t xml:space="preserve">Тема</t>
  </si>
  <si>
    <t xml:space="preserve">Вопрос</t>
  </si>
  <si>
    <t xml:space="preserve">Ответ</t>
  </si>
  <si>
    <t xml:space="preserve">Влияние</t>
  </si>
  <si>
    <t xml:space="preserve">Можно ли откатить начисление?</t>
  </si>
  <si>
    <t xml:space="preserve">Нет. Committed award всегда валиден; inverse operations отсутствуют.</t>
  </si>
  <si>
    <t xml:space="preserve">CLOSED</t>
  </si>
  <si>
    <t xml:space="preserve">Music</t>
  </si>
  <si>
    <t xml:space="preserve">Когда начинается ночь?</t>
  </si>
  <si>
    <t xml:space="preserve">21:00 campaign time; ends at 06:00.</t>
  </si>
  <si>
    <t xml:space="preserve">Q-ENEMY-B14</t>
  </si>
  <si>
    <t xml:space="preserve">Добавляется ли balanced group generator?</t>
  </si>
  <si>
    <t xml:space="preserve">Да: 80–150%, avg80, cap35, sentient+monster; no AI.</t>
  </si>
  <si>
    <t xml:space="preserve">Preserved project requirement</t>
  </si>
  <si>
    <t xml:space="preserve">Изменения Audit Report v1.2</t>
  </si>
  <si>
    <t xml:space="preserve">Audit scope expanded to every release artifact and all combat-form coverage.</t>
  </si>
  <si>
    <t xml:space="preserve">AUD-V12-001</t>
  </si>
  <si>
    <t xml:space="preserve">Scope</t>
  </si>
  <si>
    <t xml:space="preserve">Partial workbook set</t>
  </si>
  <si>
    <t xml:space="preserve">10 source artifacts + Audit + Manifest</t>
  </si>
  <si>
    <t xml:space="preserve">Delivery audit</t>
  </si>
  <si>
    <t xml:space="preserve">AUD-V12-002</t>
  </si>
  <si>
    <t xml:space="preserve">Runtime pack</t>
  </si>
  <si>
    <t xml:space="preserve">Missing</t>
  </si>
  <si>
    <t xml:space="preserve">Original v1.2 pinned by full SHA</t>
  </si>
  <si>
    <t xml:space="preserve">Package audit</t>
  </si>
  <si>
    <t xml:space="preserve">AUD-V12-003</t>
  </si>
  <si>
    <t xml:space="preserve">Undefined</t>
  </si>
  <si>
    <t xml:space="preserve">Immutable typed operation</t>
  </si>
  <si>
    <t xml:space="preserve">AUD-V12-004</t>
  </si>
  <si>
    <t xml:space="preserve">Prohibited</t>
  </si>
  <si>
    <t xml:space="preserve">Restored and UI-covered</t>
  </si>
  <si>
    <t xml:space="preserve">Project requirement</t>
  </si>
  <si>
    <t xml:space="preserve">AUD-V12-005</t>
  </si>
  <si>
    <t xml:space="preserve">Night</t>
  </si>
  <si>
    <t xml:space="preserve">18:00 music</t>
  </si>
  <si>
    <t xml:space="preserve">21:00 dayPhase</t>
  </si>
  <si>
    <t xml:space="preserve">AUD-V12-006</t>
  </si>
  <si>
    <t xml:space="preserve">392</t>
  </si>
  <si>
    <t xml:space="preserve">444 / 410 unique</t>
  </si>
  <si>
    <t xml:space="preserve">Completeness</t>
  </si>
  <si>
    <t xml:space="preserve">AUD-V12-007</t>
  </si>
  <si>
    <t xml:space="preserve">355 IDs / full combat matrix</t>
  </si>
  <si>
    <t xml:space="preserve">AUD-V12-008</t>
  </si>
  <si>
    <t xml:space="preserve">Exact tuple</t>
  </si>
  <si>
    <t xml:space="preserve">builtAgainst + asserted forward invariants</t>
  </si>
  <si>
    <t xml:space="preserve">Frozen pack preservation</t>
  </si>
  <si>
    <t xml:space="preserve">AUD-V12-009</t>
  </si>
  <si>
    <t xml:space="preserve">Hashes</t>
  </si>
  <si>
    <t xml:space="preserve">Partial</t>
  </si>
  <si>
    <t xml:space="preserve">10 source hashes; self-cycle excluded</t>
  </si>
  <si>
    <t xml:space="preserve">AUD-V12-010</t>
  </si>
  <si>
    <t xml:space="preserve">Expected Rules v1.6</t>
  </si>
  <si>
    <t xml:space="preserve">Expected Rules v1.7; 0 FAIL</t>
  </si>
  <si>
    <t xml:space="preserve">AUD-V12-011</t>
  </si>
  <si>
    <t xml:space="preserve">Expected 36; 0 FAIL</t>
  </si>
</sst>
</file>

<file path=xl/styles.xml><?xml version="1.0" encoding="utf-8"?>
<styleSheet xmlns="http://schemas.openxmlformats.org/spreadsheetml/2006/main">
  <numFmts count="1">
    <numFmt numFmtId="164" formatCode="General"/>
  </numFmts>
  <fonts count="9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6"/>
      <color rgb="FFFFFFFF"/>
      <name val="Calibri"/>
      <family val="0"/>
      <charset val="1"/>
    </font>
    <font>
      <i val="true"/>
      <sz val="11"/>
      <color rgb="FF172554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1"/>
      <color rgb="FF166534"/>
      <name val="Calibri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72554"/>
        <bgColor rgb="FF333333"/>
      </patternFill>
    </fill>
    <fill>
      <patternFill patternType="solid">
        <fgColor rgb="FFEFF6FF"/>
        <bgColor rgb="FFFFFFFF"/>
      </patternFill>
    </fill>
    <fill>
      <patternFill patternType="solid">
        <fgColor rgb="FF1D4ED8"/>
        <bgColor rgb="FF3366FF"/>
      </patternFill>
    </fill>
    <fill>
      <patternFill patternType="solid">
        <fgColor rgb="FFDCFCE7"/>
        <bgColor rgb="FFCCFF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93C5FD"/>
      </left>
      <right style="thin">
        <color rgb="FF93C5FD"/>
      </right>
      <top style="thin">
        <color rgb="FF93C5FD"/>
      </top>
      <bottom style="thin">
        <color rgb="FF93C5FD"/>
      </bottom>
      <diagonal/>
    </border>
    <border diagonalUp="false" diagonalDown="false"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 diagonalUp="false" diagonalDown="false">
      <left style="thin">
        <color rgb="FF86EFAC"/>
      </left>
      <right style="thin">
        <color rgb="FF86EFAC"/>
      </right>
      <top style="thin">
        <color rgb="FF86EFAC"/>
      </top>
      <bottom style="thin">
        <color rgb="FF86EFAC"/>
      </bottom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6" fillId="3" borderId="0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2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2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5" borderId="3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2" borderId="0" xfId="2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5" borderId="3" xfId="2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66534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EFF6FF"/>
      <rgbColor rgb="FFDCFCE7"/>
      <rgbColor rgb="FF660066"/>
      <rgbColor rgb="FFFF8080"/>
      <rgbColor rgb="FF1D4ED8"/>
      <rgbColor rgb="FFCBD5E1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86EFAC"/>
      <rgbColor rgb="FFFFFF99"/>
      <rgbColor rgb="FF93C5FD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255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4"/>
    <col collapsed="false" customWidth="true" hidden="false" outlineLevel="0" max="4" min="2" style="0" width="14"/>
    <col collapsed="false" customWidth="true" hidden="false" outlineLevel="0" max="5" min="5" style="0" width="25"/>
    <col collapsed="false" customWidth="true" hidden="false" outlineLevel="0" max="8" min="6" style="0" width="14"/>
  </cols>
  <sheetData>
    <row r="1" customFormat="false" ht="30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2</v>
      </c>
      <c r="F4" s="3" t="s">
        <v>3</v>
      </c>
      <c r="G4" s="3" t="s">
        <v>4</v>
      </c>
      <c r="H4" s="3" t="s">
        <v>5</v>
      </c>
    </row>
    <row r="5" customFormat="false" ht="15" hidden="false" customHeight="false" outlineLevel="0" collapsed="false">
      <c r="A5" s="4" t="s">
        <v>6</v>
      </c>
      <c r="B5" s="4" t="n">
        <f aca="false">COUNTA('01_Расхождения'!$A$5:$A$31)</f>
        <v>27</v>
      </c>
      <c r="C5" s="4" t="n">
        <v>27</v>
      </c>
      <c r="D5" s="5" t="str">
        <f aca="false">IF(B5=C5,"PASS","FAIL")</f>
        <v>PASS</v>
      </c>
      <c r="E5" s="4" t="s">
        <v>7</v>
      </c>
      <c r="F5" s="4" t="n">
        <f aca="false">COUNTA('05_SHA256'!$A$5:$A$14)</f>
        <v>10</v>
      </c>
      <c r="G5" s="4" t="n">
        <v>10</v>
      </c>
      <c r="H5" s="5" t="str">
        <f aca="false">IF(F5=G5,"PASS","FAIL")</f>
        <v>PASS</v>
      </c>
    </row>
    <row r="6" customFormat="false" ht="15" hidden="false" customHeight="false" outlineLevel="0" collapsed="false">
      <c r="A6" s="4" t="s">
        <v>8</v>
      </c>
      <c r="B6" s="4" t="n">
        <f aca="false">COUNTIF('01_Расхождения'!$I$5:$I$31,"FIXED")</f>
        <v>27</v>
      </c>
      <c r="C6" s="4" t="n">
        <v>27</v>
      </c>
      <c r="D6" s="5" t="str">
        <f aca="false">IF(B6=C6,"PASS","FAIL")</f>
        <v>PASS</v>
      </c>
      <c r="E6" s="4" t="s">
        <v>9</v>
      </c>
      <c r="F6" s="4" t="n">
        <f aca="false">COUNTIF('05_SHA256'!$H$5:$H$14,"PASS")</f>
        <v>10</v>
      </c>
      <c r="G6" s="4" t="n">
        <v>10</v>
      </c>
      <c r="H6" s="5" t="str">
        <f aca="false">IF(F6=G6,"PASS","FAIL")</f>
        <v>PASS</v>
      </c>
    </row>
    <row r="7" customFormat="false" ht="15" hidden="false" customHeight="false" outlineLevel="0" collapsed="false">
      <c r="A7" s="4" t="s">
        <v>10</v>
      </c>
      <c r="B7" s="4" t="n">
        <f aca="false">COUNTIFS('01_Расхождения'!$A$5:$A$31,"&lt;&gt;",'01_Расхождения'!$I$5:$I$31,"&lt;&gt;FIXED")</f>
        <v>0</v>
      </c>
      <c r="C7" s="4" t="n">
        <v>0</v>
      </c>
      <c r="D7" s="5" t="str">
        <f aca="false">IF(B7=C7,"PASS","FAIL")</f>
        <v>PASS</v>
      </c>
      <c r="E7" s="4" t="s">
        <v>11</v>
      </c>
      <c r="F7" s="4" t="n">
        <f aca="false">COUNTIF('06_Совместимость'!$H$5:$H$14,"PASS")</f>
        <v>10</v>
      </c>
      <c r="G7" s="4" t="n">
        <v>10</v>
      </c>
      <c r="H7" s="5" t="str">
        <f aca="false">IF(F7=G7,"PASS","FAIL")</f>
        <v>PASS</v>
      </c>
    </row>
    <row r="8" customFormat="false" ht="15" hidden="false" customHeight="false" outlineLevel="0" collapsed="false">
      <c r="A8" s="4" t="s">
        <v>12</v>
      </c>
      <c r="B8" s="4" t="n">
        <f aca="false">COUNTIF('08_Вопросы'!$G$5:$G$7,"OPEN")</f>
        <v>0</v>
      </c>
      <c r="C8" s="4" t="n">
        <v>0</v>
      </c>
      <c r="D8" s="5" t="str">
        <f aca="false">IF(B8=C8,"PASS","FAIL")</f>
        <v>PASS</v>
      </c>
      <c r="E8" s="4" t="s">
        <v>13</v>
      </c>
      <c r="F8" s="4" t="n">
        <f aca="false">COUNTIF('07_Визуальный_аудит'!$F$5:$F$14,"PASS")</f>
        <v>10</v>
      </c>
      <c r="G8" s="4" t="n">
        <v>10</v>
      </c>
      <c r="H8" s="5" t="str">
        <f aca="false">IF(F8=G8,"PASS","FAIL")</f>
        <v>PASS</v>
      </c>
    </row>
    <row r="9" customFormat="false" ht="15" hidden="false" customHeight="false" outlineLevel="0" collapsed="false">
      <c r="A9" s="4" t="s">
        <v>14</v>
      </c>
      <c r="B9" s="4" t="n">
        <v>444</v>
      </c>
      <c r="C9" s="4" t="n">
        <v>444</v>
      </c>
      <c r="D9" s="5" t="str">
        <f aca="false">IF(B9=C9,"PASS","FAIL")</f>
        <v>PASS</v>
      </c>
      <c r="E9" s="4" t="s">
        <v>15</v>
      </c>
      <c r="F9" s="4" t="n">
        <v>355</v>
      </c>
      <c r="G9" s="4" t="n">
        <v>355</v>
      </c>
      <c r="H9" s="5" t="str">
        <f aca="false">IF(F9=G9,"PASS","FAIL")</f>
        <v>PASS</v>
      </c>
    </row>
    <row r="10" customFormat="false" ht="15" hidden="false" customHeight="false" outlineLevel="0" collapsed="false">
      <c r="A10" s="4" t="s">
        <v>16</v>
      </c>
      <c r="B10" s="4" t="n">
        <v>410</v>
      </c>
      <c r="C10" s="4" t="n">
        <v>410</v>
      </c>
      <c r="D10" s="5" t="str">
        <f aca="false">IF(B10=C10,"PASS","FAIL")</f>
        <v>PASS</v>
      </c>
      <c r="E10" s="4" t="s">
        <v>17</v>
      </c>
      <c r="F10" s="4" t="n">
        <v>279</v>
      </c>
      <c r="G10" s="4" t="n">
        <v>279</v>
      </c>
      <c r="H10" s="5" t="str">
        <f aca="false">IF(F10=G10,"PASS","FAIL")</f>
        <v>PASS</v>
      </c>
    </row>
    <row r="11" customFormat="false" ht="15" hidden="false" customHeight="false" outlineLevel="0" collapsed="false">
      <c r="A11" s="4" t="s">
        <v>18</v>
      </c>
      <c r="B11" s="4" t="n">
        <v>739</v>
      </c>
      <c r="C11" s="4" t="n">
        <v>739</v>
      </c>
      <c r="D11" s="5" t="str">
        <f aca="false">IF(B11=C11,"PASS","FAIL")</f>
        <v>PASS</v>
      </c>
      <c r="E11" s="4" t="s">
        <v>19</v>
      </c>
      <c r="F11" s="4" t="n">
        <v>50</v>
      </c>
      <c r="G11" s="4" t="n">
        <v>50</v>
      </c>
      <c r="H11" s="5" t="str">
        <f aca="false">IF(F11=G11,"PASS","FAIL")</f>
        <v>PASS</v>
      </c>
    </row>
    <row r="12" customFormat="false" ht="15" hidden="false" customHeight="false" outlineLevel="0" collapsed="false">
      <c r="A12" s="4" t="s">
        <v>20</v>
      </c>
      <c r="B12" s="4" t="n">
        <v>1144</v>
      </c>
      <c r="C12" s="4" t="n">
        <v>1144</v>
      </c>
      <c r="D12" s="5" t="str">
        <f aca="false">IF(B12=C12,"PASS","FAIL")</f>
        <v>PASS</v>
      </c>
      <c r="E12" s="4" t="s">
        <v>21</v>
      </c>
      <c r="F12" s="4" t="n">
        <v>12</v>
      </c>
      <c r="G12" s="4" t="n">
        <v>12</v>
      </c>
      <c r="H12" s="5" t="str">
        <f aca="false">IF(F12=G12,"PASS","FAIL")</f>
        <v>PASS</v>
      </c>
    </row>
    <row r="14" customFormat="false" ht="15" hidden="false" customHeight="false" outlineLevel="0" collapsed="false">
      <c r="A14" s="6" t="s">
        <v>22</v>
      </c>
      <c r="B14" s="6"/>
      <c r="C14" s="6"/>
      <c r="D14" s="6"/>
      <c r="E14" s="6"/>
      <c r="F14" s="6"/>
      <c r="G14" s="6"/>
      <c r="H14" s="7" t="str">
        <f aca="false">IF(COUNTIF($D$5:$D$12,"FAIL")+COUNTIF($H$5:$H$12,"FAIL")=0,"PASS","FAIL")</f>
        <v>PASS</v>
      </c>
    </row>
  </sheetData>
  <mergeCells count="3">
    <mergeCell ref="A1:H1"/>
    <mergeCell ref="A2:H2"/>
    <mergeCell ref="A14:G14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3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3"/>
    <col collapsed="false" customWidth="true" hidden="false" outlineLevel="0" max="3" min="3" style="0" width="20"/>
    <col collapsed="false" customWidth="true" hidden="false" outlineLevel="0" max="4" min="4" style="0" width="35"/>
    <col collapsed="false" customWidth="true" hidden="false" outlineLevel="0" max="5" min="5" style="0" width="38"/>
    <col collapsed="false" customWidth="true" hidden="false" outlineLevel="0" max="6" min="6" style="0" width="28"/>
    <col collapsed="false" customWidth="true" hidden="false" outlineLevel="0" max="8" min="7" style="0" width="25"/>
    <col collapsed="false" customWidth="true" hidden="false" outlineLevel="0" max="9" min="9" style="0" width="12"/>
  </cols>
  <sheetData>
    <row r="1" customFormat="false" ht="30" hidden="false" customHeight="true" outlineLevel="0" collapsed="false">
      <c r="A1" s="1" t="s">
        <v>23</v>
      </c>
      <c r="B1" s="1"/>
      <c r="C1" s="1"/>
      <c r="D1" s="1"/>
      <c r="E1" s="1"/>
      <c r="F1" s="1"/>
      <c r="G1" s="1"/>
      <c r="H1" s="1"/>
      <c r="I1" s="1"/>
    </row>
    <row r="2" customFormat="false" ht="30" hidden="false" customHeight="true" outlineLevel="0" collapsed="false">
      <c r="A2" s="2" t="s">
        <v>24</v>
      </c>
      <c r="B2" s="2"/>
      <c r="C2" s="2"/>
      <c r="D2" s="2"/>
      <c r="E2" s="2"/>
      <c r="F2" s="2"/>
      <c r="G2" s="2"/>
      <c r="H2" s="2"/>
      <c r="I2" s="2"/>
    </row>
    <row r="4" customFormat="false" ht="15" hidden="false" customHeight="false" outlineLevel="0" collapsed="false">
      <c r="A4" s="3" t="s">
        <v>25</v>
      </c>
      <c r="B4" s="3" t="s">
        <v>26</v>
      </c>
      <c r="C4" s="3" t="s">
        <v>27</v>
      </c>
      <c r="D4" s="3" t="s">
        <v>28</v>
      </c>
      <c r="E4" s="3" t="s">
        <v>29</v>
      </c>
      <c r="F4" s="3" t="s">
        <v>30</v>
      </c>
      <c r="G4" s="3" t="s">
        <v>31</v>
      </c>
      <c r="H4" s="3" t="s">
        <v>32</v>
      </c>
      <c r="I4" s="3" t="s">
        <v>5</v>
      </c>
    </row>
    <row r="5" customFormat="false" ht="52" hidden="false" customHeight="true" outlineLevel="0" collapsed="false">
      <c r="A5" s="4" t="s">
        <v>33</v>
      </c>
      <c r="B5" s="4" t="s">
        <v>34</v>
      </c>
      <c r="C5" s="4" t="s">
        <v>35</v>
      </c>
      <c r="D5" s="4" t="s">
        <v>36</v>
      </c>
      <c r="E5" s="4" t="s">
        <v>37</v>
      </c>
      <c r="F5" s="4" t="s">
        <v>38</v>
      </c>
      <c r="G5" s="4" t="s">
        <v>39</v>
      </c>
      <c r="H5" s="4" t="s">
        <v>40</v>
      </c>
      <c r="I5" s="5" t="s">
        <v>41</v>
      </c>
    </row>
    <row r="6" customFormat="false" ht="52" hidden="false" customHeight="true" outlineLevel="0" collapsed="false">
      <c r="A6" s="4" t="s">
        <v>42</v>
      </c>
      <c r="B6" s="4" t="s">
        <v>34</v>
      </c>
      <c r="C6" s="4" t="s">
        <v>43</v>
      </c>
      <c r="D6" s="4" t="s">
        <v>44</v>
      </c>
      <c r="E6" s="4" t="s">
        <v>45</v>
      </c>
      <c r="F6" s="4" t="s">
        <v>46</v>
      </c>
      <c r="G6" s="4" t="s">
        <v>47</v>
      </c>
      <c r="H6" s="4" t="s">
        <v>48</v>
      </c>
      <c r="I6" s="5" t="s">
        <v>41</v>
      </c>
    </row>
    <row r="7" customFormat="false" ht="52" hidden="false" customHeight="true" outlineLevel="0" collapsed="false">
      <c r="A7" s="4" t="s">
        <v>49</v>
      </c>
      <c r="B7" s="4" t="s">
        <v>34</v>
      </c>
      <c r="C7" s="4" t="s">
        <v>43</v>
      </c>
      <c r="D7" s="4" t="s">
        <v>50</v>
      </c>
      <c r="E7" s="4" t="s">
        <v>51</v>
      </c>
      <c r="F7" s="4" t="s">
        <v>52</v>
      </c>
      <c r="G7" s="4" t="s">
        <v>53</v>
      </c>
      <c r="H7" s="4" t="s">
        <v>54</v>
      </c>
      <c r="I7" s="5" t="s">
        <v>41</v>
      </c>
    </row>
    <row r="8" customFormat="false" ht="52" hidden="false" customHeight="true" outlineLevel="0" collapsed="false">
      <c r="A8" s="4" t="s">
        <v>55</v>
      </c>
      <c r="B8" s="4" t="s">
        <v>56</v>
      </c>
      <c r="C8" s="4" t="s">
        <v>57</v>
      </c>
      <c r="D8" s="4" t="s">
        <v>58</v>
      </c>
      <c r="E8" s="4" t="s">
        <v>59</v>
      </c>
      <c r="F8" s="4" t="s">
        <v>60</v>
      </c>
      <c r="G8" s="4" t="s">
        <v>61</v>
      </c>
      <c r="H8" s="4" t="s">
        <v>62</v>
      </c>
      <c r="I8" s="5" t="s">
        <v>41</v>
      </c>
    </row>
    <row r="9" customFormat="false" ht="52" hidden="false" customHeight="true" outlineLevel="0" collapsed="false">
      <c r="A9" s="4" t="s">
        <v>63</v>
      </c>
      <c r="B9" s="4" t="s">
        <v>34</v>
      </c>
      <c r="C9" s="4" t="s">
        <v>64</v>
      </c>
      <c r="D9" s="4" t="s">
        <v>65</v>
      </c>
      <c r="E9" s="4" t="s">
        <v>66</v>
      </c>
      <c r="F9" s="4" t="s">
        <v>67</v>
      </c>
      <c r="G9" s="4" t="s">
        <v>68</v>
      </c>
      <c r="H9" s="4" t="s">
        <v>69</v>
      </c>
      <c r="I9" s="5" t="s">
        <v>41</v>
      </c>
    </row>
    <row r="10" customFormat="false" ht="52" hidden="false" customHeight="true" outlineLevel="0" collapsed="false">
      <c r="A10" s="4" t="s">
        <v>70</v>
      </c>
      <c r="B10" s="4" t="s">
        <v>56</v>
      </c>
      <c r="C10" s="4" t="s">
        <v>71</v>
      </c>
      <c r="D10" s="4" t="s">
        <v>72</v>
      </c>
      <c r="E10" s="4" t="s">
        <v>73</v>
      </c>
      <c r="F10" s="4" t="s">
        <v>74</v>
      </c>
      <c r="G10" s="4" t="s">
        <v>75</v>
      </c>
      <c r="H10" s="4" t="s">
        <v>76</v>
      </c>
      <c r="I10" s="5" t="s">
        <v>41</v>
      </c>
    </row>
    <row r="11" customFormat="false" ht="52" hidden="false" customHeight="true" outlineLevel="0" collapsed="false">
      <c r="A11" s="4" t="s">
        <v>77</v>
      </c>
      <c r="B11" s="4" t="s">
        <v>56</v>
      </c>
      <c r="C11" s="4" t="s">
        <v>78</v>
      </c>
      <c r="D11" s="4" t="s">
        <v>79</v>
      </c>
      <c r="E11" s="4" t="s">
        <v>80</v>
      </c>
      <c r="F11" s="4" t="s">
        <v>81</v>
      </c>
      <c r="G11" s="4" t="s">
        <v>82</v>
      </c>
      <c r="H11" s="4" t="s">
        <v>83</v>
      </c>
      <c r="I11" s="5" t="s">
        <v>41</v>
      </c>
    </row>
    <row r="12" customFormat="false" ht="52" hidden="false" customHeight="true" outlineLevel="0" collapsed="false">
      <c r="A12" s="4" t="s">
        <v>84</v>
      </c>
      <c r="B12" s="4" t="s">
        <v>56</v>
      </c>
      <c r="C12" s="4" t="s">
        <v>85</v>
      </c>
      <c r="D12" s="4" t="s">
        <v>86</v>
      </c>
      <c r="E12" s="4" t="s">
        <v>87</v>
      </c>
      <c r="F12" s="4" t="s">
        <v>81</v>
      </c>
      <c r="G12" s="4" t="s">
        <v>82</v>
      </c>
      <c r="H12" s="4" t="s">
        <v>88</v>
      </c>
      <c r="I12" s="5" t="s">
        <v>41</v>
      </c>
    </row>
    <row r="13" customFormat="false" ht="52" hidden="false" customHeight="true" outlineLevel="0" collapsed="false">
      <c r="A13" s="4" t="s">
        <v>89</v>
      </c>
      <c r="B13" s="4" t="s">
        <v>34</v>
      </c>
      <c r="C13" s="4" t="s">
        <v>90</v>
      </c>
      <c r="D13" s="4" t="s">
        <v>91</v>
      </c>
      <c r="E13" s="4" t="s">
        <v>92</v>
      </c>
      <c r="F13" s="4" t="s">
        <v>93</v>
      </c>
      <c r="G13" s="4" t="s">
        <v>94</v>
      </c>
      <c r="H13" s="4" t="s">
        <v>95</v>
      </c>
      <c r="I13" s="5" t="s">
        <v>41</v>
      </c>
    </row>
    <row r="14" customFormat="false" ht="52" hidden="false" customHeight="true" outlineLevel="0" collapsed="false">
      <c r="A14" s="4" t="s">
        <v>96</v>
      </c>
      <c r="B14" s="4" t="s">
        <v>56</v>
      </c>
      <c r="C14" s="4" t="s">
        <v>97</v>
      </c>
      <c r="D14" s="4" t="s">
        <v>98</v>
      </c>
      <c r="E14" s="4" t="s">
        <v>99</v>
      </c>
      <c r="F14" s="4" t="s">
        <v>100</v>
      </c>
      <c r="G14" s="4" t="s">
        <v>101</v>
      </c>
      <c r="H14" s="4" t="s">
        <v>102</v>
      </c>
      <c r="I14" s="5" t="s">
        <v>41</v>
      </c>
    </row>
    <row r="15" customFormat="false" ht="52" hidden="false" customHeight="true" outlineLevel="0" collapsed="false">
      <c r="A15" s="4" t="s">
        <v>103</v>
      </c>
      <c r="B15" s="4" t="s">
        <v>56</v>
      </c>
      <c r="C15" s="4" t="s">
        <v>104</v>
      </c>
      <c r="D15" s="4" t="s">
        <v>105</v>
      </c>
      <c r="E15" s="4" t="s">
        <v>106</v>
      </c>
      <c r="F15" s="4" t="s">
        <v>107</v>
      </c>
      <c r="G15" s="4" t="s">
        <v>108</v>
      </c>
      <c r="H15" s="4" t="s">
        <v>102</v>
      </c>
      <c r="I15" s="5" t="s">
        <v>41</v>
      </c>
    </row>
    <row r="16" customFormat="false" ht="52" hidden="false" customHeight="true" outlineLevel="0" collapsed="false">
      <c r="A16" s="4" t="s">
        <v>109</v>
      </c>
      <c r="B16" s="4" t="s">
        <v>56</v>
      </c>
      <c r="C16" s="4" t="s">
        <v>110</v>
      </c>
      <c r="D16" s="4" t="s">
        <v>111</v>
      </c>
      <c r="E16" s="4" t="s">
        <v>112</v>
      </c>
      <c r="F16" s="4" t="s">
        <v>113</v>
      </c>
      <c r="G16" s="4" t="s">
        <v>114</v>
      </c>
      <c r="H16" s="4" t="s">
        <v>102</v>
      </c>
      <c r="I16" s="5" t="s">
        <v>41</v>
      </c>
    </row>
    <row r="17" customFormat="false" ht="52" hidden="false" customHeight="true" outlineLevel="0" collapsed="false">
      <c r="A17" s="4" t="s">
        <v>115</v>
      </c>
      <c r="B17" s="4" t="s">
        <v>56</v>
      </c>
      <c r="C17" s="4" t="s">
        <v>110</v>
      </c>
      <c r="D17" s="4" t="s">
        <v>116</v>
      </c>
      <c r="E17" s="4" t="s">
        <v>117</v>
      </c>
      <c r="F17" s="4" t="s">
        <v>113</v>
      </c>
      <c r="G17" s="4" t="s">
        <v>114</v>
      </c>
      <c r="H17" s="4" t="s">
        <v>102</v>
      </c>
      <c r="I17" s="5" t="s">
        <v>41</v>
      </c>
    </row>
    <row r="18" customFormat="false" ht="52" hidden="false" customHeight="true" outlineLevel="0" collapsed="false">
      <c r="A18" s="4" t="s">
        <v>118</v>
      </c>
      <c r="B18" s="4" t="s">
        <v>119</v>
      </c>
      <c r="C18" s="4" t="s">
        <v>110</v>
      </c>
      <c r="D18" s="4" t="s">
        <v>120</v>
      </c>
      <c r="E18" s="4" t="s">
        <v>121</v>
      </c>
      <c r="F18" s="4" t="s">
        <v>122</v>
      </c>
      <c r="G18" s="4" t="s">
        <v>114</v>
      </c>
      <c r="H18" s="4" t="s">
        <v>102</v>
      </c>
      <c r="I18" s="5" t="s">
        <v>41</v>
      </c>
    </row>
    <row r="19" customFormat="false" ht="52" hidden="false" customHeight="true" outlineLevel="0" collapsed="false">
      <c r="A19" s="4" t="s">
        <v>123</v>
      </c>
      <c r="B19" s="4" t="s">
        <v>56</v>
      </c>
      <c r="C19" s="4" t="s">
        <v>124</v>
      </c>
      <c r="D19" s="4" t="s">
        <v>125</v>
      </c>
      <c r="E19" s="4" t="s">
        <v>126</v>
      </c>
      <c r="F19" s="4" t="s">
        <v>127</v>
      </c>
      <c r="G19" s="4" t="s">
        <v>128</v>
      </c>
      <c r="H19" s="4" t="s">
        <v>129</v>
      </c>
      <c r="I19" s="5" t="s">
        <v>41</v>
      </c>
    </row>
    <row r="20" customFormat="false" ht="52" hidden="false" customHeight="true" outlineLevel="0" collapsed="false">
      <c r="A20" s="4" t="s">
        <v>130</v>
      </c>
      <c r="B20" s="4" t="s">
        <v>56</v>
      </c>
      <c r="C20" s="4" t="s">
        <v>131</v>
      </c>
      <c r="D20" s="4" t="s">
        <v>132</v>
      </c>
      <c r="E20" s="4" t="s">
        <v>133</v>
      </c>
      <c r="F20" s="4" t="s">
        <v>134</v>
      </c>
      <c r="G20" s="4" t="s">
        <v>114</v>
      </c>
      <c r="H20" s="4" t="s">
        <v>135</v>
      </c>
      <c r="I20" s="5" t="s">
        <v>41</v>
      </c>
    </row>
    <row r="21" customFormat="false" ht="52" hidden="false" customHeight="true" outlineLevel="0" collapsed="false">
      <c r="A21" s="4" t="s">
        <v>136</v>
      </c>
      <c r="B21" s="4" t="s">
        <v>56</v>
      </c>
      <c r="C21" s="4" t="s">
        <v>137</v>
      </c>
      <c r="D21" s="4" t="s">
        <v>138</v>
      </c>
      <c r="E21" s="4" t="s">
        <v>139</v>
      </c>
      <c r="F21" s="4" t="s">
        <v>140</v>
      </c>
      <c r="G21" s="4" t="s">
        <v>114</v>
      </c>
      <c r="H21" s="4" t="s">
        <v>141</v>
      </c>
      <c r="I21" s="5" t="s">
        <v>41</v>
      </c>
    </row>
    <row r="22" customFormat="false" ht="52" hidden="false" customHeight="true" outlineLevel="0" collapsed="false">
      <c r="A22" s="4" t="s">
        <v>142</v>
      </c>
      <c r="B22" s="4" t="s">
        <v>119</v>
      </c>
      <c r="C22" s="4" t="s">
        <v>143</v>
      </c>
      <c r="D22" s="4" t="s">
        <v>144</v>
      </c>
      <c r="E22" s="4" t="s">
        <v>145</v>
      </c>
      <c r="F22" s="4" t="s">
        <v>146</v>
      </c>
      <c r="G22" s="4" t="s">
        <v>147</v>
      </c>
      <c r="H22" s="4" t="s">
        <v>148</v>
      </c>
      <c r="I22" s="5" t="s">
        <v>41</v>
      </c>
    </row>
    <row r="23" customFormat="false" ht="52" hidden="false" customHeight="true" outlineLevel="0" collapsed="false">
      <c r="A23" s="4" t="s">
        <v>149</v>
      </c>
      <c r="B23" s="4" t="s">
        <v>56</v>
      </c>
      <c r="C23" s="4" t="s">
        <v>150</v>
      </c>
      <c r="D23" s="4" t="s">
        <v>151</v>
      </c>
      <c r="E23" s="4" t="s">
        <v>152</v>
      </c>
      <c r="F23" s="4" t="s">
        <v>153</v>
      </c>
      <c r="G23" s="4" t="s">
        <v>154</v>
      </c>
      <c r="H23" s="4" t="s">
        <v>155</v>
      </c>
      <c r="I23" s="5" t="s">
        <v>41</v>
      </c>
    </row>
    <row r="24" customFormat="false" ht="52" hidden="false" customHeight="true" outlineLevel="0" collapsed="false">
      <c r="A24" s="4" t="s">
        <v>156</v>
      </c>
      <c r="B24" s="4" t="s">
        <v>56</v>
      </c>
      <c r="C24" s="4" t="s">
        <v>157</v>
      </c>
      <c r="D24" s="4" t="s">
        <v>158</v>
      </c>
      <c r="E24" s="4" t="s">
        <v>159</v>
      </c>
      <c r="F24" s="4" t="s">
        <v>160</v>
      </c>
      <c r="G24" s="4" t="s">
        <v>161</v>
      </c>
      <c r="H24" s="4" t="s">
        <v>155</v>
      </c>
      <c r="I24" s="5" t="s">
        <v>41</v>
      </c>
    </row>
    <row r="25" customFormat="false" ht="52" hidden="false" customHeight="true" outlineLevel="0" collapsed="false">
      <c r="A25" s="4" t="s">
        <v>162</v>
      </c>
      <c r="B25" s="4" t="s">
        <v>119</v>
      </c>
      <c r="C25" s="4" t="s">
        <v>163</v>
      </c>
      <c r="D25" s="4" t="s">
        <v>164</v>
      </c>
      <c r="E25" s="4" t="s">
        <v>165</v>
      </c>
      <c r="F25" s="4" t="s">
        <v>166</v>
      </c>
      <c r="G25" s="4" t="s">
        <v>167</v>
      </c>
      <c r="H25" s="4" t="s">
        <v>168</v>
      </c>
      <c r="I25" s="5" t="s">
        <v>41</v>
      </c>
    </row>
    <row r="26" customFormat="false" ht="52" hidden="false" customHeight="true" outlineLevel="0" collapsed="false">
      <c r="A26" s="4" t="s">
        <v>169</v>
      </c>
      <c r="B26" s="4" t="s">
        <v>56</v>
      </c>
      <c r="C26" s="4" t="s">
        <v>170</v>
      </c>
      <c r="D26" s="4" t="s">
        <v>171</v>
      </c>
      <c r="E26" s="4" t="s">
        <v>172</v>
      </c>
      <c r="F26" s="4" t="s">
        <v>173</v>
      </c>
      <c r="G26" s="4" t="s">
        <v>174</v>
      </c>
      <c r="H26" s="4" t="s">
        <v>175</v>
      </c>
      <c r="I26" s="5" t="s">
        <v>41</v>
      </c>
    </row>
    <row r="27" customFormat="false" ht="52" hidden="false" customHeight="true" outlineLevel="0" collapsed="false">
      <c r="A27" s="4" t="s">
        <v>176</v>
      </c>
      <c r="B27" s="4" t="s">
        <v>56</v>
      </c>
      <c r="C27" s="4" t="s">
        <v>177</v>
      </c>
      <c r="D27" s="4" t="s">
        <v>178</v>
      </c>
      <c r="E27" s="4" t="s">
        <v>179</v>
      </c>
      <c r="F27" s="4" t="s">
        <v>180</v>
      </c>
      <c r="G27" s="4" t="s">
        <v>181</v>
      </c>
      <c r="H27" s="4" t="s">
        <v>182</v>
      </c>
      <c r="I27" s="5" t="s">
        <v>41</v>
      </c>
    </row>
    <row r="28" customFormat="false" ht="52" hidden="false" customHeight="true" outlineLevel="0" collapsed="false">
      <c r="A28" s="4" t="s">
        <v>183</v>
      </c>
      <c r="B28" s="4" t="s">
        <v>119</v>
      </c>
      <c r="C28" s="4" t="s">
        <v>184</v>
      </c>
      <c r="D28" s="4" t="s">
        <v>185</v>
      </c>
      <c r="E28" s="4" t="s">
        <v>186</v>
      </c>
      <c r="F28" s="4" t="s">
        <v>187</v>
      </c>
      <c r="G28" s="4" t="s">
        <v>188</v>
      </c>
      <c r="H28" s="4" t="s">
        <v>189</v>
      </c>
      <c r="I28" s="5" t="s">
        <v>41</v>
      </c>
    </row>
    <row r="29" customFormat="false" ht="52" hidden="false" customHeight="true" outlineLevel="0" collapsed="false">
      <c r="A29" s="4" t="s">
        <v>190</v>
      </c>
      <c r="B29" s="4" t="s">
        <v>119</v>
      </c>
      <c r="C29" s="4" t="s">
        <v>191</v>
      </c>
      <c r="D29" s="4" t="s">
        <v>192</v>
      </c>
      <c r="E29" s="4" t="s">
        <v>193</v>
      </c>
      <c r="F29" s="4" t="s">
        <v>194</v>
      </c>
      <c r="G29" s="4" t="s">
        <v>195</v>
      </c>
      <c r="H29" s="4" t="s">
        <v>196</v>
      </c>
      <c r="I29" s="5" t="s">
        <v>41</v>
      </c>
    </row>
    <row r="30" customFormat="false" ht="52" hidden="false" customHeight="true" outlineLevel="0" collapsed="false">
      <c r="A30" s="4" t="s">
        <v>197</v>
      </c>
      <c r="B30" s="4" t="s">
        <v>119</v>
      </c>
      <c r="C30" s="4" t="s">
        <v>198</v>
      </c>
      <c r="D30" s="4" t="s">
        <v>199</v>
      </c>
      <c r="E30" s="4" t="s">
        <v>200</v>
      </c>
      <c r="F30" s="4" t="s">
        <v>201</v>
      </c>
      <c r="G30" s="4" t="s">
        <v>202</v>
      </c>
      <c r="H30" s="4" t="s">
        <v>203</v>
      </c>
      <c r="I30" s="5" t="s">
        <v>41</v>
      </c>
    </row>
    <row r="31" customFormat="false" ht="52" hidden="false" customHeight="true" outlineLevel="0" collapsed="false">
      <c r="A31" s="4" t="s">
        <v>204</v>
      </c>
      <c r="B31" s="4" t="s">
        <v>119</v>
      </c>
      <c r="C31" s="4" t="s">
        <v>205</v>
      </c>
      <c r="D31" s="4" t="s">
        <v>206</v>
      </c>
      <c r="E31" s="4" t="s">
        <v>207</v>
      </c>
      <c r="F31" s="4" t="s">
        <v>208</v>
      </c>
      <c r="G31" s="4" t="s">
        <v>209</v>
      </c>
      <c r="H31" s="4" t="s">
        <v>210</v>
      </c>
      <c r="I31" s="5" t="s">
        <v>41</v>
      </c>
    </row>
  </sheetData>
  <mergeCells count="2">
    <mergeCell ref="A1:I1"/>
    <mergeCell ref="A2:I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5"/>
    <col collapsed="false" customWidth="true" hidden="false" outlineLevel="0" max="3" min="3" style="0" width="32"/>
    <col collapsed="false" customWidth="true" hidden="false" outlineLevel="0" max="4" min="4" style="0" width="38"/>
    <col collapsed="false" customWidth="true" hidden="false" outlineLevel="0" max="5" min="5" style="0" width="30"/>
    <col collapsed="false" customWidth="true" hidden="false" outlineLevel="0" max="6" min="6" style="0" width="20"/>
    <col collapsed="false" customWidth="true" hidden="false" outlineLevel="0" max="7" min="7" style="0" width="11"/>
  </cols>
  <sheetData>
    <row r="1" customFormat="false" ht="30" hidden="false" customHeight="true" outlineLevel="0" collapsed="false">
      <c r="A1" s="1" t="s">
        <v>211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212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25</v>
      </c>
      <c r="B4" s="3" t="s">
        <v>213</v>
      </c>
      <c r="C4" s="3" t="s">
        <v>214</v>
      </c>
      <c r="D4" s="3" t="s">
        <v>215</v>
      </c>
      <c r="E4" s="3" t="s">
        <v>216</v>
      </c>
      <c r="F4" s="3" t="s">
        <v>217</v>
      </c>
      <c r="G4" s="3" t="s">
        <v>5</v>
      </c>
    </row>
    <row r="5" customFormat="false" ht="48" hidden="false" customHeight="true" outlineLevel="0" collapsed="false">
      <c r="A5" s="4" t="s">
        <v>218</v>
      </c>
      <c r="B5" s="4" t="s">
        <v>219</v>
      </c>
      <c r="C5" s="4" t="s">
        <v>220</v>
      </c>
      <c r="D5" s="4" t="s">
        <v>221</v>
      </c>
      <c r="E5" s="4" t="s">
        <v>46</v>
      </c>
      <c r="F5" s="4" t="s">
        <v>222</v>
      </c>
      <c r="G5" s="5" t="s">
        <v>223</v>
      </c>
    </row>
    <row r="6" customFormat="false" ht="48" hidden="false" customHeight="true" outlineLevel="0" collapsed="false">
      <c r="A6" s="4" t="s">
        <v>224</v>
      </c>
      <c r="B6" s="4" t="s">
        <v>225</v>
      </c>
      <c r="C6" s="4" t="s">
        <v>226</v>
      </c>
      <c r="D6" s="4" t="s">
        <v>227</v>
      </c>
      <c r="E6" s="4" t="s">
        <v>228</v>
      </c>
      <c r="F6" s="4" t="s">
        <v>222</v>
      </c>
      <c r="G6" s="5" t="s">
        <v>223</v>
      </c>
    </row>
    <row r="7" customFormat="false" ht="48" hidden="false" customHeight="true" outlineLevel="0" collapsed="false">
      <c r="A7" s="4" t="s">
        <v>229</v>
      </c>
      <c r="B7" s="4" t="s">
        <v>230</v>
      </c>
      <c r="C7" s="4" t="s">
        <v>231</v>
      </c>
      <c r="D7" s="4" t="s">
        <v>232</v>
      </c>
      <c r="E7" s="4" t="s">
        <v>233</v>
      </c>
      <c r="F7" s="4" t="s">
        <v>222</v>
      </c>
      <c r="G7" s="5" t="s">
        <v>223</v>
      </c>
    </row>
    <row r="8" customFormat="false" ht="48" hidden="false" customHeight="true" outlineLevel="0" collapsed="false">
      <c r="A8" s="4" t="s">
        <v>234</v>
      </c>
      <c r="B8" s="4" t="s">
        <v>235</v>
      </c>
      <c r="C8" s="4" t="s">
        <v>236</v>
      </c>
      <c r="D8" s="4" t="s">
        <v>237</v>
      </c>
      <c r="E8" s="4" t="s">
        <v>67</v>
      </c>
      <c r="F8" s="4" t="s">
        <v>222</v>
      </c>
      <c r="G8" s="5" t="s">
        <v>223</v>
      </c>
    </row>
    <row r="9" customFormat="false" ht="48" hidden="false" customHeight="true" outlineLevel="0" collapsed="false">
      <c r="A9" s="4" t="s">
        <v>238</v>
      </c>
      <c r="B9" s="4" t="s">
        <v>239</v>
      </c>
      <c r="C9" s="4" t="s">
        <v>240</v>
      </c>
      <c r="D9" s="4" t="s">
        <v>241</v>
      </c>
      <c r="E9" s="4" t="s">
        <v>242</v>
      </c>
      <c r="F9" s="4" t="s">
        <v>243</v>
      </c>
      <c r="G9" s="5" t="s">
        <v>223</v>
      </c>
    </row>
    <row r="10" customFormat="false" ht="48" hidden="false" customHeight="true" outlineLevel="0" collapsed="false">
      <c r="A10" s="4" t="s">
        <v>244</v>
      </c>
      <c r="B10" s="4" t="s">
        <v>245</v>
      </c>
      <c r="C10" s="4" t="s">
        <v>246</v>
      </c>
      <c r="D10" s="4" t="s">
        <v>247</v>
      </c>
      <c r="E10" s="4" t="s">
        <v>173</v>
      </c>
      <c r="F10" s="4" t="s">
        <v>222</v>
      </c>
      <c r="G10" s="5" t="s">
        <v>223</v>
      </c>
    </row>
    <row r="11" customFormat="false" ht="48" hidden="false" customHeight="true" outlineLevel="0" collapsed="false">
      <c r="A11" s="4" t="s">
        <v>248</v>
      </c>
      <c r="B11" s="4" t="s">
        <v>20</v>
      </c>
      <c r="C11" s="4" t="s">
        <v>249</v>
      </c>
      <c r="D11" s="4" t="s">
        <v>250</v>
      </c>
      <c r="E11" s="4" t="s">
        <v>251</v>
      </c>
      <c r="F11" s="4" t="s">
        <v>222</v>
      </c>
      <c r="G11" s="5" t="s">
        <v>223</v>
      </c>
    </row>
    <row r="12" customFormat="false" ht="48" hidden="false" customHeight="true" outlineLevel="0" collapsed="false">
      <c r="A12" s="4" t="s">
        <v>252</v>
      </c>
      <c r="B12" s="4" t="s">
        <v>71</v>
      </c>
      <c r="C12" s="4" t="s">
        <v>253</v>
      </c>
      <c r="D12" s="4" t="s">
        <v>254</v>
      </c>
      <c r="E12" s="4" t="s">
        <v>255</v>
      </c>
      <c r="F12" s="4" t="s">
        <v>256</v>
      </c>
      <c r="G12" s="5" t="s">
        <v>223</v>
      </c>
    </row>
    <row r="13" customFormat="false" ht="48" hidden="false" customHeight="true" outlineLevel="0" collapsed="false">
      <c r="A13" s="4" t="s">
        <v>257</v>
      </c>
      <c r="B13" s="4" t="s">
        <v>170</v>
      </c>
      <c r="C13" s="4" t="s">
        <v>258</v>
      </c>
      <c r="D13" s="4" t="s">
        <v>259</v>
      </c>
      <c r="E13" s="4" t="s">
        <v>173</v>
      </c>
      <c r="F13" s="4" t="s">
        <v>260</v>
      </c>
      <c r="G13" s="5" t="s">
        <v>223</v>
      </c>
    </row>
    <row r="14" customFormat="false" ht="48" hidden="false" customHeight="true" outlineLevel="0" collapsed="false">
      <c r="A14" s="4" t="s">
        <v>261</v>
      </c>
      <c r="B14" s="4" t="s">
        <v>163</v>
      </c>
      <c r="C14" s="4" t="s">
        <v>262</v>
      </c>
      <c r="D14" s="4" t="s">
        <v>263</v>
      </c>
      <c r="E14" s="4" t="s">
        <v>264</v>
      </c>
      <c r="F14" s="4" t="s">
        <v>265</v>
      </c>
      <c r="G14" s="5" t="s">
        <v>223</v>
      </c>
    </row>
    <row r="15" customFormat="false" ht="48" hidden="false" customHeight="true" outlineLevel="0" collapsed="false">
      <c r="A15" s="4" t="s">
        <v>266</v>
      </c>
      <c r="B15" s="4" t="s">
        <v>57</v>
      </c>
      <c r="C15" s="4" t="s">
        <v>267</v>
      </c>
      <c r="D15" s="4" t="s">
        <v>268</v>
      </c>
      <c r="E15" s="4" t="s">
        <v>60</v>
      </c>
      <c r="F15" s="4" t="s">
        <v>269</v>
      </c>
      <c r="G15" s="5" t="s">
        <v>223</v>
      </c>
    </row>
    <row r="16" customFormat="false" ht="48" hidden="false" customHeight="true" outlineLevel="0" collapsed="false">
      <c r="A16" s="4" t="s">
        <v>270</v>
      </c>
      <c r="B16" s="4" t="s">
        <v>271</v>
      </c>
      <c r="C16" s="4" t="s">
        <v>272</v>
      </c>
      <c r="D16" s="4" t="s">
        <v>273</v>
      </c>
      <c r="E16" s="4" t="s">
        <v>274</v>
      </c>
      <c r="F16" s="4" t="s">
        <v>269</v>
      </c>
      <c r="G16" s="5" t="s">
        <v>223</v>
      </c>
    </row>
    <row r="17" customFormat="false" ht="48" hidden="false" customHeight="true" outlineLevel="0" collapsed="false">
      <c r="A17" s="4" t="s">
        <v>275</v>
      </c>
      <c r="B17" s="4" t="s">
        <v>198</v>
      </c>
      <c r="C17" s="4" t="s">
        <v>276</v>
      </c>
      <c r="D17" s="4" t="s">
        <v>277</v>
      </c>
      <c r="E17" s="4" t="s">
        <v>278</v>
      </c>
      <c r="F17" s="4" t="s">
        <v>243</v>
      </c>
      <c r="G17" s="5" t="s">
        <v>223</v>
      </c>
    </row>
    <row r="18" customFormat="false" ht="48" hidden="false" customHeight="true" outlineLevel="0" collapsed="false">
      <c r="A18" s="4" t="s">
        <v>279</v>
      </c>
      <c r="B18" s="4" t="s">
        <v>205</v>
      </c>
      <c r="C18" s="4" t="s">
        <v>280</v>
      </c>
      <c r="D18" s="4" t="s">
        <v>281</v>
      </c>
      <c r="E18" s="4" t="s">
        <v>208</v>
      </c>
      <c r="F18" s="4" t="s">
        <v>243</v>
      </c>
      <c r="G18" s="5" t="s">
        <v>223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8"/>
    <col collapsed="false" customWidth="true" hidden="false" outlineLevel="0" max="4" min="3" style="0" width="30"/>
    <col collapsed="false" customWidth="true" hidden="false" outlineLevel="0" max="5" min="5" style="0" width="36"/>
    <col collapsed="false" customWidth="true" hidden="false" outlineLevel="0" max="6" min="6" style="0" width="30"/>
    <col collapsed="false" customWidth="true" hidden="false" outlineLevel="0" max="7" min="7" style="0" width="28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282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283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284</v>
      </c>
      <c r="B4" s="3" t="s">
        <v>285</v>
      </c>
      <c r="C4" s="3" t="s">
        <v>286</v>
      </c>
      <c r="D4" s="3" t="s">
        <v>287</v>
      </c>
      <c r="E4" s="3" t="s">
        <v>288</v>
      </c>
      <c r="F4" s="3" t="s">
        <v>289</v>
      </c>
      <c r="G4" s="3" t="s">
        <v>290</v>
      </c>
      <c r="H4" s="3" t="s">
        <v>291</v>
      </c>
    </row>
    <row r="5" customFormat="false" ht="52" hidden="false" customHeight="true" outlineLevel="0" collapsed="false">
      <c r="A5" s="4" t="s">
        <v>292</v>
      </c>
      <c r="B5" s="4" t="s">
        <v>43</v>
      </c>
      <c r="C5" s="4" t="s">
        <v>293</v>
      </c>
      <c r="D5" s="4" t="s">
        <v>294</v>
      </c>
      <c r="E5" s="4" t="s">
        <v>295</v>
      </c>
      <c r="F5" s="4" t="s">
        <v>296</v>
      </c>
      <c r="G5" s="4" t="s">
        <v>100</v>
      </c>
      <c r="H5" s="5" t="s">
        <v>223</v>
      </c>
    </row>
    <row r="6" customFormat="false" ht="52" hidden="false" customHeight="true" outlineLevel="0" collapsed="false">
      <c r="A6" s="4" t="s">
        <v>297</v>
      </c>
      <c r="B6" s="4" t="s">
        <v>43</v>
      </c>
      <c r="C6" s="4" t="s">
        <v>298</v>
      </c>
      <c r="D6" s="4" t="s">
        <v>299</v>
      </c>
      <c r="E6" s="4" t="s">
        <v>300</v>
      </c>
      <c r="F6" s="4" t="s">
        <v>301</v>
      </c>
      <c r="G6" s="4" t="s">
        <v>302</v>
      </c>
      <c r="H6" s="5" t="s">
        <v>223</v>
      </c>
    </row>
    <row r="7" customFormat="false" ht="52" hidden="false" customHeight="true" outlineLevel="0" collapsed="false">
      <c r="A7" s="4" t="s">
        <v>303</v>
      </c>
      <c r="B7" s="4" t="s">
        <v>43</v>
      </c>
      <c r="C7" s="4" t="s">
        <v>304</v>
      </c>
      <c r="D7" s="4" t="s">
        <v>305</v>
      </c>
      <c r="E7" s="4" t="s">
        <v>306</v>
      </c>
      <c r="F7" s="4" t="s">
        <v>307</v>
      </c>
      <c r="G7" s="4" t="s">
        <v>308</v>
      </c>
      <c r="H7" s="5" t="s">
        <v>223</v>
      </c>
    </row>
    <row r="8" customFormat="false" ht="52" hidden="false" customHeight="true" outlineLevel="0" collapsed="false">
      <c r="A8" s="4" t="s">
        <v>309</v>
      </c>
      <c r="B8" s="4" t="s">
        <v>43</v>
      </c>
      <c r="C8" s="4" t="s">
        <v>310</v>
      </c>
      <c r="D8" s="4" t="s">
        <v>311</v>
      </c>
      <c r="E8" s="4" t="s">
        <v>312</v>
      </c>
      <c r="F8" s="4" t="s">
        <v>313</v>
      </c>
      <c r="G8" s="4" t="s">
        <v>100</v>
      </c>
      <c r="H8" s="5" t="s">
        <v>223</v>
      </c>
    </row>
    <row r="9" customFormat="false" ht="52" hidden="false" customHeight="true" outlineLevel="0" collapsed="false">
      <c r="A9" s="4" t="s">
        <v>314</v>
      </c>
      <c r="B9" s="4" t="s">
        <v>315</v>
      </c>
      <c r="C9" s="4" t="s">
        <v>316</v>
      </c>
      <c r="D9" s="4" t="s">
        <v>317</v>
      </c>
      <c r="E9" s="4" t="s">
        <v>318</v>
      </c>
      <c r="F9" s="4" t="s">
        <v>319</v>
      </c>
      <c r="G9" s="4" t="s">
        <v>320</v>
      </c>
      <c r="H9" s="5" t="s">
        <v>223</v>
      </c>
    </row>
    <row r="10" customFormat="false" ht="52" hidden="false" customHeight="true" outlineLevel="0" collapsed="false">
      <c r="A10" s="4" t="s">
        <v>321</v>
      </c>
      <c r="B10" s="4" t="s">
        <v>315</v>
      </c>
      <c r="C10" s="4" t="s">
        <v>322</v>
      </c>
      <c r="D10" s="4" t="s">
        <v>323</v>
      </c>
      <c r="E10" s="4" t="s">
        <v>324</v>
      </c>
      <c r="F10" s="4" t="s">
        <v>325</v>
      </c>
      <c r="G10" s="4" t="s">
        <v>20</v>
      </c>
      <c r="H10" s="5" t="s">
        <v>223</v>
      </c>
    </row>
    <row r="11" customFormat="false" ht="52" hidden="false" customHeight="true" outlineLevel="0" collapsed="false">
      <c r="A11" s="4" t="s">
        <v>326</v>
      </c>
      <c r="B11" s="4" t="s">
        <v>315</v>
      </c>
      <c r="C11" s="4" t="s">
        <v>327</v>
      </c>
      <c r="D11" s="4" t="s">
        <v>328</v>
      </c>
      <c r="E11" s="4" t="s">
        <v>329</v>
      </c>
      <c r="F11" s="4" t="s">
        <v>330</v>
      </c>
      <c r="G11" s="4" t="s">
        <v>331</v>
      </c>
      <c r="H11" s="5" t="s">
        <v>223</v>
      </c>
    </row>
    <row r="12" customFormat="false" ht="52" hidden="false" customHeight="true" outlineLevel="0" collapsed="false">
      <c r="A12" s="4" t="s">
        <v>332</v>
      </c>
      <c r="B12" s="4" t="s">
        <v>315</v>
      </c>
      <c r="C12" s="4" t="s">
        <v>333</v>
      </c>
      <c r="D12" s="4" t="s">
        <v>334</v>
      </c>
      <c r="E12" s="4" t="s">
        <v>335</v>
      </c>
      <c r="F12" s="4" t="s">
        <v>336</v>
      </c>
      <c r="G12" s="4" t="s">
        <v>337</v>
      </c>
      <c r="H12" s="5" t="s">
        <v>223</v>
      </c>
    </row>
    <row r="13" customFormat="false" ht="52" hidden="false" customHeight="true" outlineLevel="0" collapsed="false">
      <c r="A13" s="4" t="s">
        <v>338</v>
      </c>
      <c r="B13" s="4" t="s">
        <v>339</v>
      </c>
      <c r="C13" s="4" t="s">
        <v>340</v>
      </c>
      <c r="D13" s="4" t="s">
        <v>341</v>
      </c>
      <c r="E13" s="4" t="s">
        <v>342</v>
      </c>
      <c r="F13" s="4" t="s">
        <v>343</v>
      </c>
      <c r="G13" s="4" t="s">
        <v>344</v>
      </c>
      <c r="H13" s="5" t="s">
        <v>223</v>
      </c>
    </row>
    <row r="14" customFormat="false" ht="52" hidden="false" customHeight="true" outlineLevel="0" collapsed="false">
      <c r="A14" s="4" t="s">
        <v>345</v>
      </c>
      <c r="B14" s="4" t="s">
        <v>346</v>
      </c>
      <c r="C14" s="4" t="s">
        <v>347</v>
      </c>
      <c r="D14" s="4" t="s">
        <v>348</v>
      </c>
      <c r="E14" s="4" t="s">
        <v>349</v>
      </c>
      <c r="F14" s="4" t="s">
        <v>350</v>
      </c>
      <c r="G14" s="4" t="s">
        <v>351</v>
      </c>
      <c r="H14" s="5" t="s">
        <v>223</v>
      </c>
    </row>
    <row r="15" customFormat="false" ht="52" hidden="false" customHeight="true" outlineLevel="0" collapsed="false">
      <c r="A15" s="4" t="s">
        <v>352</v>
      </c>
      <c r="B15" s="4" t="s">
        <v>353</v>
      </c>
      <c r="C15" s="4" t="s">
        <v>354</v>
      </c>
      <c r="D15" s="4" t="s">
        <v>355</v>
      </c>
      <c r="E15" s="4" t="s">
        <v>356</v>
      </c>
      <c r="F15" s="4" t="s">
        <v>357</v>
      </c>
      <c r="G15" s="4" t="s">
        <v>358</v>
      </c>
      <c r="H15" s="5" t="s">
        <v>223</v>
      </c>
    </row>
    <row r="16" customFormat="false" ht="52" hidden="false" customHeight="true" outlineLevel="0" collapsed="false">
      <c r="A16" s="4" t="s">
        <v>359</v>
      </c>
      <c r="B16" s="4" t="s">
        <v>360</v>
      </c>
      <c r="C16" s="4" t="s">
        <v>361</v>
      </c>
      <c r="D16" s="4" t="s">
        <v>362</v>
      </c>
      <c r="E16" s="4" t="s">
        <v>363</v>
      </c>
      <c r="F16" s="4" t="s">
        <v>364</v>
      </c>
      <c r="G16" s="4" t="s">
        <v>194</v>
      </c>
      <c r="H16" s="5" t="s">
        <v>223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1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0"/>
    <col collapsed="false" customWidth="true" hidden="false" outlineLevel="0" max="4" min="3" style="0" width="15"/>
    <col collapsed="false" customWidth="true" hidden="false" outlineLevel="0" max="5" min="5" style="0" width="35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365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366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367</v>
      </c>
      <c r="B4" s="3" t="s">
        <v>31</v>
      </c>
      <c r="C4" s="3" t="s">
        <v>4</v>
      </c>
      <c r="D4" s="3" t="s">
        <v>3</v>
      </c>
      <c r="E4" s="3" t="s">
        <v>290</v>
      </c>
      <c r="F4" s="3" t="s">
        <v>5</v>
      </c>
    </row>
    <row r="5" customFormat="false" ht="15" hidden="false" customHeight="false" outlineLevel="0" collapsed="false">
      <c r="A5" s="4" t="s">
        <v>368</v>
      </c>
      <c r="B5" s="4" t="s">
        <v>18</v>
      </c>
      <c r="C5" s="4" t="n">
        <v>739</v>
      </c>
      <c r="D5" s="4" t="n">
        <v>739</v>
      </c>
      <c r="E5" s="4" t="s">
        <v>369</v>
      </c>
      <c r="F5" s="5" t="str">
        <f aca="false">IF(C5=D5,"PASS","FAIL")</f>
        <v>PASS</v>
      </c>
    </row>
    <row r="6" customFormat="false" ht="15" hidden="false" customHeight="false" outlineLevel="0" collapsed="false">
      <c r="A6" s="4" t="s">
        <v>370</v>
      </c>
      <c r="B6" s="4" t="s">
        <v>371</v>
      </c>
      <c r="C6" s="4" t="n">
        <v>699</v>
      </c>
      <c r="D6" s="4" t="n">
        <v>699</v>
      </c>
      <c r="E6" s="4" t="s">
        <v>372</v>
      </c>
      <c r="F6" s="5" t="str">
        <f aca="false">IF(C6=D6,"PASS","FAIL")</f>
        <v>PASS</v>
      </c>
    </row>
    <row r="7" customFormat="false" ht="15" hidden="false" customHeight="false" outlineLevel="0" collapsed="false">
      <c r="A7" s="4" t="s">
        <v>373</v>
      </c>
      <c r="B7" s="4" t="s">
        <v>374</v>
      </c>
      <c r="C7" s="4" t="n">
        <v>0</v>
      </c>
      <c r="D7" s="4" t="n">
        <v>0</v>
      </c>
      <c r="E7" s="4" t="s">
        <v>375</v>
      </c>
      <c r="F7" s="5" t="str">
        <f aca="false">IF(C7=D7,"PASS","FAIL")</f>
        <v>PASS</v>
      </c>
    </row>
    <row r="8" customFormat="false" ht="15" hidden="false" customHeight="false" outlineLevel="0" collapsed="false">
      <c r="A8" s="4" t="s">
        <v>376</v>
      </c>
      <c r="B8" s="4" t="s">
        <v>377</v>
      </c>
      <c r="C8" s="4" t="n">
        <v>444</v>
      </c>
      <c r="D8" s="4" t="n">
        <v>444</v>
      </c>
      <c r="E8" s="4" t="s">
        <v>378</v>
      </c>
      <c r="F8" s="5" t="str">
        <f aca="false">IF(C8=D8,"PASS","FAIL")</f>
        <v>PASS</v>
      </c>
    </row>
    <row r="9" customFormat="false" ht="15" hidden="false" customHeight="false" outlineLevel="0" collapsed="false">
      <c r="A9" s="4" t="s">
        <v>379</v>
      </c>
      <c r="B9" s="4" t="s">
        <v>380</v>
      </c>
      <c r="C9" s="4" t="n">
        <v>410</v>
      </c>
      <c r="D9" s="4" t="n">
        <v>410</v>
      </c>
      <c r="E9" s="4" t="s">
        <v>381</v>
      </c>
      <c r="F9" s="5" t="str">
        <f aca="false">IF(C9=D9,"PASS","FAIL")</f>
        <v>PASS</v>
      </c>
    </row>
    <row r="10" customFormat="false" ht="15" hidden="false" customHeight="false" outlineLevel="0" collapsed="false">
      <c r="A10" s="4" t="s">
        <v>382</v>
      </c>
      <c r="B10" s="4" t="s">
        <v>383</v>
      </c>
      <c r="C10" s="4" t="n">
        <v>0</v>
      </c>
      <c r="D10" s="4" t="n">
        <v>0</v>
      </c>
      <c r="E10" s="4" t="s">
        <v>384</v>
      </c>
      <c r="F10" s="5" t="str">
        <f aca="false">IF(C10=D10,"PASS","FAIL")</f>
        <v>PASS</v>
      </c>
    </row>
    <row r="11" customFormat="false" ht="15" hidden="false" customHeight="false" outlineLevel="0" collapsed="false">
      <c r="A11" s="4" t="s">
        <v>385</v>
      </c>
      <c r="B11" s="4" t="s">
        <v>20</v>
      </c>
      <c r="C11" s="4" t="n">
        <v>1144</v>
      </c>
      <c r="D11" s="4" t="n">
        <v>1144</v>
      </c>
      <c r="E11" s="4" t="s">
        <v>386</v>
      </c>
      <c r="F11" s="5" t="str">
        <f aca="false">IF(C11=D11,"PASS","FAIL")</f>
        <v>PASS</v>
      </c>
    </row>
    <row r="12" customFormat="false" ht="15" hidden="false" customHeight="false" outlineLevel="0" collapsed="false">
      <c r="A12" s="4" t="s">
        <v>387</v>
      </c>
      <c r="B12" s="4" t="s">
        <v>388</v>
      </c>
      <c r="C12" s="4" t="n">
        <v>51</v>
      </c>
      <c r="D12" s="4" t="n">
        <v>51</v>
      </c>
      <c r="E12" s="4" t="s">
        <v>389</v>
      </c>
      <c r="F12" s="5" t="str">
        <f aca="false">IF(C12=D12,"PASS","FAIL")</f>
        <v>PASS</v>
      </c>
    </row>
    <row r="13" customFormat="false" ht="15" hidden="false" customHeight="false" outlineLevel="0" collapsed="false">
      <c r="A13" s="4" t="s">
        <v>390</v>
      </c>
      <c r="B13" s="4" t="s">
        <v>391</v>
      </c>
      <c r="C13" s="4" t="n">
        <v>0</v>
      </c>
      <c r="D13" s="4" t="n">
        <v>0</v>
      </c>
      <c r="E13" s="4" t="s">
        <v>392</v>
      </c>
      <c r="F13" s="5" t="str">
        <f aca="false">IF(C13=D13,"PASS","FAIL")</f>
        <v>PASS</v>
      </c>
    </row>
    <row r="14" customFormat="false" ht="15" hidden="false" customHeight="false" outlineLevel="0" collapsed="false">
      <c r="A14" s="4" t="s">
        <v>393</v>
      </c>
      <c r="B14" s="4" t="s">
        <v>394</v>
      </c>
      <c r="C14" s="4" t="n">
        <v>64</v>
      </c>
      <c r="D14" s="4" t="n">
        <v>64</v>
      </c>
      <c r="E14" s="4" t="s">
        <v>395</v>
      </c>
      <c r="F14" s="5" t="str">
        <f aca="false">IF(C14=D14,"PASS","FAIL")</f>
        <v>PASS</v>
      </c>
    </row>
    <row r="15" customFormat="false" ht="15" hidden="false" customHeight="false" outlineLevel="0" collapsed="false">
      <c r="A15" s="4" t="s">
        <v>396</v>
      </c>
      <c r="B15" s="4" t="s">
        <v>397</v>
      </c>
      <c r="C15" s="4" t="n">
        <v>16</v>
      </c>
      <c r="D15" s="4" t="n">
        <v>16</v>
      </c>
      <c r="E15" s="4" t="s">
        <v>395</v>
      </c>
      <c r="F15" s="5" t="str">
        <f aca="false">IF(C15=D15,"PASS","FAIL")</f>
        <v>PASS</v>
      </c>
    </row>
    <row r="16" customFormat="false" ht="15" hidden="false" customHeight="false" outlineLevel="0" collapsed="false">
      <c r="A16" s="4" t="s">
        <v>398</v>
      </c>
      <c r="B16" s="4" t="s">
        <v>399</v>
      </c>
      <c r="C16" s="4" t="n">
        <v>44</v>
      </c>
      <c r="D16" s="4" t="n">
        <v>44</v>
      </c>
      <c r="E16" s="4" t="s">
        <v>400</v>
      </c>
      <c r="F16" s="5" t="str">
        <f aca="false">IF(C16=D16,"PASS","FAIL")</f>
        <v>PASS</v>
      </c>
    </row>
    <row r="17" customFormat="false" ht="15" hidden="false" customHeight="false" outlineLevel="0" collapsed="false">
      <c r="A17" s="4" t="s">
        <v>401</v>
      </c>
      <c r="B17" s="4" t="s">
        <v>19</v>
      </c>
      <c r="C17" s="4" t="n">
        <v>50</v>
      </c>
      <c r="D17" s="4" t="n">
        <v>50</v>
      </c>
      <c r="E17" s="4" t="s">
        <v>402</v>
      </c>
      <c r="F17" s="5" t="str">
        <f aca="false">IF(C17=D17,"PASS","FAIL")</f>
        <v>PASS</v>
      </c>
    </row>
    <row r="18" customFormat="false" ht="15" hidden="false" customHeight="false" outlineLevel="0" collapsed="false">
      <c r="A18" s="4" t="s">
        <v>403</v>
      </c>
      <c r="B18" s="4" t="s">
        <v>17</v>
      </c>
      <c r="C18" s="4" t="n">
        <v>279</v>
      </c>
      <c r="D18" s="4" t="n">
        <v>279</v>
      </c>
      <c r="E18" s="4" t="s">
        <v>404</v>
      </c>
      <c r="F18" s="5" t="str">
        <f aca="false">IF(C18=D18,"PASS","FAIL")</f>
        <v>PASS</v>
      </c>
    </row>
    <row r="19" customFormat="false" ht="15" hidden="false" customHeight="false" outlineLevel="0" collapsed="false">
      <c r="A19" s="4" t="s">
        <v>405</v>
      </c>
      <c r="B19" s="4" t="s">
        <v>406</v>
      </c>
      <c r="C19" s="4" t="n">
        <v>355</v>
      </c>
      <c r="D19" s="4" t="n">
        <v>355</v>
      </c>
      <c r="E19" s="4" t="s">
        <v>407</v>
      </c>
      <c r="F19" s="5" t="str">
        <f aca="false">IF(C19=D19,"PASS","FAIL")</f>
        <v>PASS</v>
      </c>
    </row>
    <row r="20" customFormat="false" ht="15" hidden="false" customHeight="false" outlineLevel="0" collapsed="false">
      <c r="A20" s="4" t="s">
        <v>408</v>
      </c>
      <c r="B20" s="4" t="s">
        <v>409</v>
      </c>
      <c r="C20" s="4" t="n">
        <v>0</v>
      </c>
      <c r="D20" s="4" t="n">
        <v>0</v>
      </c>
      <c r="E20" s="4" t="s">
        <v>410</v>
      </c>
      <c r="F20" s="5" t="str">
        <f aca="false">IF(C20=D20,"PASS","FAIL")</f>
        <v>PASS</v>
      </c>
    </row>
    <row r="21" customFormat="false" ht="15" hidden="false" customHeight="false" outlineLevel="0" collapsed="false">
      <c r="A21" s="4" t="s">
        <v>411</v>
      </c>
      <c r="B21" s="4" t="s">
        <v>412</v>
      </c>
      <c r="C21" s="4" t="n">
        <v>0</v>
      </c>
      <c r="D21" s="4" t="n">
        <v>0</v>
      </c>
      <c r="E21" s="4" t="s">
        <v>413</v>
      </c>
      <c r="F21" s="5" t="str">
        <f aca="false">IF(C21=D21,"PASS","FAIL")</f>
        <v>PASS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55"/>
    <col collapsed="false" customWidth="true" hidden="false" outlineLevel="0" max="3" min="3" style="0" width="16"/>
    <col collapsed="false" customWidth="true" hidden="false" outlineLevel="0" max="4" min="4" style="0" width="15"/>
    <col collapsed="false" customWidth="true" hidden="false" outlineLevel="0" max="5" min="5" style="0" width="68"/>
    <col collapsed="false" customWidth="true" hidden="false" outlineLevel="0" max="6" min="6" style="0" width="24"/>
    <col collapsed="false" customWidth="true" hidden="false" outlineLevel="0" max="7" min="7" style="0" width="68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414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415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416</v>
      </c>
      <c r="B4" s="3" t="s">
        <v>417</v>
      </c>
      <c r="C4" s="3" t="s">
        <v>418</v>
      </c>
      <c r="D4" s="3" t="s">
        <v>419</v>
      </c>
      <c r="E4" s="3" t="s">
        <v>420</v>
      </c>
      <c r="F4" s="3" t="s">
        <v>421</v>
      </c>
      <c r="G4" s="3" t="s">
        <v>38</v>
      </c>
      <c r="H4" s="3" t="s">
        <v>5</v>
      </c>
    </row>
    <row r="5" customFormat="false" ht="15" hidden="false" customHeight="false" outlineLevel="0" collapsed="false">
      <c r="A5" s="4" t="n">
        <v>1</v>
      </c>
      <c r="B5" s="4" t="s">
        <v>422</v>
      </c>
      <c r="C5" s="4" t="s">
        <v>423</v>
      </c>
      <c r="D5" s="4" t="n">
        <v>927841</v>
      </c>
      <c r="E5" s="4" t="s">
        <v>424</v>
      </c>
      <c r="F5" s="4" t="s">
        <v>425</v>
      </c>
      <c r="G5" s="4" t="s">
        <v>424</v>
      </c>
      <c r="H5" s="5" t="str">
        <f aca="false">IF(AND(LEN(E5)=64,E5=G5),"PASS","FAIL")</f>
        <v>PASS</v>
      </c>
    </row>
    <row r="6" customFormat="false" ht="15" hidden="false" customHeight="false" outlineLevel="0" collapsed="false">
      <c r="A6" s="4" t="n">
        <v>2</v>
      </c>
      <c r="B6" s="4" t="s">
        <v>426</v>
      </c>
      <c r="C6" s="4" t="s">
        <v>427</v>
      </c>
      <c r="D6" s="4" t="n">
        <v>706362</v>
      </c>
      <c r="E6" s="4" t="s">
        <v>428</v>
      </c>
      <c r="F6" s="4" t="s">
        <v>425</v>
      </c>
      <c r="G6" s="4" t="s">
        <v>428</v>
      </c>
      <c r="H6" s="5" t="str">
        <f aca="false">IF(AND(LEN(E6)=64,E6=G6),"PASS","FAIL")</f>
        <v>PASS</v>
      </c>
    </row>
    <row r="7" customFormat="false" ht="15" hidden="false" customHeight="false" outlineLevel="0" collapsed="false">
      <c r="A7" s="4" t="n">
        <v>3</v>
      </c>
      <c r="B7" s="4" t="s">
        <v>429</v>
      </c>
      <c r="C7" s="4" t="s">
        <v>427</v>
      </c>
      <c r="D7" s="4" t="n">
        <v>199441</v>
      </c>
      <c r="E7" s="4" t="s">
        <v>430</v>
      </c>
      <c r="F7" s="4" t="s">
        <v>425</v>
      </c>
      <c r="G7" s="4" t="s">
        <v>430</v>
      </c>
      <c r="H7" s="5" t="str">
        <f aca="false">IF(AND(LEN(E7)=64,E7=G7),"PASS","FAIL")</f>
        <v>PASS</v>
      </c>
    </row>
    <row r="8" customFormat="false" ht="15" hidden="false" customHeight="false" outlineLevel="0" collapsed="false">
      <c r="A8" s="4" t="n">
        <v>4</v>
      </c>
      <c r="B8" s="4" t="s">
        <v>431</v>
      </c>
      <c r="C8" s="4" t="s">
        <v>432</v>
      </c>
      <c r="D8" s="4" t="n">
        <v>1105192</v>
      </c>
      <c r="E8" s="4" t="s">
        <v>433</v>
      </c>
      <c r="F8" s="4" t="s">
        <v>434</v>
      </c>
      <c r="G8" s="4" t="s">
        <v>433</v>
      </c>
      <c r="H8" s="5" t="str">
        <f aca="false">IF(AND(LEN(E8)=64,E8=G8),"PASS","FAIL")</f>
        <v>PASS</v>
      </c>
    </row>
    <row r="9" customFormat="false" ht="15" hidden="false" customHeight="false" outlineLevel="0" collapsed="false">
      <c r="A9" s="4" t="n">
        <v>5</v>
      </c>
      <c r="B9" s="4" t="s">
        <v>435</v>
      </c>
      <c r="C9" s="4" t="s">
        <v>427</v>
      </c>
      <c r="D9" s="4" t="n">
        <v>322047</v>
      </c>
      <c r="E9" s="4" t="s">
        <v>436</v>
      </c>
      <c r="F9" s="4" t="s">
        <v>437</v>
      </c>
      <c r="G9" s="4" t="s">
        <v>436</v>
      </c>
      <c r="H9" s="5" t="str">
        <f aca="false">IF(AND(LEN(E9)=64,E9=G9),"PASS","FAIL")</f>
        <v>PASS</v>
      </c>
    </row>
    <row r="10" customFormat="false" ht="15" hidden="false" customHeight="false" outlineLevel="0" collapsed="false">
      <c r="A10" s="4" t="n">
        <v>6</v>
      </c>
      <c r="B10" s="4" t="s">
        <v>438</v>
      </c>
      <c r="C10" s="4" t="s">
        <v>439</v>
      </c>
      <c r="D10" s="4" t="n">
        <v>5890485</v>
      </c>
      <c r="E10" s="4" t="s">
        <v>440</v>
      </c>
      <c r="F10" s="4" t="s">
        <v>441</v>
      </c>
      <c r="G10" s="4" t="s">
        <v>440</v>
      </c>
      <c r="H10" s="5" t="str">
        <f aca="false">IF(AND(LEN(E10)=64,E10=G10),"PASS","FAIL")</f>
        <v>PASS</v>
      </c>
    </row>
    <row r="11" customFormat="false" ht="15" hidden="false" customHeight="false" outlineLevel="0" collapsed="false">
      <c r="A11" s="4" t="n">
        <v>7</v>
      </c>
      <c r="B11" s="4" t="s">
        <v>442</v>
      </c>
      <c r="C11" s="4" t="s">
        <v>427</v>
      </c>
      <c r="D11" s="4" t="n">
        <v>17138567</v>
      </c>
      <c r="E11" s="4" t="s">
        <v>443</v>
      </c>
      <c r="F11" s="4" t="s">
        <v>437</v>
      </c>
      <c r="G11" s="4" t="s">
        <v>443</v>
      </c>
      <c r="H11" s="5" t="str">
        <f aca="false">IF(AND(LEN(E11)=64,E11=G11),"PASS","FAIL")</f>
        <v>PASS</v>
      </c>
    </row>
    <row r="12" customFormat="false" ht="23.85" hidden="false" customHeight="false" outlineLevel="0" collapsed="false">
      <c r="A12" s="4" t="n">
        <v>8</v>
      </c>
      <c r="B12" s="4" t="s">
        <v>444</v>
      </c>
      <c r="C12" s="4" t="s">
        <v>427</v>
      </c>
      <c r="D12" s="4" t="n">
        <v>17051280</v>
      </c>
      <c r="E12" s="4" t="s">
        <v>445</v>
      </c>
      <c r="F12" s="4" t="s">
        <v>446</v>
      </c>
      <c r="G12" s="4" t="s">
        <v>445</v>
      </c>
      <c r="H12" s="5" t="str">
        <f aca="false">IF(AND(LEN(E12)=64,E12=G12),"PASS","FAIL")</f>
        <v>PASS</v>
      </c>
    </row>
    <row r="13" customFormat="false" ht="15" hidden="false" customHeight="false" outlineLevel="0" collapsed="false">
      <c r="A13" s="4" t="n">
        <v>9</v>
      </c>
      <c r="B13" s="4" t="s">
        <v>447</v>
      </c>
      <c r="C13" s="4" t="s">
        <v>448</v>
      </c>
      <c r="D13" s="4" t="n">
        <v>3124016</v>
      </c>
      <c r="E13" s="4" t="s">
        <v>449</v>
      </c>
      <c r="F13" s="4" t="s">
        <v>425</v>
      </c>
      <c r="G13" s="4" t="s">
        <v>449</v>
      </c>
      <c r="H13" s="5" t="str">
        <f aca="false">IF(AND(LEN(E13)=64,E13=G13),"PASS","FAIL")</f>
        <v>PASS</v>
      </c>
    </row>
    <row r="14" customFormat="false" ht="15" hidden="false" customHeight="false" outlineLevel="0" collapsed="false">
      <c r="A14" s="4" t="n">
        <v>10</v>
      </c>
      <c r="B14" s="4" t="s">
        <v>450</v>
      </c>
      <c r="C14" s="4" t="s">
        <v>448</v>
      </c>
      <c r="D14" s="4" t="n">
        <v>57141903</v>
      </c>
      <c r="E14" s="4" t="s">
        <v>451</v>
      </c>
      <c r="F14" s="4" t="s">
        <v>425</v>
      </c>
      <c r="G14" s="4" t="s">
        <v>451</v>
      </c>
      <c r="H14" s="5" t="str">
        <f aca="false">IF(AND(LEN(E14)=64,E14=G14),"PASS","FAIL")</f>
        <v>PASS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  <col collapsed="false" customWidth="true" hidden="false" outlineLevel="0" max="2" min="2" style="0" width="28"/>
    <col collapsed="false" customWidth="true" hidden="false" outlineLevel="0" max="4" min="3" style="0" width="52"/>
    <col collapsed="false" customWidth="true" hidden="false" outlineLevel="0" max="5" min="5" style="0" width="42"/>
    <col collapsed="false" customWidth="true" hidden="false" outlineLevel="0" max="6" min="6" style="0" width="36"/>
    <col collapsed="false" customWidth="true" hidden="false" outlineLevel="0" max="7" min="7" style="0" width="10"/>
    <col collapsed="false" customWidth="true" hidden="false" outlineLevel="0" max="8" min="8" style="0" width="11"/>
  </cols>
  <sheetData>
    <row r="1" customFormat="false" ht="30" hidden="false" customHeight="true" outlineLevel="0" collapsed="false">
      <c r="A1" s="1" t="s">
        <v>452</v>
      </c>
      <c r="B1" s="1"/>
      <c r="C1" s="1"/>
      <c r="D1" s="1"/>
      <c r="E1" s="1"/>
      <c r="F1" s="1"/>
      <c r="G1" s="1"/>
      <c r="H1" s="1"/>
    </row>
    <row r="2" customFormat="false" ht="30" hidden="false" customHeight="true" outlineLevel="0" collapsed="false">
      <c r="A2" s="2" t="s">
        <v>453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454</v>
      </c>
      <c r="B4" s="3" t="s">
        <v>455</v>
      </c>
      <c r="C4" s="3" t="s">
        <v>456</v>
      </c>
      <c r="D4" s="3" t="s">
        <v>457</v>
      </c>
      <c r="E4" s="3" t="s">
        <v>458</v>
      </c>
      <c r="F4" s="3" t="s">
        <v>290</v>
      </c>
      <c r="G4" s="3" t="s">
        <v>459</v>
      </c>
      <c r="H4" s="3" t="s">
        <v>291</v>
      </c>
    </row>
    <row r="5" customFormat="false" ht="68" hidden="false" customHeight="true" outlineLevel="0" collapsed="false">
      <c r="A5" s="4" t="s">
        <v>422</v>
      </c>
      <c r="B5" s="4" t="s">
        <v>460</v>
      </c>
      <c r="C5" s="4" t="s">
        <v>461</v>
      </c>
      <c r="D5" s="4" t="s">
        <v>461</v>
      </c>
      <c r="E5" s="4" t="s">
        <v>462</v>
      </c>
      <c r="F5" s="4" t="s">
        <v>463</v>
      </c>
      <c r="G5" s="4" t="s">
        <v>464</v>
      </c>
      <c r="H5" s="5" t="s">
        <v>223</v>
      </c>
    </row>
    <row r="6" customFormat="false" ht="68" hidden="false" customHeight="true" outlineLevel="0" collapsed="false">
      <c r="A6" s="4" t="s">
        <v>426</v>
      </c>
      <c r="B6" s="4" t="s">
        <v>460</v>
      </c>
      <c r="C6" s="4" t="s">
        <v>461</v>
      </c>
      <c r="D6" s="4" t="s">
        <v>461</v>
      </c>
      <c r="E6" s="4" t="s">
        <v>465</v>
      </c>
      <c r="F6" s="4" t="s">
        <v>466</v>
      </c>
      <c r="G6" s="4" t="s">
        <v>464</v>
      </c>
      <c r="H6" s="5" t="s">
        <v>223</v>
      </c>
    </row>
    <row r="7" customFormat="false" ht="68" hidden="false" customHeight="true" outlineLevel="0" collapsed="false">
      <c r="A7" s="4" t="s">
        <v>429</v>
      </c>
      <c r="B7" s="4" t="s">
        <v>467</v>
      </c>
      <c r="C7" s="4" t="s">
        <v>468</v>
      </c>
      <c r="D7" s="4" t="s">
        <v>461</v>
      </c>
      <c r="E7" s="4" t="s">
        <v>469</v>
      </c>
      <c r="F7" s="4" t="s">
        <v>470</v>
      </c>
      <c r="G7" s="4" t="s">
        <v>464</v>
      </c>
      <c r="H7" s="5" t="s">
        <v>223</v>
      </c>
    </row>
    <row r="8" customFormat="false" ht="68" hidden="false" customHeight="true" outlineLevel="0" collapsed="false">
      <c r="A8" s="4" t="s">
        <v>431</v>
      </c>
      <c r="B8" s="4" t="s">
        <v>460</v>
      </c>
      <c r="C8" s="4" t="s">
        <v>461</v>
      </c>
      <c r="D8" s="4" t="s">
        <v>461</v>
      </c>
      <c r="E8" s="4" t="s">
        <v>471</v>
      </c>
      <c r="F8" s="4" t="s">
        <v>472</v>
      </c>
      <c r="G8" s="4" t="s">
        <v>464</v>
      </c>
      <c r="H8" s="5" t="s">
        <v>223</v>
      </c>
    </row>
    <row r="9" customFormat="false" ht="68" hidden="false" customHeight="true" outlineLevel="0" collapsed="false">
      <c r="A9" s="4" t="s">
        <v>435</v>
      </c>
      <c r="B9" s="4" t="s">
        <v>473</v>
      </c>
      <c r="C9" s="4" t="s">
        <v>474</v>
      </c>
      <c r="D9" s="4" t="s">
        <v>461</v>
      </c>
      <c r="E9" s="4" t="s">
        <v>475</v>
      </c>
      <c r="F9" s="4" t="s">
        <v>476</v>
      </c>
      <c r="G9" s="4" t="s">
        <v>464</v>
      </c>
      <c r="H9" s="5" t="s">
        <v>223</v>
      </c>
    </row>
    <row r="10" customFormat="false" ht="68" hidden="false" customHeight="true" outlineLevel="0" collapsed="false">
      <c r="A10" s="4" t="s">
        <v>438</v>
      </c>
      <c r="B10" s="4" t="s">
        <v>460</v>
      </c>
      <c r="C10" s="4" t="s">
        <v>461</v>
      </c>
      <c r="D10" s="4" t="s">
        <v>461</v>
      </c>
      <c r="E10" s="4" t="s">
        <v>477</v>
      </c>
      <c r="F10" s="4" t="s">
        <v>478</v>
      </c>
      <c r="G10" s="4" t="s">
        <v>464</v>
      </c>
      <c r="H10" s="5" t="s">
        <v>223</v>
      </c>
    </row>
    <row r="11" customFormat="false" ht="68" hidden="false" customHeight="true" outlineLevel="0" collapsed="false">
      <c r="A11" s="4" t="s">
        <v>442</v>
      </c>
      <c r="B11" s="4" t="s">
        <v>473</v>
      </c>
      <c r="C11" s="4" t="s">
        <v>474</v>
      </c>
      <c r="D11" s="4" t="s">
        <v>461</v>
      </c>
      <c r="E11" s="4" t="s">
        <v>479</v>
      </c>
      <c r="F11" s="4" t="s">
        <v>480</v>
      </c>
      <c r="G11" s="4" t="s">
        <v>464</v>
      </c>
      <c r="H11" s="5" t="s">
        <v>223</v>
      </c>
    </row>
    <row r="12" customFormat="false" ht="68" hidden="false" customHeight="true" outlineLevel="0" collapsed="false">
      <c r="A12" s="4" t="s">
        <v>444</v>
      </c>
      <c r="B12" s="4" t="s">
        <v>473</v>
      </c>
      <c r="C12" s="4" t="s">
        <v>474</v>
      </c>
      <c r="D12" s="4" t="s">
        <v>461</v>
      </c>
      <c r="E12" s="4" t="s">
        <v>481</v>
      </c>
      <c r="F12" s="4" t="s">
        <v>482</v>
      </c>
      <c r="G12" s="4" t="s">
        <v>464</v>
      </c>
      <c r="H12" s="5" t="s">
        <v>223</v>
      </c>
    </row>
    <row r="13" customFormat="false" ht="68" hidden="false" customHeight="true" outlineLevel="0" collapsed="false">
      <c r="A13" s="4" t="s">
        <v>447</v>
      </c>
      <c r="B13" s="4" t="s">
        <v>483</v>
      </c>
      <c r="C13" s="4" t="s">
        <v>484</v>
      </c>
      <c r="D13" s="4" t="s">
        <v>461</v>
      </c>
      <c r="E13" s="4" t="s">
        <v>485</v>
      </c>
      <c r="F13" s="4" t="s">
        <v>486</v>
      </c>
      <c r="G13" s="4" t="s">
        <v>464</v>
      </c>
      <c r="H13" s="5" t="s">
        <v>223</v>
      </c>
    </row>
    <row r="14" customFormat="false" ht="68" hidden="false" customHeight="true" outlineLevel="0" collapsed="false">
      <c r="A14" s="4" t="s">
        <v>450</v>
      </c>
      <c r="B14" s="4" t="s">
        <v>487</v>
      </c>
      <c r="C14" s="4" t="s">
        <v>488</v>
      </c>
      <c r="D14" s="4" t="s">
        <v>461</v>
      </c>
      <c r="E14" s="4" t="s">
        <v>489</v>
      </c>
      <c r="F14" s="4" t="s">
        <v>490</v>
      </c>
      <c r="G14" s="4" t="s">
        <v>464</v>
      </c>
      <c r="H14" s="5" t="s">
        <v>223</v>
      </c>
    </row>
  </sheetData>
  <mergeCells count="2">
    <mergeCell ref="A1:H1"/>
    <mergeCell ref="A2:H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4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26"/>
    <col collapsed="false" customWidth="true" hidden="false" outlineLevel="0" max="3" min="3" style="0" width="48"/>
    <col collapsed="false" customWidth="true" hidden="false" outlineLevel="0" max="4" min="4" style="0" width="28"/>
    <col collapsed="false" customWidth="true" hidden="false" outlineLevel="0" max="5" min="5" style="0" width="16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491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492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493</v>
      </c>
      <c r="B4" s="3" t="s">
        <v>494</v>
      </c>
      <c r="C4" s="3" t="s">
        <v>495</v>
      </c>
      <c r="D4" s="3" t="s">
        <v>290</v>
      </c>
      <c r="E4" s="3" t="s">
        <v>32</v>
      </c>
      <c r="F4" s="3" t="s">
        <v>5</v>
      </c>
    </row>
    <row r="5" customFormat="false" ht="15" hidden="false" customHeight="false" outlineLevel="0" collapsed="false">
      <c r="A5" s="4" t="s">
        <v>496</v>
      </c>
      <c r="B5" s="4" t="s">
        <v>497</v>
      </c>
      <c r="C5" s="4" t="s">
        <v>498</v>
      </c>
      <c r="D5" s="4" t="s">
        <v>499</v>
      </c>
      <c r="E5" s="4" t="s">
        <v>500</v>
      </c>
      <c r="F5" s="5" t="s">
        <v>223</v>
      </c>
    </row>
    <row r="6" customFormat="false" ht="15" hidden="false" customHeight="false" outlineLevel="0" collapsed="false">
      <c r="A6" s="4" t="s">
        <v>501</v>
      </c>
      <c r="B6" s="4" t="s">
        <v>43</v>
      </c>
      <c r="C6" s="4" t="s">
        <v>502</v>
      </c>
      <c r="D6" s="4" t="s">
        <v>503</v>
      </c>
      <c r="E6" s="4" t="s">
        <v>102</v>
      </c>
      <c r="F6" s="5" t="s">
        <v>223</v>
      </c>
    </row>
    <row r="7" customFormat="false" ht="15" hidden="false" customHeight="false" outlineLevel="0" collapsed="false">
      <c r="A7" s="4" t="s">
        <v>504</v>
      </c>
      <c r="B7" s="4" t="s">
        <v>64</v>
      </c>
      <c r="C7" s="4" t="s">
        <v>505</v>
      </c>
      <c r="D7" s="4" t="s">
        <v>506</v>
      </c>
      <c r="E7" s="4" t="s">
        <v>102</v>
      </c>
      <c r="F7" s="5" t="s">
        <v>223</v>
      </c>
    </row>
    <row r="8" customFormat="false" ht="15" hidden="false" customHeight="false" outlineLevel="0" collapsed="false">
      <c r="A8" s="4" t="s">
        <v>507</v>
      </c>
      <c r="B8" s="4" t="s">
        <v>508</v>
      </c>
      <c r="C8" s="4" t="s">
        <v>509</v>
      </c>
      <c r="D8" s="4" t="s">
        <v>510</v>
      </c>
      <c r="E8" s="4" t="s">
        <v>102</v>
      </c>
      <c r="F8" s="5" t="s">
        <v>223</v>
      </c>
    </row>
    <row r="9" customFormat="false" ht="15" hidden="false" customHeight="false" outlineLevel="0" collapsed="false">
      <c r="A9" s="4" t="s">
        <v>511</v>
      </c>
      <c r="B9" s="4" t="s">
        <v>512</v>
      </c>
      <c r="C9" s="4" t="s">
        <v>513</v>
      </c>
      <c r="D9" s="4" t="s">
        <v>514</v>
      </c>
      <c r="E9" s="4" t="s">
        <v>102</v>
      </c>
      <c r="F9" s="5" t="s">
        <v>223</v>
      </c>
    </row>
    <row r="10" customFormat="false" ht="15" hidden="false" customHeight="false" outlineLevel="0" collapsed="false">
      <c r="A10" s="4" t="s">
        <v>515</v>
      </c>
      <c r="B10" s="4" t="s">
        <v>516</v>
      </c>
      <c r="C10" s="4" t="s">
        <v>517</v>
      </c>
      <c r="D10" s="4" t="s">
        <v>514</v>
      </c>
      <c r="E10" s="4" t="s">
        <v>102</v>
      </c>
      <c r="F10" s="5" t="s">
        <v>223</v>
      </c>
    </row>
    <row r="11" customFormat="false" ht="15" hidden="false" customHeight="false" outlineLevel="0" collapsed="false">
      <c r="A11" s="4" t="s">
        <v>518</v>
      </c>
      <c r="B11" s="4" t="s">
        <v>519</v>
      </c>
      <c r="C11" s="4" t="s">
        <v>520</v>
      </c>
      <c r="D11" s="4" t="s">
        <v>521</v>
      </c>
      <c r="E11" s="4" t="s">
        <v>102</v>
      </c>
      <c r="F11" s="5" t="s">
        <v>223</v>
      </c>
    </row>
    <row r="12" customFormat="false" ht="15" hidden="false" customHeight="false" outlineLevel="0" collapsed="false">
      <c r="A12" s="4" t="s">
        <v>522</v>
      </c>
      <c r="B12" s="4" t="s">
        <v>523</v>
      </c>
      <c r="C12" s="4" t="s">
        <v>524</v>
      </c>
      <c r="D12" s="4" t="s">
        <v>525</v>
      </c>
      <c r="E12" s="4" t="s">
        <v>102</v>
      </c>
      <c r="F12" s="5" t="s">
        <v>223</v>
      </c>
    </row>
    <row r="13" customFormat="false" ht="15" hidden="false" customHeight="false" outlineLevel="0" collapsed="false">
      <c r="A13" s="4" t="s">
        <v>526</v>
      </c>
      <c r="B13" s="4" t="s">
        <v>527</v>
      </c>
      <c r="C13" s="4" t="s">
        <v>528</v>
      </c>
      <c r="D13" s="4" t="s">
        <v>529</v>
      </c>
      <c r="E13" s="4" t="s">
        <v>102</v>
      </c>
      <c r="F13" s="5" t="s">
        <v>223</v>
      </c>
    </row>
    <row r="14" customFormat="false" ht="15" hidden="false" customHeight="false" outlineLevel="0" collapsed="false">
      <c r="A14" s="4" t="s">
        <v>530</v>
      </c>
      <c r="B14" s="4" t="s">
        <v>531</v>
      </c>
      <c r="C14" s="4" t="s">
        <v>532</v>
      </c>
      <c r="D14" s="4" t="s">
        <v>533</v>
      </c>
      <c r="E14" s="4" t="s">
        <v>102</v>
      </c>
      <c r="F14" s="5" t="s">
        <v>223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7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8"/>
    <col collapsed="false" customWidth="true" hidden="false" outlineLevel="0" max="3" min="3" style="0" width="36"/>
    <col collapsed="false" customWidth="true" hidden="false" outlineLevel="0" max="4" min="4" style="0" width="48"/>
    <col collapsed="false" customWidth="true" hidden="false" outlineLevel="0" max="5" min="5" style="0" width="35"/>
    <col collapsed="false" customWidth="true" hidden="false" outlineLevel="0" max="6" min="6" style="0" width="30"/>
    <col collapsed="false" customWidth="true" hidden="false" outlineLevel="0" max="7" min="7" style="0" width="12"/>
  </cols>
  <sheetData>
    <row r="1" customFormat="false" ht="30" hidden="false" customHeight="true" outlineLevel="0" collapsed="false">
      <c r="A1" s="1" t="s">
        <v>534</v>
      </c>
      <c r="B1" s="1"/>
      <c r="C1" s="1"/>
      <c r="D1" s="1"/>
      <c r="E1" s="1"/>
      <c r="F1" s="1"/>
      <c r="G1" s="1"/>
    </row>
    <row r="2" customFormat="false" ht="30" hidden="false" customHeight="true" outlineLevel="0" collapsed="false">
      <c r="A2" s="2" t="s">
        <v>535</v>
      </c>
      <c r="B2" s="2"/>
      <c r="C2" s="2"/>
      <c r="D2" s="2"/>
      <c r="E2" s="2"/>
      <c r="F2" s="2"/>
      <c r="G2" s="2"/>
    </row>
    <row r="4" customFormat="false" ht="15" hidden="false" customHeight="false" outlineLevel="0" collapsed="false">
      <c r="A4" s="3" t="s">
        <v>536</v>
      </c>
      <c r="B4" s="3" t="s">
        <v>537</v>
      </c>
      <c r="C4" s="3" t="s">
        <v>538</v>
      </c>
      <c r="D4" s="3" t="s">
        <v>539</v>
      </c>
      <c r="E4" s="3" t="s">
        <v>540</v>
      </c>
      <c r="F4" s="3" t="s">
        <v>216</v>
      </c>
      <c r="G4" s="3" t="s">
        <v>5</v>
      </c>
    </row>
    <row r="5" customFormat="false" ht="58" hidden="false" customHeight="true" outlineLevel="0" collapsed="false">
      <c r="A5" s="4" t="s">
        <v>46</v>
      </c>
      <c r="B5" s="4" t="s">
        <v>43</v>
      </c>
      <c r="C5" s="4" t="s">
        <v>541</v>
      </c>
      <c r="D5" s="4" t="s">
        <v>542</v>
      </c>
      <c r="E5" s="4" t="s">
        <v>47</v>
      </c>
      <c r="F5" s="4" t="s">
        <v>52</v>
      </c>
      <c r="G5" s="5" t="s">
        <v>543</v>
      </c>
    </row>
    <row r="6" customFormat="false" ht="58" hidden="false" customHeight="true" outlineLevel="0" collapsed="false">
      <c r="A6" s="4" t="s">
        <v>60</v>
      </c>
      <c r="B6" s="4" t="s">
        <v>544</v>
      </c>
      <c r="C6" s="4" t="s">
        <v>545</v>
      </c>
      <c r="D6" s="4" t="s">
        <v>546</v>
      </c>
      <c r="E6" s="4" t="s">
        <v>188</v>
      </c>
      <c r="F6" s="4" t="s">
        <v>52</v>
      </c>
      <c r="G6" s="5" t="s">
        <v>543</v>
      </c>
    </row>
    <row r="7" customFormat="false" ht="58" hidden="false" customHeight="true" outlineLevel="0" collapsed="false">
      <c r="A7" s="4" t="s">
        <v>547</v>
      </c>
      <c r="B7" s="4" t="s">
        <v>315</v>
      </c>
      <c r="C7" s="4" t="s">
        <v>548</v>
      </c>
      <c r="D7" s="4" t="s">
        <v>549</v>
      </c>
      <c r="E7" s="4" t="s">
        <v>68</v>
      </c>
      <c r="F7" s="4" t="s">
        <v>550</v>
      </c>
      <c r="G7" s="5" t="s">
        <v>543</v>
      </c>
    </row>
  </sheetData>
  <mergeCells count="2">
    <mergeCell ref="A1:G1"/>
    <mergeCell ref="A2:G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32"/>
    <col collapsed="false" customWidth="true" hidden="false" outlineLevel="0" max="4" min="4" style="0" width="42"/>
    <col collapsed="false" customWidth="true" hidden="false" outlineLevel="0" max="5" min="5" style="0" width="30"/>
    <col collapsed="false" customWidth="true" hidden="false" outlineLevel="0" max="6" min="6" style="0" width="11"/>
  </cols>
  <sheetData>
    <row r="1" customFormat="false" ht="30" hidden="false" customHeight="true" outlineLevel="0" collapsed="false">
      <c r="A1" s="1" t="s">
        <v>551</v>
      </c>
      <c r="B1" s="1"/>
      <c r="C1" s="1"/>
      <c r="D1" s="1"/>
      <c r="E1" s="1"/>
      <c r="F1" s="1"/>
    </row>
    <row r="2" customFormat="false" ht="30" hidden="false" customHeight="true" outlineLevel="0" collapsed="false">
      <c r="A2" s="2" t="s">
        <v>552</v>
      </c>
      <c r="B2" s="2"/>
      <c r="C2" s="2"/>
      <c r="D2" s="2"/>
      <c r="E2" s="2"/>
      <c r="F2" s="2"/>
    </row>
    <row r="4" customFormat="false" ht="15" hidden="false" customHeight="false" outlineLevel="0" collapsed="false">
      <c r="A4" s="3" t="s">
        <v>25</v>
      </c>
      <c r="B4" s="3" t="s">
        <v>27</v>
      </c>
      <c r="C4" s="3" t="s">
        <v>448</v>
      </c>
      <c r="D4" s="3" t="s">
        <v>427</v>
      </c>
      <c r="E4" s="3" t="s">
        <v>216</v>
      </c>
      <c r="F4" s="3" t="s">
        <v>5</v>
      </c>
    </row>
    <row r="5" customFormat="false" ht="15" hidden="false" customHeight="false" outlineLevel="0" collapsed="false">
      <c r="A5" s="4" t="s">
        <v>553</v>
      </c>
      <c r="B5" s="4" t="s">
        <v>554</v>
      </c>
      <c r="C5" s="4" t="s">
        <v>555</v>
      </c>
      <c r="D5" s="4" t="s">
        <v>556</v>
      </c>
      <c r="E5" s="4" t="s">
        <v>557</v>
      </c>
      <c r="F5" s="5" t="s">
        <v>223</v>
      </c>
    </row>
    <row r="6" customFormat="false" ht="15" hidden="false" customHeight="false" outlineLevel="0" collapsed="false">
      <c r="A6" s="4" t="s">
        <v>558</v>
      </c>
      <c r="B6" s="4" t="s">
        <v>559</v>
      </c>
      <c r="C6" s="4" t="s">
        <v>560</v>
      </c>
      <c r="D6" s="4" t="s">
        <v>561</v>
      </c>
      <c r="E6" s="4" t="s">
        <v>562</v>
      </c>
      <c r="F6" s="5" t="s">
        <v>223</v>
      </c>
    </row>
    <row r="7" customFormat="false" ht="15" hidden="false" customHeight="false" outlineLevel="0" collapsed="false">
      <c r="A7" s="4" t="s">
        <v>563</v>
      </c>
      <c r="B7" s="4" t="s">
        <v>43</v>
      </c>
      <c r="C7" s="4" t="s">
        <v>564</v>
      </c>
      <c r="D7" s="4" t="s">
        <v>565</v>
      </c>
      <c r="E7" s="4" t="s">
        <v>228</v>
      </c>
      <c r="F7" s="5" t="s">
        <v>223</v>
      </c>
    </row>
    <row r="8" customFormat="false" ht="15" hidden="false" customHeight="false" outlineLevel="0" collapsed="false">
      <c r="A8" s="4" t="s">
        <v>566</v>
      </c>
      <c r="B8" s="4" t="s">
        <v>315</v>
      </c>
      <c r="C8" s="4" t="s">
        <v>567</v>
      </c>
      <c r="D8" s="4" t="s">
        <v>568</v>
      </c>
      <c r="E8" s="4" t="s">
        <v>569</v>
      </c>
      <c r="F8" s="5" t="s">
        <v>223</v>
      </c>
    </row>
    <row r="9" customFormat="false" ht="15" hidden="false" customHeight="false" outlineLevel="0" collapsed="false">
      <c r="A9" s="4" t="s">
        <v>570</v>
      </c>
      <c r="B9" s="4" t="s">
        <v>571</v>
      </c>
      <c r="C9" s="4" t="s">
        <v>572</v>
      </c>
      <c r="D9" s="4" t="s">
        <v>573</v>
      </c>
      <c r="E9" s="4" t="s">
        <v>228</v>
      </c>
      <c r="F9" s="5" t="s">
        <v>223</v>
      </c>
    </row>
    <row r="10" customFormat="false" ht="15" hidden="false" customHeight="false" outlineLevel="0" collapsed="false">
      <c r="A10" s="4" t="s">
        <v>574</v>
      </c>
      <c r="B10" s="4" t="s">
        <v>71</v>
      </c>
      <c r="C10" s="4" t="s">
        <v>575</v>
      </c>
      <c r="D10" s="4" t="s">
        <v>576</v>
      </c>
      <c r="E10" s="4" t="s">
        <v>577</v>
      </c>
      <c r="F10" s="5" t="s">
        <v>223</v>
      </c>
    </row>
    <row r="11" customFormat="false" ht="15" hidden="false" customHeight="false" outlineLevel="0" collapsed="false">
      <c r="A11" s="4" t="s">
        <v>578</v>
      </c>
      <c r="B11" s="4" t="s">
        <v>271</v>
      </c>
      <c r="C11" s="4" t="s">
        <v>272</v>
      </c>
      <c r="D11" s="4" t="s">
        <v>579</v>
      </c>
      <c r="E11" s="4" t="s">
        <v>274</v>
      </c>
      <c r="F11" s="5" t="s">
        <v>223</v>
      </c>
    </row>
    <row r="12" customFormat="false" ht="15" hidden="false" customHeight="false" outlineLevel="0" collapsed="false">
      <c r="A12" s="4" t="s">
        <v>580</v>
      </c>
      <c r="B12" s="4" t="s">
        <v>90</v>
      </c>
      <c r="C12" s="4" t="s">
        <v>581</v>
      </c>
      <c r="D12" s="4" t="s">
        <v>582</v>
      </c>
      <c r="E12" s="4" t="s">
        <v>583</v>
      </c>
      <c r="F12" s="5" t="s">
        <v>223</v>
      </c>
    </row>
    <row r="13" customFormat="false" ht="15" hidden="false" customHeight="false" outlineLevel="0" collapsed="false">
      <c r="A13" s="4" t="s">
        <v>584</v>
      </c>
      <c r="B13" s="4" t="s">
        <v>585</v>
      </c>
      <c r="C13" s="4" t="s">
        <v>586</v>
      </c>
      <c r="D13" s="4" t="s">
        <v>587</v>
      </c>
      <c r="E13" s="4" t="s">
        <v>194</v>
      </c>
      <c r="F13" s="5" t="s">
        <v>223</v>
      </c>
    </row>
    <row r="14" customFormat="false" ht="15" hidden="false" customHeight="false" outlineLevel="0" collapsed="false">
      <c r="A14" s="4" t="s">
        <v>588</v>
      </c>
      <c r="B14" s="4" t="s">
        <v>198</v>
      </c>
      <c r="C14" s="4" t="s">
        <v>589</v>
      </c>
      <c r="D14" s="4" t="s">
        <v>590</v>
      </c>
      <c r="E14" s="4" t="s">
        <v>278</v>
      </c>
      <c r="F14" s="5" t="s">
        <v>223</v>
      </c>
    </row>
    <row r="15" customFormat="false" ht="23.85" hidden="false" customHeight="false" outlineLevel="0" collapsed="false">
      <c r="A15" s="4" t="s">
        <v>591</v>
      </c>
      <c r="B15" s="4" t="s">
        <v>205</v>
      </c>
      <c r="C15" s="4" t="s">
        <v>280</v>
      </c>
      <c r="D15" s="4" t="s">
        <v>592</v>
      </c>
      <c r="E15" s="4" t="s">
        <v>208</v>
      </c>
      <c r="F15" s="5" t="s">
        <v>223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LibreOfficeDev/26.8.0.0.alpha0$Linux_X86_64 LibreOffice_project/2c87e51eeaa2b413ff4ae097b2705eea1995d8e5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cp:revision>0</cp:revision>
  <dc:subject/>
  <dc:title/>
</cp:coreProperties>
</file>