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0_Сводка" sheetId="1" state="visible" r:id="rId3"/>
    <sheet name="01_Файлы" sheetId="2" state="visible" r:id="rId4"/>
    <sheet name="02_Совместимость" sheetId="3" state="visible" r:id="rId5"/>
    <sheet name="03_Состав" sheetId="4" state="visible" r:id="rId6"/>
    <sheet name="04_Политика" sheetId="5" state="visible" r:id="rId7"/>
    <sheet name="05_Контроль" sheetId="6" state="visible" r:id="rId8"/>
    <sheet name="06_Изменения_v1.2" sheetId="7" state="visible" r:id="rId9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<sst xmlns="http://schemas.openxmlformats.org/spreadsheetml/2006/main" count="476" uniqueCount="279">
  <si>
    <t xml:space="preserve">SYMBIOSIS V7 — Delivery Manifest v1.2</t>
  </si>
  <si>
    <t xml:space="preserve">Final delivery baseline • 2026-08-01 • Rules v1.7 | Character v1.2 | Items v1.6_with_icons | Effects v1.2 | Bestiary v1.4 | Sentient v1.2 | Q&amp;A v1.2 | Soundtrack v1.1 | Atlas v1.1 • 11 non-self hashes + self-hash exclusion</t>
  </si>
  <si>
    <t xml:space="preserve">Показатель</t>
  </si>
  <si>
    <t xml:space="preserve">Фактически</t>
  </si>
  <si>
    <t xml:space="preserve">Ожидается</t>
  </si>
  <si>
    <t xml:space="preserve">Статус</t>
  </si>
  <si>
    <t xml:space="preserve">Физических файлов</t>
  </si>
  <si>
    <t xml:space="preserve">Non-self SHA-256</t>
  </si>
  <si>
    <t xml:space="preserve">File rows PASS</t>
  </si>
  <si>
    <t xml:space="preserve">Compatibility PASS</t>
  </si>
  <si>
    <t xml:space="preserve">Composition PASS</t>
  </si>
  <si>
    <t xml:space="preserve">Policy PASS</t>
  </si>
  <si>
    <t xml:space="preserve">NORMATIVE</t>
  </si>
  <si>
    <t xml:space="preserve">IMPLEMENTATION_SPEC</t>
  </si>
  <si>
    <t xml:space="preserve">AUTHORITATIVE_QA</t>
  </si>
  <si>
    <t xml:space="preserve">DERIVED</t>
  </si>
  <si>
    <t xml:space="preserve">ASSURANCE</t>
  </si>
  <si>
    <t xml:space="preserve">MANIFEST</t>
  </si>
  <si>
    <t xml:space="preserve">Forward-compatible frozen</t>
  </si>
  <si>
    <t xml:space="preserve">Runtime SHA match</t>
  </si>
  <si>
    <t xml:space="preserve">Audit discrepancies</t>
  </si>
  <si>
    <t xml:space="preserve">Atlas pages</t>
  </si>
  <si>
    <t xml:space="preserve">Итоговый release gate</t>
  </si>
  <si>
    <t xml:space="preserve">Состав физической поставки</t>
  </si>
  <si>
    <t xml:space="preserve">11 non-self артефактов имеют фактические bytes/SHA-256; строка Manifest исключает циклический self-hash.</t>
  </si>
  <si>
    <t xml:space="preserve">№</t>
  </si>
  <si>
    <t xml:space="preserve">Роль</t>
  </si>
  <si>
    <t xml:space="preserve">Файл</t>
  </si>
  <si>
    <t xml:space="preserve">Версия</t>
  </si>
  <si>
    <t xml:space="preserve">Bytes</t>
  </si>
  <si>
    <t xml:space="preserve">SHA-256</t>
  </si>
  <si>
    <t xml:space="preserve">Листы / страницы / файлы</t>
  </si>
  <si>
    <t xml:space="preserve">Disposition</t>
  </si>
  <si>
    <t xml:space="preserve">builtAgainst</t>
  </si>
  <si>
    <t xml:space="preserve">Compatibility mode</t>
  </si>
  <si>
    <t xml:space="preserve">Expected bytes</t>
  </si>
  <si>
    <t xml:space="preserve">Expected SHA / policy</t>
  </si>
  <si>
    <t xml:space="preserve">Symbiosis_V7_Executable_Rules_Registry_v1.7.xlsx</t>
  </si>
  <si>
    <t xml:space="preserve">v1.7</t>
  </si>
  <si>
    <t xml:space="preserve">517818d1fb286361592c4405181827f1e5c190a1c4d3259ae6056018f1c62646</t>
  </si>
  <si>
    <t xml:space="preserve">REISSUE</t>
  </si>
  <si>
    <t xml:space="preserve">Rules v1.7 | Character v1.2 | Items v1.6_with_icons | Effects v1.2 | Bestiary v1.4 | Sentient v1.2 | Q&amp;A v1.2 | Soundtrack v1.1 | Atlas v1.1</t>
  </si>
  <si>
    <t xml:space="preserve">CURRENT</t>
  </si>
  <si>
    <t xml:space="preserve">Symbiosis_V7_Character_Skills_Symbionts_Registry_v1.2.xlsx</t>
  </si>
  <si>
    <t xml:space="preserve">v1.2</t>
  </si>
  <si>
    <t xml:space="preserve">f36219e6a143e338988d3354447cde1f8b919ab8ba4019b017c952d7c68cf38c</t>
  </si>
  <si>
    <t xml:space="preserve">Symbiosis_V7_Item_Registry_v1.6_with_icons.xlsx</t>
  </si>
  <si>
    <t xml:space="preserve">v1.6_with_icons</t>
  </si>
  <si>
    <t xml:space="preserve">7e69647fa0a4b8e679dc9158dcdde410195dc7b4d8119031b5aece0b63637b27</t>
  </si>
  <si>
    <t xml:space="preserve">REISSUE_TRACE_ONLY</t>
  </si>
  <si>
    <t xml:space="preserve">Symbiosis_V7_Effects_and_Diseases_Registry_v1.2.xlsx</t>
  </si>
  <si>
    <t xml:space="preserve">003186285a9b868c8a9596f610b254b349f0c47478142aef1744d75654ead33b</t>
  </si>
  <si>
    <t xml:space="preserve">FROZEN_BYTES</t>
  </si>
  <si>
    <t xml:space="preserve">Rules v1.6 | Character v1.1 | Items v1.5_with_icons | Bestiary v1.3 | Sentient v1.2</t>
  </si>
  <si>
    <t xml:space="preserve">FORWARD_COMPAT_ASSERTED</t>
  </si>
  <si>
    <t xml:space="preserve">Symbiosis_V7_Canonical_Bestiary_Registry_v1.4.xlsx</t>
  </si>
  <si>
    <t xml:space="preserve">v1.4</t>
  </si>
  <si>
    <t xml:space="preserve">15929616cba0c527e45ea35dd06b97ea8b09b364362998c6ca610f76d410292e</t>
  </si>
  <si>
    <t xml:space="preserve">REISSUE_METADATA_ONLY</t>
  </si>
  <si>
    <t xml:space="preserve">Symbiosis_V7_Default_Sentient_Enemy_Registry_v1.2.xlsx</t>
  </si>
  <si>
    <t xml:space="preserve">b4c8ff7199e8a9798e5e4928599ee63c9efba3b4244b9c412666a70111ad175f</t>
  </si>
  <si>
    <t xml:space="preserve">Symbiosis_V7_All_Questions_and_Answers_Registry_v1.2.xlsx</t>
  </si>
  <si>
    <t xml:space="preserve">ce472fa8e08c0e8ac9a2b6856052688aef18934b43772e9ceea73a98ae692d40</t>
  </si>
  <si>
    <t xml:space="preserve">Rules Decisions QA 444 + direct author decisions</t>
  </si>
  <si>
    <t xml:space="preserve">DECISION_SOURCE</t>
  </si>
  <si>
    <t xml:space="preserve">Symbiosis_V7_Soundtrack_Playback_Registry_v1.1.xlsx</t>
  </si>
  <si>
    <t xml:space="preserve">v1.1</t>
  </si>
  <si>
    <t xml:space="preserve">839f8d2bc09c48ddae361de154d076b11e8a3d3de27b7570df57130314a63479</t>
  </si>
  <si>
    <t xml:space="preserve">Rules v1.7 | Character v1.2 | Items v1.6_with_icons | Effects v1.2 | Bestiary v1.4 | Sentient v1.2 | Q&amp;A v1.2 | Soundtrack v1.1 | Atlas v1.1 + campaign dayPhase</t>
  </si>
  <si>
    <t xml:space="preserve">TIME_CONTRACT</t>
  </si>
  <si>
    <t xml:space="preserve">Symbiosis_V7_Windows_UI_Screen_Atlas_v1.1.pdf</t>
  </si>
  <si>
    <t xml:space="preserve">bb1f0e94799b770abefe522bb0bfe70bf7f18b07b949511b7bf3bf4c45f98889</t>
  </si>
  <si>
    <t xml:space="preserve">Rules v1.7 | Character v1.2 | Items v1.6_with_icons | Effects v1.2 | Bestiary v1.4 | Sentient v1.2 | Q&amp;A v1.2 | Soundtrack v1.1 | Atlas v1.1 + Effects v1.2</t>
  </si>
  <si>
    <t xml:space="preserve">UI_CONTRACT</t>
  </si>
  <si>
    <t xml:space="preserve">Symbiosis_V7_Default_Sentient_Enemy_Runtime_Pack_v1.2.zip</t>
  </si>
  <si>
    <t xml:space="preserve">614f0da1c3128aebbb28d67a68a89ccd189a067c57d407c92536425e46072cdc</t>
  </si>
  <si>
    <t xml:space="preserve">FROZEN_BYTES_REQUIRED</t>
  </si>
  <si>
    <t xml:space="preserve">Symbiosis_V7_Cross_Registry_Audit_Report_v1.2.xlsx</t>
  </si>
  <si>
    <t xml:space="preserve">bfb67e14550cfc91b537709f7c02079e568d02c4294c31bf04e54f8b7ce4db28</t>
  </si>
  <si>
    <t xml:space="preserve">REISSUE_FINAL_ASSURANCE</t>
  </si>
  <si>
    <t xml:space="preserve">10 source artifacts frozen in Audit 05_SHA256</t>
  </si>
  <si>
    <t xml:space="preserve">Symbiosis_V7_Delivery_Manifest_v1.2.xlsx</t>
  </si>
  <si>
    <t xml:space="preserve">SELF_NOT_HASHED</t>
  </si>
  <si>
    <t xml:space="preserve">SELF_FINAL</t>
  </si>
  <si>
    <t xml:space="preserve">11 non-self delivery artifacts</t>
  </si>
  <si>
    <t xml:space="preserve">SELF</t>
  </si>
  <si>
    <t xml:space="preserve">EXTERNAL_AFTER_FREEZE</t>
  </si>
  <si>
    <t xml:space="preserve">Матрица builtAgainst и совместимости</t>
  </si>
  <si>
    <t xml:space="preserve">Frozen forward-compatible: Effects v1.2, Sentient v1.2 and Runtime Pack v1.2. Bestiary v1.4 is a current metadata-only reissue.</t>
  </si>
  <si>
    <t xml:space="preserve">Артефакт</t>
  </si>
  <si>
    <t xml:space="preserve">Mode</t>
  </si>
  <si>
    <t xml:space="preserve">Current consumer</t>
  </si>
  <si>
    <t xml:space="preserve">Инвариант</t>
  </si>
  <si>
    <t xml:space="preserve">Evidence</t>
  </si>
  <si>
    <t xml:space="preserve">Current normative source</t>
  </si>
  <si>
    <t xml:space="preserve">Rules controls: 739/699/40; 0 FAIL</t>
  </si>
  <si>
    <t xml:space="preserve">Current operation/payload extension</t>
  </si>
  <si>
    <t xml:space="preserve">1144 payload; 51 QA; 0 control FAIL</t>
  </si>
  <si>
    <t xml:space="preserve">Trace-only item reissue; schemas/catalog/icons preserved</t>
  </si>
  <si>
    <t xml:space="preserve">26 sheets; 64 embedded icons</t>
  </si>
  <si>
    <t xml:space="preserve">GM XP/generator/time do not alter effect schemas or blindness boundary</t>
  </si>
  <si>
    <t xml:space="preserve">Frozen SHA; no generator prohibition</t>
  </si>
  <si>
    <t xml:space="preserve">Metadata-only reissue; statblocks/attacks/art unchanged</t>
  </si>
  <si>
    <t xml:space="preserve">22 sheets; 16 embedded art</t>
  </si>
  <si>
    <t xml:space="preserve">44 system templates remain NO_XP_PROGRESSION</t>
  </si>
  <si>
    <t xml:space="preserve">Frozen SHA and payload equality</t>
  </si>
  <si>
    <t xml:space="preserve">Decision source matches Rules QA codes</t>
  </si>
  <si>
    <t xml:space="preserve">444 rows / 410 unique / 0 open</t>
  </si>
  <si>
    <t xml:space="preserve">Music follows campaign dayPhase; external audio has silent fallback</t>
  </si>
  <si>
    <t xml:space="preserve">Night starts at 21:00</t>
  </si>
  <si>
    <t xml:space="preserve">v1.1 addendum closes combat-form coverage</t>
  </si>
  <si>
    <t xml:space="preserve">279 pages / 355 ScreenFormID</t>
  </si>
  <si>
    <t xml:space="preserve">No rebuild/relabel; exact package bytes required</t>
  </si>
  <si>
    <t xml:space="preserve">50 files / 1195 validations / full SHA</t>
  </si>
  <si>
    <t xml:space="preserve">Assurance artifact covers 10 sources and delivery scope</t>
  </si>
  <si>
    <t xml:space="preserve">27/27 fixed; 0 unresolved</t>
  </si>
  <si>
    <t xml:space="preserve">11 non-self artifacts</t>
  </si>
  <si>
    <t xml:space="preserve">Manifest records 11 non-self hashes only</t>
  </si>
  <si>
    <t xml:space="preserve">Self SHA computed externally after freeze</t>
  </si>
  <si>
    <t xml:space="preserve">Состав и контрольные метрики</t>
  </si>
  <si>
    <t xml:space="preserve">Фактические метрики итоговой поставки сверены с Audit v1.2 и контейнерами файлов.</t>
  </si>
  <si>
    <t xml:space="preserve">Rules v1.7</t>
  </si>
  <si>
    <t xml:space="preserve">Sheets / cards / active / tombstone</t>
  </si>
  <si>
    <t xml:space="preserve">15 / 739 / 699 / 40</t>
  </si>
  <si>
    <t xml:space="preserve">Character v1.2</t>
  </si>
  <si>
    <t xml:space="preserve">Sheets / payload / QA</t>
  </si>
  <si>
    <t xml:space="preserve">26 / 1144 / 51</t>
  </si>
  <si>
    <t xml:space="preserve">Items v1.6_with_icons</t>
  </si>
  <si>
    <t xml:space="preserve">Sheets / embedded icons</t>
  </si>
  <si>
    <t xml:space="preserve">26 / 64</t>
  </si>
  <si>
    <t xml:space="preserve">Effects v1.2</t>
  </si>
  <si>
    <t xml:space="preserve">Sheets / byte state</t>
  </si>
  <si>
    <t xml:space="preserve">24 / FROZEN</t>
  </si>
  <si>
    <t xml:space="preserve">Bestiary v1.4</t>
  </si>
  <si>
    <t xml:space="preserve">Sheets / embedded art / scope</t>
  </si>
  <si>
    <t xml:space="preserve">22 / 16 / METADATA_ONLY</t>
  </si>
  <si>
    <t xml:space="preserve">Sentient v1.2</t>
  </si>
  <si>
    <t xml:space="preserve">Sheets / templates / payload / art</t>
  </si>
  <si>
    <t xml:space="preserve">14 / 44 / 44 / 44</t>
  </si>
  <si>
    <t xml:space="preserve">Q&amp;A v1.2</t>
  </si>
  <si>
    <t xml:space="preserve">Sheets / rows / unique / open</t>
  </si>
  <si>
    <t xml:space="preserve">5 / 444 / 410 / 0</t>
  </si>
  <si>
    <t xml:space="preserve">Soundtrack v1.1</t>
  </si>
  <si>
    <t xml:space="preserve">Sheets / night window</t>
  </si>
  <si>
    <t xml:space="preserve">10 / [21:00,06:00)</t>
  </si>
  <si>
    <t xml:space="preserve">Atlas v1.1</t>
  </si>
  <si>
    <t xml:space="preserve">Pages / ScreenFormID</t>
  </si>
  <si>
    <t xml:space="preserve">279 / 355</t>
  </si>
  <si>
    <t xml:space="preserve">Runtime Pack v1.2</t>
  </si>
  <si>
    <t xml:space="preserve">ZIP files / templates / validations</t>
  </si>
  <si>
    <t xml:space="preserve">50 / 44 / 1195</t>
  </si>
  <si>
    <t xml:space="preserve">Audit v1.2</t>
  </si>
  <si>
    <t xml:space="preserve">Sheets / discrepancies / fixed / unresolved</t>
  </si>
  <si>
    <t xml:space="preserve">10 / 27 / 27 / 0</t>
  </si>
  <si>
    <t xml:space="preserve">Manifest v1.2</t>
  </si>
  <si>
    <t xml:space="preserve">Sheets / physical / non-self hashes</t>
  </si>
  <si>
    <t xml:space="preserve">7 / 12 / 11</t>
  </si>
  <si>
    <t xml:space="preserve">Политика итоговой базовой линии</t>
  </si>
  <si>
    <t xml:space="preserve">Normative boundaries and release sequencing for the delivered package.</t>
  </si>
  <si>
    <t xml:space="preserve">Policy ID</t>
  </si>
  <si>
    <t xml:space="preserve">Значение</t>
  </si>
  <si>
    <t xml:space="preserve">Инвариант / исключение</t>
  </si>
  <si>
    <t xml:space="preserve">SOURCE_PRIORITY</t>
  </si>
  <si>
    <t xml:space="preserve">Direct author decision &gt; normative registries &gt; authoritative Q&amp;A &gt; print fallback</t>
  </si>
  <si>
    <t xml:space="preserve">Only explicitly superseded branches are replaced</t>
  </si>
  <si>
    <t xml:space="preserve">SELECTED_LINE</t>
  </si>
  <si>
    <t xml:space="preserve">Current development baseline</t>
  </si>
  <si>
    <t xml:space="preserve">BUILT_AGAINST</t>
  </si>
  <si>
    <t xml:space="preserve">Every artifact declares the line or source set it was built against</t>
  </si>
  <si>
    <t xml:space="preserve">No silent tuple rewrite</t>
  </si>
  <si>
    <t xml:space="preserve">FORWARD_COMPAT</t>
  </si>
  <si>
    <t xml:space="preserve">Effects v1.2, Sentient v1.2 and Runtime v1.2</t>
  </si>
  <si>
    <t xml:space="preserve">Allowed only with named invariant, evidence and exact file hash</t>
  </si>
  <si>
    <t xml:space="preserve">BESTIARY_METADATA_REISSUE</t>
  </si>
  <si>
    <t xml:space="preserve">Bestiary v1.4 is CURRENT</t>
  </si>
  <si>
    <t xml:space="preserve">Only version metadata changed; statblocks, attacks, art and balance remain unchanged</t>
  </si>
  <si>
    <t xml:space="preserve">FROZEN_RUNTIME</t>
  </si>
  <si>
    <t xml:space="preserve">Bytes=17051280; SHA=614f0da1c3128aebbb28d67a68a89ccd189a067c57d407c92536425e46072cdc</t>
  </si>
  <si>
    <t xml:space="preserve">Never rebuild, relabel or resave as v1.2</t>
  </si>
  <si>
    <t xml:space="preserve">DELIVERY_SCOPE</t>
  </si>
  <si>
    <t xml:space="preserve">12 physical files</t>
  </si>
  <si>
    <t xml:space="preserve">6 normative + 1 QA + 2 implementation specs + 1 derived + 1 assurance + 1 manifest</t>
  </si>
  <si>
    <t xml:space="preserve">SELF_HASH_POLICY</t>
  </si>
  <si>
    <t xml:space="preserve">Manifest embeds 11 non-self hashes</t>
  </si>
  <si>
    <t xml:space="preserve">Manifest SHA is reported externally after final freeze</t>
  </si>
  <si>
    <t xml:space="preserve">HASH_FREEZE</t>
  </si>
  <si>
    <t xml:space="preserve">Hash after office recalculation and visual/container QA</t>
  </si>
  <si>
    <t xml:space="preserve">Do not reopen or resave a hashed artifact</t>
  </si>
  <si>
    <t xml:space="preserve">GM_XP_APPEND_ONLY</t>
  </si>
  <si>
    <t xml:space="preserve">Committed GM award is always valid</t>
  </si>
  <si>
    <t xml:space="preserve">No rollback, negative award or compensation; FREE ×2 once; counters untouched</t>
  </si>
  <si>
    <t xml:space="preserve">NIGHT_WINDOW</t>
  </si>
  <si>
    <t xml:space="preserve">[21:00,06:00)</t>
  </si>
  <si>
    <t xml:space="preserve">Music follows campaign dayPhase</t>
  </si>
  <si>
    <t xml:space="preserve">GENERATOR_GROUP</t>
  </si>
  <si>
    <t xml:space="preserve">80–150%; target average 80; characteristic cap 35</t>
  </si>
  <si>
    <t xml:space="preserve">No combat AI; canonical templates remain immutable</t>
  </si>
  <si>
    <t xml:space="preserve">MUSIC_ASSETS_EXTERNAL</t>
  </si>
  <si>
    <t xml:space="preserve">Audio files may be unpacked later</t>
  </si>
  <si>
    <t xml:space="preserve">Registry mechanics and silent fallback remain mandatory</t>
  </si>
  <si>
    <t xml:space="preserve">BLINDNESS_NOT_MODELED</t>
  </si>
  <si>
    <t xml:space="preserve">No blindness runtime/UI state</t>
  </si>
  <si>
    <t xml:space="preserve">Effects v1.2 boundary remains unchanged</t>
  </si>
  <si>
    <t xml:space="preserve">Независимый release gate</t>
  </si>
  <si>
    <t xml:space="preserve">Every gate compares a visible expected value with a separately derived actual value.</t>
  </si>
  <si>
    <t xml:space="preserve">Gate</t>
  </si>
  <si>
    <t xml:space="preserve">Expected</t>
  </si>
  <si>
    <t xml:space="preserve">Actual</t>
  </si>
  <si>
    <t xml:space="preserve">Method / evidence</t>
  </si>
  <si>
    <t xml:space="preserve">Blocking</t>
  </si>
  <si>
    <t xml:space="preserve">Result</t>
  </si>
  <si>
    <t xml:space="preserve">Physical delivery files</t>
  </si>
  <si>
    <t xml:space="preserve">Count file rows</t>
  </si>
  <si>
    <t xml:space="preserve">YES</t>
  </si>
  <si>
    <t xml:space="preserve">Non-self artifacts</t>
  </si>
  <si>
    <t xml:space="preserve">Count roles except MANIFEST</t>
  </si>
  <si>
    <t xml:space="preserve">Non-self hashes</t>
  </si>
  <si>
    <t xml:space="preserve">Count populated non-self SHA</t>
  </si>
  <si>
    <t xml:space="preserve">Role count</t>
  </si>
  <si>
    <t xml:space="preserve">Independent bytes/SHA comparisons</t>
  </si>
  <si>
    <t xml:space="preserve">Mode + invariant + evidence</t>
  </si>
  <si>
    <t xml:space="preserve">Actual vs expected metrics</t>
  </si>
  <si>
    <t xml:space="preserve">All policy fields populated</t>
  </si>
  <si>
    <t xml:space="preserve">Forward compat assertions</t>
  </si>
  <si>
    <t xml:space="preserve">Effects + Sentient + Runtime only</t>
  </si>
  <si>
    <t xml:space="preserve">10 source SHA cross-checks</t>
  </si>
  <si>
    <t xml:space="preserve">Audit source set</t>
  </si>
  <si>
    <t xml:space="preserve">Audit SHA characters</t>
  </si>
  <si>
    <t xml:space="preserve">Manifest-only assurance hash</t>
  </si>
  <si>
    <t xml:space="preserve">Runtime bytes</t>
  </si>
  <si>
    <t xml:space="preserve">Exact frozen size</t>
  </si>
  <si>
    <t xml:space="preserve">Runtime SHA</t>
  </si>
  <si>
    <t xml:space="preserve">Exact frozen hash</t>
  </si>
  <si>
    <t xml:space="preserve">Audit Summary</t>
  </si>
  <si>
    <t xml:space="preserve">Q&amp;A rows</t>
  </si>
  <si>
    <t xml:space="preserve">Audit structural check</t>
  </si>
  <si>
    <t xml:space="preserve">Q&amp;A unique codes</t>
  </si>
  <si>
    <t xml:space="preserve">pdfinfo / Audit</t>
  </si>
  <si>
    <t xml:space="preserve">Atlas ScreenFormID</t>
  </si>
  <si>
    <t xml:space="preserve">Atlas catalog / Audit</t>
  </si>
  <si>
    <t xml:space="preserve">External workbook links</t>
  </si>
  <si>
    <t xml:space="preserve">OOXML container scan</t>
  </si>
  <si>
    <t xml:space="preserve">Formula errors</t>
  </si>
  <si>
    <t xml:space="preserve">Artifact-tool formula scan</t>
  </si>
  <si>
    <t xml:space="preserve">FINAL RELEASE GATE</t>
  </si>
  <si>
    <t xml:space="preserve">Изменения Delivery Manifest v1.2</t>
  </si>
  <si>
    <t xml:space="preserve">One row per physical delivery artifact; frozen and metadata-only boundaries are explicit.</t>
  </si>
  <si>
    <t xml:space="preserve">Было</t>
  </si>
  <si>
    <t xml:space="preserve">Стало</t>
  </si>
  <si>
    <t xml:space="preserve">Основное изменение / freeze rationale</t>
  </si>
  <si>
    <t xml:space="preserve">Rules</t>
  </si>
  <si>
    <t xml:space="preserve">v1.6</t>
  </si>
  <si>
    <t xml:space="preserve">GM XP, generator, per-command roll and independent controls</t>
  </si>
  <si>
    <t xml:space="preserve">Character-Skills-Symbionts</t>
  </si>
  <si>
    <t xml:space="preserve">1144 payload; GM award and group-generator operations</t>
  </si>
  <si>
    <t xml:space="preserve">Items with icons</t>
  </si>
  <si>
    <t xml:space="preserve">v1.5_with_icons</t>
  </si>
  <si>
    <t xml:space="preserve">Trace-only AQA-044/CORE-215 synchronization; 64 icons preserved</t>
  </si>
  <si>
    <t xml:space="preserve">Effects and Diseases</t>
  </si>
  <si>
    <t xml:space="preserve">v1.2 frozen</t>
  </si>
  <si>
    <t xml:space="preserve">Forward-compatible exact bytes; blindness remains NOT_MODELED</t>
  </si>
  <si>
    <t xml:space="preserve">Canonical Bestiary</t>
  </si>
  <si>
    <t xml:space="preserve">v1.3</t>
  </si>
  <si>
    <t xml:space="preserve">Current metadata-only reissue; statblocks/attacks/art unchanged</t>
  </si>
  <si>
    <t xml:space="preserve">Default Sentient Enemy</t>
  </si>
  <si>
    <t xml:space="preserve">Forward-compatible exact bytes; NO_XP_PROGRESSION</t>
  </si>
  <si>
    <t xml:space="preserve">All Questions and Answers</t>
  </si>
  <si>
    <t xml:space="preserve">Soundtrack Playback</t>
  </si>
  <si>
    <t xml:space="preserve">v1.0</t>
  </si>
  <si>
    <t xml:space="preserve">Night synchronized to 21:00; external-audio fallback retained</t>
  </si>
  <si>
    <t xml:space="preserve">Windows UI Screen Atlas</t>
  </si>
  <si>
    <t xml:space="preserve">279 pages / 355 ScreenFormID; supported combat scenarios covered</t>
  </si>
  <si>
    <t xml:space="preserve">Sentient Runtime Pack</t>
  </si>
  <si>
    <t xml:space="preserve">Original bytes; SHA 614f0da1c3128aebbb28d67a68a89ccd189a067c57d407c92536425e46072cdc</t>
  </si>
  <si>
    <t xml:space="preserve">Cross Registry Audit</t>
  </si>
  <si>
    <t xml:space="preserve">27/27 fixed; 10 source hashes; full delivery audit</t>
  </si>
  <si>
    <t xml:space="preserve">Delivery Manifest</t>
  </si>
  <si>
    <t xml:space="preserve">—</t>
  </si>
  <si>
    <t xml:space="preserve">12 physical files / 11 non-self hashes / self-hash external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</si>
</sst>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12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7"/>
      <color rgb="FFFFFFFF"/>
      <name val="Calibri"/>
      <family val="0"/>
      <charset val="1"/>
    </font>
    <font>
      <sz val="10"/>
      <color rgb="FF526475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9"/>
      <color rgb="FF1E293B"/>
      <name val="Calibri"/>
      <family val="0"/>
      <charset val="1"/>
    </font>
    <font>
      <b val="true"/>
      <sz val="12"/>
      <color rgb="FFFFFFFF"/>
      <name val="Calibri"/>
      <family val="0"/>
      <charset val="1"/>
    </font>
    <font>
      <sz val="8"/>
      <color rgb="FF1E293B"/>
      <name val="Calibri"/>
      <family val="0"/>
      <charset val="1"/>
    </font>
    <font>
      <b val="true"/>
      <sz val="9"/>
      <color rgb="FF1E293B"/>
      <name val="Calibri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7324D"/>
        <bgColor rgb="FF1E293B"/>
      </patternFill>
    </fill>
    <fill>
      <patternFill patternType="solid">
        <fgColor rgb="FFEAF2F6"/>
        <bgColor rgb="FFF7FAFC"/>
      </patternFill>
    </fill>
    <fill>
      <patternFill patternType="solid">
        <fgColor rgb="FF245B78"/>
        <bgColor rgb="FF166534"/>
      </patternFill>
    </fill>
    <fill>
      <patternFill patternType="solid">
        <fgColor rgb="FFF7FAFC"/>
        <bgColor rgb="FFFFFFFF"/>
      </patternFill>
    </fill>
    <fill>
      <patternFill patternType="solid">
        <fgColor rgb="FFFEF3C7"/>
        <bgColor rgb="FFFEE2E2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medium">
        <color rgb="FF17324D"/>
      </left>
      <right/>
      <top style="medium">
        <color rgb="FF17324D"/>
      </top>
      <bottom style="medium">
        <color rgb="FF17324D"/>
      </bottom>
      <diagonal/>
    </border>
    <border diagonalUp="false" diagonalDown="false">
      <left/>
      <right/>
      <top style="medium">
        <color rgb="FF17324D"/>
      </top>
      <bottom style="medium">
        <color rgb="FF17324D"/>
      </bottom>
      <diagonal/>
    </border>
    <border diagonalUp="false" diagonalDown="false">
      <left/>
      <right style="medium">
        <color rgb="FF17324D"/>
      </right>
      <top style="medium">
        <color rgb="FF17324D"/>
      </top>
      <bottom style="medium">
        <color rgb="FF17324D"/>
      </bottom>
      <diagonal/>
    </border>
    <border diagonalUp="false" diagonalDown="false">
      <left/>
      <right/>
      <top style="thin">
        <color rgb="FFC9D7E1"/>
      </top>
      <bottom style="thin">
        <color rgb="FFC9D7E1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3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4" borderId="1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2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3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4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8" fillId="0" borderId="4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5" borderId="4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8" fillId="5" borderId="4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2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2" borderId="0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4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0" borderId="4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4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4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4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5" borderId="4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4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5" borderId="4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4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4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8" fillId="6" borderId="4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4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8" fillId="6" borderId="4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6" borderId="4" xfId="2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dxfs count="20">
    <dxf>
      <font>
        <b val="1"/>
        <color rgb="FF166534"/>
      </font>
      <fill>
        <patternFill>
          <bgColor rgb="FFDCFCE7"/>
        </patternFill>
      </fill>
    </dxf>
    <dxf>
      <font>
        <b val="1"/>
        <color rgb="FF991B1B"/>
      </font>
      <fill>
        <patternFill>
          <bgColor rgb="FFFEE2E2"/>
        </patternFill>
      </fill>
    </dxf>
    <dxf>
      <font>
        <b val="1"/>
        <color rgb="FF166534"/>
      </font>
      <fill>
        <patternFill>
          <bgColor rgb="FFDCFCE7"/>
        </patternFill>
      </fill>
    </dxf>
    <dxf>
      <font>
        <b val="1"/>
        <color rgb="FF991B1B"/>
      </font>
      <fill>
        <patternFill>
          <bgColor rgb="FFFEE2E2"/>
        </patternFill>
      </fill>
    </dxf>
    <dxf>
      <font>
        <b val="1"/>
        <color rgb="FF166534"/>
      </font>
      <fill>
        <patternFill>
          <bgColor rgb="FFDCFCE7"/>
        </patternFill>
      </fill>
    </dxf>
    <dxf>
      <font>
        <b val="1"/>
        <color rgb="FF991B1B"/>
      </font>
      <fill>
        <patternFill>
          <bgColor rgb="FFFEE2E2"/>
        </patternFill>
      </fill>
    </dxf>
    <dxf>
      <font>
        <b val="1"/>
        <color rgb="FF166534"/>
      </font>
      <fill>
        <patternFill>
          <bgColor rgb="FFDCFCE7"/>
        </patternFill>
      </fill>
    </dxf>
    <dxf>
      <font>
        <b val="1"/>
        <color rgb="FF991B1B"/>
      </font>
      <fill>
        <patternFill>
          <bgColor rgb="FFFEE2E2"/>
        </patternFill>
      </fill>
    </dxf>
    <dxf>
      <font>
        <b val="1"/>
        <color rgb="FF166534"/>
      </font>
      <fill>
        <patternFill>
          <bgColor rgb="FFDCFCE7"/>
        </patternFill>
      </fill>
    </dxf>
    <dxf>
      <font>
        <b val="1"/>
        <color rgb="FF991B1B"/>
      </font>
      <fill>
        <patternFill>
          <bgColor rgb="FFFEE2E2"/>
        </patternFill>
      </fill>
    </dxf>
    <dxf>
      <font>
        <b val="1"/>
        <color rgb="FF166534"/>
      </font>
      <fill>
        <patternFill>
          <bgColor rgb="FFDCFCE7"/>
        </patternFill>
      </fill>
    </dxf>
    <dxf>
      <font>
        <b val="1"/>
        <color rgb="FF991B1B"/>
      </font>
      <fill>
        <patternFill>
          <bgColor rgb="FFFEE2E2"/>
        </patternFill>
      </fill>
    </dxf>
    <dxf>
      <font>
        <b val="1"/>
        <color rgb="FF166534"/>
      </font>
      <fill>
        <patternFill>
          <bgColor rgb="FFDCFCE7"/>
        </patternFill>
      </fill>
    </dxf>
    <dxf>
      <font>
        <b val="1"/>
        <color rgb="FF991B1B"/>
      </font>
      <fill>
        <patternFill>
          <bgColor rgb="FFFEE2E2"/>
        </patternFill>
      </fill>
    </dxf>
    <dxf>
      <font>
        <b val="1"/>
        <color rgb="FF166534"/>
      </font>
      <fill>
        <patternFill>
          <bgColor rgb="FFDCFCE7"/>
        </patternFill>
      </fill>
    </dxf>
    <dxf>
      <font>
        <b val="1"/>
        <color rgb="FF991B1B"/>
      </font>
      <fill>
        <patternFill>
          <bgColor rgb="FFFEE2E2"/>
        </patternFill>
      </fill>
    </dxf>
    <dxf>
      <font>
        <b val="1"/>
        <color rgb="FF166534"/>
      </font>
      <fill>
        <patternFill>
          <bgColor rgb="FFDCFCE7"/>
        </patternFill>
      </fill>
    </dxf>
    <dxf>
      <font>
        <b val="1"/>
        <color rgb="FF991B1B"/>
      </font>
      <fill>
        <patternFill>
          <bgColor rgb="FFFEE2E2"/>
        </patternFill>
      </fill>
    </dxf>
    <dxf>
      <font>
        <b val="1"/>
        <color rgb="FF166534"/>
      </font>
      <fill>
        <patternFill>
          <bgColor rgb="FFDCFCE7"/>
        </patternFill>
      </fill>
    </dxf>
    <dxf>
      <font>
        <b val="1"/>
        <color rgb="FF991B1B"/>
      </font>
      <fill>
        <patternFill>
          <bgColor rgb="FFFEE2E2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66534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EF3C7"/>
      <rgbColor rgb="FFDCFCE7"/>
      <rgbColor rgb="FF660066"/>
      <rgbColor rgb="FFFF8080"/>
      <rgbColor rgb="FF0066CC"/>
      <rgbColor rgb="FFC9D7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2F6"/>
      <rgbColor rgb="FFF7FAFC"/>
      <rgbColor rgb="FFFFFF99"/>
      <rgbColor rgb="FF99CCFF"/>
      <rgbColor rgb="FFFF99CC"/>
      <rgbColor rgb="FFCC99FF"/>
      <rgbColor rgb="FFFEE2E2"/>
      <rgbColor rgb="FF3366FF"/>
      <rgbColor rgb="FF33CCCC"/>
      <rgbColor rgb="FF99CC00"/>
      <rgbColor rgb="FFFFCC00"/>
      <rgbColor rgb="FFFF9900"/>
      <rgbColor rgb="FFFF6600"/>
      <rgbColor rgb="FF526475"/>
      <rgbColor rgb="FF969696"/>
      <rgbColor rgb="FF17324D"/>
      <rgbColor rgb="FF339966"/>
      <rgbColor rgb="FF003300"/>
      <rgbColor rgb="FF333300"/>
      <rgbColor rgb="FF991B1B"/>
      <rgbColor rgb="FF993366"/>
      <rgbColor rgb="FF245B78"/>
      <rgbColor rgb="FF1E29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3" min="2" style="0" width="14"/>
    <col collapsed="false" customWidth="true" hidden="false" outlineLevel="0" max="4" min="4" style="0" width="12"/>
    <col collapsed="false" customWidth="true" hidden="false" outlineLevel="0" max="5" min="5" style="0" width="29"/>
    <col collapsed="false" customWidth="true" hidden="false" outlineLevel="0" max="7" min="6" style="0" width="14"/>
    <col collapsed="false" customWidth="true" hidden="false" outlineLevel="0" max="8" min="8" style="0" width="12"/>
  </cols>
  <sheetData>
    <row r="1" customFormat="false" ht="32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34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30" hidden="false" customHeight="true" outlineLevel="0" collapsed="false">
      <c r="A4" s="3" t="s">
        <v>2</v>
      </c>
      <c r="B4" s="4" t="s">
        <v>3</v>
      </c>
      <c r="C4" s="4" t="s">
        <v>4</v>
      </c>
      <c r="D4" s="4" t="s">
        <v>5</v>
      </c>
      <c r="E4" s="4" t="s">
        <v>2</v>
      </c>
      <c r="F4" s="4" t="s">
        <v>3</v>
      </c>
      <c r="G4" s="4" t="s">
        <v>4</v>
      </c>
      <c r="H4" s="5" t="s">
        <v>5</v>
      </c>
    </row>
    <row r="5" customFormat="false" ht="15" hidden="false" customHeight="false" outlineLevel="0" collapsed="false">
      <c r="A5" s="6" t="s">
        <v>6</v>
      </c>
      <c r="B5" s="7" t="n">
        <f aca="false">COUNTA('01_Файлы'!$C$5:$C$16)</f>
        <v>12</v>
      </c>
      <c r="C5" s="7" t="n">
        <v>12</v>
      </c>
      <c r="D5" s="6" t="str">
        <f aca="false">IF(B5=C5,"PASS","FAIL")</f>
        <v>PASS</v>
      </c>
      <c r="E5" s="6" t="s">
        <v>7</v>
      </c>
      <c r="F5" s="7" t="n">
        <f aca="false">COUNTIFS('01_Файлы'!$F$5:$F$16,"&lt;&gt;SELF_NOT_HASHED",'01_Файлы'!$F$5:$F$16,"&lt;&gt;")</f>
        <v>11</v>
      </c>
      <c r="G5" s="7" t="n">
        <v>11</v>
      </c>
      <c r="H5" s="6" t="str">
        <f aca="false">IF(F5=G5,"PASS","FAIL")</f>
        <v>PASS</v>
      </c>
    </row>
    <row r="6" customFormat="false" ht="15" hidden="false" customHeight="false" outlineLevel="0" collapsed="false">
      <c r="A6" s="8" t="s">
        <v>8</v>
      </c>
      <c r="B6" s="9" t="n">
        <f aca="false">COUNTIF('01_Файлы'!$M$5:$M$16,"PASS")</f>
        <v>12</v>
      </c>
      <c r="C6" s="9" t="n">
        <v>12</v>
      </c>
      <c r="D6" s="8" t="str">
        <f aca="false">IF(B6=C6,"PASS","FAIL")</f>
        <v>PASS</v>
      </c>
      <c r="E6" s="8" t="s">
        <v>9</v>
      </c>
      <c r="F6" s="9" t="n">
        <f aca="false">COUNTIF('02_Совместимость'!$H$5:$H$16,"PASS")</f>
        <v>12</v>
      </c>
      <c r="G6" s="9" t="n">
        <v>12</v>
      </c>
      <c r="H6" s="8" t="str">
        <f aca="false">IF(F6=G6,"PASS","FAIL")</f>
        <v>PASS</v>
      </c>
    </row>
    <row r="7" customFormat="false" ht="15" hidden="false" customHeight="false" outlineLevel="0" collapsed="false">
      <c r="A7" s="6" t="s">
        <v>10</v>
      </c>
      <c r="B7" s="7" t="n">
        <f aca="false">COUNTIF('03_Состав'!$E$5:$E$16,"PASS")</f>
        <v>12</v>
      </c>
      <c r="C7" s="7" t="n">
        <v>12</v>
      </c>
      <c r="D7" s="6" t="str">
        <f aca="false">IF(B7=C7,"PASS","FAIL")</f>
        <v>PASS</v>
      </c>
      <c r="E7" s="6" t="s">
        <v>11</v>
      </c>
      <c r="F7" s="7" t="n">
        <f aca="false">COUNTIF('04_Политика'!$D$5:$D$18,"PASS")</f>
        <v>14</v>
      </c>
      <c r="G7" s="7" t="n">
        <v>14</v>
      </c>
      <c r="H7" s="6" t="str">
        <f aca="false">IF(F7=G7,"PASS","FAIL")</f>
        <v>PASS</v>
      </c>
    </row>
    <row r="8" customFormat="false" ht="15" hidden="false" customHeight="false" outlineLevel="0" collapsed="false">
      <c r="A8" s="8" t="s">
        <v>12</v>
      </c>
      <c r="B8" s="9" t="n">
        <f aca="false">COUNTIF('01_Файлы'!$B$5:$B$16,"NORMATIVE")</f>
        <v>6</v>
      </c>
      <c r="C8" s="9" t="n">
        <v>6</v>
      </c>
      <c r="D8" s="8" t="str">
        <f aca="false">IF(B8=C8,"PASS","FAIL")</f>
        <v>PASS</v>
      </c>
      <c r="E8" s="8" t="s">
        <v>13</v>
      </c>
      <c r="F8" s="9" t="n">
        <f aca="false">COUNTIF('01_Файлы'!$B$5:$B$16,"IMPLEMENTATION_SPEC")</f>
        <v>2</v>
      </c>
      <c r="G8" s="9" t="n">
        <v>2</v>
      </c>
      <c r="H8" s="8" t="str">
        <f aca="false">IF(F8=G8,"PASS","FAIL")</f>
        <v>PASS</v>
      </c>
    </row>
    <row r="9" customFormat="false" ht="15" hidden="false" customHeight="false" outlineLevel="0" collapsed="false">
      <c r="A9" s="6" t="s">
        <v>14</v>
      </c>
      <c r="B9" s="7" t="n">
        <f aca="false">COUNTIF('01_Файлы'!$B$5:$B$16,"AUTHORITATIVE_QA")</f>
        <v>1</v>
      </c>
      <c r="C9" s="7" t="n">
        <v>1</v>
      </c>
      <c r="D9" s="6" t="str">
        <f aca="false">IF(B9=C9,"PASS","FAIL")</f>
        <v>PASS</v>
      </c>
      <c r="E9" s="6" t="s">
        <v>15</v>
      </c>
      <c r="F9" s="7" t="n">
        <f aca="false">COUNTIF('01_Файлы'!$B$5:$B$16,"DERIVED")</f>
        <v>1</v>
      </c>
      <c r="G9" s="7" t="n">
        <v>1</v>
      </c>
      <c r="H9" s="6" t="str">
        <f aca="false">IF(F9=G9,"PASS","FAIL")</f>
        <v>PASS</v>
      </c>
    </row>
    <row r="10" customFormat="false" ht="15" hidden="false" customHeight="false" outlineLevel="0" collapsed="false">
      <c r="A10" s="8" t="s">
        <v>16</v>
      </c>
      <c r="B10" s="9" t="n">
        <f aca="false">COUNTIF('01_Файлы'!$B$5:$B$16,"ASSURANCE")</f>
        <v>1</v>
      </c>
      <c r="C10" s="9" t="n">
        <v>1</v>
      </c>
      <c r="D10" s="8" t="str">
        <f aca="false">IF(B10=C10,"PASS","FAIL")</f>
        <v>PASS</v>
      </c>
      <c r="E10" s="8" t="s">
        <v>17</v>
      </c>
      <c r="F10" s="9" t="n">
        <f aca="false">COUNTIF('01_Файлы'!$B$5:$B$16,"MANIFEST")</f>
        <v>1</v>
      </c>
      <c r="G10" s="9" t="n">
        <v>1</v>
      </c>
      <c r="H10" s="8" t="str">
        <f aca="false">IF(F10=G10,"PASS","FAIL")</f>
        <v>PASS</v>
      </c>
    </row>
    <row r="11" customFormat="false" ht="15" hidden="false" customHeight="false" outlineLevel="0" collapsed="false">
      <c r="A11" s="6" t="s">
        <v>18</v>
      </c>
      <c r="B11" s="7" t="n">
        <f aca="false">COUNTIF('02_Совместимость'!$C$5:$C$16,"FORWARD_COMPAT_ASSERTED")</f>
        <v>3</v>
      </c>
      <c r="C11" s="7" t="n">
        <v>3</v>
      </c>
      <c r="D11" s="6" t="str">
        <f aca="false">IF(B11=C11,"PASS","FAIL")</f>
        <v>PASS</v>
      </c>
      <c r="E11" s="6" t="s">
        <v>19</v>
      </c>
      <c r="F11" s="7" t="n">
        <f aca="false">IF('01_Файлы'!F14="614f0da1c3128aebbb28d67a68a89ccd189a067c57d407c92536425e46072cdc",1,0)</f>
        <v>1</v>
      </c>
      <c r="G11" s="7" t="n">
        <v>1</v>
      </c>
      <c r="H11" s="6" t="str">
        <f aca="false">IF(F11=G11,"PASS","FAIL")</f>
        <v>PASS</v>
      </c>
    </row>
    <row r="12" customFormat="false" ht="15" hidden="false" customHeight="false" outlineLevel="0" collapsed="false">
      <c r="A12" s="8" t="s">
        <v>20</v>
      </c>
      <c r="B12" s="9" t="n">
        <v>27</v>
      </c>
      <c r="C12" s="9" t="n">
        <v>27</v>
      </c>
      <c r="D12" s="8" t="str">
        <f aca="false">IF(B12=C12,"PASS","FAIL")</f>
        <v>PASS</v>
      </c>
      <c r="E12" s="8" t="s">
        <v>21</v>
      </c>
      <c r="F12" s="9" t="n">
        <v>279</v>
      </c>
      <c r="G12" s="9" t="n">
        <v>279</v>
      </c>
      <c r="H12" s="8" t="str">
        <f aca="false">IF(F12=G12,"PASS","FAIL")</f>
        <v>PASS</v>
      </c>
    </row>
    <row r="14" customFormat="false" ht="15" hidden="false" customHeight="false" outlineLevel="0" collapsed="false">
      <c r="A14" s="10" t="s">
        <v>22</v>
      </c>
      <c r="B14" s="10"/>
      <c r="C14" s="10"/>
      <c r="D14" s="10"/>
      <c r="E14" s="10"/>
      <c r="F14" s="10"/>
      <c r="G14" s="10"/>
      <c r="H14" s="11" t="str">
        <f aca="false">IF(AND(COUNTIF($D$5:$D$12,"&lt;&gt;PASS")=0,COUNTIF($H$5:$H$12,"&lt;&gt;PASS")=0),"PASS","FAIL")</f>
        <v>PASS</v>
      </c>
    </row>
  </sheetData>
  <mergeCells count="3">
    <mergeCell ref="A1:H1"/>
    <mergeCell ref="A2:H2"/>
    <mergeCell ref="A14:G14"/>
  </mergeCells>
  <conditionalFormatting sqref="D5:D12">
    <cfRule type="containsText" priority="2" operator="containsText" aboveAverage="0" equalAverage="0" bottom="0" percent="0" rank="0" text="PASS" dxfId="0">
      <formula>NOT(ISERROR(SEARCH("PASS",D5)))</formula>
    </cfRule>
    <cfRule type="containsText" priority="3" operator="containsText" aboveAverage="0" equalAverage="0" bottom="0" percent="0" rank="0" text="FAIL" dxfId="1">
      <formula>NOT(ISERROR(SEARCH("FAIL",D5)))</formula>
    </cfRule>
  </conditionalFormatting>
  <conditionalFormatting sqref="H5:H12">
    <cfRule type="containsText" priority="4" operator="containsText" aboveAverage="0" equalAverage="0" bottom="0" percent="0" rank="0" text="PASS" dxfId="2">
      <formula>NOT(ISERROR(SEARCH("PASS",H5)))</formula>
    </cfRule>
    <cfRule type="containsText" priority="5" operator="containsText" aboveAverage="0" equalAverage="0" bottom="0" percent="0" rank="0" text="FAIL" dxfId="3">
      <formula>NOT(ISERROR(SEARCH("FAIL",H5)))</formula>
    </cfRule>
  </conditionalFormatting>
  <conditionalFormatting sqref="H14">
    <cfRule type="containsText" priority="6" operator="containsText" aboveAverage="0" equalAverage="0" bottom="0" percent="0" rank="0" text="PASS" dxfId="4">
      <formula>NOT(ISERROR(SEARCH("PASS",H14)))</formula>
    </cfRule>
    <cfRule type="containsText" priority="7" operator="containsText" aboveAverage="0" equalAverage="0" bottom="0" percent="0" rank="0" text="FAIL" dxfId="5">
      <formula>NOT(ISERROR(SEARCH("FAIL",H14)))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8"/>
    <col collapsed="false" customWidth="true" hidden="false" outlineLevel="0" max="3" min="3" style="0" width="43"/>
    <col collapsed="false" customWidth="true" hidden="false" outlineLevel="0" max="5" min="4" style="0" width="14"/>
    <col collapsed="false" customWidth="true" hidden="false" outlineLevel="0" max="6" min="6" style="0" width="45"/>
    <col collapsed="false" customWidth="true" hidden="false" outlineLevel="0" max="7" min="7" style="0" width="15"/>
    <col collapsed="false" customWidth="true" hidden="false" outlineLevel="0" max="8" min="8" style="0" width="24"/>
    <col collapsed="false" customWidth="true" hidden="false" outlineLevel="0" max="9" min="9" style="0" width="44"/>
    <col collapsed="false" customWidth="true" hidden="false" outlineLevel="0" max="10" min="10" style="0" width="24"/>
    <col collapsed="false" customWidth="true" hidden="false" outlineLevel="0" max="11" min="11" style="0" width="14"/>
    <col collapsed="false" customWidth="true" hidden="false" outlineLevel="0" max="12" min="12" style="0" width="45"/>
    <col collapsed="false" customWidth="true" hidden="false" outlineLevel="0" max="13" min="13" style="0" width="12"/>
  </cols>
  <sheetData>
    <row r="1" customFormat="false" ht="32" hidden="false" customHeight="true" outlineLevel="0" collapsed="false">
      <c r="A1" s="1" t="s">
        <v>23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34" hidden="false" customHeight="true" outlineLevel="0" collapsed="false">
      <c r="A2" s="2" t="s">
        <v>24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 customFormat="false" ht="30" hidden="false" customHeight="true" outlineLevel="0" collapsed="false">
      <c r="A4" s="3" t="s">
        <v>25</v>
      </c>
      <c r="B4" s="4" t="s">
        <v>26</v>
      </c>
      <c r="C4" s="4" t="s">
        <v>27</v>
      </c>
      <c r="D4" s="4" t="s">
        <v>28</v>
      </c>
      <c r="E4" s="4" t="s">
        <v>29</v>
      </c>
      <c r="F4" s="4" t="s">
        <v>30</v>
      </c>
      <c r="G4" s="4" t="s">
        <v>31</v>
      </c>
      <c r="H4" s="4" t="s">
        <v>32</v>
      </c>
      <c r="I4" s="4" t="s">
        <v>33</v>
      </c>
      <c r="J4" s="4" t="s">
        <v>34</v>
      </c>
      <c r="K4" s="4" t="s">
        <v>35</v>
      </c>
      <c r="L4" s="4" t="s">
        <v>36</v>
      </c>
      <c r="M4" s="5" t="s">
        <v>5</v>
      </c>
    </row>
    <row r="5" customFormat="false" ht="64" hidden="false" customHeight="true" outlineLevel="0" collapsed="false">
      <c r="A5" s="12" t="n">
        <v>1</v>
      </c>
      <c r="B5" s="6" t="s">
        <v>12</v>
      </c>
      <c r="C5" s="6" t="s">
        <v>37</v>
      </c>
      <c r="D5" s="12" t="s">
        <v>38</v>
      </c>
      <c r="E5" s="13" t="n">
        <v>927841</v>
      </c>
      <c r="F5" s="14" t="s">
        <v>39</v>
      </c>
      <c r="G5" s="7" t="n">
        <v>15</v>
      </c>
      <c r="H5" s="6" t="s">
        <v>40</v>
      </c>
      <c r="I5" s="6" t="s">
        <v>41</v>
      </c>
      <c r="J5" s="6" t="s">
        <v>42</v>
      </c>
      <c r="K5" s="7" t="n">
        <v>927841</v>
      </c>
      <c r="L5" s="14" t="s">
        <v>39</v>
      </c>
      <c r="M5" s="15" t="str">
        <f aca="false">IF(AND(E5=K5,F5=L5,LEN(F5)=64),"PASS","FAIL")</f>
        <v>PASS</v>
      </c>
    </row>
    <row r="6" customFormat="false" ht="64" hidden="false" customHeight="true" outlineLevel="0" collapsed="false">
      <c r="A6" s="16" t="n">
        <v>2</v>
      </c>
      <c r="B6" s="8" t="s">
        <v>12</v>
      </c>
      <c r="C6" s="8" t="s">
        <v>43</v>
      </c>
      <c r="D6" s="16" t="s">
        <v>44</v>
      </c>
      <c r="E6" s="17" t="n">
        <v>706362</v>
      </c>
      <c r="F6" s="18" t="s">
        <v>45</v>
      </c>
      <c r="G6" s="9" t="n">
        <v>26</v>
      </c>
      <c r="H6" s="8" t="s">
        <v>40</v>
      </c>
      <c r="I6" s="8" t="s">
        <v>41</v>
      </c>
      <c r="J6" s="8" t="s">
        <v>42</v>
      </c>
      <c r="K6" s="9" t="n">
        <v>706362</v>
      </c>
      <c r="L6" s="18" t="s">
        <v>45</v>
      </c>
      <c r="M6" s="19" t="str">
        <f aca="false">IF(AND(E6=K6,F6=L6,LEN(F6)=64),"PASS","FAIL")</f>
        <v>PASS</v>
      </c>
    </row>
    <row r="7" customFormat="false" ht="64" hidden="false" customHeight="true" outlineLevel="0" collapsed="false">
      <c r="A7" s="12" t="n">
        <v>3</v>
      </c>
      <c r="B7" s="6" t="s">
        <v>12</v>
      </c>
      <c r="C7" s="6" t="s">
        <v>46</v>
      </c>
      <c r="D7" s="12" t="s">
        <v>47</v>
      </c>
      <c r="E7" s="13" t="n">
        <v>1105192</v>
      </c>
      <c r="F7" s="14" t="s">
        <v>48</v>
      </c>
      <c r="G7" s="7" t="n">
        <v>26</v>
      </c>
      <c r="H7" s="6" t="s">
        <v>49</v>
      </c>
      <c r="I7" s="6" t="s">
        <v>41</v>
      </c>
      <c r="J7" s="6" t="s">
        <v>42</v>
      </c>
      <c r="K7" s="7" t="n">
        <v>1105192</v>
      </c>
      <c r="L7" s="14" t="s">
        <v>48</v>
      </c>
      <c r="M7" s="15" t="str">
        <f aca="false">IF(AND(E7=K7,F7=L7,LEN(F7)=64),"PASS","FAIL")</f>
        <v>PASS</v>
      </c>
    </row>
    <row r="8" customFormat="false" ht="64" hidden="false" customHeight="true" outlineLevel="0" collapsed="false">
      <c r="A8" s="16" t="n">
        <v>4</v>
      </c>
      <c r="B8" s="8" t="s">
        <v>12</v>
      </c>
      <c r="C8" s="8" t="s">
        <v>50</v>
      </c>
      <c r="D8" s="16" t="s">
        <v>44</v>
      </c>
      <c r="E8" s="17" t="n">
        <v>322047</v>
      </c>
      <c r="F8" s="18" t="s">
        <v>51</v>
      </c>
      <c r="G8" s="9" t="n">
        <v>24</v>
      </c>
      <c r="H8" s="8" t="s">
        <v>52</v>
      </c>
      <c r="I8" s="8" t="s">
        <v>53</v>
      </c>
      <c r="J8" s="8" t="s">
        <v>54</v>
      </c>
      <c r="K8" s="9" t="n">
        <v>322047</v>
      </c>
      <c r="L8" s="18" t="s">
        <v>51</v>
      </c>
      <c r="M8" s="19" t="str">
        <f aca="false">IF(AND(E8=K8,F8=L8,LEN(F8)=64),"PASS","FAIL")</f>
        <v>PASS</v>
      </c>
    </row>
    <row r="9" customFormat="false" ht="64" hidden="false" customHeight="true" outlineLevel="0" collapsed="false">
      <c r="A9" s="12" t="n">
        <v>5</v>
      </c>
      <c r="B9" s="6" t="s">
        <v>12</v>
      </c>
      <c r="C9" s="6" t="s">
        <v>55</v>
      </c>
      <c r="D9" s="12" t="s">
        <v>56</v>
      </c>
      <c r="E9" s="13" t="n">
        <v>5890485</v>
      </c>
      <c r="F9" s="14" t="s">
        <v>57</v>
      </c>
      <c r="G9" s="7" t="n">
        <v>22</v>
      </c>
      <c r="H9" s="6" t="s">
        <v>58</v>
      </c>
      <c r="I9" s="6" t="s">
        <v>41</v>
      </c>
      <c r="J9" s="6" t="s">
        <v>42</v>
      </c>
      <c r="K9" s="7" t="n">
        <v>5890485</v>
      </c>
      <c r="L9" s="14" t="s">
        <v>57</v>
      </c>
      <c r="M9" s="15" t="str">
        <f aca="false">IF(AND(E9=K9,F9=L9,LEN(F9)=64),"PASS","FAIL")</f>
        <v>PASS</v>
      </c>
    </row>
    <row r="10" customFormat="false" ht="64" hidden="false" customHeight="true" outlineLevel="0" collapsed="false">
      <c r="A10" s="16" t="n">
        <v>6</v>
      </c>
      <c r="B10" s="8" t="s">
        <v>12</v>
      </c>
      <c r="C10" s="8" t="s">
        <v>59</v>
      </c>
      <c r="D10" s="16" t="s">
        <v>44</v>
      </c>
      <c r="E10" s="17" t="n">
        <v>17138567</v>
      </c>
      <c r="F10" s="18" t="s">
        <v>60</v>
      </c>
      <c r="G10" s="9" t="n">
        <v>14</v>
      </c>
      <c r="H10" s="8" t="s">
        <v>52</v>
      </c>
      <c r="I10" s="8" t="s">
        <v>53</v>
      </c>
      <c r="J10" s="8" t="s">
        <v>54</v>
      </c>
      <c r="K10" s="9" t="n">
        <v>17138567</v>
      </c>
      <c r="L10" s="18" t="s">
        <v>60</v>
      </c>
      <c r="M10" s="19" t="str">
        <f aca="false">IF(AND(E10=K10,F10=L10,LEN(F10)=64),"PASS","FAIL")</f>
        <v>PASS</v>
      </c>
    </row>
    <row r="11" customFormat="false" ht="64" hidden="false" customHeight="true" outlineLevel="0" collapsed="false">
      <c r="A11" s="12" t="n">
        <v>7</v>
      </c>
      <c r="B11" s="6" t="s">
        <v>14</v>
      </c>
      <c r="C11" s="6" t="s">
        <v>61</v>
      </c>
      <c r="D11" s="12" t="s">
        <v>44</v>
      </c>
      <c r="E11" s="13" t="n">
        <v>199441</v>
      </c>
      <c r="F11" s="14" t="s">
        <v>62</v>
      </c>
      <c r="G11" s="7" t="n">
        <v>5</v>
      </c>
      <c r="H11" s="6" t="s">
        <v>40</v>
      </c>
      <c r="I11" s="6" t="s">
        <v>63</v>
      </c>
      <c r="J11" s="6" t="s">
        <v>64</v>
      </c>
      <c r="K11" s="7" t="n">
        <v>199441</v>
      </c>
      <c r="L11" s="14" t="s">
        <v>62</v>
      </c>
      <c r="M11" s="15" t="str">
        <f aca="false">IF(AND(E11=K11,F11=L11,LEN(F11)=64),"PASS","FAIL")</f>
        <v>PASS</v>
      </c>
    </row>
    <row r="12" customFormat="false" ht="64" hidden="false" customHeight="true" outlineLevel="0" collapsed="false">
      <c r="A12" s="16" t="n">
        <v>8</v>
      </c>
      <c r="B12" s="8" t="s">
        <v>13</v>
      </c>
      <c r="C12" s="8" t="s">
        <v>65</v>
      </c>
      <c r="D12" s="16" t="s">
        <v>66</v>
      </c>
      <c r="E12" s="17" t="n">
        <v>3124016</v>
      </c>
      <c r="F12" s="18" t="s">
        <v>67</v>
      </c>
      <c r="G12" s="9" t="n">
        <v>10</v>
      </c>
      <c r="H12" s="8" t="s">
        <v>40</v>
      </c>
      <c r="I12" s="8" t="s">
        <v>68</v>
      </c>
      <c r="J12" s="8" t="s">
        <v>69</v>
      </c>
      <c r="K12" s="9" t="n">
        <v>3124016</v>
      </c>
      <c r="L12" s="18" t="s">
        <v>67</v>
      </c>
      <c r="M12" s="19" t="str">
        <f aca="false">IF(AND(E12=K12,F12=L12,LEN(F12)=64),"PASS","FAIL")</f>
        <v>PASS</v>
      </c>
    </row>
    <row r="13" customFormat="false" ht="64" hidden="false" customHeight="true" outlineLevel="0" collapsed="false">
      <c r="A13" s="12" t="n">
        <v>9</v>
      </c>
      <c r="B13" s="6" t="s">
        <v>13</v>
      </c>
      <c r="C13" s="6" t="s">
        <v>70</v>
      </c>
      <c r="D13" s="12" t="s">
        <v>66</v>
      </c>
      <c r="E13" s="13" t="n">
        <v>57141903</v>
      </c>
      <c r="F13" s="14" t="s">
        <v>71</v>
      </c>
      <c r="G13" s="7" t="n">
        <v>279</v>
      </c>
      <c r="H13" s="6" t="s">
        <v>40</v>
      </c>
      <c r="I13" s="6" t="s">
        <v>72</v>
      </c>
      <c r="J13" s="6" t="s">
        <v>73</v>
      </c>
      <c r="K13" s="7" t="n">
        <v>57141903</v>
      </c>
      <c r="L13" s="14" t="s">
        <v>71</v>
      </c>
      <c r="M13" s="15" t="str">
        <f aca="false">IF(AND(E13=K13,F13=L13,LEN(F13)=64),"PASS","FAIL")</f>
        <v>PASS</v>
      </c>
    </row>
    <row r="14" customFormat="false" ht="64" hidden="false" customHeight="true" outlineLevel="0" collapsed="false">
      <c r="A14" s="16" t="n">
        <v>10</v>
      </c>
      <c r="B14" s="8" t="s">
        <v>15</v>
      </c>
      <c r="C14" s="8" t="s">
        <v>74</v>
      </c>
      <c r="D14" s="16" t="s">
        <v>44</v>
      </c>
      <c r="E14" s="17" t="n">
        <v>17051280</v>
      </c>
      <c r="F14" s="18" t="s">
        <v>75</v>
      </c>
      <c r="G14" s="9" t="n">
        <v>50</v>
      </c>
      <c r="H14" s="8" t="s">
        <v>76</v>
      </c>
      <c r="I14" s="8" t="s">
        <v>53</v>
      </c>
      <c r="J14" s="8" t="s">
        <v>54</v>
      </c>
      <c r="K14" s="9" t="n">
        <v>17051280</v>
      </c>
      <c r="L14" s="18" t="s">
        <v>75</v>
      </c>
      <c r="M14" s="19" t="str">
        <f aca="false">IF(AND(E14=K14,F14=L14,LEN(F14)=64),"PASS","FAIL")</f>
        <v>PASS</v>
      </c>
    </row>
    <row r="15" customFormat="false" ht="64" hidden="false" customHeight="true" outlineLevel="0" collapsed="false">
      <c r="A15" s="12" t="n">
        <v>11</v>
      </c>
      <c r="B15" s="6" t="s">
        <v>16</v>
      </c>
      <c r="C15" s="6" t="s">
        <v>77</v>
      </c>
      <c r="D15" s="12" t="s">
        <v>44</v>
      </c>
      <c r="E15" s="13" t="n">
        <v>30943</v>
      </c>
      <c r="F15" s="14" t="s">
        <v>78</v>
      </c>
      <c r="G15" s="7" t="n">
        <v>10</v>
      </c>
      <c r="H15" s="6" t="s">
        <v>79</v>
      </c>
      <c r="I15" s="6" t="s">
        <v>80</v>
      </c>
      <c r="J15" s="6" t="s">
        <v>16</v>
      </c>
      <c r="K15" s="7" t="n">
        <v>30943</v>
      </c>
      <c r="L15" s="14" t="s">
        <v>78</v>
      </c>
      <c r="M15" s="15" t="str">
        <f aca="false">IF(AND(E15=K15,F15=L15,LEN(F15)=64),"PASS","FAIL")</f>
        <v>PASS</v>
      </c>
    </row>
    <row r="16" customFormat="false" ht="64" hidden="false" customHeight="true" outlineLevel="0" collapsed="false">
      <c r="A16" s="20" t="n">
        <v>12</v>
      </c>
      <c r="B16" s="21" t="s">
        <v>17</v>
      </c>
      <c r="C16" s="21" t="s">
        <v>81</v>
      </c>
      <c r="D16" s="20" t="s">
        <v>44</v>
      </c>
      <c r="E16" s="22"/>
      <c r="F16" s="23" t="s">
        <v>82</v>
      </c>
      <c r="G16" s="24" t="n">
        <v>7</v>
      </c>
      <c r="H16" s="21" t="s">
        <v>83</v>
      </c>
      <c r="I16" s="21" t="s">
        <v>84</v>
      </c>
      <c r="J16" s="21" t="s">
        <v>85</v>
      </c>
      <c r="K16" s="24"/>
      <c r="L16" s="23" t="s">
        <v>86</v>
      </c>
      <c r="M16" s="25" t="str">
        <f aca="false">IF(AND(C16="Symbiosis_V7_Delivery_Manifest_v1.2.xlsx",F16="SELF_NOT_HASHED",J16="SELF"),"PASS","FAIL")</f>
        <v>PASS</v>
      </c>
    </row>
  </sheetData>
  <mergeCells count="2">
    <mergeCell ref="A1:M1"/>
    <mergeCell ref="A2:M2"/>
  </mergeCells>
  <conditionalFormatting sqref="M5:M16">
    <cfRule type="containsText" priority="2" operator="containsText" aboveAverage="0" equalAverage="0" bottom="0" percent="0" rank="0" text="PASS" dxfId="6">
      <formula>NOT(ISERROR(SEARCH("PASS",M5)))</formula>
    </cfRule>
    <cfRule type="containsText" priority="3" operator="containsText" aboveAverage="0" equalAverage="0" bottom="0" percent="0" rank="0" text="FAIL" dxfId="7">
      <formula>NOT(ISERROR(SEARCH("FAIL",M5)))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8"/>
    <col collapsed="false" customWidth="true" hidden="false" outlineLevel="0" max="3" min="3" style="0" width="26"/>
    <col collapsed="false" customWidth="true" hidden="false" outlineLevel="0" max="5" min="4" style="0" width="43"/>
    <col collapsed="false" customWidth="true" hidden="false" outlineLevel="0" max="6" min="6" style="0" width="39"/>
    <col collapsed="false" customWidth="true" hidden="false" outlineLevel="0" max="7" min="7" style="0" width="32"/>
    <col collapsed="false" customWidth="true" hidden="false" outlineLevel="0" max="8" min="8" style="0" width="12"/>
  </cols>
  <sheetData>
    <row r="1" customFormat="false" ht="32" hidden="false" customHeight="true" outlineLevel="0" collapsed="false">
      <c r="A1" s="1" t="s">
        <v>87</v>
      </c>
      <c r="B1" s="1"/>
      <c r="C1" s="1"/>
      <c r="D1" s="1"/>
      <c r="E1" s="1"/>
      <c r="F1" s="1"/>
      <c r="G1" s="1"/>
      <c r="H1" s="1"/>
    </row>
    <row r="2" customFormat="false" ht="34" hidden="false" customHeight="true" outlineLevel="0" collapsed="false">
      <c r="A2" s="2" t="s">
        <v>88</v>
      </c>
      <c r="B2" s="2"/>
      <c r="C2" s="2"/>
      <c r="D2" s="2"/>
      <c r="E2" s="2"/>
      <c r="F2" s="2"/>
      <c r="G2" s="2"/>
      <c r="H2" s="2"/>
    </row>
    <row r="4" customFormat="false" ht="30" hidden="false" customHeight="true" outlineLevel="0" collapsed="false">
      <c r="A4" s="3" t="s">
        <v>89</v>
      </c>
      <c r="B4" s="4" t="s">
        <v>26</v>
      </c>
      <c r="C4" s="4" t="s">
        <v>90</v>
      </c>
      <c r="D4" s="4" t="s">
        <v>33</v>
      </c>
      <c r="E4" s="4" t="s">
        <v>91</v>
      </c>
      <c r="F4" s="4" t="s">
        <v>92</v>
      </c>
      <c r="G4" s="4" t="s">
        <v>93</v>
      </c>
      <c r="H4" s="5" t="s">
        <v>5</v>
      </c>
    </row>
    <row r="5" customFormat="false" ht="70" hidden="false" customHeight="true" outlineLevel="0" collapsed="false">
      <c r="A5" s="6" t="s">
        <v>37</v>
      </c>
      <c r="B5" s="12" t="s">
        <v>12</v>
      </c>
      <c r="C5" s="12" t="s">
        <v>42</v>
      </c>
      <c r="D5" s="6" t="s">
        <v>41</v>
      </c>
      <c r="E5" s="6" t="s">
        <v>41</v>
      </c>
      <c r="F5" s="6" t="s">
        <v>94</v>
      </c>
      <c r="G5" s="6" t="s">
        <v>95</v>
      </c>
      <c r="H5" s="15" t="str">
        <f aca="false">IF(AND('01_Файлы'!M5="PASS",OR(C5="CURRENT",C5="DECISION_SOURCE",C5="TIME_CONTRACT",C5="UI_CONTRACT",C5="ASSURANCE",C5="SELF",AND(C5="FORWARD_COMPAT_ASSERTED",D5&lt;&gt;"",F5&lt;&gt;"",G5&lt;&gt;""))),"PASS","FAIL")</f>
        <v>PASS</v>
      </c>
    </row>
    <row r="6" customFormat="false" ht="70" hidden="false" customHeight="true" outlineLevel="0" collapsed="false">
      <c r="A6" s="8" t="s">
        <v>43</v>
      </c>
      <c r="B6" s="16" t="s">
        <v>12</v>
      </c>
      <c r="C6" s="16" t="s">
        <v>42</v>
      </c>
      <c r="D6" s="8" t="s">
        <v>41</v>
      </c>
      <c r="E6" s="8" t="s">
        <v>41</v>
      </c>
      <c r="F6" s="8" t="s">
        <v>96</v>
      </c>
      <c r="G6" s="8" t="s">
        <v>97</v>
      </c>
      <c r="H6" s="19" t="str">
        <f aca="false">IF(AND('01_Файлы'!M6="PASS",OR(C6="CURRENT",C6="DECISION_SOURCE",C6="TIME_CONTRACT",C6="UI_CONTRACT",C6="ASSURANCE",C6="SELF",AND(C6="FORWARD_COMPAT_ASSERTED",D6&lt;&gt;"",F6&lt;&gt;"",G6&lt;&gt;""))),"PASS","FAIL")</f>
        <v>PASS</v>
      </c>
    </row>
    <row r="7" customFormat="false" ht="70" hidden="false" customHeight="true" outlineLevel="0" collapsed="false">
      <c r="A7" s="6" t="s">
        <v>46</v>
      </c>
      <c r="B7" s="12" t="s">
        <v>12</v>
      </c>
      <c r="C7" s="12" t="s">
        <v>42</v>
      </c>
      <c r="D7" s="6" t="s">
        <v>41</v>
      </c>
      <c r="E7" s="6" t="s">
        <v>41</v>
      </c>
      <c r="F7" s="6" t="s">
        <v>98</v>
      </c>
      <c r="G7" s="6" t="s">
        <v>99</v>
      </c>
      <c r="H7" s="15" t="str">
        <f aca="false">IF(AND('01_Файлы'!M7="PASS",OR(C7="CURRENT",C7="DECISION_SOURCE",C7="TIME_CONTRACT",C7="UI_CONTRACT",C7="ASSURANCE",C7="SELF",AND(C7="FORWARD_COMPAT_ASSERTED",D7&lt;&gt;"",F7&lt;&gt;"",G7&lt;&gt;""))),"PASS","FAIL")</f>
        <v>PASS</v>
      </c>
    </row>
    <row r="8" customFormat="false" ht="70" hidden="false" customHeight="true" outlineLevel="0" collapsed="false">
      <c r="A8" s="8" t="s">
        <v>50</v>
      </c>
      <c r="B8" s="16" t="s">
        <v>12</v>
      </c>
      <c r="C8" s="16" t="s">
        <v>54</v>
      </c>
      <c r="D8" s="8" t="s">
        <v>53</v>
      </c>
      <c r="E8" s="8" t="s">
        <v>41</v>
      </c>
      <c r="F8" s="8" t="s">
        <v>100</v>
      </c>
      <c r="G8" s="8" t="s">
        <v>101</v>
      </c>
      <c r="H8" s="19" t="str">
        <f aca="false">IF(AND('01_Файлы'!M8="PASS",OR(C8="CURRENT",C8="DECISION_SOURCE",C8="TIME_CONTRACT",C8="UI_CONTRACT",C8="ASSURANCE",C8="SELF",AND(C8="FORWARD_COMPAT_ASSERTED",D8&lt;&gt;"",F8&lt;&gt;"",G8&lt;&gt;""))),"PASS","FAIL")</f>
        <v>PASS</v>
      </c>
    </row>
    <row r="9" customFormat="false" ht="70" hidden="false" customHeight="true" outlineLevel="0" collapsed="false">
      <c r="A9" s="6" t="s">
        <v>55</v>
      </c>
      <c r="B9" s="12" t="s">
        <v>12</v>
      </c>
      <c r="C9" s="12" t="s">
        <v>42</v>
      </c>
      <c r="D9" s="6" t="s">
        <v>41</v>
      </c>
      <c r="E9" s="6" t="s">
        <v>41</v>
      </c>
      <c r="F9" s="6" t="s">
        <v>102</v>
      </c>
      <c r="G9" s="6" t="s">
        <v>103</v>
      </c>
      <c r="H9" s="15" t="str">
        <f aca="false">IF(AND('01_Файлы'!M9="PASS",OR(C9="CURRENT",C9="DECISION_SOURCE",C9="TIME_CONTRACT",C9="UI_CONTRACT",C9="ASSURANCE",C9="SELF",AND(C9="FORWARD_COMPAT_ASSERTED",D9&lt;&gt;"",F9&lt;&gt;"",G9&lt;&gt;""))),"PASS","FAIL")</f>
        <v>PASS</v>
      </c>
    </row>
    <row r="10" customFormat="false" ht="70" hidden="false" customHeight="true" outlineLevel="0" collapsed="false">
      <c r="A10" s="8" t="s">
        <v>59</v>
      </c>
      <c r="B10" s="16" t="s">
        <v>12</v>
      </c>
      <c r="C10" s="16" t="s">
        <v>54</v>
      </c>
      <c r="D10" s="8" t="s">
        <v>53</v>
      </c>
      <c r="E10" s="8" t="s">
        <v>41</v>
      </c>
      <c r="F10" s="8" t="s">
        <v>104</v>
      </c>
      <c r="G10" s="8" t="s">
        <v>105</v>
      </c>
      <c r="H10" s="19" t="str">
        <f aca="false">IF(AND('01_Файлы'!M10="PASS",OR(C10="CURRENT",C10="DECISION_SOURCE",C10="TIME_CONTRACT",C10="UI_CONTRACT",C10="ASSURANCE",C10="SELF",AND(C10="FORWARD_COMPAT_ASSERTED",D10&lt;&gt;"",F10&lt;&gt;"",G10&lt;&gt;""))),"PASS","FAIL")</f>
        <v>PASS</v>
      </c>
    </row>
    <row r="11" customFormat="false" ht="70" hidden="false" customHeight="true" outlineLevel="0" collapsed="false">
      <c r="A11" s="6" t="s">
        <v>61</v>
      </c>
      <c r="B11" s="12" t="s">
        <v>14</v>
      </c>
      <c r="C11" s="12" t="s">
        <v>64</v>
      </c>
      <c r="D11" s="6" t="s">
        <v>63</v>
      </c>
      <c r="E11" s="6" t="s">
        <v>41</v>
      </c>
      <c r="F11" s="6" t="s">
        <v>106</v>
      </c>
      <c r="G11" s="6" t="s">
        <v>107</v>
      </c>
      <c r="H11" s="15" t="str">
        <f aca="false">IF(AND('01_Файлы'!M11="PASS",OR(C11="CURRENT",C11="DECISION_SOURCE",C11="TIME_CONTRACT",C11="UI_CONTRACT",C11="ASSURANCE",C11="SELF",AND(C11="FORWARD_COMPAT_ASSERTED",D11&lt;&gt;"",F11&lt;&gt;"",G11&lt;&gt;""))),"PASS","FAIL")</f>
        <v>PASS</v>
      </c>
    </row>
    <row r="12" customFormat="false" ht="70" hidden="false" customHeight="true" outlineLevel="0" collapsed="false">
      <c r="A12" s="8" t="s">
        <v>65</v>
      </c>
      <c r="B12" s="16" t="s">
        <v>13</v>
      </c>
      <c r="C12" s="16" t="s">
        <v>69</v>
      </c>
      <c r="D12" s="8" t="s">
        <v>68</v>
      </c>
      <c r="E12" s="8" t="s">
        <v>41</v>
      </c>
      <c r="F12" s="8" t="s">
        <v>108</v>
      </c>
      <c r="G12" s="8" t="s">
        <v>109</v>
      </c>
      <c r="H12" s="19" t="str">
        <f aca="false">IF(AND('01_Файлы'!M12="PASS",OR(C12="CURRENT",C12="DECISION_SOURCE",C12="TIME_CONTRACT",C12="UI_CONTRACT",C12="ASSURANCE",C12="SELF",AND(C12="FORWARD_COMPAT_ASSERTED",D12&lt;&gt;"",F12&lt;&gt;"",G12&lt;&gt;""))),"PASS","FAIL")</f>
        <v>PASS</v>
      </c>
    </row>
    <row r="13" customFormat="false" ht="70" hidden="false" customHeight="true" outlineLevel="0" collapsed="false">
      <c r="A13" s="6" t="s">
        <v>70</v>
      </c>
      <c r="B13" s="12" t="s">
        <v>13</v>
      </c>
      <c r="C13" s="12" t="s">
        <v>73</v>
      </c>
      <c r="D13" s="6" t="s">
        <v>72</v>
      </c>
      <c r="E13" s="6" t="s">
        <v>41</v>
      </c>
      <c r="F13" s="6" t="s">
        <v>110</v>
      </c>
      <c r="G13" s="6" t="s">
        <v>111</v>
      </c>
      <c r="H13" s="15" t="str">
        <f aca="false">IF(AND('01_Файлы'!M13="PASS",OR(C13="CURRENT",C13="DECISION_SOURCE",C13="TIME_CONTRACT",C13="UI_CONTRACT",C13="ASSURANCE",C13="SELF",AND(C13="FORWARD_COMPAT_ASSERTED",D13&lt;&gt;"",F13&lt;&gt;"",G13&lt;&gt;""))),"PASS","FAIL")</f>
        <v>PASS</v>
      </c>
    </row>
    <row r="14" customFormat="false" ht="70" hidden="false" customHeight="true" outlineLevel="0" collapsed="false">
      <c r="A14" s="8" t="s">
        <v>74</v>
      </c>
      <c r="B14" s="16" t="s">
        <v>15</v>
      </c>
      <c r="C14" s="16" t="s">
        <v>54</v>
      </c>
      <c r="D14" s="8" t="s">
        <v>53</v>
      </c>
      <c r="E14" s="8" t="s">
        <v>41</v>
      </c>
      <c r="F14" s="8" t="s">
        <v>112</v>
      </c>
      <c r="G14" s="8" t="s">
        <v>113</v>
      </c>
      <c r="H14" s="19" t="str">
        <f aca="false">IF(AND('01_Файлы'!M14="PASS",C14="FORWARD_COMPAT_ASSERTED",F14&lt;&gt;"",G14&lt;&gt;"",'01_Файлы'!F14="614f0da1c3128aebbb28d67a68a89ccd189a067c57d407c92536425e46072cdc"),"PASS","FAIL")</f>
        <v>PASS</v>
      </c>
    </row>
    <row r="15" customFormat="false" ht="70" hidden="false" customHeight="true" outlineLevel="0" collapsed="false">
      <c r="A15" s="6" t="s">
        <v>77</v>
      </c>
      <c r="B15" s="12" t="s">
        <v>16</v>
      </c>
      <c r="C15" s="12" t="s">
        <v>16</v>
      </c>
      <c r="D15" s="6" t="s">
        <v>80</v>
      </c>
      <c r="E15" s="6" t="s">
        <v>41</v>
      </c>
      <c r="F15" s="6" t="s">
        <v>114</v>
      </c>
      <c r="G15" s="6" t="s">
        <v>115</v>
      </c>
      <c r="H15" s="15" t="str">
        <f aca="false">IF(AND('01_Файлы'!M15="PASS",OR(C15="CURRENT",C15="DECISION_SOURCE",C15="TIME_CONTRACT",C15="UI_CONTRACT",C15="ASSURANCE",C15="SELF",AND(C15="FORWARD_COMPAT_ASSERTED",D15&lt;&gt;"",F15&lt;&gt;"",G15&lt;&gt;""))),"PASS","FAIL")</f>
        <v>PASS</v>
      </c>
    </row>
    <row r="16" customFormat="false" ht="70" hidden="false" customHeight="true" outlineLevel="0" collapsed="false">
      <c r="A16" s="8" t="s">
        <v>81</v>
      </c>
      <c r="B16" s="16" t="s">
        <v>17</v>
      </c>
      <c r="C16" s="16" t="s">
        <v>85</v>
      </c>
      <c r="D16" s="8" t="s">
        <v>84</v>
      </c>
      <c r="E16" s="8" t="s">
        <v>116</v>
      </c>
      <c r="F16" s="8" t="s">
        <v>117</v>
      </c>
      <c r="G16" s="8" t="s">
        <v>118</v>
      </c>
      <c r="H16" s="19" t="str">
        <f aca="false">IF(AND('01_Файлы'!M16="PASS",OR(C16="CURRENT",C16="DECISION_SOURCE",C16="TIME_CONTRACT",C16="UI_CONTRACT",C16="ASSURANCE",C16="SELF",AND(C16="FORWARD_COMPAT_ASSERTED",D16&lt;&gt;"",F16&lt;&gt;"",G16&lt;&gt;""))),"PASS","FAIL")</f>
        <v>PASS</v>
      </c>
    </row>
  </sheetData>
  <mergeCells count="2">
    <mergeCell ref="A1:H1"/>
    <mergeCell ref="A2:H2"/>
  </mergeCells>
  <conditionalFormatting sqref="H5:H16">
    <cfRule type="containsText" priority="2" operator="containsText" aboveAverage="0" equalAverage="0" bottom="0" percent="0" rank="0" text="PASS" dxfId="8">
      <formula>NOT(ISERROR(SEARCH("PASS",H5)))</formula>
    </cfRule>
    <cfRule type="containsText" priority="3" operator="containsText" aboveAverage="0" equalAverage="0" bottom="0" percent="0" rank="0" text="FAIL" dxfId="9">
      <formula>NOT(ISERROR(SEARCH("FAIL",H5)))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9"/>
    <col collapsed="false" customWidth="true" hidden="false" outlineLevel="0" max="2" min="2" style="0" width="40"/>
    <col collapsed="false" customWidth="true" hidden="false" outlineLevel="0" max="4" min="3" style="0" width="30"/>
    <col collapsed="false" customWidth="true" hidden="false" outlineLevel="0" max="5" min="5" style="0" width="12"/>
  </cols>
  <sheetData>
    <row r="1" customFormat="false" ht="32" hidden="false" customHeight="true" outlineLevel="0" collapsed="false">
      <c r="A1" s="1" t="s">
        <v>119</v>
      </c>
      <c r="B1" s="1"/>
      <c r="C1" s="1"/>
      <c r="D1" s="1"/>
      <c r="E1" s="1"/>
    </row>
    <row r="2" customFormat="false" ht="34" hidden="false" customHeight="true" outlineLevel="0" collapsed="false">
      <c r="A2" s="2" t="s">
        <v>120</v>
      </c>
      <c r="B2" s="2"/>
      <c r="C2" s="2"/>
      <c r="D2" s="2"/>
      <c r="E2" s="2"/>
    </row>
    <row r="4" customFormat="false" ht="30" hidden="false" customHeight="true" outlineLevel="0" collapsed="false">
      <c r="A4" s="3" t="s">
        <v>89</v>
      </c>
      <c r="B4" s="4" t="s">
        <v>2</v>
      </c>
      <c r="C4" s="4" t="s">
        <v>3</v>
      </c>
      <c r="D4" s="4" t="s">
        <v>4</v>
      </c>
      <c r="E4" s="5" t="s">
        <v>5</v>
      </c>
    </row>
    <row r="5" customFormat="false" ht="36" hidden="false" customHeight="true" outlineLevel="0" collapsed="false">
      <c r="A5" s="6" t="s">
        <v>121</v>
      </c>
      <c r="B5" s="6" t="s">
        <v>122</v>
      </c>
      <c r="C5" s="6" t="s">
        <v>123</v>
      </c>
      <c r="D5" s="6" t="s">
        <v>123</v>
      </c>
      <c r="E5" s="15" t="str">
        <f aca="false">IF(AND(C5=D5,'01_Файлы'!M5="PASS"),"PASS","FAIL")</f>
        <v>PASS</v>
      </c>
    </row>
    <row r="6" customFormat="false" ht="36" hidden="false" customHeight="true" outlineLevel="0" collapsed="false">
      <c r="A6" s="8" t="s">
        <v>124</v>
      </c>
      <c r="B6" s="8" t="s">
        <v>125</v>
      </c>
      <c r="C6" s="8" t="s">
        <v>126</v>
      </c>
      <c r="D6" s="8" t="s">
        <v>126</v>
      </c>
      <c r="E6" s="19" t="str">
        <f aca="false">IF(AND(C6=D6,'01_Файлы'!M6="PASS"),"PASS","FAIL")</f>
        <v>PASS</v>
      </c>
    </row>
    <row r="7" customFormat="false" ht="36" hidden="false" customHeight="true" outlineLevel="0" collapsed="false">
      <c r="A7" s="6" t="s">
        <v>127</v>
      </c>
      <c r="B7" s="6" t="s">
        <v>128</v>
      </c>
      <c r="C7" s="6" t="s">
        <v>129</v>
      </c>
      <c r="D7" s="6" t="s">
        <v>129</v>
      </c>
      <c r="E7" s="15" t="str">
        <f aca="false">IF(AND(C7=D7,'01_Файлы'!M7="PASS"),"PASS","FAIL")</f>
        <v>PASS</v>
      </c>
    </row>
    <row r="8" customFormat="false" ht="36" hidden="false" customHeight="true" outlineLevel="0" collapsed="false">
      <c r="A8" s="8" t="s">
        <v>130</v>
      </c>
      <c r="B8" s="8" t="s">
        <v>131</v>
      </c>
      <c r="C8" s="8" t="s">
        <v>132</v>
      </c>
      <c r="D8" s="8" t="s">
        <v>132</v>
      </c>
      <c r="E8" s="19" t="str">
        <f aca="false">IF(AND(C8=D8,'01_Файлы'!M8="PASS"),"PASS","FAIL")</f>
        <v>PASS</v>
      </c>
    </row>
    <row r="9" customFormat="false" ht="36" hidden="false" customHeight="true" outlineLevel="0" collapsed="false">
      <c r="A9" s="6" t="s">
        <v>133</v>
      </c>
      <c r="B9" s="6" t="s">
        <v>134</v>
      </c>
      <c r="C9" s="6" t="s">
        <v>135</v>
      </c>
      <c r="D9" s="6" t="s">
        <v>135</v>
      </c>
      <c r="E9" s="15" t="str">
        <f aca="false">IF(AND(C9=D9,'01_Файлы'!M9="PASS"),"PASS","FAIL")</f>
        <v>PASS</v>
      </c>
    </row>
    <row r="10" customFormat="false" ht="36" hidden="false" customHeight="true" outlineLevel="0" collapsed="false">
      <c r="A10" s="8" t="s">
        <v>136</v>
      </c>
      <c r="B10" s="8" t="s">
        <v>137</v>
      </c>
      <c r="C10" s="8" t="s">
        <v>138</v>
      </c>
      <c r="D10" s="8" t="s">
        <v>138</v>
      </c>
      <c r="E10" s="19" t="str">
        <f aca="false">IF(AND(C10=D10,'01_Файлы'!M10="PASS"),"PASS","FAIL")</f>
        <v>PASS</v>
      </c>
    </row>
    <row r="11" customFormat="false" ht="36" hidden="false" customHeight="true" outlineLevel="0" collapsed="false">
      <c r="A11" s="6" t="s">
        <v>139</v>
      </c>
      <c r="B11" s="6" t="s">
        <v>140</v>
      </c>
      <c r="C11" s="6" t="s">
        <v>141</v>
      </c>
      <c r="D11" s="6" t="s">
        <v>141</v>
      </c>
      <c r="E11" s="15" t="str">
        <f aca="false">IF(AND(C11=D11,'01_Файлы'!M11="PASS"),"PASS","FAIL")</f>
        <v>PASS</v>
      </c>
    </row>
    <row r="12" customFormat="false" ht="36" hidden="false" customHeight="true" outlineLevel="0" collapsed="false">
      <c r="A12" s="8" t="s">
        <v>142</v>
      </c>
      <c r="B12" s="8" t="s">
        <v>143</v>
      </c>
      <c r="C12" s="8" t="s">
        <v>144</v>
      </c>
      <c r="D12" s="8" t="s">
        <v>144</v>
      </c>
      <c r="E12" s="19" t="str">
        <f aca="false">IF(AND(C12=D12,'01_Файлы'!M12="PASS"),"PASS","FAIL")</f>
        <v>PASS</v>
      </c>
    </row>
    <row r="13" customFormat="false" ht="36" hidden="false" customHeight="true" outlineLevel="0" collapsed="false">
      <c r="A13" s="6" t="s">
        <v>145</v>
      </c>
      <c r="B13" s="6" t="s">
        <v>146</v>
      </c>
      <c r="C13" s="6" t="s">
        <v>147</v>
      </c>
      <c r="D13" s="6" t="s">
        <v>147</v>
      </c>
      <c r="E13" s="15" t="str">
        <f aca="false">IF(AND(C13=D13,'01_Файлы'!M13="PASS"),"PASS","FAIL")</f>
        <v>PASS</v>
      </c>
    </row>
    <row r="14" customFormat="false" ht="36" hidden="false" customHeight="true" outlineLevel="0" collapsed="false">
      <c r="A14" s="8" t="s">
        <v>148</v>
      </c>
      <c r="B14" s="8" t="s">
        <v>149</v>
      </c>
      <c r="C14" s="8" t="s">
        <v>150</v>
      </c>
      <c r="D14" s="8" t="s">
        <v>150</v>
      </c>
      <c r="E14" s="19" t="str">
        <f aca="false">IF(AND(C14=D14,'01_Файлы'!M14="PASS"),"PASS","FAIL")</f>
        <v>PASS</v>
      </c>
    </row>
    <row r="15" customFormat="false" ht="36" hidden="false" customHeight="true" outlineLevel="0" collapsed="false">
      <c r="A15" s="6" t="s">
        <v>151</v>
      </c>
      <c r="B15" s="6" t="s">
        <v>152</v>
      </c>
      <c r="C15" s="6" t="s">
        <v>153</v>
      </c>
      <c r="D15" s="6" t="s">
        <v>153</v>
      </c>
      <c r="E15" s="15" t="str">
        <f aca="false">IF(AND(C15=D15,'01_Файлы'!M15="PASS"),"PASS","FAIL")</f>
        <v>PASS</v>
      </c>
    </row>
    <row r="16" customFormat="false" ht="36" hidden="false" customHeight="true" outlineLevel="0" collapsed="false">
      <c r="A16" s="8" t="s">
        <v>154</v>
      </c>
      <c r="B16" s="8" t="s">
        <v>155</v>
      </c>
      <c r="C16" s="8" t="s">
        <v>156</v>
      </c>
      <c r="D16" s="8" t="s">
        <v>156</v>
      </c>
      <c r="E16" s="19" t="str">
        <f aca="false">IF(AND(C16=D16,'01_Файлы'!M16="PASS"),"PASS","FAIL")</f>
        <v>PASS</v>
      </c>
    </row>
  </sheetData>
  <mergeCells count="2">
    <mergeCell ref="A1:E1"/>
    <mergeCell ref="A2:E2"/>
  </mergeCells>
  <conditionalFormatting sqref="E5:E16">
    <cfRule type="containsText" priority="2" operator="containsText" aboveAverage="0" equalAverage="0" bottom="0" percent="0" rank="0" text="PASS" dxfId="10">
      <formula>NOT(ISERROR(SEARCH("PASS",E5)))</formula>
    </cfRule>
    <cfRule type="containsText" priority="3" operator="containsText" aboveAverage="0" equalAverage="0" bottom="0" percent="0" rank="0" text="FAIL" dxfId="11">
      <formula>NOT(ISERROR(SEARCH("FAIL",E5)))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57"/>
    <col collapsed="false" customWidth="true" hidden="false" outlineLevel="0" max="3" min="3" style="0" width="59"/>
    <col collapsed="false" customWidth="true" hidden="false" outlineLevel="0" max="4" min="4" style="0" width="12"/>
  </cols>
  <sheetData>
    <row r="1" customFormat="false" ht="32" hidden="false" customHeight="true" outlineLevel="0" collapsed="false">
      <c r="A1" s="1" t="s">
        <v>157</v>
      </c>
      <c r="B1" s="1"/>
      <c r="C1" s="1"/>
      <c r="D1" s="1"/>
    </row>
    <row r="2" customFormat="false" ht="34" hidden="false" customHeight="true" outlineLevel="0" collapsed="false">
      <c r="A2" s="2" t="s">
        <v>158</v>
      </c>
      <c r="B2" s="2"/>
      <c r="C2" s="2"/>
      <c r="D2" s="2"/>
    </row>
    <row r="4" customFormat="false" ht="30" hidden="false" customHeight="true" outlineLevel="0" collapsed="false">
      <c r="A4" s="3" t="s">
        <v>159</v>
      </c>
      <c r="B4" s="4" t="s">
        <v>160</v>
      </c>
      <c r="C4" s="4" t="s">
        <v>161</v>
      </c>
      <c r="D4" s="5" t="s">
        <v>5</v>
      </c>
    </row>
    <row r="5" customFormat="false" ht="48" hidden="false" customHeight="true" outlineLevel="0" collapsed="false">
      <c r="A5" s="6" t="s">
        <v>162</v>
      </c>
      <c r="B5" s="6" t="s">
        <v>163</v>
      </c>
      <c r="C5" s="6" t="s">
        <v>164</v>
      </c>
      <c r="D5" s="15" t="str">
        <f aca="false">IF(AND(A5&lt;&gt;"",B5&lt;&gt;"",C5&lt;&gt;""),"PASS","FAIL")</f>
        <v>PASS</v>
      </c>
    </row>
    <row r="6" customFormat="false" ht="48" hidden="false" customHeight="true" outlineLevel="0" collapsed="false">
      <c r="A6" s="8" t="s">
        <v>165</v>
      </c>
      <c r="B6" s="8" t="s">
        <v>41</v>
      </c>
      <c r="C6" s="8" t="s">
        <v>166</v>
      </c>
      <c r="D6" s="19" t="str">
        <f aca="false">IF(AND(A6&lt;&gt;"",B6&lt;&gt;"",C6&lt;&gt;""),"PASS","FAIL")</f>
        <v>PASS</v>
      </c>
    </row>
    <row r="7" customFormat="false" ht="48" hidden="false" customHeight="true" outlineLevel="0" collapsed="false">
      <c r="A7" s="6" t="s">
        <v>167</v>
      </c>
      <c r="B7" s="6" t="s">
        <v>168</v>
      </c>
      <c r="C7" s="6" t="s">
        <v>169</v>
      </c>
      <c r="D7" s="15" t="str">
        <f aca="false">IF(AND(A7&lt;&gt;"",B7&lt;&gt;"",C7&lt;&gt;""),"PASS","FAIL")</f>
        <v>PASS</v>
      </c>
    </row>
    <row r="8" customFormat="false" ht="48" hidden="false" customHeight="true" outlineLevel="0" collapsed="false">
      <c r="A8" s="8" t="s">
        <v>170</v>
      </c>
      <c r="B8" s="8" t="s">
        <v>171</v>
      </c>
      <c r="C8" s="8" t="s">
        <v>172</v>
      </c>
      <c r="D8" s="19" t="str">
        <f aca="false">IF(AND(A8&lt;&gt;"",B8&lt;&gt;"",C8&lt;&gt;""),"PASS","FAIL")</f>
        <v>PASS</v>
      </c>
    </row>
    <row r="9" customFormat="false" ht="48" hidden="false" customHeight="true" outlineLevel="0" collapsed="false">
      <c r="A9" s="6" t="s">
        <v>173</v>
      </c>
      <c r="B9" s="6" t="s">
        <v>174</v>
      </c>
      <c r="C9" s="6" t="s">
        <v>175</v>
      </c>
      <c r="D9" s="15" t="str">
        <f aca="false">IF(AND(A9&lt;&gt;"",B9&lt;&gt;"",C9&lt;&gt;""),"PASS","FAIL")</f>
        <v>PASS</v>
      </c>
    </row>
    <row r="10" customFormat="false" ht="48" hidden="false" customHeight="true" outlineLevel="0" collapsed="false">
      <c r="A10" s="8" t="s">
        <v>176</v>
      </c>
      <c r="B10" s="8" t="s">
        <v>177</v>
      </c>
      <c r="C10" s="8" t="s">
        <v>178</v>
      </c>
      <c r="D10" s="19" t="str">
        <f aca="false">IF(AND(A10&lt;&gt;"",B10&lt;&gt;"",C10&lt;&gt;""),"PASS","FAIL")</f>
        <v>PASS</v>
      </c>
    </row>
    <row r="11" customFormat="false" ht="48" hidden="false" customHeight="true" outlineLevel="0" collapsed="false">
      <c r="A11" s="6" t="s">
        <v>179</v>
      </c>
      <c r="B11" s="6" t="s">
        <v>180</v>
      </c>
      <c r="C11" s="6" t="s">
        <v>181</v>
      </c>
      <c r="D11" s="15" t="str">
        <f aca="false">IF(AND(A11&lt;&gt;"",B11&lt;&gt;"",C11&lt;&gt;""),"PASS","FAIL")</f>
        <v>PASS</v>
      </c>
    </row>
    <row r="12" customFormat="false" ht="48" hidden="false" customHeight="true" outlineLevel="0" collapsed="false">
      <c r="A12" s="8" t="s">
        <v>182</v>
      </c>
      <c r="B12" s="8" t="s">
        <v>183</v>
      </c>
      <c r="C12" s="8" t="s">
        <v>184</v>
      </c>
      <c r="D12" s="19" t="str">
        <f aca="false">IF(AND(A12&lt;&gt;"",B12&lt;&gt;"",C12&lt;&gt;""),"PASS","FAIL")</f>
        <v>PASS</v>
      </c>
    </row>
    <row r="13" customFormat="false" ht="48" hidden="false" customHeight="true" outlineLevel="0" collapsed="false">
      <c r="A13" s="6" t="s">
        <v>185</v>
      </c>
      <c r="B13" s="6" t="s">
        <v>186</v>
      </c>
      <c r="C13" s="6" t="s">
        <v>187</v>
      </c>
      <c r="D13" s="15" t="str">
        <f aca="false">IF(AND(A13&lt;&gt;"",B13&lt;&gt;"",C13&lt;&gt;""),"PASS","FAIL")</f>
        <v>PASS</v>
      </c>
    </row>
    <row r="14" customFormat="false" ht="48" hidden="false" customHeight="true" outlineLevel="0" collapsed="false">
      <c r="A14" s="8" t="s">
        <v>188</v>
      </c>
      <c r="B14" s="8" t="s">
        <v>189</v>
      </c>
      <c r="C14" s="8" t="s">
        <v>190</v>
      </c>
      <c r="D14" s="19" t="str">
        <f aca="false">IF(AND(A14&lt;&gt;"",B14&lt;&gt;"",C14&lt;&gt;""),"PASS","FAIL")</f>
        <v>PASS</v>
      </c>
    </row>
    <row r="15" customFormat="false" ht="48" hidden="false" customHeight="true" outlineLevel="0" collapsed="false">
      <c r="A15" s="6" t="s">
        <v>191</v>
      </c>
      <c r="B15" s="6" t="s">
        <v>192</v>
      </c>
      <c r="C15" s="6" t="s">
        <v>193</v>
      </c>
      <c r="D15" s="15" t="str">
        <f aca="false">IF(AND(A15&lt;&gt;"",B15&lt;&gt;"",C15&lt;&gt;""),"PASS","FAIL")</f>
        <v>PASS</v>
      </c>
    </row>
    <row r="16" customFormat="false" ht="48" hidden="false" customHeight="true" outlineLevel="0" collapsed="false">
      <c r="A16" s="8" t="s">
        <v>194</v>
      </c>
      <c r="B16" s="8" t="s">
        <v>195</v>
      </c>
      <c r="C16" s="8" t="s">
        <v>196</v>
      </c>
      <c r="D16" s="19" t="str">
        <f aca="false">IF(AND(A16&lt;&gt;"",B16&lt;&gt;"",C16&lt;&gt;""),"PASS","FAIL")</f>
        <v>PASS</v>
      </c>
    </row>
    <row r="17" customFormat="false" ht="48" hidden="false" customHeight="true" outlineLevel="0" collapsed="false">
      <c r="A17" s="6" t="s">
        <v>197</v>
      </c>
      <c r="B17" s="6" t="s">
        <v>198</v>
      </c>
      <c r="C17" s="6" t="s">
        <v>199</v>
      </c>
      <c r="D17" s="15" t="str">
        <f aca="false">IF(AND(A17&lt;&gt;"",B17&lt;&gt;"",C17&lt;&gt;""),"PASS","FAIL")</f>
        <v>PASS</v>
      </c>
    </row>
    <row r="18" customFormat="false" ht="48" hidden="false" customHeight="true" outlineLevel="0" collapsed="false">
      <c r="A18" s="8" t="s">
        <v>200</v>
      </c>
      <c r="B18" s="8" t="s">
        <v>201</v>
      </c>
      <c r="C18" s="8" t="s">
        <v>202</v>
      </c>
      <c r="D18" s="19" t="str">
        <f aca="false">IF(AND(A18&lt;&gt;"",B18&lt;&gt;"",C18&lt;&gt;""),"PASS","FAIL")</f>
        <v>PASS</v>
      </c>
    </row>
  </sheetData>
  <mergeCells count="2">
    <mergeCell ref="A1:D1"/>
    <mergeCell ref="A2:D2"/>
  </mergeCells>
  <conditionalFormatting sqref="D5:D18">
    <cfRule type="containsText" priority="2" operator="containsText" aboveAverage="0" equalAverage="0" bottom="0" percent="0" rank="0" text="PASS" dxfId="12">
      <formula>NOT(ISERROR(SEARCH("PASS",D5)))</formula>
    </cfRule>
    <cfRule type="containsText" priority="3" operator="containsText" aboveAverage="0" equalAverage="0" bottom="0" percent="0" rank="0" text="FAIL" dxfId="13">
      <formula>NOT(ISERROR(SEARCH("FAIL",D5)))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20"/>
    <col collapsed="false" customWidth="true" hidden="false" outlineLevel="0" max="4" min="4" style="0" width="43"/>
    <col collapsed="false" customWidth="true" hidden="false" outlineLevel="0" max="6" min="5" style="0" width="12"/>
  </cols>
  <sheetData>
    <row r="1" customFormat="false" ht="32" hidden="false" customHeight="true" outlineLevel="0" collapsed="false">
      <c r="A1" s="1" t="s">
        <v>203</v>
      </c>
      <c r="B1" s="1"/>
      <c r="C1" s="1"/>
      <c r="D1" s="1"/>
      <c r="E1" s="1"/>
      <c r="F1" s="1"/>
    </row>
    <row r="2" customFormat="false" ht="34" hidden="false" customHeight="true" outlineLevel="0" collapsed="false">
      <c r="A2" s="2" t="s">
        <v>204</v>
      </c>
      <c r="B2" s="2"/>
      <c r="C2" s="2"/>
      <c r="D2" s="2"/>
      <c r="E2" s="2"/>
      <c r="F2" s="2"/>
    </row>
    <row r="4" customFormat="false" ht="30" hidden="false" customHeight="true" outlineLevel="0" collapsed="false">
      <c r="A4" s="3" t="s">
        <v>205</v>
      </c>
      <c r="B4" s="4" t="s">
        <v>206</v>
      </c>
      <c r="C4" s="4" t="s">
        <v>207</v>
      </c>
      <c r="D4" s="4" t="s">
        <v>208</v>
      </c>
      <c r="E4" s="4" t="s">
        <v>209</v>
      </c>
      <c r="F4" s="5" t="s">
        <v>210</v>
      </c>
    </row>
    <row r="5" customFormat="false" ht="28" hidden="false" customHeight="true" outlineLevel="0" collapsed="false">
      <c r="A5" s="6" t="s">
        <v>211</v>
      </c>
      <c r="B5" s="7" t="n">
        <v>12</v>
      </c>
      <c r="C5" s="7" t="n">
        <f aca="false">COUNTA('01_Файлы'!$C$5:$C$16)</f>
        <v>12</v>
      </c>
      <c r="D5" s="6" t="s">
        <v>212</v>
      </c>
      <c r="E5" s="6" t="s">
        <v>213</v>
      </c>
      <c r="F5" s="15" t="str">
        <f aca="false">IF(C5=B5,"PASS","FAIL")</f>
        <v>PASS</v>
      </c>
    </row>
    <row r="6" customFormat="false" ht="28" hidden="false" customHeight="true" outlineLevel="0" collapsed="false">
      <c r="A6" s="8" t="s">
        <v>214</v>
      </c>
      <c r="B6" s="9" t="n">
        <v>11</v>
      </c>
      <c r="C6" s="9" t="n">
        <f aca="false">COUNTIF('01_Файлы'!$B$5:$B$16,"&lt;&gt;MANIFEST")</f>
        <v>11</v>
      </c>
      <c r="D6" s="8" t="s">
        <v>215</v>
      </c>
      <c r="E6" s="8" t="s">
        <v>213</v>
      </c>
      <c r="F6" s="19" t="str">
        <f aca="false">IF(C6=B6,"PASS","FAIL")</f>
        <v>PASS</v>
      </c>
    </row>
    <row r="7" customFormat="false" ht="28" hidden="false" customHeight="true" outlineLevel="0" collapsed="false">
      <c r="A7" s="6" t="s">
        <v>216</v>
      </c>
      <c r="B7" s="7" t="n">
        <v>11</v>
      </c>
      <c r="C7" s="7" t="n">
        <f aca="false">COUNTIFS('01_Файлы'!$F$5:$F$16,"&lt;&gt;SELF_NOT_HASHED",'01_Файлы'!$F$5:$F$16,"&lt;&gt;")</f>
        <v>11</v>
      </c>
      <c r="D7" s="6" t="s">
        <v>217</v>
      </c>
      <c r="E7" s="6" t="s">
        <v>213</v>
      </c>
      <c r="F7" s="15" t="str">
        <f aca="false">IF(C7=B7,"PASS","FAIL")</f>
        <v>PASS</v>
      </c>
    </row>
    <row r="8" customFormat="false" ht="28" hidden="false" customHeight="true" outlineLevel="0" collapsed="false">
      <c r="A8" s="8" t="s">
        <v>12</v>
      </c>
      <c r="B8" s="9" t="n">
        <v>6</v>
      </c>
      <c r="C8" s="9" t="n">
        <f aca="false">COUNTIF('01_Файлы'!$B$5:$B$16,"NORMATIVE")</f>
        <v>6</v>
      </c>
      <c r="D8" s="8" t="s">
        <v>218</v>
      </c>
      <c r="E8" s="8" t="s">
        <v>213</v>
      </c>
      <c r="F8" s="19" t="str">
        <f aca="false">IF(C8=B8,"PASS","FAIL")</f>
        <v>PASS</v>
      </c>
    </row>
    <row r="9" customFormat="false" ht="28" hidden="false" customHeight="true" outlineLevel="0" collapsed="false">
      <c r="A9" s="6" t="s">
        <v>14</v>
      </c>
      <c r="B9" s="7" t="n">
        <v>1</v>
      </c>
      <c r="C9" s="7" t="n">
        <f aca="false">COUNTIF('01_Файлы'!$B$5:$B$16,"AUTHORITATIVE_QA")</f>
        <v>1</v>
      </c>
      <c r="D9" s="6" t="s">
        <v>218</v>
      </c>
      <c r="E9" s="6" t="s">
        <v>213</v>
      </c>
      <c r="F9" s="15" t="str">
        <f aca="false">IF(C9=B9,"PASS","FAIL")</f>
        <v>PASS</v>
      </c>
    </row>
    <row r="10" customFormat="false" ht="28" hidden="false" customHeight="true" outlineLevel="0" collapsed="false">
      <c r="A10" s="8" t="s">
        <v>13</v>
      </c>
      <c r="B10" s="9" t="n">
        <v>2</v>
      </c>
      <c r="C10" s="9" t="n">
        <f aca="false">COUNTIF('01_Файлы'!$B$5:$B$16,"IMPLEMENTATION_SPEC")</f>
        <v>2</v>
      </c>
      <c r="D10" s="8" t="s">
        <v>218</v>
      </c>
      <c r="E10" s="8" t="s">
        <v>213</v>
      </c>
      <c r="F10" s="19" t="str">
        <f aca="false">IF(C10=B10,"PASS","FAIL")</f>
        <v>PASS</v>
      </c>
    </row>
    <row r="11" customFormat="false" ht="28" hidden="false" customHeight="true" outlineLevel="0" collapsed="false">
      <c r="A11" s="6" t="s">
        <v>15</v>
      </c>
      <c r="B11" s="7" t="n">
        <v>1</v>
      </c>
      <c r="C11" s="7" t="n">
        <f aca="false">COUNTIF('01_Файлы'!$B$5:$B$16,"DERIVED")</f>
        <v>1</v>
      </c>
      <c r="D11" s="6" t="s">
        <v>218</v>
      </c>
      <c r="E11" s="6" t="s">
        <v>213</v>
      </c>
      <c r="F11" s="15" t="str">
        <f aca="false">IF(C11=B11,"PASS","FAIL")</f>
        <v>PASS</v>
      </c>
    </row>
    <row r="12" customFormat="false" ht="28" hidden="false" customHeight="true" outlineLevel="0" collapsed="false">
      <c r="A12" s="8" t="s">
        <v>16</v>
      </c>
      <c r="B12" s="9" t="n">
        <v>1</v>
      </c>
      <c r="C12" s="9" t="n">
        <f aca="false">COUNTIF('01_Файлы'!$B$5:$B$16,"ASSURANCE")</f>
        <v>1</v>
      </c>
      <c r="D12" s="8" t="s">
        <v>218</v>
      </c>
      <c r="E12" s="8" t="s">
        <v>213</v>
      </c>
      <c r="F12" s="19" t="str">
        <f aca="false">IF(C12=B12,"PASS","FAIL")</f>
        <v>PASS</v>
      </c>
    </row>
    <row r="13" customFormat="false" ht="28" hidden="false" customHeight="true" outlineLevel="0" collapsed="false">
      <c r="A13" s="6" t="s">
        <v>17</v>
      </c>
      <c r="B13" s="7" t="n">
        <v>1</v>
      </c>
      <c r="C13" s="7" t="n">
        <f aca="false">COUNTIF('01_Файлы'!$B$5:$B$16,"MANIFEST")</f>
        <v>1</v>
      </c>
      <c r="D13" s="6" t="s">
        <v>218</v>
      </c>
      <c r="E13" s="6" t="s">
        <v>213</v>
      </c>
      <c r="F13" s="15" t="str">
        <f aca="false">IF(C13=B13,"PASS","FAIL")</f>
        <v>PASS</v>
      </c>
    </row>
    <row r="14" customFormat="false" ht="28" hidden="false" customHeight="true" outlineLevel="0" collapsed="false">
      <c r="A14" s="8" t="s">
        <v>8</v>
      </c>
      <c r="B14" s="9" t="n">
        <v>12</v>
      </c>
      <c r="C14" s="9" t="n">
        <f aca="false">COUNTIF('01_Файлы'!$M$5:$M$16,"PASS")</f>
        <v>12</v>
      </c>
      <c r="D14" s="8" t="s">
        <v>219</v>
      </c>
      <c r="E14" s="8" t="s">
        <v>213</v>
      </c>
      <c r="F14" s="19" t="str">
        <f aca="false">IF(C14=B14,"PASS","FAIL")</f>
        <v>PASS</v>
      </c>
    </row>
    <row r="15" customFormat="false" ht="28" hidden="false" customHeight="true" outlineLevel="0" collapsed="false">
      <c r="A15" s="6" t="s">
        <v>9</v>
      </c>
      <c r="B15" s="7" t="n">
        <v>12</v>
      </c>
      <c r="C15" s="7" t="n">
        <f aca="false">COUNTIF('02_Совместимость'!$H$5:$H$16,"PASS")</f>
        <v>12</v>
      </c>
      <c r="D15" s="6" t="s">
        <v>220</v>
      </c>
      <c r="E15" s="6" t="s">
        <v>213</v>
      </c>
      <c r="F15" s="15" t="str">
        <f aca="false">IF(C15=B15,"PASS","FAIL")</f>
        <v>PASS</v>
      </c>
    </row>
    <row r="16" customFormat="false" ht="28" hidden="false" customHeight="true" outlineLevel="0" collapsed="false">
      <c r="A16" s="8" t="s">
        <v>10</v>
      </c>
      <c r="B16" s="9" t="n">
        <v>12</v>
      </c>
      <c r="C16" s="9" t="n">
        <f aca="false">COUNTIF('03_Состав'!$E$5:$E$16,"PASS")</f>
        <v>12</v>
      </c>
      <c r="D16" s="8" t="s">
        <v>221</v>
      </c>
      <c r="E16" s="8" t="s">
        <v>213</v>
      </c>
      <c r="F16" s="19" t="str">
        <f aca="false">IF(C16=B16,"PASS","FAIL")</f>
        <v>PASS</v>
      </c>
    </row>
    <row r="17" customFormat="false" ht="28" hidden="false" customHeight="true" outlineLevel="0" collapsed="false">
      <c r="A17" s="6" t="s">
        <v>11</v>
      </c>
      <c r="B17" s="7" t="n">
        <v>14</v>
      </c>
      <c r="C17" s="7" t="n">
        <f aca="false">COUNTIF('04_Политика'!$D$5:$D$18,"PASS")</f>
        <v>14</v>
      </c>
      <c r="D17" s="6" t="s">
        <v>222</v>
      </c>
      <c r="E17" s="6" t="s">
        <v>213</v>
      </c>
      <c r="F17" s="15" t="str">
        <f aca="false">IF(C17=B17,"PASS","FAIL")</f>
        <v>PASS</v>
      </c>
    </row>
    <row r="18" customFormat="false" ht="28" hidden="false" customHeight="true" outlineLevel="0" collapsed="false">
      <c r="A18" s="8" t="s">
        <v>223</v>
      </c>
      <c r="B18" s="9" t="n">
        <v>3</v>
      </c>
      <c r="C18" s="9" t="n">
        <f aca="false">COUNTIF('02_Совместимость'!$C$5:$C$16,"FORWARD_COMPAT_ASSERTED")</f>
        <v>3</v>
      </c>
      <c r="D18" s="8" t="s">
        <v>224</v>
      </c>
      <c r="E18" s="8" t="s">
        <v>213</v>
      </c>
      <c r="F18" s="19" t="str">
        <f aca="false">IF(C18=B18,"PASS","FAIL")</f>
        <v>PASS</v>
      </c>
    </row>
    <row r="19" customFormat="false" ht="28" hidden="false" customHeight="true" outlineLevel="0" collapsed="false">
      <c r="A19" s="6" t="s">
        <v>225</v>
      </c>
      <c r="B19" s="7" t="n">
        <v>10</v>
      </c>
      <c r="C19" s="7" t="n">
        <f aca="false">COUNTIF('01_Файлы'!$M$5:$M$14,"PASS")</f>
        <v>10</v>
      </c>
      <c r="D19" s="6" t="s">
        <v>226</v>
      </c>
      <c r="E19" s="6" t="s">
        <v>213</v>
      </c>
      <c r="F19" s="15" t="str">
        <f aca="false">IF(C19=B19,"PASS","FAIL")</f>
        <v>PASS</v>
      </c>
    </row>
    <row r="20" customFormat="false" ht="28" hidden="false" customHeight="true" outlineLevel="0" collapsed="false">
      <c r="A20" s="8" t="s">
        <v>227</v>
      </c>
      <c r="B20" s="9" t="n">
        <v>64</v>
      </c>
      <c r="C20" s="9" t="n">
        <f aca="false">LEN('01_Файлы'!F15)</f>
        <v>64</v>
      </c>
      <c r="D20" s="8" t="s">
        <v>228</v>
      </c>
      <c r="E20" s="8" t="s">
        <v>213</v>
      </c>
      <c r="F20" s="19" t="str">
        <f aca="false">IF(C20=B20,"PASS","FAIL")</f>
        <v>PASS</v>
      </c>
    </row>
    <row r="21" customFormat="false" ht="28" hidden="false" customHeight="true" outlineLevel="0" collapsed="false">
      <c r="A21" s="6" t="s">
        <v>229</v>
      </c>
      <c r="B21" s="7" t="n">
        <v>17051280</v>
      </c>
      <c r="C21" s="7" t="n">
        <f aca="false">'01_Файлы'!E14</f>
        <v>17051280</v>
      </c>
      <c r="D21" s="6" t="s">
        <v>230</v>
      </c>
      <c r="E21" s="6" t="s">
        <v>213</v>
      </c>
      <c r="F21" s="15" t="str">
        <f aca="false">IF(C21=B21,"PASS","FAIL")</f>
        <v>PASS</v>
      </c>
    </row>
    <row r="22" customFormat="false" ht="28" hidden="false" customHeight="true" outlineLevel="0" collapsed="false">
      <c r="A22" s="8" t="s">
        <v>231</v>
      </c>
      <c r="B22" s="9" t="s">
        <v>75</v>
      </c>
      <c r="C22" s="9" t="str">
        <f aca="false">'01_Файлы'!F14</f>
        <v>614f0da1c3128aebbb28d67a68a89ccd189a067c57d407c92536425e46072cdc</v>
      </c>
      <c r="D22" s="8" t="s">
        <v>232</v>
      </c>
      <c r="E22" s="8" t="s">
        <v>213</v>
      </c>
      <c r="F22" s="19" t="str">
        <f aca="false">IF(C22=B22,"PASS","FAIL")</f>
        <v>PASS</v>
      </c>
    </row>
    <row r="23" customFormat="false" ht="28" hidden="false" customHeight="true" outlineLevel="0" collapsed="false">
      <c r="A23" s="6" t="s">
        <v>20</v>
      </c>
      <c r="B23" s="7" t="n">
        <v>27</v>
      </c>
      <c r="C23" s="7" t="n">
        <v>27</v>
      </c>
      <c r="D23" s="6" t="s">
        <v>233</v>
      </c>
      <c r="E23" s="6" t="s">
        <v>213</v>
      </c>
      <c r="F23" s="15" t="str">
        <f aca="false">IF(C23=B23,"PASS","FAIL")</f>
        <v>PASS</v>
      </c>
    </row>
    <row r="24" customFormat="false" ht="28" hidden="false" customHeight="true" outlineLevel="0" collapsed="false">
      <c r="A24" s="8" t="s">
        <v>234</v>
      </c>
      <c r="B24" s="9" t="n">
        <v>444</v>
      </c>
      <c r="C24" s="9" t="n">
        <v>444</v>
      </c>
      <c r="D24" s="8" t="s">
        <v>235</v>
      </c>
      <c r="E24" s="8" t="s">
        <v>213</v>
      </c>
      <c r="F24" s="19" t="str">
        <f aca="false">IF(C24=B24,"PASS","FAIL")</f>
        <v>PASS</v>
      </c>
    </row>
    <row r="25" customFormat="false" ht="28" hidden="false" customHeight="true" outlineLevel="0" collapsed="false">
      <c r="A25" s="6" t="s">
        <v>236</v>
      </c>
      <c r="B25" s="7" t="n">
        <v>410</v>
      </c>
      <c r="C25" s="7" t="n">
        <v>410</v>
      </c>
      <c r="D25" s="6" t="s">
        <v>235</v>
      </c>
      <c r="E25" s="6" t="s">
        <v>213</v>
      </c>
      <c r="F25" s="15" t="str">
        <f aca="false">IF(C25=B25,"PASS","FAIL")</f>
        <v>PASS</v>
      </c>
    </row>
    <row r="26" customFormat="false" ht="28" hidden="false" customHeight="true" outlineLevel="0" collapsed="false">
      <c r="A26" s="8" t="s">
        <v>21</v>
      </c>
      <c r="B26" s="9" t="n">
        <v>279</v>
      </c>
      <c r="C26" s="9" t="n">
        <v>279</v>
      </c>
      <c r="D26" s="8" t="s">
        <v>237</v>
      </c>
      <c r="E26" s="8" t="s">
        <v>213</v>
      </c>
      <c r="F26" s="19" t="str">
        <f aca="false">IF(C26=B26,"PASS","FAIL")</f>
        <v>PASS</v>
      </c>
    </row>
    <row r="27" customFormat="false" ht="28" hidden="false" customHeight="true" outlineLevel="0" collapsed="false">
      <c r="A27" s="6" t="s">
        <v>238</v>
      </c>
      <c r="B27" s="7" t="n">
        <v>355</v>
      </c>
      <c r="C27" s="7" t="n">
        <v>355</v>
      </c>
      <c r="D27" s="6" t="s">
        <v>239</v>
      </c>
      <c r="E27" s="6" t="s">
        <v>213</v>
      </c>
      <c r="F27" s="15" t="str">
        <f aca="false">IF(C27=B27,"PASS","FAIL")</f>
        <v>PASS</v>
      </c>
    </row>
    <row r="28" customFormat="false" ht="28" hidden="false" customHeight="true" outlineLevel="0" collapsed="false">
      <c r="A28" s="8" t="s">
        <v>240</v>
      </c>
      <c r="B28" s="9" t="n">
        <v>0</v>
      </c>
      <c r="C28" s="9" t="n">
        <v>0</v>
      </c>
      <c r="D28" s="8" t="s">
        <v>241</v>
      </c>
      <c r="E28" s="8" t="s">
        <v>213</v>
      </c>
      <c r="F28" s="19" t="str">
        <f aca="false">IF(C28=B28,"PASS","FAIL")</f>
        <v>PASS</v>
      </c>
    </row>
    <row r="29" customFormat="false" ht="28" hidden="false" customHeight="true" outlineLevel="0" collapsed="false">
      <c r="A29" s="6" t="s">
        <v>242</v>
      </c>
      <c r="B29" s="7" t="n">
        <v>0</v>
      </c>
      <c r="C29" s="7" t="n">
        <v>0</v>
      </c>
      <c r="D29" s="6" t="s">
        <v>243</v>
      </c>
      <c r="E29" s="6" t="s">
        <v>213</v>
      </c>
      <c r="F29" s="15" t="str">
        <f aca="false">IF(C29=B29,"PASS","FAIL")</f>
        <v>PASS</v>
      </c>
    </row>
    <row r="30" customFormat="false" ht="15" hidden="false" customHeight="false" outlineLevel="0" collapsed="false">
      <c r="A30" s="10" t="s">
        <v>244</v>
      </c>
      <c r="B30" s="10"/>
      <c r="C30" s="10"/>
      <c r="D30" s="10"/>
      <c r="E30" s="10"/>
      <c r="F30" s="10" t="str">
        <f aca="false">IF(COUNTIF($F$5:$F$29,"&lt;&gt;PASS")=0,"PASS","FAIL")</f>
        <v>PASS</v>
      </c>
    </row>
  </sheetData>
  <mergeCells count="3">
    <mergeCell ref="A1:F1"/>
    <mergeCell ref="A2:F2"/>
    <mergeCell ref="A30:E30"/>
  </mergeCells>
  <conditionalFormatting sqref="F5:F29">
    <cfRule type="containsText" priority="2" operator="containsText" aboveAverage="0" equalAverage="0" bottom="0" percent="0" rank="0" text="PASS" dxfId="14">
      <formula>NOT(ISERROR(SEARCH("PASS",F5)))</formula>
    </cfRule>
    <cfRule type="containsText" priority="3" operator="containsText" aboveAverage="0" equalAverage="0" bottom="0" percent="0" rank="0" text="FAIL" dxfId="15">
      <formula>NOT(ISERROR(SEARCH("FAIL",F5)))</formula>
    </cfRule>
  </conditionalFormatting>
  <conditionalFormatting sqref="F30">
    <cfRule type="containsText" priority="4" operator="containsText" aboveAverage="0" equalAverage="0" bottom="0" percent="0" rank="0" text="PASS" dxfId="16">
      <formula>NOT(ISERROR(SEARCH("PASS",F30)))</formula>
    </cfRule>
    <cfRule type="containsText" priority="5" operator="containsText" aboveAverage="0" equalAverage="0" bottom="0" percent="0" rank="0" text="FAIL" dxfId="17">
      <formula>NOT(ISERROR(SEARCH("FAIL",F30)))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2"/>
    <col collapsed="false" customWidth="true" hidden="false" outlineLevel="0" max="4" min="3" style="0" width="19"/>
    <col collapsed="false" customWidth="true" hidden="false" outlineLevel="0" max="5" min="5" style="0" width="69"/>
    <col collapsed="false" customWidth="true" hidden="false" outlineLevel="0" max="6" min="6" style="0" width="12"/>
  </cols>
  <sheetData>
    <row r="1" customFormat="false" ht="32" hidden="false" customHeight="true" outlineLevel="0" collapsed="false">
      <c r="A1" s="1" t="s">
        <v>245</v>
      </c>
      <c r="B1" s="1"/>
      <c r="C1" s="1"/>
      <c r="D1" s="1"/>
      <c r="E1" s="1"/>
      <c r="F1" s="1"/>
    </row>
    <row r="2" customFormat="false" ht="34" hidden="false" customHeight="true" outlineLevel="0" collapsed="false">
      <c r="A2" s="2" t="s">
        <v>246</v>
      </c>
      <c r="B2" s="2"/>
      <c r="C2" s="2"/>
      <c r="D2" s="2"/>
      <c r="E2" s="2"/>
      <c r="F2" s="2"/>
    </row>
    <row r="4" customFormat="false" ht="30" hidden="false" customHeight="true" outlineLevel="0" collapsed="false">
      <c r="A4" s="3" t="s">
        <v>25</v>
      </c>
      <c r="B4" s="4" t="s">
        <v>89</v>
      </c>
      <c r="C4" s="4" t="s">
        <v>247</v>
      </c>
      <c r="D4" s="4" t="s">
        <v>248</v>
      </c>
      <c r="E4" s="4" t="s">
        <v>249</v>
      </c>
      <c r="F4" s="5" t="s">
        <v>5</v>
      </c>
    </row>
    <row r="5" customFormat="false" ht="42" hidden="false" customHeight="true" outlineLevel="0" collapsed="false">
      <c r="A5" s="12" t="n">
        <v>1</v>
      </c>
      <c r="B5" s="6" t="s">
        <v>250</v>
      </c>
      <c r="C5" s="6" t="s">
        <v>251</v>
      </c>
      <c r="D5" s="6" t="s">
        <v>38</v>
      </c>
      <c r="E5" s="6" t="s">
        <v>252</v>
      </c>
      <c r="F5" s="15" t="str">
        <f aca="false">IF(AND(A5&lt;&gt;"",B5&lt;&gt;"",C5&lt;&gt;"",D5&lt;&gt;"",E5&lt;&gt;""),"PASS","FAIL")</f>
        <v>PASS</v>
      </c>
    </row>
    <row r="6" customFormat="false" ht="42" hidden="false" customHeight="true" outlineLevel="0" collapsed="false">
      <c r="A6" s="16" t="n">
        <v>2</v>
      </c>
      <c r="B6" s="8" t="s">
        <v>253</v>
      </c>
      <c r="C6" s="8" t="s">
        <v>66</v>
      </c>
      <c r="D6" s="8" t="s">
        <v>44</v>
      </c>
      <c r="E6" s="8" t="s">
        <v>254</v>
      </c>
      <c r="F6" s="19" t="str">
        <f aca="false">IF(AND(A6&lt;&gt;"",B6&lt;&gt;"",C6&lt;&gt;"",D6&lt;&gt;"",E6&lt;&gt;""),"PASS","FAIL")</f>
        <v>PASS</v>
      </c>
    </row>
    <row r="7" customFormat="false" ht="42" hidden="false" customHeight="true" outlineLevel="0" collapsed="false">
      <c r="A7" s="12" t="n">
        <v>3</v>
      </c>
      <c r="B7" s="6" t="s">
        <v>255</v>
      </c>
      <c r="C7" s="6" t="s">
        <v>256</v>
      </c>
      <c r="D7" s="6" t="s">
        <v>47</v>
      </c>
      <c r="E7" s="6" t="s">
        <v>257</v>
      </c>
      <c r="F7" s="15" t="str">
        <f aca="false">IF(AND(A7&lt;&gt;"",B7&lt;&gt;"",C7&lt;&gt;"",D7&lt;&gt;"",E7&lt;&gt;""),"PASS","FAIL")</f>
        <v>PASS</v>
      </c>
    </row>
    <row r="8" customFormat="false" ht="42" hidden="false" customHeight="true" outlineLevel="0" collapsed="false">
      <c r="A8" s="16" t="n">
        <v>4</v>
      </c>
      <c r="B8" s="8" t="s">
        <v>258</v>
      </c>
      <c r="C8" s="8" t="s">
        <v>44</v>
      </c>
      <c r="D8" s="8" t="s">
        <v>259</v>
      </c>
      <c r="E8" s="8" t="s">
        <v>260</v>
      </c>
      <c r="F8" s="19" t="str">
        <f aca="false">IF(AND(A8&lt;&gt;"",B8&lt;&gt;"",C8&lt;&gt;"",D8&lt;&gt;"",E8&lt;&gt;""),"PASS","FAIL")</f>
        <v>PASS</v>
      </c>
    </row>
    <row r="9" customFormat="false" ht="42" hidden="false" customHeight="true" outlineLevel="0" collapsed="false">
      <c r="A9" s="12" t="n">
        <v>5</v>
      </c>
      <c r="B9" s="6" t="s">
        <v>261</v>
      </c>
      <c r="C9" s="6" t="s">
        <v>262</v>
      </c>
      <c r="D9" s="6" t="s">
        <v>56</v>
      </c>
      <c r="E9" s="6" t="s">
        <v>263</v>
      </c>
      <c r="F9" s="15" t="str">
        <f aca="false">IF(AND(A9&lt;&gt;"",B9&lt;&gt;"",C9&lt;&gt;"",D9&lt;&gt;"",E9&lt;&gt;""),"PASS","FAIL")</f>
        <v>PASS</v>
      </c>
    </row>
    <row r="10" customFormat="false" ht="42" hidden="false" customHeight="true" outlineLevel="0" collapsed="false">
      <c r="A10" s="16" t="n">
        <v>6</v>
      </c>
      <c r="B10" s="8" t="s">
        <v>264</v>
      </c>
      <c r="C10" s="8" t="s">
        <v>44</v>
      </c>
      <c r="D10" s="8" t="s">
        <v>259</v>
      </c>
      <c r="E10" s="8" t="s">
        <v>265</v>
      </c>
      <c r="F10" s="19" t="str">
        <f aca="false">IF(AND(A10&lt;&gt;"",B10&lt;&gt;"",C10&lt;&gt;"",D10&lt;&gt;"",E10&lt;&gt;""),"PASS","FAIL")</f>
        <v>PASS</v>
      </c>
    </row>
    <row r="11" customFormat="false" ht="42" hidden="false" customHeight="true" outlineLevel="0" collapsed="false">
      <c r="A11" s="12" t="n">
        <v>7</v>
      </c>
      <c r="B11" s="6" t="s">
        <v>266</v>
      </c>
      <c r="C11" s="6" t="s">
        <v>66</v>
      </c>
      <c r="D11" s="6" t="s">
        <v>44</v>
      </c>
      <c r="E11" s="6" t="s">
        <v>107</v>
      </c>
      <c r="F11" s="15" t="str">
        <f aca="false">IF(AND(A11&lt;&gt;"",B11&lt;&gt;"",C11&lt;&gt;"",D11&lt;&gt;"",E11&lt;&gt;""),"PASS","FAIL")</f>
        <v>PASS</v>
      </c>
    </row>
    <row r="12" customFormat="false" ht="42" hidden="false" customHeight="true" outlineLevel="0" collapsed="false">
      <c r="A12" s="16" t="n">
        <v>8</v>
      </c>
      <c r="B12" s="8" t="s">
        <v>267</v>
      </c>
      <c r="C12" s="8" t="s">
        <v>268</v>
      </c>
      <c r="D12" s="8" t="s">
        <v>66</v>
      </c>
      <c r="E12" s="8" t="s">
        <v>269</v>
      </c>
      <c r="F12" s="19" t="str">
        <f aca="false">IF(AND(A12&lt;&gt;"",B12&lt;&gt;"",C12&lt;&gt;"",D12&lt;&gt;"",E12&lt;&gt;""),"PASS","FAIL")</f>
        <v>PASS</v>
      </c>
    </row>
    <row r="13" customFormat="false" ht="42" hidden="false" customHeight="true" outlineLevel="0" collapsed="false">
      <c r="A13" s="12" t="n">
        <v>9</v>
      </c>
      <c r="B13" s="6" t="s">
        <v>270</v>
      </c>
      <c r="C13" s="6" t="s">
        <v>268</v>
      </c>
      <c r="D13" s="6" t="s">
        <v>66</v>
      </c>
      <c r="E13" s="6" t="s">
        <v>271</v>
      </c>
      <c r="F13" s="15" t="str">
        <f aca="false">IF(AND(A13&lt;&gt;"",B13&lt;&gt;"",C13&lt;&gt;"",D13&lt;&gt;"",E13&lt;&gt;""),"PASS","FAIL")</f>
        <v>PASS</v>
      </c>
    </row>
    <row r="14" customFormat="false" ht="42" hidden="false" customHeight="true" outlineLevel="0" collapsed="false">
      <c r="A14" s="16" t="n">
        <v>10</v>
      </c>
      <c r="B14" s="8" t="s">
        <v>272</v>
      </c>
      <c r="C14" s="8" t="s">
        <v>44</v>
      </c>
      <c r="D14" s="8" t="s">
        <v>259</v>
      </c>
      <c r="E14" s="8" t="s">
        <v>273</v>
      </c>
      <c r="F14" s="19" t="str">
        <f aca="false">IF(AND(A14&lt;&gt;"",B14&lt;&gt;"",C14&lt;&gt;"",D14&lt;&gt;"",E14&lt;&gt;""),"PASS","FAIL")</f>
        <v>PASS</v>
      </c>
    </row>
    <row r="15" customFormat="false" ht="42" hidden="false" customHeight="true" outlineLevel="0" collapsed="false">
      <c r="A15" s="12" t="n">
        <v>11</v>
      </c>
      <c r="B15" s="6" t="s">
        <v>274</v>
      </c>
      <c r="C15" s="6" t="s">
        <v>66</v>
      </c>
      <c r="D15" s="6" t="s">
        <v>44</v>
      </c>
      <c r="E15" s="6" t="s">
        <v>275</v>
      </c>
      <c r="F15" s="15" t="str">
        <f aca="false">IF(AND(A15&lt;&gt;"",B15&lt;&gt;"",C15&lt;&gt;"",D15&lt;&gt;"",E15&lt;&gt;""),"PASS","FAIL")</f>
        <v>PASS</v>
      </c>
    </row>
    <row r="16" customFormat="false" ht="42" hidden="false" customHeight="true" outlineLevel="0" collapsed="false">
      <c r="A16" s="16" t="n">
        <v>12</v>
      </c>
      <c r="B16" s="8" t="s">
        <v>276</v>
      </c>
      <c r="C16" s="8" t="s">
        <v>277</v>
      </c>
      <c r="D16" s="8" t="s">
        <v>44</v>
      </c>
      <c r="E16" s="8" t="s">
        <v>278</v>
      </c>
      <c r="F16" s="19" t="str">
        <f aca="false">IF(AND(A16&lt;&gt;"",B16&lt;&gt;"",C16&lt;&gt;"",D16&lt;&gt;"",E16&lt;&gt;""),"PASS","FAIL")</f>
        <v>PASS</v>
      </c>
    </row>
  </sheetData>
  <mergeCells count="2">
    <mergeCell ref="A1:F1"/>
    <mergeCell ref="A2:F2"/>
  </mergeCells>
  <conditionalFormatting sqref="F5:F16">
    <cfRule type="containsText" priority="2" operator="containsText" aboveAverage="0" equalAverage="0" bottom="0" percent="0" rank="0" text="PASS" dxfId="18">
      <formula>NOT(ISERROR(SEARCH("PASS",F5)))</formula>
    </cfRule>
    <cfRule type="containsText" priority="3" operator="containsText" aboveAverage="0" equalAverage="0" bottom="0" percent="0" rank="0" text="FAIL" dxfId="19">
      <formula>NOT(ISERROR(SEARCH("FAIL",F5)))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LibreOfficeDev/26.8.0.0.alpha0$Linux_X86_64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