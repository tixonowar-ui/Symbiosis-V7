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6.xml" ContentType="application/vnd.openxmlformats-officedocument.spreadsheetml.table+xml"/>
  <Override PartName="/xl/tables/table19.xml" ContentType="application/vnd.openxmlformats-officedocument.spreadsheetml.table+xml"/>
  <Override PartName="/xl/tables/table18.xml" ContentType="application/vnd.openxmlformats-officedocument.spreadsheetml.table+xml"/>
  <Override PartName="/xl/tables/table22.xml" ContentType="application/vnd.openxmlformats-officedocument.spreadsheetml.table+xml"/>
  <Override PartName="/xl/tables/table5.xml" ContentType="application/vnd.openxmlformats-officedocument.spreadsheetml.table+xml"/>
  <Override PartName="/xl/tables/table16.xml" ContentType="application/vnd.openxmlformats-officedocument.spreadsheetml.table+xml"/>
  <Override PartName="/xl/tables/table3.xml" ContentType="application/vnd.openxmlformats-officedocument.spreadsheetml.table+xml"/>
  <Override PartName="/xl/tables/table20.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4.xml" ContentType="application/vnd.openxmlformats-officedocument.spreadsheetml.table+xml"/>
  <Override PartName="/xl/tables/table4.xml" ContentType="application/vnd.openxmlformats-officedocument.spreadsheetml.table+xml"/>
  <Override PartName="/xl/tables/table21.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17.xml" ContentType="application/vnd.openxmlformats-officedocument.spreadsheetml.table+xml"/>
  <Override PartName="/xl/tables/table11.xml" ContentType="application/vnd.openxmlformats-officedocument.spreadsheetml.table+xml"/>
  <Override PartName="/xl/tables/table15.xml" ContentType="application/vnd.openxmlformats-officedocument.spreadsheetml.table+xml"/>
  <Override PartName="/xl/tables/table2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Паспорт" sheetId="1" state="visible" r:id="rId3"/>
    <sheet name="01_Семейства" sheetId="2" state="visible" r:id="rId4"/>
    <sheet name="02_Типы_эффектов" sheetId="3" state="visible" r:id="rId5"/>
    <sheet name="03_Болезни" sheetId="4" state="visible" r:id="rId6"/>
    <sheet name="04_Яды" sheetId="5" state="visible" r:id="rId7"/>
    <sheet name="05_Травмы_и_раны" sheetId="6" state="visible" r:id="rId8"/>
    <sheet name="06_Карта_источников" sheetId="7" state="visible" r:id="rId9"/>
    <sheet name="07_Правила_сочетаний" sheetId="8" state="visible" r:id="rId10"/>
    <sheet name="08_Матрица_семейств" sheetId="9" state="visible" r:id="rId11"/>
    <sheet name="09_Профили_дееспособности" sheetId="10" state="visible" r:id="rId12"/>
    <sheet name="10_Иммунитеты" sheetId="11" state="visible" r:id="rId13"/>
    <sheet name="11_Таймеры_порядок" sheetId="12" state="visible" r:id="rId14"/>
    <sheet name="12_Runtime_контракты" sheetId="13" state="visible" r:id="rId15"/>
    <sheet name="13_Операции" sheetId="14" state="visible" r:id="rId16"/>
    <sheet name="14_Пробелы_и_решения" sheetId="15" state="visible" r:id="rId17"/>
    <sheet name="15_Трассировка" sheetId="16" state="visible" r:id="rId18"/>
    <sheet name="16_QA" sheetId="17" state="visible" r:id="rId19"/>
    <sheet name="17_Справочники" sheetId="18" state="visible" r:id="rId20"/>
    <sheet name="18_Payload_JSON" sheetId="19" state="visible" r:id="rId21"/>
    <sheet name="19_Зависимости" sheetId="20" state="visible" r:id="rId22"/>
    <sheet name="20_Контроль" sheetId="21" state="visible" r:id="rId23"/>
    <sheet name="21_Изменения_v1.0" sheetId="22" state="visible" r:id="rId24"/>
    <sheet name="22_Изменения_v1.1" sheetId="23" state="visible" r:id="rId25"/>
    <sheet name="23_Изменения_v1.2" sheetId="24" state="visible" r:id="rId2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<sst xmlns="http://schemas.openxmlformats.org/spreadsheetml/2006/main" count="13693" uniqueCount="6598">
  <si>
    <t xml:space="preserve">SYMBIOSIS V7 — Effects &amp; Diseases Registry v1.2</t>
  </si>
  <si>
    <t xml:space="preserve">Дополняющий реестр состояний, сочетаний и runtime-схем • 2026-07-31 • окончательные решения по COMB-031 и GAP-030</t>
  </si>
  <si>
    <t xml:space="preserve">Параметр</t>
  </si>
  <si>
    <t xml:space="preserve">Значение</t>
  </si>
  <si>
    <t xml:space="preserve">Статус</t>
  </si>
  <si>
    <t xml:space="preserve">Примечание</t>
  </si>
  <si>
    <t xml:space="preserve">Версия</t>
  </si>
  <si>
    <t xml:space="preserve">v1.2</t>
  </si>
  <si>
    <t xml:space="preserve">PASS</t>
  </si>
  <si>
    <t xml:space="preserve">Семейств</t>
  </si>
  <si>
    <t xml:space="preserve">Типов эффектов</t>
  </si>
  <si>
    <t xml:space="preserve">Стабильные supplemental ID: 66 моделируемых типов + 1 явная граница NOT_MODELED</t>
  </si>
  <si>
    <t xml:space="preserve">Болезней</t>
  </si>
  <si>
    <t xml:space="preserve">Профилей ядов</t>
  </si>
  <si>
    <t xml:space="preserve">Травм/ран</t>
  </si>
  <si>
    <t xml:space="preserve">Неполные модели помечены явно</t>
  </si>
  <si>
    <t xml:space="preserve">Правил сочетаний</t>
  </si>
  <si>
    <t xml:space="preserve">Пар в матрице</t>
  </si>
  <si>
    <t xml:space="preserve">QA</t>
  </si>
  <si>
    <t xml:space="preserve">98/98 PASS</t>
  </si>
  <si>
    <t xml:space="preserve">Все исходные и новые сценарии пройдены</t>
  </si>
  <si>
    <t xml:space="preserve">Rules source index</t>
  </si>
  <si>
    <t xml:space="preserve">Payload JSON</t>
  </si>
  <si>
    <t xml:space="preserve">Baseline files</t>
  </si>
  <si>
    <t xml:space="preserve">Байты согласованных файлов не меняются</t>
  </si>
  <si>
    <t xml:space="preserve">Роль</t>
  </si>
  <si>
    <t xml:space="preserve">SUPPLEMENTAL_NORMATIVE_REGISTRY</t>
  </si>
  <si>
    <t xml:space="preserve">Manifest v1.1</t>
  </si>
  <si>
    <t xml:space="preserve">NOT_MODIFIED</t>
  </si>
  <si>
    <t xml:space="preserve">Baseline tuple</t>
  </si>
  <si>
    <t xml:space="preserve">Rules v1.6 | Character-Skills-Symbionts v1.1 | Items v1.5_with_icons | Bestiary v1.3 | Sentient v1.2</t>
  </si>
  <si>
    <t xml:space="preserve">Реестр не включён задним числом в согласованный манифест</t>
  </si>
  <si>
    <t xml:space="preserve">Неразрешённые GAP</t>
  </si>
  <si>
    <t xml:space="preserve">Прочие локальные ветви</t>
  </si>
  <si>
    <t xml:space="preserve">Нарративный текст</t>
  </si>
  <si>
    <t xml:space="preserve">NO_MECHANICAL_EFFECT</t>
  </si>
  <si>
    <t xml:space="preserve">Все авторские развилки закрыты; слепота явно исключена из модели приложения</t>
  </si>
  <si>
    <t xml:space="preserve">Итог</t>
  </si>
  <si>
    <t xml:space="preserve">READY_AS_SUPPLEMENT_V1.2</t>
  </si>
  <si>
    <t xml:space="preserve">Формат</t>
  </si>
  <si>
    <t xml:space="preserve">XLSX</t>
  </si>
  <si>
    <t xml:space="preserve">Дата</t>
  </si>
  <si>
    <t xml:space="preserve">2026-07-31</t>
  </si>
  <si>
    <t xml:space="preserve">Единый машинно-читаемый контракт</t>
  </si>
  <si>
    <t xml:space="preserve">Нормативные границы</t>
  </si>
  <si>
    <t xml:space="preserve">1</t>
  </si>
  <si>
    <t xml:space="preserve">Все девять файлов базовой линии являются неизменяемыми согласованными входами.</t>
  </si>
  <si>
    <t xml:space="preserve">2</t>
  </si>
  <si>
    <t xml:space="preserve">Этот реестр вводит ID, схему экземпляра и разрешители сочетаний, но не переписывает исходные Rule ID.</t>
  </si>
  <si>
    <t xml:space="preserve">3</t>
  </si>
  <si>
    <t xml:space="preserve">При расхождении приоритет имеет конкретная карточка согласованного Rules/Q&amp;A; строка source index служит навигацией.</t>
  </si>
  <si>
    <t xml:space="preserve">4</t>
  </si>
  <si>
    <t xml:space="preserve">Авторских решений не требуется; NOT_MODELED является явной границей приложения, а не незакрытым GAP.</t>
  </si>
  <si>
    <t xml:space="preserve">Семейства состояний</t>
  </si>
  <si>
    <t xml:space="preserve">Закрытый уровень классификации для матрицы сочетаний. Он не заменяет конкретные EffectTypeID и частные Rule ID.</t>
  </si>
  <si>
    <t xml:space="preserve">FamilyCode</t>
  </si>
  <si>
    <t xml:space="preserve">Название</t>
  </si>
  <si>
    <t xml:space="preserve">Область</t>
  </si>
  <si>
    <t xml:space="preserve">State bucket</t>
  </si>
  <si>
    <t xml:space="preserve">Композиция по умолчанию</t>
  </si>
  <si>
    <t xml:space="preserve">Стадия ответа</t>
  </si>
  <si>
    <t xml:space="preserve">Rule refs</t>
  </si>
  <si>
    <t xml:space="preserve">ID count</t>
  </si>
  <si>
    <t xml:space="preserve">FAM-LIFECYCLE</t>
  </si>
  <si>
    <t xml:space="preserve">Жизненный цикл</t>
  </si>
  <si>
    <t xml:space="preserve">Тяжёлое ранение, таймер смерти, окончательная смерть</t>
  </si>
  <si>
    <t xml:space="preserve">actorFlags / currentEffects</t>
  </si>
  <si>
    <t xml:space="preserve">TERMINAL_OR_SOURCE_SPECIFIC</t>
  </si>
  <si>
    <t xml:space="preserve">AFTER_DAMAGE_RECALC</t>
  </si>
  <si>
    <t xml:space="preserve">CORE-152–156; CORE-182; CORE-222</t>
  </si>
  <si>
    <t xml:space="preserve">FAM-CONSCIOUSNESS</t>
  </si>
  <si>
    <t xml:space="preserve">Сознание</t>
  </si>
  <si>
    <t xml:space="preserve">Бессознательность и сон</t>
  </si>
  <si>
    <t xml:space="preserve">RESTRICTIONS_UNION</t>
  </si>
  <si>
    <t xml:space="preserve">AFTER_EACH_CONSEQUENCE</t>
  </si>
  <si>
    <t xml:space="preserve">CORE-061; CORE-103; MON-075</t>
  </si>
  <si>
    <t xml:space="preserve">FAM-PHYSICAL_CONTROL</t>
  </si>
  <si>
    <t xml:space="preserve">Физический контроль</t>
  </si>
  <si>
    <t xml:space="preserve">Паралич, оглушение, захват, удержание, опутывание, кокон</t>
  </si>
  <si>
    <t xml:space="preserve">currentEffects</t>
  </si>
  <si>
    <t xml:space="preserve">RESTRICTIONS_UNION; MAX_ACTION_PENALTY; SOURCES_INDEPENDENT</t>
  </si>
  <si>
    <t xml:space="preserve">BEFORE_APPLY_CONTROL</t>
  </si>
  <si>
    <t xml:space="preserve">CORE-103; CORE-138; CORE-141; CORE-143–144</t>
  </si>
  <si>
    <t xml:space="preserve">FAM-MENTAL_CONTROL</t>
  </si>
  <si>
    <t xml:space="preserve">Ментальный контроль</t>
  </si>
  <si>
    <t xml:space="preserve">Принуждение, бегство, внешний контроллер</t>
  </si>
  <si>
    <t xml:space="preserve">currentEffects / controlLease</t>
  </si>
  <si>
    <t xml:space="preserve">ONE_EFFECTIVE_CONTROLLER_BY_PRIORITY</t>
  </si>
  <si>
    <t xml:space="preserve">CORE-178; CORE-181; CORE-221; MON-038</t>
  </si>
  <si>
    <t xml:space="preserve">FAM-MOBILITY_POSITION</t>
  </si>
  <si>
    <t xml:space="preserve">Положение и мобильность</t>
  </si>
  <si>
    <t xml:space="preserve">Сбит с ног, выгодная позиция, вынужденное перемещение</t>
  </si>
  <si>
    <t xml:space="preserve">COMMAND_FILTER</t>
  </si>
  <si>
    <t xml:space="preserve">CORE-138–144; MON-165</t>
  </si>
  <si>
    <t xml:space="preserve">FAM-ACTION_ECONOMY</t>
  </si>
  <si>
    <t xml:space="preserve">Действия и серия</t>
  </si>
  <si>
    <t xml:space="preserve">Бонусы и штрафы действий, пропуск хода, следующий ход/серия</t>
  </si>
  <si>
    <t xml:space="preserve">SOURCE_SPECIFIC; MIN_ZERO</t>
  </si>
  <si>
    <t xml:space="preserve">TURN_START_OR_CONSUME</t>
  </si>
  <si>
    <t xml:space="preserve">CORE-031; CORE-043–048; CORE-070; MON-150; MON-160</t>
  </si>
  <si>
    <t xml:space="preserve">FAM-TRAUMA</t>
  </si>
  <si>
    <t xml:space="preserve">Травмы</t>
  </si>
  <si>
    <t xml:space="preserve">Зональные травмы и отключение конечности</t>
  </si>
  <si>
    <t xml:space="preserve">currentTraumas / derivedProjection</t>
  </si>
  <si>
    <t xml:space="preserve">SAME_ZONE_ADDITIVE; DIFFERENT_ZONE_INDEPENDENT</t>
  </si>
  <si>
    <t xml:space="preserve">AFTER_ACTUAL_DAMAGE</t>
  </si>
  <si>
    <t xml:space="preserve">CORE-117; CORE-119–121</t>
  </si>
  <si>
    <t xml:space="preserve">FAM-WOUND_BLEEDING</t>
  </si>
  <si>
    <t xml:space="preserve">Раны и кровотечения</t>
  </si>
  <si>
    <t xml:space="preserve">Формализованная рана, кровотечение и профилактика через рану</t>
  </si>
  <si>
    <t xml:space="preserve">currentWounds</t>
  </si>
  <si>
    <t xml:space="preserve">PER_EVENT_PER_REGION; BLEEDING_PER_WOUND</t>
  </si>
  <si>
    <t xml:space="preserve">SOURCE_SPECIFIC</t>
  </si>
  <si>
    <t xml:space="preserve">CORE-059; CORE-063</t>
  </si>
  <si>
    <t xml:space="preserve">FAM-DISEASE</t>
  </si>
  <si>
    <t xml:space="preserve">Болезни</t>
  </si>
  <si>
    <t xml:space="preserve">Назначенные мастером заболевания и их модификаторы</t>
  </si>
  <si>
    <t xml:space="preserve">SAME_DISEASE_NO_STACK; DIFFERENT_DISEASE_ADD</t>
  </si>
  <si>
    <t xml:space="preserve">ASSIGN_REMOVE_RECALC</t>
  </si>
  <si>
    <t xml:space="preserve">MON-075–087; CQA-060</t>
  </si>
  <si>
    <t xml:space="preserve">FAM-POISON</t>
  </si>
  <si>
    <t xml:space="preserve">Яды</t>
  </si>
  <si>
    <t xml:space="preserve">POISON payload, урон, дебафф, счётчик и зональный паралич</t>
  </si>
  <si>
    <t xml:space="preserve">currentEffects / activeCoatings</t>
  </si>
  <si>
    <t xml:space="preserve">PROFILE_SPECIFIC</t>
  </si>
  <si>
    <t xml:space="preserve">IMMUNITY_BEFORE_ROLL</t>
  </si>
  <si>
    <t xml:space="preserve">CORE-109; CORE-228; SYM-039; SYM-042; SYM-045</t>
  </si>
  <si>
    <t xml:space="preserve">FAM-FIRE</t>
  </si>
  <si>
    <t xml:space="preserve">Огонь и горение</t>
  </si>
  <si>
    <t xml:space="preserve">Бинарное горение персонажа и огненные ответы</t>
  </si>
  <si>
    <t xml:space="preserve">ONE_BINARY_STATE; MAX_REMAINING_DURATION</t>
  </si>
  <si>
    <t xml:space="preserve">BEFORE_APPLY_BURN</t>
  </si>
  <si>
    <t xml:space="preserve">CORE-112; CORE-114</t>
  </si>
  <si>
    <t xml:space="preserve">FAM-PERIODIC_DAMAGE</t>
  </si>
  <si>
    <t xml:space="preserve">Периодический урон</t>
  </si>
  <si>
    <t xml:space="preserve">Автономные и поддерживаемые тики урона</t>
  </si>
  <si>
    <t xml:space="preserve">PER_INSTANCE; ORDER_BY_CREATED_AT_UUID</t>
  </si>
  <si>
    <t xml:space="preserve">TIME_PHASE_1</t>
  </si>
  <si>
    <t xml:space="preserve">CORE-101; AQA-024</t>
  </si>
  <si>
    <t xml:space="preserve">FAM-PERIODIC_HEAL</t>
  </si>
  <si>
    <t xml:space="preserve">Периодическое лечение</t>
  </si>
  <si>
    <t xml:space="preserve">Повторяющееся восстановление HP/ОЭ</t>
  </si>
  <si>
    <t xml:space="preserve">PER_INSTANCE; SOURCE_STACK_RULE</t>
  </si>
  <si>
    <t xml:space="preserve">TIME_PHASE_3</t>
  </si>
  <si>
    <t xml:space="preserve">CORE-071; AQA-024</t>
  </si>
  <si>
    <t xml:space="preserve">FAM-STAT_MODIFIER</t>
  </si>
  <si>
    <t xml:space="preserve">Модификаторы характеристик</t>
  </si>
  <si>
    <t xml:space="preserve">Временные ±, ×/÷, exact/min/max</t>
  </si>
  <si>
    <t xml:space="preserve">CORE-079_PIPELINE; CORE-080_SAME_NAME</t>
  </si>
  <si>
    <t xml:space="preserve">RECALC</t>
  </si>
  <si>
    <t xml:space="preserve">CORE-079–080</t>
  </si>
  <si>
    <t xml:space="preserve">FAM-CHECK_MODIFIER</t>
  </si>
  <si>
    <t xml:space="preserve">Модификаторы проверок</t>
  </si>
  <si>
    <t xml:space="preserve">Временный, следующий или условный бонус/штраф проверки</t>
  </si>
  <si>
    <t xml:space="preserve">SOURCE_SPECIFIC; CONSUME_ON_MATCH</t>
  </si>
  <si>
    <t xml:space="preserve">CHECK_BUILD</t>
  </si>
  <si>
    <t xml:space="preserve">CORE-059; CORE-067–069; CORE-072</t>
  </si>
  <si>
    <t xml:space="preserve">FAM-SENSE_VISIBILITY</t>
  </si>
  <si>
    <t xml:space="preserve">Чувства и видимость</t>
  </si>
  <si>
    <t xml:space="preserve">Ночное зрение, маскировка и раскрытие; слепота исключена из модели приложения</t>
  </si>
  <si>
    <t xml:space="preserve">PROFILE_SPECIFIC; CAMOUFLAGE_STRONGEST</t>
  </si>
  <si>
    <t xml:space="preserve">TARGETING_OR_DETECTION</t>
  </si>
  <si>
    <t xml:space="preserve">CORE-066; SYM-124; SYM-127; SYM-184</t>
  </si>
  <si>
    <t xml:space="preserve">FAM-FORM_MODE</t>
  </si>
  <si>
    <t xml:space="preserve">Форма и режим</t>
  </si>
  <si>
    <t xml:space="preserve">Полёт, стойка, статуя и иные поддерживаемые формы</t>
  </si>
  <si>
    <t xml:space="preserve">currentEffects / initialRuntimeState</t>
  </si>
  <si>
    <t xml:space="preserve">SOURCE_SPECIFIC_COMPATIBILITY</t>
  </si>
  <si>
    <t xml:space="preserve">SYM-091; SYM-114; SYM-169</t>
  </si>
  <si>
    <t xml:space="preserve">FAM-SYMBIONT_STATE</t>
  </si>
  <si>
    <t xml:space="preserve">Состояние симбионта</t>
  </si>
  <si>
    <t xml:space="preserve">Отключение, подавление, выбранный режим</t>
  </si>
  <si>
    <t xml:space="preserve">symbiontInstance / currentEffects</t>
  </si>
  <si>
    <t xml:space="preserve">SPECIES_AND_SOURCE_PRIORITY</t>
  </si>
  <si>
    <t xml:space="preserve">BEFORE_ABILITY_OR_PASSIVE</t>
  </si>
  <si>
    <t xml:space="preserve">CORE-104; SYM-038; SYM-075; SYM-181</t>
  </si>
  <si>
    <t xml:space="preserve">FAM-IMMUNITY_RESISTANCE</t>
  </si>
  <si>
    <t xml:space="preserve">Иммунитеты и сопротивления</t>
  </si>
  <si>
    <t xml:space="preserve">До-бросковый иммунитет, числовая защита, очистка контроля</t>
  </si>
  <si>
    <t xml:space="preserve">responseProfiles / currentEffects</t>
  </si>
  <si>
    <t xml:space="preserve">MOST_SPECIFIC_RESPONSE_FIRST</t>
  </si>
  <si>
    <t xml:space="preserve">PRE_APPLICATION</t>
  </si>
  <si>
    <t xml:space="preserve">CORE-072; CORE-228; CQA-043; CQA-050</t>
  </si>
  <si>
    <t xml:space="preserve">FAM-INFECTION</t>
  </si>
  <si>
    <t xml:space="preserve">Заражение</t>
  </si>
  <si>
    <t xml:space="preserve">Связи заражения симбионтом и инфекционные источники</t>
  </si>
  <si>
    <t xml:space="preserve">currentEffects / source graph</t>
  </si>
  <si>
    <t xml:space="preserve">APPLICATION_OR_GM_ASSIGN</t>
  </si>
  <si>
    <t xml:space="preserve">SYM-003–005; MON-042–063</t>
  </si>
  <si>
    <t xml:space="preserve">FAM-PREPARED_EFFECT</t>
  </si>
  <si>
    <t xml:space="preserve">Подготовленные эффекты</t>
  </si>
  <si>
    <t xml:space="preserve">Покрытия, реакции, детонации и заряды</t>
  </si>
  <si>
    <t xml:space="preserve">activeCoatings / currentEffects / source object</t>
  </si>
  <si>
    <t xml:space="preserve">ONE_CONSUMABLE_COATING_PER_SURFACE; POISONED_PROJECTILES_INDIVIDUAL</t>
  </si>
  <si>
    <t xml:space="preserve">CONSUME_OR_TRIGGER</t>
  </si>
  <si>
    <t xml:space="preserve">CORE-048; SYM-183; MON-114</t>
  </si>
  <si>
    <t xml:space="preserve">FAM-SOURCE_LINK</t>
  </si>
  <si>
    <t xml:space="preserve">Связи с источником</t>
  </si>
  <si>
    <t xml:space="preserve">Аура, трос, захват, поддерживаемый канал</t>
  </si>
  <si>
    <t xml:space="preserve">currentEffects / relation graph</t>
  </si>
  <si>
    <t xml:space="preserve">SOURCE_MAINTAINED_OR_AUTONOMOUS</t>
  </si>
  <si>
    <t xml:space="preserve">SOURCE_LIFECYCLE</t>
  </si>
  <si>
    <t xml:space="preserve">CQA-002; AQ2-020</t>
  </si>
  <si>
    <t xml:space="preserve">FAM-ITEM_STATE</t>
  </si>
  <si>
    <t xml:space="preserve">Состояние предмета</t>
  </si>
  <si>
    <t xml:space="preserve">Герметичность, коррозионный счётчик, застрявшее оружие</t>
  </si>
  <si>
    <t xml:space="preserve">itemInstance / currentEffects</t>
  </si>
  <si>
    <t xml:space="preserve">ITEM_AND_SOURCE_SPECIFIC</t>
  </si>
  <si>
    <t xml:space="preserve">EQUIPMENT_OR_TICK</t>
  </si>
  <si>
    <t xml:space="preserve">CORE-053; MON-100; MON-129</t>
  </si>
  <si>
    <t xml:space="preserve">FAM-NARRATIVE</t>
  </si>
  <si>
    <t xml:space="preserve">Нарративная пометка</t>
  </si>
  <si>
    <t xml:space="preserve">Текст без механического изменения</t>
  </si>
  <si>
    <t xml:space="preserve">narrativeMarkers</t>
  </si>
  <si>
    <t xml:space="preserve">NONE</t>
  </si>
  <si>
    <t xml:space="preserve">AQ2-009; AQA-045</t>
  </si>
  <si>
    <t xml:space="preserve">Каталог типов эффектов</t>
  </si>
  <si>
    <t xml:space="preserve">Стабильные EffectTypeID, целевой bucket, stack/removal policy и граница автоматизации.</t>
  </si>
  <si>
    <t xml:space="preserve">EffectTypeID</t>
  </si>
  <si>
    <t xml:space="preserve">Stack policy</t>
  </si>
  <si>
    <t xml:space="preserve">Timer policy</t>
  </si>
  <si>
    <t xml:space="preserve">Removal policy</t>
  </si>
  <si>
    <t xml:space="preserve">Семантика</t>
  </si>
  <si>
    <t xml:space="preserve">State writes</t>
  </si>
  <si>
    <t xml:space="preserve">Automation</t>
  </si>
  <si>
    <t xml:space="preserve">Schema status</t>
  </si>
  <si>
    <t xml:space="preserve">EFF-LIFE-DEAD</t>
  </si>
  <si>
    <t xml:space="preserve">Окончательная смерть</t>
  </si>
  <si>
    <t xml:space="preserve">actorFlags</t>
  </si>
  <si>
    <t xml:space="preserve">TERMINAL_SINGLETON</t>
  </si>
  <si>
    <t xml:space="preserve">SOURCE_SPECIFIC_OR_EXPLICIT</t>
  </si>
  <si>
    <t xml:space="preserve">Терминальное состояние; обычное лечение и снятие эффекта не воскрешают</t>
  </si>
  <si>
    <t xml:space="preserve">dead=true</t>
  </si>
  <si>
    <t xml:space="preserve">CORE-155–156; CQA-001</t>
  </si>
  <si>
    <t xml:space="preserve">AUTOMATED</t>
  </si>
  <si>
    <t xml:space="preserve">DEFINED</t>
  </si>
  <si>
    <t xml:space="preserve">EFF-LIFE-SEVERE_WOUND</t>
  </si>
  <si>
    <t xml:space="preserve">Тяжёлое ранение</t>
  </si>
  <si>
    <t xml:space="preserve">SINGLETON</t>
  </si>
  <si>
    <t xml:space="preserve">SOURCE_OR_REANIMATION</t>
  </si>
  <si>
    <t xml:space="preserve">HP=0; специальная дееспособность возможна только по прямому источнику</t>
  </si>
  <si>
    <t xml:space="preserve">severeWound=true</t>
  </si>
  <si>
    <t xml:space="preserve">CORE-152; CORE-182; CORE-222</t>
  </si>
  <si>
    <t xml:space="preserve">EFF-LIFE-DEATH_TIMER</t>
  </si>
  <si>
    <t xml:space="preserve">Таймер смерти</t>
  </si>
  <si>
    <t xml:space="preserve">SINGLETON_BY_ACTOR</t>
  </si>
  <si>
    <t xml:space="preserve">EXPLICIT_REANIMATION_OR_EXPIRY</t>
  </si>
  <si>
    <t xml:space="preserve">Точный остаток хранится без округления интерфейсом</t>
  </si>
  <si>
    <t xml:space="preserve">deathTimer</t>
  </si>
  <si>
    <t xml:space="preserve">CORE-153–156</t>
  </si>
  <si>
    <t xml:space="preserve">EFF-CONSCIOUS-UNCONSCIOUS</t>
  </si>
  <si>
    <t xml:space="preserve">Без сознания</t>
  </si>
  <si>
    <t xml:space="preserve">BINARY_SOURCE_TRACKED</t>
  </si>
  <si>
    <t xml:space="preserve">Нет действий, реакций и активной защиты; броня работает</t>
  </si>
  <si>
    <t xml:space="preserve">unconscious=true</t>
  </si>
  <si>
    <t xml:space="preserve">CORE-103; MON-075; CORE-222</t>
  </si>
  <si>
    <t xml:space="preserve">EFF-CONSCIOUS-SLEEP</t>
  </si>
  <si>
    <t xml:space="preserve">Сон</t>
  </si>
  <si>
    <t xml:space="preserve">PER_SOURCE</t>
  </si>
  <si>
    <t xml:space="preserve">DAMAGE_OR_SPECIFIC_ANTIDOTE</t>
  </si>
  <si>
    <t xml:space="preserve">Фармацевтический сон снимается любым уроном либо CORE-060</t>
  </si>
  <si>
    <t xml:space="preserve">currentEffects[]</t>
  </si>
  <si>
    <t xml:space="preserve">CORE-061; CORE-103</t>
  </si>
  <si>
    <t xml:space="preserve">EFF-CONTROL-PARALYSIS</t>
  </si>
  <si>
    <t xml:space="preserve">Паралич</t>
  </si>
  <si>
    <t xml:space="preserve">Нет физических действий и активной защиты; чисто ментальные действия условно возможны</t>
  </si>
  <si>
    <t xml:space="preserve">CORE-062; CORE-103; MON-150</t>
  </si>
  <si>
    <t xml:space="preserve">EFF-CONTROL-STUN</t>
  </si>
  <si>
    <t xml:space="preserve">Оглушение</t>
  </si>
  <si>
    <t xml:space="preserve">EXPIRY_OR_CONTROL_CLEANSE</t>
  </si>
  <si>
    <t xml:space="preserve">Пропуск указанных ходов и реакций; частное правило может сохранить защиты</t>
  </si>
  <si>
    <t xml:space="preserve">CORE-031; CORE-103</t>
  </si>
  <si>
    <t xml:space="preserve">EFF-CONTROL-TURN_SKIP</t>
  </si>
  <si>
    <t xml:space="preserve">Пропуск хода</t>
  </si>
  <si>
    <t xml:space="preserve">CONSUME_NAMED_TURNS</t>
  </si>
  <si>
    <t xml:space="preserve">Нет боевых и небоевых действий; защита вне хода только по прямому разрешению</t>
  </si>
  <si>
    <t xml:space="preserve">CORE-103; MON-124</t>
  </si>
  <si>
    <t xml:space="preserve">EFF-CONTROL-GRAPPLE</t>
  </si>
  <si>
    <t xml:space="preserve">Захват</t>
  </si>
  <si>
    <t xml:space="preserve">PER_SOURCE_TARGET</t>
  </si>
  <si>
    <t xml:space="preserve">RELEASE_OR_SOURCE_BREAK</t>
  </si>
  <si>
    <t xml:space="preserve">Модификаторы CORE-138; число параллельных захватов ограничено свободными хватательными конечностями</t>
  </si>
  <si>
    <t xml:space="preserve">CaptureState</t>
  </si>
  <si>
    <t xml:space="preserve">CORE-138; MON-117; MON-127; MON-133</t>
  </si>
  <si>
    <t xml:space="preserve">EFF-CONTROL-LIMB_HOLD</t>
  </si>
  <si>
    <t xml:space="preserve">Удержание конечности</t>
  </si>
  <si>
    <t xml:space="preserve">PER_SOURCE_LIMB</t>
  </si>
  <si>
    <t xml:space="preserve">CONTESTED_RELEASE</t>
  </si>
  <si>
    <t xml:space="preserve">Предусловие для травмирующего/болевого приёма</t>
  </si>
  <si>
    <t xml:space="preserve">CORE-141</t>
  </si>
  <si>
    <t xml:space="preserve">EFF-CONTROL-PAIN_HOLD</t>
  </si>
  <si>
    <t xml:space="preserve">Болевой приём</t>
  </si>
  <si>
    <t xml:space="preserve">При неуспешном самообладании доступны только защитные действия борьбы</t>
  </si>
  <si>
    <t xml:space="preserve">CORE-143</t>
  </si>
  <si>
    <t xml:space="preserve">EFF-CONTROL-CHOKE_HOLD</t>
  </si>
  <si>
    <t xml:space="preserve">Удушающий приём</t>
  </si>
  <si>
    <t xml:space="preserve">BREAK_GRAPPLE_OR_RELEASE</t>
  </si>
  <si>
    <t xml:space="preserve">Требует цепочки захват → выгодная позиция → удушение</t>
  </si>
  <si>
    <t xml:space="preserve">CORE-144</t>
  </si>
  <si>
    <t xml:space="preserve">EFF-CONTROL-RESTRAINED</t>
  </si>
  <si>
    <t xml:space="preserve">Опутан / связан</t>
  </si>
  <si>
    <t xml:space="preserve">SOURCE_SPECIFIC_RELEASE</t>
  </si>
  <si>
    <t xml:space="preserve">Сеть и нить имеют собственные штрафы и проверки освобождения</t>
  </si>
  <si>
    <t xml:space="preserve">MON-136; MON-149</t>
  </si>
  <si>
    <t xml:space="preserve">EFF-CONTROL-COCOONED</t>
  </si>
  <si>
    <t xml:space="preserve">В коконе / вне боя</t>
  </si>
  <si>
    <t xml:space="preserve">ALLY_RELEASE</t>
  </si>
  <si>
    <t xml:space="preserve">Завершённое пеленание выводит цель из боя до освобождения</t>
  </si>
  <si>
    <t xml:space="preserve">MON-151</t>
  </si>
  <si>
    <t xml:space="preserve">EFF-CONTROL-FORCED_MOVEMENT</t>
  </si>
  <si>
    <t xml:space="preserve">Принудительное движение</t>
  </si>
  <si>
    <t xml:space="preserve">Контроль; полная соответствующая неуязвимость блокирует</t>
  </si>
  <si>
    <t xml:space="preserve">CORE-072; MON-119</t>
  </si>
  <si>
    <t xml:space="preserve">MIXED_TRACE</t>
  </si>
  <si>
    <t xml:space="preserve">EFF-CONTROL-FLEEING</t>
  </si>
  <si>
    <t xml:space="preserve">Бегство</t>
  </si>
  <si>
    <t xml:space="preserve">EXIT_CONDITION</t>
  </si>
  <si>
    <t xml:space="preserve">Автомат поведения и выход из боя по источнику</t>
  </si>
  <si>
    <t xml:space="preserve">CORE-178</t>
  </si>
  <si>
    <t xml:space="preserve">EFF-CONTROL-MENTAL_LEASE</t>
  </si>
  <si>
    <t xml:space="preserve">Внешний контроллер</t>
  </si>
  <si>
    <t xml:space="preserve">controlLease</t>
  </si>
  <si>
    <t xml:space="preserve">PRIORITY_LEASE</t>
  </si>
  <si>
    <t xml:space="preserve">EXPIRY_OR_INVALIDATION</t>
  </si>
  <si>
    <t xml:space="preserve">owningController не меняется; effectiveController временно переопределяется</t>
  </si>
  <si>
    <t xml:space="preserve">ControlLease</t>
  </si>
  <si>
    <t xml:space="preserve">CORE-181; CORE-221; MON-038</t>
  </si>
  <si>
    <t xml:space="preserve">EFF-POSITION-PRONE</t>
  </si>
  <si>
    <t xml:space="preserve">Сбит с ног</t>
  </si>
  <si>
    <t xml:space="preserve">PER_SOURCE_OR_DERIVED</t>
  </si>
  <si>
    <t xml:space="preserve">Позиционный статус; точные общие штрафы не нормализованы</t>
  </si>
  <si>
    <t xml:space="preserve">MON-165</t>
  </si>
  <si>
    <t xml:space="preserve">EFF-POSITION-ADVANTAGE</t>
  </si>
  <si>
    <t xml:space="preserve">Выгодная позиция</t>
  </si>
  <si>
    <t xml:space="preserve">PER_GRAPPLE</t>
  </si>
  <si>
    <t xml:space="preserve">BREAK_GRAPPLE</t>
  </si>
  <si>
    <t xml:space="preserve">Промежуточное состояние цепочки удушения</t>
  </si>
  <si>
    <t xml:space="preserve">EFF-ACTION-SERIES_MOD</t>
  </si>
  <si>
    <t xml:space="preserve">Модификатор серии/действий</t>
  </si>
  <si>
    <t xml:space="preserve">SAME_NAME_SOURCE_SPECIFIC</t>
  </si>
  <si>
    <t xml:space="preserve">EXPIRY</t>
  </si>
  <si>
    <t xml:space="preserve">Минимум действий 0, если частное правило не сообщает иное</t>
  </si>
  <si>
    <t xml:space="preserve">actionModifier</t>
  </si>
  <si>
    <t xml:space="preserve">CORE-070; MON-160</t>
  </si>
  <si>
    <t xml:space="preserve">EFF-ACTION-NEXT_SERIES_PENALTY</t>
  </si>
  <si>
    <t xml:space="preserve">Штраф следующей серии</t>
  </si>
  <si>
    <t xml:space="preserve">SAME_VARIANT_MAX_PENALTY; CONSUME_NEXT_SERIES</t>
  </si>
  <si>
    <t xml:space="preserve">CONSUME_OR_REPLACE</t>
  </si>
  <si>
    <t xml:space="preserve">Потрясение щитом не складывается: действует наибольший штраф; один ожидающий эффект расходуется на следующей серии</t>
  </si>
  <si>
    <t xml:space="preserve">CORE-043–048; MON-150</t>
  </si>
  <si>
    <t xml:space="preserve">EFF-ACTION-SKIP_NEXT</t>
  </si>
  <si>
    <t xml:space="preserve">Пропуск следующего хода/кругов</t>
  </si>
  <si>
    <t xml:space="preserve">CONSUME_TURNS</t>
  </si>
  <si>
    <t xml:space="preserve">Число и единица определяются источником</t>
  </si>
  <si>
    <t xml:space="preserve">CORE-031; MON-124</t>
  </si>
  <si>
    <t xml:space="preserve">EFF-TRAUMA-LIMB</t>
  </si>
  <si>
    <t xml:space="preserve">Травма конечности</t>
  </si>
  <si>
    <t xml:space="preserve">currentTraumas</t>
  </si>
  <si>
    <t xml:space="preserve">ADDITIVE_SAME_LIMB</t>
  </si>
  <si>
    <t xml:space="preserve">SOURCE_SPECIFIC_RECOVERY</t>
  </si>
  <si>
    <t xml:space="preserve">Травматические значения одной конечности складываются</t>
  </si>
  <si>
    <t xml:space="preserve">currentTraumas[]</t>
  </si>
  <si>
    <t xml:space="preserve">CORE-117; CORE-119</t>
  </si>
  <si>
    <t xml:space="preserve">AUTOMATED_NO_RECOVERY</t>
  </si>
  <si>
    <t xml:space="preserve">EFF-TRAUMA-HEAD</t>
  </si>
  <si>
    <t xml:space="preserve">Травма головы</t>
  </si>
  <si>
    <t xml:space="preserve">PER_TRAUMA</t>
  </si>
  <si>
    <t xml:space="preserve">Семантика по CORE-120; автоматического восстановления нет, снятие только явной способностью, процедурой или командой мастера</t>
  </si>
  <si>
    <t xml:space="preserve">CORE-120</t>
  </si>
  <si>
    <t xml:space="preserve">EFF-TRAUMA-TORSO</t>
  </si>
  <si>
    <t xml:space="preserve">Травма корпуса</t>
  </si>
  <si>
    <t xml:space="preserve">PER_EVENT</t>
  </si>
  <si>
    <t xml:space="preserve">Однократная дополнительная потеря HP, без рекурсивной травмы</t>
  </si>
  <si>
    <t xml:space="preserve">CORE-121</t>
  </si>
  <si>
    <t xml:space="preserve">EFF-TRAUMA-LIMB_DISABLED</t>
  </si>
  <si>
    <t xml:space="preserve">Отключённая конечность</t>
  </si>
  <si>
    <t xml:space="preserve">derivedProjection</t>
  </si>
  <si>
    <t xml:space="preserve">DERIVED_PER_LIMB</t>
  </si>
  <si>
    <t xml:space="preserve">RECALC_FROM_TRAUMAS</t>
  </si>
  <si>
    <t xml:space="preserve">Порог суммарной травмы конечности &gt;6; при временном онемении той же зоны действует наиболее строгий числовой штраф, а самостоятельные ограничения объединяются</t>
  </si>
  <si>
    <t xml:space="preserve">derived.disabledLimbs; DerivedStateProjection.regionPenaltyById</t>
  </si>
  <si>
    <t xml:space="preserve">CORE-119; MON-169</t>
  </si>
  <si>
    <t xml:space="preserve">DERIVED</t>
  </si>
  <si>
    <t xml:space="preserve">EFF-WOUND-GENERIC</t>
  </si>
  <si>
    <t xml:space="preserve">Формализованная рана</t>
  </si>
  <si>
    <t xml:space="preserve">PER_EVENT_AND_REGION</t>
  </si>
  <si>
    <t xml:space="preserve">EXPLICIT_TREATMENT_OR_GM_ONLY</t>
  </si>
  <si>
    <t xml:space="preserve">Создаётся только источником с CREATES_WOUND либо мастером; одно событие создаёт одну рану с зоной</t>
  </si>
  <si>
    <t xml:space="preserve">currentWounds[]</t>
  </si>
  <si>
    <t xml:space="preserve">CORE-059</t>
  </si>
  <si>
    <t xml:space="preserve">EFF-WOUND-BLEEDING</t>
  </si>
  <si>
    <t xml:space="preserve">Кровотечение</t>
  </si>
  <si>
    <t xml:space="preserve">PER_WOUND_INSTANCE</t>
  </si>
  <si>
    <t xml:space="preserve">CORE-063_REMOVES_ALL_OR_EXPLICIT_TREATMENT</t>
  </si>
  <si>
    <t xml:space="preserve">Только явный источник с damagePerTick; отдельный экземпляр на рану; тик в конце личного хода цели</t>
  </si>
  <si>
    <t xml:space="preserve">CORE-063</t>
  </si>
  <si>
    <t xml:space="preserve">EFF-FIRE-BURNING</t>
  </si>
  <si>
    <t xml:space="preserve">Горение</t>
  </si>
  <si>
    <t xml:space="preserve">ONE_BINARY_MAX_DURATION_MAX_DAMAGE</t>
  </si>
  <si>
    <t xml:space="preserve">EXTINGUISH_OR_EXPIRY</t>
  </si>
  <si>
    <t xml:space="preserve">Один статус; повтор задаёт max(remaining,new) и max(damagePerTick); мгновенного дополнительного тика нет; тушение по Q-CORE-031</t>
  </si>
  <si>
    <t xml:space="preserve">remainingTurns; damagePerTick</t>
  </si>
  <si>
    <t xml:space="preserve">EFF-DAMAGE-PERIODIC</t>
  </si>
  <si>
    <t xml:space="preserve">PER_INSTANCE</t>
  </si>
  <si>
    <t xml:space="preserve">EXPIRY_OR_SOURCE_RULE</t>
  </si>
  <si>
    <t xml:space="preserve">Тик обрабатывается в фазе 1; после каждого тика пересчёт смертельных последствий</t>
  </si>
  <si>
    <t xml:space="preserve">tickSchedule</t>
  </si>
  <si>
    <t xml:space="preserve">EFF-HEAL-PERIODIC</t>
  </si>
  <si>
    <t xml:space="preserve">PER_INSTANCE_SOURCE_RULE</t>
  </si>
  <si>
    <t xml:space="preserve">Фаза восстановления; обычное лечение не действует в тяжёлом ранении</t>
  </si>
  <si>
    <t xml:space="preserve">EFF-STAT-TEMP_MOD</t>
  </si>
  <si>
    <t xml:space="preserve">Временный модификатор характеристики</t>
  </si>
  <si>
    <t xml:space="preserve">SAME_NAME_STRONGEST_TIMERS_INDEPENDENT</t>
  </si>
  <si>
    <t xml:space="preserve">EXPIRY_OR_REMOVE</t>
  </si>
  <si>
    <t xml:space="preserve">Порядок применения по CORE-079</t>
  </si>
  <si>
    <t xml:space="preserve">modifierComponents</t>
  </si>
  <si>
    <t xml:space="preserve">EFF-STAT-EXACT_SET</t>
  </si>
  <si>
    <t xml:space="preserve">Точная установка/min/max</t>
  </si>
  <si>
    <t xml:space="preserve">SPECIFICITY_THEN_RESTRICTIVE</t>
  </si>
  <si>
    <t xml:space="preserve">Применяется после ± и ×/÷</t>
  </si>
  <si>
    <t xml:space="preserve">CORE-079</t>
  </si>
  <si>
    <t xml:space="preserve">EFF-CHECK-TEMP_MOD</t>
  </si>
  <si>
    <t xml:space="preserve">Временный модификатор проверки</t>
  </si>
  <si>
    <t xml:space="preserve">Применяется только к явно подходящим проверкам</t>
  </si>
  <si>
    <t xml:space="preserve">checkModifier</t>
  </si>
  <si>
    <t xml:space="preserve">CORE-067–072</t>
  </si>
  <si>
    <t xml:space="preserve">EFF-CHECK-NEXT</t>
  </si>
  <si>
    <t xml:space="preserve">Модификатор следующей проверки</t>
  </si>
  <si>
    <t xml:space="preserve">CONSUME_ON_MATCH</t>
  </si>
  <si>
    <t xml:space="preserve">MATCHING_CHECK_OR_EXPIRY</t>
  </si>
  <si>
    <t xml:space="preserve">Не расходуется неподходящей проверкой</t>
  </si>
  <si>
    <t xml:space="preserve">consumeCondition</t>
  </si>
  <si>
    <t xml:space="preserve">CORE-059; CORE-069; MON-159</t>
  </si>
  <si>
    <t xml:space="preserve">EFF-SENSE-NIGHT_VISION</t>
  </si>
  <si>
    <t xml:space="preserve">Ночное зрение</t>
  </si>
  <si>
    <t xml:space="preserve">REFRESH_SAME_DRUG</t>
  </si>
  <si>
    <t xml:space="preserve">Видеть в темноте как днём; повтор обновляет срок</t>
  </si>
  <si>
    <t xml:space="preserve">CORE-066</t>
  </si>
  <si>
    <t xml:space="preserve">EFF-SENSE-CAMOUFLAGE</t>
  </si>
  <si>
    <t xml:space="preserve">Маскировка</t>
  </si>
  <si>
    <t xml:space="preserve">STRONGEST_MAGNITUDE_TIMERS_INDEPENDENT</t>
  </si>
  <si>
    <t xml:space="preserve">SOURCE_CONDITION_OR_EXPIRY</t>
  </si>
  <si>
    <t xml:space="preserve">Хамелеон: численно действует наибольший по модулю штраф</t>
  </si>
  <si>
    <t xml:space="preserve">SYM-124; SYM-127; SYM-184</t>
  </si>
  <si>
    <t xml:space="preserve">EFF-SENSE-REVEALED</t>
  </si>
  <si>
    <t xml:space="preserve">Раскрыт / обнаружен</t>
  </si>
  <si>
    <t xml:space="preserve">Не универсальный антимодификатор; задаётся конкретным источником</t>
  </si>
  <si>
    <t xml:space="preserve">SYM-113; SYM-127</t>
  </si>
  <si>
    <t xml:space="preserve">EFF-SENSE-BLINDNESS</t>
  </si>
  <si>
    <t xml:space="preserve">Слепота (не моделируется приложением)</t>
  </si>
  <si>
    <t xml:space="preserve">none</t>
  </si>
  <si>
    <t xml:space="preserve">NOT_APPLICABLE</t>
  </si>
  <si>
    <t xml:space="preserve">Приложение не создаёт, не хранит и не отображает слепоту; выдавливание глаз и иные причины потери зрения не моделируются</t>
  </si>
  <si>
    <t xml:space="preserve">CORE-143; Q-CORE-045; Author decision 2026-07-31</t>
  </si>
  <si>
    <t xml:space="preserve">NOT_MODELED</t>
  </si>
  <si>
    <t xml:space="preserve">EXCLUDED_FROM_RUNTIME</t>
  </si>
  <si>
    <t xml:space="preserve">EFF-FORM-FLIGHT</t>
  </si>
  <si>
    <t xml:space="preserve">Полёт</t>
  </si>
  <si>
    <t xml:space="preserve">SOURCE_INVALIDATION_OR_COMMAND</t>
  </si>
  <si>
    <t xml:space="preserve">Поддерживаемая форма заканчивается при недееспособности/источнике по частной карточке</t>
  </si>
  <si>
    <t xml:space="preserve">SYM-091; SYM-114; CQA-002</t>
  </si>
  <si>
    <t xml:space="preserve">EFF-FORM-STONE_STATUE</t>
  </si>
  <si>
    <t xml:space="preserve">Каменная статуя</t>
  </si>
  <si>
    <t xml:space="preserve">SINGLETON_SOURCE</t>
  </si>
  <si>
    <t xml:space="preserve">COMMAND</t>
  </si>
  <si>
    <t xml:space="preserve">Телесные действия запрещены; броня и горение работают; иные периодические эффекты приостановлены без накопления</t>
  </si>
  <si>
    <t xml:space="preserve">SYM-169</t>
  </si>
  <si>
    <t xml:space="preserve">EFF-FORM-STANCE</t>
  </si>
  <si>
    <t xml:space="preserve">Стойка/режим</t>
  </si>
  <si>
    <t xml:space="preserve">SOURCE_SPECIFIC_EXCLUSIVE</t>
  </si>
  <si>
    <t xml:space="preserve">COMMAND_OR_SOURCE</t>
  </si>
  <si>
    <t xml:space="preserve">Условия совместимости определяет источник</t>
  </si>
  <si>
    <t xml:space="preserve">SYM-173; MON-023</t>
  </si>
  <si>
    <t xml:space="preserve">EFF-SYMBIONT-DISABLED</t>
  </si>
  <si>
    <t xml:space="preserve">Симбионт отключён</t>
  </si>
  <si>
    <t xml:space="preserve">symbiontInstance</t>
  </si>
  <si>
    <t xml:space="preserve">PER_SYMBIONT</t>
  </si>
  <si>
    <t xml:space="preserve">Нет активных/пассивных механик и XP; анатомия физически остаётся</t>
  </si>
  <si>
    <t xml:space="preserve">symbiont.disabled</t>
  </si>
  <si>
    <t xml:space="preserve">CORE-104</t>
  </si>
  <si>
    <t xml:space="preserve">EFF-SYMBIONT-SUPPRESSED</t>
  </si>
  <si>
    <t xml:space="preserve">Симбионт подавлен</t>
  </si>
  <si>
    <t xml:space="preserve">PER_RELATION</t>
  </si>
  <si>
    <t xml:space="preserve">RELATION_END</t>
  </si>
  <si>
    <t xml:space="preserve">Локальные исключения Тайпана, Пингвина и Хамелеона имеют приоритет</t>
  </si>
  <si>
    <t xml:space="preserve">symbiont.effectsEnabled</t>
  </si>
  <si>
    <t xml:space="preserve">SYM-038; SYM-047; SYM-075</t>
  </si>
  <si>
    <t xml:space="preserve">EFF-SYMBIONT-POISON_MODE</t>
  </si>
  <si>
    <t xml:space="preserve">Активный тип яда</t>
  </si>
  <si>
    <t xml:space="preserve">initialRuntimeState</t>
  </si>
  <si>
    <t xml:space="preserve">ONE_ACTIVE_MODE</t>
  </si>
  <si>
    <t xml:space="preserve">SWITCH_COMPLETE</t>
  </si>
  <si>
    <t xml:space="preserve">Старый тип остаётся до завершения переключения</t>
  </si>
  <si>
    <t xml:space="preserve">activePoisonType</t>
  </si>
  <si>
    <t xml:space="preserve">SYM-181</t>
  </si>
  <si>
    <t xml:space="preserve">EFF-RESPONSE-IMMUNITY</t>
  </si>
  <si>
    <t xml:space="preserve">Иммунитет</t>
  </si>
  <si>
    <t xml:space="preserve">responseProfiles</t>
  </si>
  <si>
    <t xml:space="preserve">MOST_SPECIFIC</t>
  </si>
  <si>
    <t xml:space="preserve">SOURCE_INVALIDATION</t>
  </si>
  <si>
    <t xml:space="preserve">Полная неуязвимость может отклонить цель или payload до броска</t>
  </si>
  <si>
    <t xml:space="preserve">EffectResponse</t>
  </si>
  <si>
    <t xml:space="preserve">CORE-228; CQA-050</t>
  </si>
  <si>
    <t xml:space="preserve">EFF-RESPONSE-RESISTANCE</t>
  </si>
  <si>
    <t xml:space="preserve">Числовое сопротивление</t>
  </si>
  <si>
    <t xml:space="preserve">SOURCE_SPECIFIC_SUM</t>
  </si>
  <si>
    <t xml:space="preserve">Модифицирует существующую проверку; не создаёт новую</t>
  </si>
  <si>
    <t xml:space="preserve">CORE-072; CQA-050</t>
  </si>
  <si>
    <t xml:space="preserve">EFF-PROTECTION-SEVERE_WOUND</t>
  </si>
  <si>
    <t xml:space="preserve">Предотвращение тяжёлого ранения</t>
  </si>
  <si>
    <t xml:space="preserve">PRIORITY_CONSUMABLE</t>
  </si>
  <si>
    <t xml:space="preserve">CONSUME_ON_TRIGGER</t>
  </si>
  <si>
    <t xml:space="preserve">Исполняется по порядку CORE-182; только первый применимый источник расходуется</t>
  </si>
  <si>
    <t xml:space="preserve">preparedProtection</t>
  </si>
  <si>
    <t xml:space="preserve">SYM-030; MON-008; CORE-182</t>
  </si>
  <si>
    <t xml:space="preserve">EFF-CAPABILITY-SEVERE_WOUND</t>
  </si>
  <si>
    <t xml:space="preserve">Дееспособность в тяжёлом ранении</t>
  </si>
  <si>
    <t xml:space="preserve">BOOLEAN_BY_ANY_ACTIVE_SOURCE</t>
  </si>
  <si>
    <t xml:space="preserve">SOURCE_END</t>
  </si>
  <si>
    <t xml:space="preserve">Не отменяет добивание новым уроном</t>
  </si>
  <si>
    <t xml:space="preserve">capabilityOverride</t>
  </si>
  <si>
    <t xml:space="preserve">CORE-154; SYM-028; CORE-069</t>
  </si>
  <si>
    <t xml:space="preserve">EFF-INFECTION-LINK</t>
  </si>
  <si>
    <t xml:space="preserve">Связь заражения</t>
  </si>
  <si>
    <t xml:space="preserve">sourceGraph</t>
  </si>
  <si>
    <t xml:space="preserve">SOURCE_SPECIFIC_LIMIT</t>
  </si>
  <si>
    <t xml:space="preserve">CURE_OR_SOURCE_RULE</t>
  </si>
  <si>
    <t xml:space="preserve">Отдельна от болезни и яда</t>
  </si>
  <si>
    <t xml:space="preserve">infectedTargets</t>
  </si>
  <si>
    <t xml:space="preserve">MON-042–063</t>
  </si>
  <si>
    <t xml:space="preserve">MIXED</t>
  </si>
  <si>
    <t xml:space="preserve">EFF-PREPARED-COATING</t>
  </si>
  <si>
    <t xml:space="preserve">Покрытие предмета</t>
  </si>
  <si>
    <t xml:space="preserve">activeCoatings</t>
  </si>
  <si>
    <t xml:space="preserve">MULTIPLE_POLICY_UNRESOLVED</t>
  </si>
  <si>
    <t xml:space="preserve">CONSUME_OR_EXPIRY</t>
  </si>
  <si>
    <t xml:space="preserve">Промах не расходует яд Тайпана; слюна имеет собственный срок</t>
  </si>
  <si>
    <t xml:space="preserve">activeCoatings[]</t>
  </si>
  <si>
    <t xml:space="preserve">SYM-068; SYM-183</t>
  </si>
  <si>
    <t xml:space="preserve">AUTOMATED_WITH_GAP</t>
  </si>
  <si>
    <t xml:space="preserve">PARTIAL</t>
  </si>
  <si>
    <t xml:space="preserve">EFF-PREPARED-REACTION</t>
  </si>
  <si>
    <t xml:space="preserve">Подготовленная реакция</t>
  </si>
  <si>
    <t xml:space="preserve">TRIGGER_OR_EXPIRY</t>
  </si>
  <si>
    <t xml:space="preserve">Одноразовое окно и потребление определяет источник</t>
  </si>
  <si>
    <t xml:space="preserve">preparedReaction</t>
  </si>
  <si>
    <t xml:space="preserve">CORE-048; MON-036</t>
  </si>
  <si>
    <t xml:space="preserve">EFF-PREPARED-DETONATION</t>
  </si>
  <si>
    <t xml:space="preserve">Запущенная детонация</t>
  </si>
  <si>
    <t xml:space="preserve">SPECIAL_NEUTRALIZATION_OR_TRIGGER</t>
  </si>
  <si>
    <t xml:space="preserve">Бессознательность, паралич и смерть Огненной блохи не отменяют</t>
  </si>
  <si>
    <t xml:space="preserve">detonationState</t>
  </si>
  <si>
    <t xml:space="preserve">MON-114–115</t>
  </si>
  <si>
    <t xml:space="preserve">EFF-SOURCE-AURA</t>
  </si>
  <si>
    <t xml:space="preserve">Аура/область источника</t>
  </si>
  <si>
    <t xml:space="preserve">relationGraph</t>
  </si>
  <si>
    <t xml:space="preserve">Поддерживаемая область заканчивается при потере источника, если не стала автономной</t>
  </si>
  <si>
    <t xml:space="preserve">sourceLink</t>
  </si>
  <si>
    <t xml:space="preserve">CQA-002</t>
  </si>
  <si>
    <t xml:space="preserve">EFF-SOURCE-TETHER</t>
  </si>
  <si>
    <t xml:space="preserve">Трос/связь</t>
  </si>
  <si>
    <t xml:space="preserve">BREAK_OR_SOURCE_INVALIDATION</t>
  </si>
  <si>
    <t xml:space="preserve">Позиционные ограничения и жизненный цикл задаёт конкретная связь</t>
  </si>
  <si>
    <t xml:space="preserve">CQA-023; SYM-107</t>
  </si>
  <si>
    <t xml:space="preserve">EFF-ITEM-SEALED</t>
  </si>
  <si>
    <t xml:space="preserve">Герметичность Нэйта</t>
  </si>
  <si>
    <t xml:space="preserve">itemInstance</t>
  </si>
  <si>
    <t xml:space="preserve">PER_ITEM</t>
  </si>
  <si>
    <t xml:space="preserve">BREAK_SEAL</t>
  </si>
  <si>
    <t xml:space="preserve">Блокирует только определённые внешние/вдыхаемые воздействия; уже активные не очищает</t>
  </si>
  <si>
    <t xml:space="preserve">item.sealed</t>
  </si>
  <si>
    <t xml:space="preserve">CORE-053</t>
  </si>
  <si>
    <t xml:space="preserve">EFF-ITEM-CORROSION_COUNTER</t>
  </si>
  <si>
    <t xml:space="preserve">Счётчик коррозии</t>
  </si>
  <si>
    <t xml:space="preserve">EXIT_SOURCE_AREA</t>
  </si>
  <si>
    <t xml:space="preserve">В слизи Вивисектора: +1 в конце хода; при первом достижении 2 уничтожается допустимый предмет</t>
  </si>
  <si>
    <t xml:space="preserve">corrosionCounter</t>
  </si>
  <si>
    <t xml:space="preserve">MON-100</t>
  </si>
  <si>
    <t xml:space="preserve">AUTOMATED_WITH_SCHEMA_GAP</t>
  </si>
  <si>
    <t xml:space="preserve">EFF-POISON-FAIL_COUNTER</t>
  </si>
  <si>
    <t xml:space="preserve">Счётчик провалов яда</t>
  </si>
  <si>
    <t xml:space="preserve">SUCCESS_RESET</t>
  </si>
  <si>
    <t xml:space="preserve">Счётчик отдельный для пары sourceId+targetId; успех сбрасывает только счётчик этого источника</t>
  </si>
  <si>
    <t xml:space="preserve">poisonFailCounter</t>
  </si>
  <si>
    <t xml:space="preserve">MON-150</t>
  </si>
  <si>
    <t xml:space="preserve">EFF-PREVENT-DISEASE-NEXT_WOUND</t>
  </si>
  <si>
    <t xml:space="preserve">Профилактика болезни через рану</t>
  </si>
  <si>
    <t xml:space="preserve">PER_WOUND_SINGLE_USE</t>
  </si>
  <si>
    <t xml:space="preserve">CONSUME_NEXT_ATTEMPT</t>
  </si>
  <si>
    <t xml:space="preserve">−10 к следующей попытке болезни через выбранную формализованную рану; затем расходуется</t>
  </si>
  <si>
    <t xml:space="preserve">wound.prevention</t>
  </si>
  <si>
    <t xml:space="preserve">EFF-DOSE-COOLDOWN</t>
  </si>
  <si>
    <t xml:space="preserve">Скользящий лимит доз</t>
  </si>
  <si>
    <t xml:space="preserve">consumptionHistory</t>
  </si>
  <si>
    <t xml:space="preserve">PER_ITEM_TYPE</t>
  </si>
  <si>
    <t xml:space="preserve">SLIDING_24H</t>
  </si>
  <si>
    <t xml:space="preserve">Одна фармацевтика за личный боевой ход; лимиты по препарату</t>
  </si>
  <si>
    <t xml:space="preserve">CORE-058</t>
  </si>
  <si>
    <t xml:space="preserve">EFF-FATIGUE</t>
  </si>
  <si>
    <t xml:space="preserve">Усталость</t>
  </si>
  <si>
    <t xml:space="preserve">UNDEFINED</t>
  </si>
  <si>
    <t xml:space="preserve">CORE-002/003 не автоматизируются</t>
  </si>
  <si>
    <t xml:space="preserve">CORE-002–003</t>
  </si>
  <si>
    <t xml:space="preserve">TRACE_ONLY</t>
  </si>
  <si>
    <t xml:space="preserve">EFF-EXHAUSTION</t>
  </si>
  <si>
    <t xml:space="preserve">Истощение</t>
  </si>
  <si>
    <t xml:space="preserve">Существует ответ MON-104, но активной общей механики нет</t>
  </si>
  <si>
    <t xml:space="preserve">MON-104</t>
  </si>
  <si>
    <t xml:space="preserve">ORPHANED</t>
  </si>
  <si>
    <t xml:space="preserve">EFF-NARRATIVE-MARKER</t>
  </si>
  <si>
    <t xml:space="preserve">Сюжетная пометка</t>
  </si>
  <si>
    <t xml:space="preserve">PER_MARKER</t>
  </si>
  <si>
    <t xml:space="preserve">GM_EDIT_OR_DELETE</t>
  </si>
  <si>
    <t xml:space="preserve">Никогда не меняет механику</t>
  </si>
  <si>
    <t xml:space="preserve">narrativeMarkers[]</t>
  </si>
  <si>
    <t xml:space="preserve">NARRATIVE_ONLY</t>
  </si>
  <si>
    <t xml:space="preserve">EFF-DISEASE-INSTANCE</t>
  </si>
  <si>
    <t xml:space="preserve">Экземпляр болезни</t>
  </si>
  <si>
    <t xml:space="preserve">NO_STACK_BY_DISEASE_ID</t>
  </si>
  <si>
    <t xml:space="preserve">GM_REMOVE</t>
  </si>
  <si>
    <t xml:space="preserve">Модификаторы болезни изменяют effectiveStat без нижней границы; при effectiveStat+effectiveZ&lt;1 применяется MON-075</t>
  </si>
  <si>
    <t xml:space="preserve">EffectInstance.payload.diseaseId</t>
  </si>
  <si>
    <t xml:space="preserve">MON-085; CQA-060</t>
  </si>
  <si>
    <t xml:space="preserve">REGISTRY_SCHEMA</t>
  </si>
  <si>
    <t xml:space="preserve">EFF-POISON-INSTANCE</t>
  </si>
  <si>
    <t xml:space="preserve">Экземпляр яда</t>
  </si>
  <si>
    <t xml:space="preserve">POISON_PROFILE_SPECIFIC</t>
  </si>
  <si>
    <t xml:space="preserve">Нормализованный контейнер poison payload</t>
  </si>
  <si>
    <t xml:space="preserve">EffectInstance.payload.poisonProfileId</t>
  </si>
  <si>
    <t xml:space="preserve">CORE-228</t>
  </si>
  <si>
    <t xml:space="preserve">EFF-REGION-NUMBNESS</t>
  </si>
  <si>
    <t xml:space="preserve">Временное онемение конечности</t>
  </si>
  <si>
    <t xml:space="preserve">PER_LIMB</t>
  </si>
  <si>
    <t xml:space="preserve">Гуманоид: случайная действующая конечность; негуманоид: вторичный паралич не создаётся. При травме той же зоны действует наиболее строгий числовой штраф; ограничения, сроки и снятие источников независимы</t>
  </si>
  <si>
    <t xml:space="preserve">disabledRegion; DerivedStateProjection.regionPenaltyById</t>
  </si>
  <si>
    <t xml:space="preserve">MON-169; SYM-045</t>
  </si>
  <si>
    <t xml:space="preserve">AUTOMATED_WITH_TARGET_FILTER</t>
  </si>
  <si>
    <t xml:space="preserve">EFF-EQUIPMENT-STUCK</t>
  </si>
  <si>
    <t xml:space="preserve">Застрявшее оружие</t>
  </si>
  <si>
    <t xml:space="preserve">PER_ITEM_TARGET</t>
  </si>
  <si>
    <t xml:space="preserve">ACTION_AND_CHECK</t>
  </si>
  <si>
    <t xml:space="preserve">Освобождение по конкретной карточке</t>
  </si>
  <si>
    <t xml:space="preserve">itemLink</t>
  </si>
  <si>
    <t xml:space="preserve">MON-129</t>
  </si>
  <si>
    <t xml:space="preserve">Канонический каталог болезней</t>
  </si>
  <si>
    <t xml:space="preserve">Назначение и снятие выполняет мастер; disease modifiers могут опускать effectiveStat ниже 1, после чего применяется MON-075.</t>
  </si>
  <si>
    <t xml:space="preserve">DiseaseID</t>
  </si>
  <si>
    <t xml:space="preserve">Status</t>
  </si>
  <si>
    <t xml:space="preserve">Assignment</t>
  </si>
  <si>
    <t xml:space="preserve">Duration</t>
  </si>
  <si>
    <t xml:space="preserve">Stat modifiers JSON</t>
  </si>
  <si>
    <t xml:space="preserve">Check modifiers JSON</t>
  </si>
  <si>
    <t xml:space="preserve">Periodic</t>
  </si>
  <si>
    <t xml:space="preserve">Stacking</t>
  </si>
  <si>
    <t xml:space="preserve">Unconscious projection</t>
  </si>
  <si>
    <t xml:space="preserve">Effect family</t>
  </si>
  <si>
    <t xml:space="preserve">Is poison</t>
  </si>
  <si>
    <t xml:space="preserve">Locator</t>
  </si>
  <si>
    <t xml:space="preserve">DIS-POISONING</t>
  </si>
  <si>
    <t xml:space="preserve">Отравление</t>
  </si>
  <si>
    <t xml:space="preserve">ACTIVE</t>
  </si>
  <si>
    <t xml:space="preserve">GM_ASSIGN_REMOVE</t>
  </si>
  <si>
    <t xml:space="preserve">UNTIL_GM_REMOVE_OR_SPECIFIC_CURE</t>
  </si>
  <si>
    <t xml:space="preserve">{"S":-2,"M":-2}</t>
  </si>
  <si>
    <t xml:space="preserve">{}</t>
  </si>
  <si>
    <t xml:space="preserve">NO_STACK_SAME_ID</t>
  </si>
  <si>
    <t xml:space="preserve">FOR_EACH_REDUCED_STAT_IF_EFFECTIVE_X_PLUS_EFFECTIVE_Z_LT_1</t>
  </si>
  <si>
    <t xml:space="preserve">DISEASE</t>
  </si>
  <si>
    <t xml:space="preserve">false</t>
  </si>
  <si>
    <t xml:space="preserve">MON-076</t>
  </si>
  <si>
    <t xml:space="preserve">Реестр правил!B230:AH230</t>
  </si>
  <si>
    <t xml:space="preserve">Название не делает болезнь POISON</t>
  </si>
  <si>
    <t xml:space="preserve">DIS-RHINITIS</t>
  </si>
  <si>
    <t xml:space="preserve">Насморк</t>
  </si>
  <si>
    <t xml:space="preserve">{"M":-2}</t>
  </si>
  <si>
    <t xml:space="preserve">MON-077</t>
  </si>
  <si>
    <t xml:space="preserve">Реестр правил!B231:AH231</t>
  </si>
  <si>
    <t xml:space="preserve">DIS-FEVER</t>
  </si>
  <si>
    <t xml:space="preserve">Жар</t>
  </si>
  <si>
    <t xml:space="preserve">{"M":-10}</t>
  </si>
  <si>
    <t xml:space="preserve">MON-078</t>
  </si>
  <si>
    <t xml:space="preserve">Реестр правил!B232:AH232</t>
  </si>
  <si>
    <t xml:space="preserve">DIS-SCABIES</t>
  </si>
  <si>
    <t xml:space="preserve">Чесотка</t>
  </si>
  <si>
    <t xml:space="preserve">{"I":-4,"C":-4,"D":-2}</t>
  </si>
  <si>
    <t xml:space="preserve">MON-079</t>
  </si>
  <si>
    <t xml:space="preserve">Реестр правил!B233:AH233</t>
  </si>
  <si>
    <t xml:space="preserve">DIS-PNEUMONIA</t>
  </si>
  <si>
    <t xml:space="preserve">Пневмония</t>
  </si>
  <si>
    <t xml:space="preserve">{"M":-14,"S":-12,"D":-12}</t>
  </si>
  <si>
    <t xml:space="preserve">HP_MINUS_10_EACH_FULL_DAY</t>
  </si>
  <si>
    <t xml:space="preserve">MON-080; MON-087</t>
  </si>
  <si>
    <t xml:space="preserve">Реестр правил!B234:AH234</t>
  </si>
  <si>
    <t xml:space="preserve">Периодический урон явно разрешён</t>
  </si>
  <si>
    <t xml:space="preserve">DIS-MIGRAINE</t>
  </si>
  <si>
    <t xml:space="preserve">Мигрень</t>
  </si>
  <si>
    <t xml:space="preserve">{"I":-6,"C":-2}</t>
  </si>
  <si>
    <t xml:space="preserve">MON-081</t>
  </si>
  <si>
    <t xml:space="preserve">Реестр правил!B235:AH235</t>
  </si>
  <si>
    <t xml:space="preserve">DIS-FLATULENCE</t>
  </si>
  <si>
    <t xml:space="preserve">Метеоризм</t>
  </si>
  <si>
    <t xml:space="preserve">{"C":-5}</t>
  </si>
  <si>
    <t xml:space="preserve">{"STEALTH":-5}</t>
  </si>
  <si>
    <t xml:space="preserve">MON-082</t>
  </si>
  <si>
    <t xml:space="preserve">Реестр правил!B236:AH236</t>
  </si>
  <si>
    <t xml:space="preserve">DIS-SKIN_GROWTHS</t>
  </si>
  <si>
    <t xml:space="preserve">Образования на коже</t>
  </si>
  <si>
    <t xml:space="preserve">{"C":-6}</t>
  </si>
  <si>
    <t xml:space="preserve">MON-083</t>
  </si>
  <si>
    <t xml:space="preserve">Реестр правил!B237:AH237</t>
  </si>
  <si>
    <t xml:space="preserve">DIS-ITCHY_SKIN_GROWTHS</t>
  </si>
  <si>
    <t xml:space="preserve">Чешущиеся образования на коже</t>
  </si>
  <si>
    <t xml:space="preserve">{"D":-3,"C":-6}</t>
  </si>
  <si>
    <t xml:space="preserve">MON-084</t>
  </si>
  <si>
    <t xml:space="preserve">Реестр правил!B238:AH238</t>
  </si>
  <si>
    <t xml:space="preserve">DIS-PESTILENCE</t>
  </si>
  <si>
    <t xml:space="preserve">Поветрие</t>
  </si>
  <si>
    <t xml:space="preserve">SOURCE_SPECIFIC_TREATMENT</t>
  </si>
  <si>
    <t xml:space="preserve">SOURCE_RULE</t>
  </si>
  <si>
    <t xml:space="preserve">{"S":-3,"D":-3,"M":-3}</t>
  </si>
  <si>
    <t xml:space="preserve">DAILY_DEGRADATION; FLOWER_ON_DEATH</t>
  </si>
  <si>
    <t xml:space="preserve">MON-058–060</t>
  </si>
  <si>
    <t xml:space="preserve">Реестр правил (MON-058–060)</t>
  </si>
  <si>
    <t xml:space="preserve">Не автоматизируется; при любом S/D/M&lt;1 тяжёлая рана</t>
  </si>
  <si>
    <t xml:space="preserve">Профили ядов</t>
  </si>
  <si>
    <t xml:space="preserve">POISON отделён от болезни «Отравление». Абсолютный иммунитет применяется до бросков и payload.</t>
  </si>
  <si>
    <t xml:space="preserve">PoisonProfileID</t>
  </si>
  <si>
    <t xml:space="preserve">Source kind</t>
  </si>
  <si>
    <t xml:space="preserve">Payload kind</t>
  </si>
  <si>
    <t xml:space="preserve">Payload</t>
  </si>
  <si>
    <t xml:space="preserve">Repeat policy</t>
  </si>
  <si>
    <t xml:space="preserve">Stacking key</t>
  </si>
  <si>
    <t xml:space="preserve">Immunity stage</t>
  </si>
  <si>
    <t xml:space="preserve">Blocked payload</t>
  </si>
  <si>
    <t xml:space="preserve">POI-TAIPAN-DEADLY</t>
  </si>
  <si>
    <t xml:space="preserve">Смертельный яд Тайпана</t>
  </si>
  <si>
    <t xml:space="preserve">POISON</t>
  </si>
  <si>
    <t xml:space="preserve">SYMBIOTIC</t>
  </si>
  <si>
    <t xml:space="preserve">PERIODIC_DAMAGE</t>
  </si>
  <si>
    <t xml:space="preserve">R20/5+L per turn; duration R20/2</t>
  </si>
  <si>
    <t xml:space="preserve">REPLACE_STRENGTH_AND_DURATION_RESTART</t>
  </si>
  <si>
    <t xml:space="preserve">TARGET</t>
  </si>
  <si>
    <t xml:space="preserve">IMMUNE_BEFORE_ROLL</t>
  </si>
  <si>
    <t xml:space="preserve">damage,state,counter,secondary effects</t>
  </si>
  <si>
    <t xml:space="preserve">SYM-039</t>
  </si>
  <si>
    <t xml:space="preserve">Первый тик в конце следующего хода цели; оружие даёт половину урона за тик</t>
  </si>
  <si>
    <t xml:space="preserve">POI-TAIPAN-WEAKENING</t>
  </si>
  <si>
    <t xml:space="preserve">Ослабляющий яд Тайпана</t>
  </si>
  <si>
    <t xml:space="preserve">STAT_DEBUFF</t>
  </si>
  <si>
    <t xml:space="preserve">K=max(0,R20+L−Z); S/D/M decrease, each not below 1; duration R20/2</t>
  </si>
  <si>
    <t xml:space="preserve">REPLACE_STRENGTH_AND_DURATION</t>
  </si>
  <si>
    <t xml:space="preserve">absolute immunity: all; SYM-144: poison damage/control only</t>
  </si>
  <si>
    <t xml:space="preserve">SYM-042</t>
  </si>
  <si>
    <t xml:space="preserve">Ослабление характеристик SYM-042 не является уроном или контролем и проходит через SYM-144</t>
  </si>
  <si>
    <t xml:space="preserve">POI-TAIPAN-PARALYTIC</t>
  </si>
  <si>
    <t xml:space="preserve">Парализующий яд Тайпана</t>
  </si>
  <si>
    <t xml:space="preserve">LIMB_DISABLE</t>
  </si>
  <si>
    <t xml:space="preserve">if R20+L&gt;Z: humanoid active limb; duration R20/3; nonhumanoid secondary paralysis skipped</t>
  </si>
  <si>
    <t xml:space="preserve">PER_DISTINCT_LIMB</t>
  </si>
  <si>
    <t xml:space="preserve">TARGET_LIMB</t>
  </si>
  <si>
    <t xml:space="preserve">SYM-045</t>
  </si>
  <si>
    <t xml:space="preserve">На негуманоида паралич не действует; попадание и остальные последствия сохраняются
При травме той же конечности числовые штрафы не складываются: применяется наиболее строгий; ограничения и снятие источников независимы.</t>
  </si>
  <si>
    <t xml:space="preserve">POI-VIVISECTOR-ENTRY</t>
  </si>
  <si>
    <t xml:space="preserve">Слизь Вивисектора при входе</t>
  </si>
  <si>
    <t xml:space="preserve">CANONICAL</t>
  </si>
  <si>
    <t xml:space="preserve">DIRECT_POISON_DAMAGE</t>
  </si>
  <si>
    <t xml:space="preserve">R12+8 once on entry</t>
  </si>
  <si>
    <t xml:space="preserve">ONE_EVENT_DEDUP</t>
  </si>
  <si>
    <t xml:space="preserve">SOURCE_TARGET_ENTRY</t>
  </si>
  <si>
    <t xml:space="preserve">MON-098; MON-100</t>
  </si>
  <si>
    <t xml:space="preserve">Дублирующие описания не должны дать двойной урон</t>
  </si>
  <si>
    <t xml:space="preserve">POI-VIVISECTOR-FUMES</t>
  </si>
  <si>
    <t xml:space="preserve">Ядовитые пары Вивисектора</t>
  </si>
  <si>
    <t xml:space="preserve">POISON_DAMAGE_CHECK</t>
  </si>
  <si>
    <t xml:space="preserve">end target turn in 6m; R20+Z vs R20+12; fail R12 damage</t>
  </si>
  <si>
    <t xml:space="preserve">PER_SOURCE_TARGET_TURN</t>
  </si>
  <si>
    <t xml:space="preserve">SOURCE_TARGET</t>
  </si>
  <si>
    <t xml:space="preserve">MON-099</t>
  </si>
  <si>
    <t xml:space="preserve">По одной проверке на каждого Вивисектора в конце хода цели; источники разрешаются отдельно в стабильном порядке</t>
  </si>
  <si>
    <t xml:space="preserve">POI-SWADDLER-SEQUENCE</t>
  </si>
  <si>
    <t xml:space="preserve">Яд Пеленальщицы</t>
  </si>
  <si>
    <t xml:space="preserve">FAIL_COUNTER_CONTROL</t>
  </si>
  <si>
    <t xml:space="preserve">first fail −2 next series; second consecutive fail paralysis 5 own turns</t>
  </si>
  <si>
    <t xml:space="preserve">SUCCESS_RESETS; SECOND_REPLACES_FIRST</t>
  </si>
  <si>
    <t xml:space="preserve">Счётчик отдельный для пары sourceId+targetId; успех сбрасывает только этот счётчик</t>
  </si>
  <si>
    <t xml:space="preserve">POI-FELIDA-NUMBING</t>
  </si>
  <si>
    <t xml:space="preserve">Плевок Фелиды-Тайпана</t>
  </si>
  <si>
    <t xml:space="preserve">R20+7&gt;Z; random active limb; duration round_half_up(R20/3), min 1</t>
  </si>
  <si>
    <t xml:space="preserve">MON-169</t>
  </si>
  <si>
    <t xml:space="preserve">Округление до ближайшего целого, ровно 0,5 вверх; положительная длительность минимум 1 ход
При травме той же конечности числовые штрафы не складываются: применяется наиболее строгий; ограничения и снятие источников независимы.</t>
  </si>
  <si>
    <t xml:space="preserve">POI-FOOD_ALCOHOL</t>
  </si>
  <si>
    <t xml:space="preserve">Пищевое/алкогольное отравление</t>
  </si>
  <si>
    <t xml:space="preserve">ORDINARY</t>
  </si>
  <si>
    <t xml:space="preserve">By CORE-110</t>
  </si>
  <si>
    <t xml:space="preserve">CORE-110</t>
  </si>
  <si>
    <t xml:space="preserve">Не смешивать с болезнью DIS-POISONING</t>
  </si>
  <si>
    <t xml:space="preserve">Травмы, тяжёлые ранения и открытые раневые состояния</t>
  </si>
  <si>
    <t xml:space="preserve">Чётко разделены автоматизируемые травмы и состояния, для которых канон пока задаёт только снятие/упоминание.</t>
  </si>
  <si>
    <t xml:space="preserve">InjuryID</t>
  </si>
  <si>
    <t xml:space="preserve">Kind</t>
  </si>
  <si>
    <t xml:space="preserve">Trigger</t>
  </si>
  <si>
    <t xml:space="preserve">Consequence</t>
  </si>
  <si>
    <t xml:space="preserve">Recovery</t>
  </si>
  <si>
    <t xml:space="preserve">TRM-LIMB</t>
  </si>
  <si>
    <t xml:space="preserve">TRAUMA</t>
  </si>
  <si>
    <t xml:space="preserve">R20+Z &lt; actualDamage</t>
  </si>
  <si>
    <t xml:space="preserve">injury=max(0,round_math(R12−Z/3))</t>
  </si>
  <si>
    <t xml:space="preserve">DISABLED_IF_TOTAL_GT_6</t>
  </si>
  <si>
    <t xml:space="preserve">EXPLICIT_ABILITY_PROCEDURE_OR_GM</t>
  </si>
  <si>
    <t xml:space="preserve">Автоматического восстановления нет
При временном онемении той же конечности применяется наиболее строгий числовой штраф; ограничения объединяются, снятие одного состояния не снимает другое.</t>
  </si>
  <si>
    <t xml:space="preserve">TRM-HEAD</t>
  </si>
  <si>
    <t xml:space="preserve">CORE-117; CORE-120</t>
  </si>
  <si>
    <t xml:space="preserve">Травма головы не создаёт слепоту: потеря зрения исключена из модели приложения</t>
  </si>
  <si>
    <t xml:space="preserve">TRM-TORSO</t>
  </si>
  <si>
    <t xml:space="preserve">one-time extra HP loss</t>
  </si>
  <si>
    <t xml:space="preserve">NO_RECURSIVE_TRAUMA</t>
  </si>
  <si>
    <t xml:space="preserve">CORE-117; CORE-121</t>
  </si>
  <si>
    <t xml:space="preserve">TRM-MULTILIMB</t>
  </si>
  <si>
    <t xml:space="preserve">Травма многоконечного существа</t>
  </si>
  <si>
    <t xml:space="preserve">not automated</t>
  </si>
  <si>
    <t xml:space="preserve">UNSUPPORTED_ANATOMY_POLICY</t>
  </si>
  <si>
    <t xml:space="preserve">CORE-122–124</t>
  </si>
  <si>
    <t xml:space="preserve">Не автоматизируется</t>
  </si>
  <si>
    <t xml:space="preserve">WND-SEVERE</t>
  </si>
  <si>
    <t xml:space="preserve">WOUND</t>
  </si>
  <si>
    <t xml:space="preserve">HP reaches 0 after protections</t>
  </si>
  <si>
    <t xml:space="preserve">severeWound=true; death timer</t>
  </si>
  <si>
    <t xml:space="preserve">NEW_HP_LOSS_GT_0_CAUSES_DEATH</t>
  </si>
  <si>
    <t xml:space="preserve">CORE-152–156; CORE-182</t>
  </si>
  <si>
    <t xml:space="preserve">Для обычных монстров одновременно unconscious</t>
  </si>
  <si>
    <t xml:space="preserve">WND-DEATH_TIMER</t>
  </si>
  <si>
    <t xml:space="preserve">WOUND_TIMER</t>
  </si>
  <si>
    <t xml:space="preserve">severe wound created</t>
  </si>
  <si>
    <t xml:space="preserve">D6 turns or D6×5m; exact remainder</t>
  </si>
  <si>
    <t xml:space="preserve">EXPIRE_TO_DEAD_OR_REANIMATE</t>
  </si>
  <si>
    <t xml:space="preserve">CORE-153</t>
  </si>
  <si>
    <t xml:space="preserve">Дубль ×4 применяется один раз</t>
  </si>
  <si>
    <t xml:space="preserve">WND-GENERIC</t>
  </si>
  <si>
    <t xml:space="preserve">Рана</t>
  </si>
  <si>
    <t xml:space="preserve">SOURCE_HAS_CREATES_WOUND_OR_GM</t>
  </si>
  <si>
    <t xml:space="preserve">one wound per event with regionId</t>
  </si>
  <si>
    <t xml:space="preserve">FORMAL_WOUND_FOR_TARGETED_TREATMENT</t>
  </si>
  <si>
    <t xml:space="preserve">Автоматического заживления нет</t>
  </si>
  <si>
    <t xml:space="preserve">WND-BLEEDING</t>
  </si>
  <si>
    <t xml:space="preserve">SOURCE_EXPLICIT_DAMAGE_PER_TICK</t>
  </si>
  <si>
    <t xml:space="preserve">damagePerTick; tick=end_of_target_turn</t>
  </si>
  <si>
    <t xml:space="preserve">CORE-063_REMOVES_ALL</t>
  </si>
  <si>
    <t xml:space="preserve">CORE-063_OR_EXPLICIT_TREATMENT_OR_GM</t>
  </si>
  <si>
    <t xml:space="preserve">Значение урона по умолчанию не вводится</t>
  </si>
  <si>
    <t xml:space="preserve">Индекс источников состояний Rules v1.6</t>
  </si>
  <si>
    <t xml:space="preserve">306 релевантных карточек. Нормализация FamilyCode служит поиску; исходная карточка остаётся нормативной.</t>
  </si>
  <si>
    <t xml:space="preserve">SourceMapID</t>
  </si>
  <si>
    <t xml:space="preserve">Rule ID</t>
  </si>
  <si>
    <t xml:space="preserve">Режим реализации</t>
  </si>
  <si>
    <t xml:space="preserve">Категория</t>
  </si>
  <si>
    <t xml:space="preserve">Normalized family</t>
  </si>
  <si>
    <t xml:space="preserve">Mapping confidence</t>
  </si>
  <si>
    <t xml:space="preserve">State result</t>
  </si>
  <si>
    <t xml:space="preserve">Algorithm excerpt</t>
  </si>
  <si>
    <t xml:space="preserve">Exceptions excerpt</t>
  </si>
  <si>
    <t xml:space="preserve">Source ref</t>
  </si>
  <si>
    <t xml:space="preserve">Source record SHA-256</t>
  </si>
  <si>
    <t xml:space="preserve">Mapping role</t>
  </si>
  <si>
    <t xml:space="preserve">SRCMAP-001</t>
  </si>
  <si>
    <t xml:space="preserve">CORE-004</t>
  </si>
  <si>
    <t xml:space="preserve">Навык Единого «Идущий вслед за болью»</t>
  </si>
  <si>
    <t xml:space="preserve">Активно</t>
  </si>
  <si>
    <t xml:space="preserve">Реализовать в игровом ядре</t>
  </si>
  <si>
    <t xml:space="preserve">раса / пассивный навык.</t>
  </si>
  <si>
    <t xml:space="preserve">LOW_CONFIDENCE_INDEX_ONLY</t>
  </si>
  <si>
    <t xml:space="preserve">постоянный навык и модификатор.</t>
  </si>
  <si>
    <t xml:space="preserve">навык добавляется автоматически, не занимает слот; к указанным проверкам +15.</t>
  </si>
  <si>
    <t xml:space="preserve">социальная механика пыток вне охвата; бонус к самообладанию при пожаре применяется по CORE-114.</t>
  </si>
  <si>
    <t xml:space="preserve">§3.2.6.1.1, стр. 48.</t>
  </si>
  <si>
    <t xml:space="preserve">Реестр правил!B3:AH3</t>
  </si>
  <si>
    <t xml:space="preserve">b0e9fcdd3f9f348f8329b5b04d16a567fa4e8b245fd7240f04908993286d9e0d</t>
  </si>
  <si>
    <t xml:space="preserve">DISCOVERY_INDEX_ONLY; SOURCE_RULE_REMAINS_NORMATIVE</t>
  </si>
  <si>
    <t xml:space="preserve">SRCMAP-002</t>
  </si>
  <si>
    <t xml:space="preserve">CORE-060</t>
  </si>
  <si>
    <t xml:space="preserve">Отвар, приводящий в сознание</t>
  </si>
  <si>
    <t xml:space="preserve">фармацевтика / реанимация.</t>
  </si>
  <si>
    <t xml:space="preserve">EXPLICIT</t>
  </si>
  <si>
    <t xml:space="preserve">цель в сознании, HP 1 при реанимации.</t>
  </si>
  <si>
    <t xml:space="preserve">снять тяжёлое ранение и установить HP=1; прекратить снотворное и паралитик без проверок; остановить таймер смерти.</t>
  </si>
  <si>
    <t xml:space="preserve">окончательную смерть не отменяет.</t>
  </si>
  <si>
    <t xml:space="preserve">§4.6, таблица 5, стр. 83–84; §5.5, стр. 104.</t>
  </si>
  <si>
    <t xml:space="preserve">Реестр правил!B29:AH29</t>
  </si>
  <si>
    <t xml:space="preserve">601c8f1bdcd89b6be61ee1a6222b775ed165e8fbd19da37184033efb39bcf3bf</t>
  </si>
  <si>
    <t xml:space="preserve">SRCMAP-003</t>
  </si>
  <si>
    <t xml:space="preserve">CORE-064</t>
  </si>
  <si>
    <t xml:space="preserve">Восстанавливающий отвар</t>
  </si>
  <si>
    <t xml:space="preserve">фармацевтика / лечение.</t>
  </si>
  <si>
    <t xml:space="preserve">восстановление HP.</t>
  </si>
  <si>
    <t xml:space="preserve">HP=min(maxHP,HP+25).</t>
  </si>
  <si>
    <t xml:space="preserve">не реанимирует CORE-156.</t>
  </si>
  <si>
    <t xml:space="preserve">§4.6, таблица 5, стр. 84.</t>
  </si>
  <si>
    <t xml:space="preserve">Реестр правил!B30:AH30</t>
  </si>
  <si>
    <t xml:space="preserve">028eace02932bf398b081979ef5258aa25bf25895fa1c3b411f3c9170345b094</t>
  </si>
  <si>
    <t xml:space="preserve">SRCMAP-004</t>
  </si>
  <si>
    <t xml:space="preserve">Таблетка ночного зрения</t>
  </si>
  <si>
    <t xml:space="preserve">фармацевтика / восприятие.</t>
  </si>
  <si>
    <t xml:space="preserve">временный флаг зрения.</t>
  </si>
  <si>
    <t xml:space="preserve">на 2 часа видеть в темноте как днём; повтор обновляет 2 часа.</t>
  </si>
  <si>
    <t xml:space="preserve">числовые штрафы темноты в анализируемых разделах не заданы.</t>
  </si>
  <si>
    <t xml:space="preserve">Реестр правил!B31:AH31</t>
  </si>
  <si>
    <t xml:space="preserve">ed731903f84fe610458451f98e85f83f91c837935c1fcfdb0d79f7cb3bf46541</t>
  </si>
  <si>
    <t xml:space="preserve">SRCMAP-005</t>
  </si>
  <si>
    <t xml:space="preserve">CORE-067</t>
  </si>
  <si>
    <t xml:space="preserve">Таблетка бритвенных рефлексов</t>
  </si>
  <si>
    <t xml:space="preserve">фармацевтика / бой.</t>
  </si>
  <si>
    <t xml:space="preserve">временный эффект.</t>
  </si>
  <si>
    <t xml:space="preserve">длительность max(1,round_math(R20/3)) личных ходов; на срок +3 к уклонению и парированию; повтор не складывает, обновляет срок.</t>
  </si>
  <si>
    <t xml:space="preserve">общая длительность CORE-101.</t>
  </si>
  <si>
    <t xml:space="preserve">Реестр правил!B32:AH32</t>
  </si>
  <si>
    <t xml:space="preserve">bcec27675d19ce1dd5adb2d541b3c32b0f60d214d84cb9ead460994d3382dff9</t>
  </si>
  <si>
    <t xml:space="preserve">SRCMAP-006</t>
  </si>
  <si>
    <t xml:space="preserve">CORE-070</t>
  </si>
  <si>
    <t xml:space="preserve">Таблетка куража</t>
  </si>
  <si>
    <t xml:space="preserve">фармацевтика / серия.</t>
  </si>
  <si>
    <t xml:space="preserve">+1 боевое действие в текущем и каждом следующем личном ходу этого боя.</t>
  </si>
  <si>
    <t xml:space="preserve">seriesBonus=+1 до конца боя; если первая доза принята в собственный текущий ход после расчёта серии, немедленно увеличить combatActionsRemaining на 1; повтор не увеличивает бонус/остаток, лишь обновляет эффект (практически до того же конца боя).</t>
  </si>
  <si>
    <t xml:space="preserve">может увеличить серию выше 5.</t>
  </si>
  <si>
    <t xml:space="preserve">Реестр правил!B33:AH33</t>
  </si>
  <si>
    <t xml:space="preserve">1666b9ad8f9b32be0bf6debe12627829e7ba9b383911ffcec37b741fb4bd88b3</t>
  </si>
  <si>
    <t xml:space="preserve">SRCMAP-007</t>
  </si>
  <si>
    <t xml:space="preserve">CORE-071</t>
  </si>
  <si>
    <t xml:space="preserve">Восстанавливающая таблетка</t>
  </si>
  <si>
    <t xml:space="preserve">фармацевтика / периодическое лечение.</t>
  </si>
  <si>
    <t xml:space="preserve">периодический эффект.</t>
  </si>
  <si>
    <t xml:space="preserve">до конца боя в конце каждого хода HP=min(maxHP,HP+5); повтор не складывает.</t>
  </si>
  <si>
    <t xml:space="preserve">обычное лечение не действует в тяжёлом ранении.</t>
  </si>
  <si>
    <t xml:space="preserve">§4.6, таблица 5, стр. 84; §5.4.2.5, стр. 95.</t>
  </si>
  <si>
    <t xml:space="preserve">Реестр правил!B34:AH34</t>
  </si>
  <si>
    <t xml:space="preserve">6e11e3910324408b608761565f50dfe1a2f89fe07787d1e89f2847be923c5fe9</t>
  </si>
  <si>
    <t xml:space="preserve">SRCMAP-008</t>
  </si>
  <si>
    <t xml:space="preserve">CORE-077</t>
  </si>
  <si>
    <t xml:space="preserve">Границы HP и ОЭ</t>
  </si>
  <si>
    <t xml:space="preserve">ресурс.</t>
  </si>
  <si>
    <t xml:space="preserve">валидный ресурс.</t>
  </si>
  <si>
    <t xml:space="preserve">clamp текущего в [0,currentMax]; избыточное восстановление пропадает; при временном снижении max текущий снизить до нового max, если выше; увеличение max само не восстанавливает текущий запас.</t>
  </si>
  <si>
    <t xml:space="preserve">тяжёлое ранение срабатывает при HP=0.</t>
  </si>
  <si>
    <t xml:space="preserve">§5.1, стр. 86.</t>
  </si>
  <si>
    <t xml:space="preserve">Реестр правил!B39:AH39</t>
  </si>
  <si>
    <t xml:space="preserve">f0f2e107bea3271fe561a8333ad17850d762866599f264632582317be9e910ee</t>
  </si>
  <si>
    <t xml:space="preserve">SRCMAP-009</t>
  </si>
  <si>
    <t xml:space="preserve">Порядок применения модификаторов характеристики</t>
  </si>
  <si>
    <t xml:space="preserve">характеристика / вычисление.</t>
  </si>
  <si>
    <t xml:space="preserve">итоговая характеристика.</t>
  </si>
  <si>
    <t xml:space="preserve">1) постоянное значение; 2) временные прибавки/штрафы; 3) умножение/деление; 4) точная установка и явно названные min/max. «Становится равной/до» применяется после обычных модификаторов.</t>
  </si>
  <si>
    <t xml:space="preserve">при несовместимых установках — более конкретная, при равной конкретности более ограничительная.</t>
  </si>
  <si>
    <t xml:space="preserve">§5.1, стр. 87.</t>
  </si>
  <si>
    <t xml:space="preserve">Реестр правил!B41:AH41</t>
  </si>
  <si>
    <t xml:space="preserve">882daef991d1af28f3c507c642a828526e6a1214872f70b7e0c6350ffec41305</t>
  </si>
  <si>
    <t xml:space="preserve">SRCMAP-010</t>
  </si>
  <si>
    <t xml:space="preserve">CORE-086</t>
  </si>
  <si>
    <t xml:space="preserve">Начало и окончание боя</t>
  </si>
  <si>
    <t xml:space="preserve">бой / жизненный цикл.</t>
  </si>
  <si>
    <t xml:space="preserve">combat.active и границы эффектов «до конца боя».</t>
  </si>
  <si>
    <t xml:space="preserve">открыть бой; завершить, если полный круг никто не совершал и не готовил враждебных действий либо одна сторона утратила возможность или намерение продолжать.</t>
  </si>
  <si>
    <t xml:space="preserve">решение о завершении сцены принимает мастер.</t>
  </si>
  <si>
    <t xml:space="preserve">§5.4.1, стр. 92–93.</t>
  </si>
  <si>
    <t xml:space="preserve">Реестр правил!B45:AH45</t>
  </si>
  <si>
    <t xml:space="preserve">55256a39e88ca9bc9b7e267da6efc1538417f4f85df7d22821e51ebcc35d4d9e</t>
  </si>
  <si>
    <t xml:space="preserve">SRCMAP-011</t>
  </si>
  <si>
    <t xml:space="preserve">CORE-103</t>
  </si>
  <si>
    <t xml:space="preserve">Состояния без сознания, паралич, оглушение, пропуск</t>
  </si>
  <si>
    <t xml:space="preserve">бой / состояние.</t>
  </si>
  <si>
    <t xml:space="preserve">фильтр допустимых команд и таймер.</t>
  </si>
  <si>
    <t xml:space="preserve">без сознания — нет действий, реакций, активных защит, броня работает; парализован — нет физических действий/активных защит, ментальные возможны только без речи/движения/управления телом; оглушён — пропускает указанные собственные ходы и реакции, если эффект не разрешил защиты; «пропускает ход» — не получает боевых/небоевых, защиты вне хода только при прямом разрешении.</t>
  </si>
  <si>
    <t xml:space="preserve">конкретный эффект может сохранить дееспособность.</t>
  </si>
  <si>
    <t xml:space="preserve">§5.4.2.5, стр. 95–96.</t>
  </si>
  <si>
    <t xml:space="preserve">Реестр правил!B57:AH57</t>
  </si>
  <si>
    <t xml:space="preserve">071cedd0f66688a1eaf597bbec9eaf47c0c25457965bc261f12c90258b80398b</t>
  </si>
  <si>
    <t xml:space="preserve">SRCMAP-012</t>
  </si>
  <si>
    <t xml:space="preserve">Отключённый симбионт</t>
  </si>
  <si>
    <t xml:space="preserve">симбионт / состояние.</t>
  </si>
  <si>
    <t xml:space="preserve">symbiont.disabled=true.</t>
  </si>
  <si>
    <t xml:space="preserve">запретить активные способности, пассивные механические эффекты и получение XP; анатомические изменения сохраняются физически, но не дают бонусов.
Для DIRECT_SYMBIONT и распределения неактивный/отключённый экземпляр обычно не является кандидатом.</t>
  </si>
  <si>
    <t xml:space="preserve">условия включения задаёт источник.
Локальные исключения: SYM-055 остаётся самостоятельным пассивным источником; Penguin под подавлением Trogr сохраняет прогрессию по SYM-075/SYM-130.</t>
  </si>
  <si>
    <t xml:space="preserve">§5.4.2.5, стр. 96.
Прямое авторское решение Q-SYMBIONT-XP-001 — опыт симбионтов за natural 20/1, 2026-07-30</t>
  </si>
  <si>
    <t xml:space="preserve">Реестр правил!B58:AH58</t>
  </si>
  <si>
    <t xml:space="preserve">7d987a3eae100d1ef702abfa6cf060180d72fe3ab01ac1b9dc3c155e114526a2</t>
  </si>
  <si>
    <t xml:space="preserve">SRCMAP-013</t>
  </si>
  <si>
    <t xml:space="preserve">CORE-108</t>
  </si>
  <si>
    <t xml:space="preserve">Прямой/чистый урон и отсутствие пробития</t>
  </si>
  <si>
    <t xml:space="preserve">урон / общая семантика.</t>
  </si>
  <si>
    <t xml:space="preserve">HP.</t>
  </si>
  <si>
    <t xml:space="preserve">прямой/чистый урон уменьшает HP, игнорирует броню и не травмирует без прямого указания; физическая атака без Pr получает Pr=0: ранит незащищённую зону, но не пробивает положительную броню; урон clamp ≥0 и не лечит.</t>
  </si>
  <si>
    <t xml:space="preserve">дополнительный урон применяется лишь после попадания и пробития, если не сказано, что игнорирует броню.</t>
  </si>
  <si>
    <t xml:space="preserve">уточнение §5.4.3.6, стр. 98.</t>
  </si>
  <si>
    <t xml:space="preserve">Реестр правил!B61:AH61</t>
  </si>
  <si>
    <t xml:space="preserve">b1467cebc3125c5ffd6b676da4d35f5d936ebe8eee5c1b90675cf02d75b5274d</t>
  </si>
  <si>
    <t xml:space="preserve">SRCMAP-014</t>
  </si>
  <si>
    <t xml:space="preserve">CORE-109</t>
  </si>
  <si>
    <t xml:space="preserve">Периодический и прямой яд</t>
  </si>
  <si>
    <t xml:space="preserve">урон / яд.</t>
  </si>
  <si>
    <t xml:space="preserve">HP/эффект отравления.</t>
  </si>
  <si>
    <t xml:space="preserve">прямой яд наносится в момент контакта; периодический в бою — в конце хода цели; броню игнорирует, травму не запускает; параметры способности/болезни берутся из её описания; яд болезни действует, пока болезнь не вылечена.</t>
  </si>
  <si>
    <t xml:space="preserve">Нэйт может защищать от ядовитых испарений, но не определённо от уже попавшего яда.</t>
  </si>
  <si>
    <t xml:space="preserve">§5.4.3.3, стр. 96.</t>
  </si>
  <si>
    <t xml:space="preserve">Реестр правил!B62:AH62</t>
  </si>
  <si>
    <t xml:space="preserve">1ddccca9e2fec404b6ad50f4a08e50d35e37fba826123eeb366d3a3161d0cc77</t>
  </si>
  <si>
    <t xml:space="preserve">SRCMAP-015</t>
  </si>
  <si>
    <t xml:space="preserve">CORE-113</t>
  </si>
  <si>
    <t xml:space="preserve">Сброс горящего элемента</t>
  </si>
  <si>
    <t xml:space="preserve">Не реализовывать в Windows-приложении</t>
  </si>
  <si>
    <t xml:space="preserve">огонь / действие.</t>
  </si>
  <si>
    <t xml:space="preserve">элемент больше не на носителе; его собственное горение может продолжаться.</t>
  </si>
  <si>
    <t xml:space="preserve">Нормативная база (действует во всей непротиворечащей части):
за каждый элемент отдельное действие и встречная проверка; при строгом превышении мастера элемент сброшен.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покомпонентное горение/сброс предмета заменены Q-CORE-030</t>
  </si>
  <si>
    <t xml:space="preserve">цена «действия» в бою принимается боевой по CORE-096.
Поздние дельты применяются по приоритету AQ3 &gt; AQ2 &gt; AQA/CQA &gt; базовая карточка; локальное исключение сильнее общего.</t>
  </si>
  <si>
    <t xml:space="preserve">§5.4.3.5, стр. 97.</t>
  </si>
  <si>
    <t xml:space="preserve">Реестр правил!B63:AH63</t>
  </si>
  <si>
    <t xml:space="preserve">73a15f0a7e45eaa4743075cff934c946db5941c05e80e959c337c9f08a2bc0e0</t>
  </si>
  <si>
    <t xml:space="preserve">SRCMAP-016</t>
  </si>
  <si>
    <t xml:space="preserve">CORE-116</t>
  </si>
  <si>
    <t xml:space="preserve">Ментальный урон и защита</t>
  </si>
  <si>
    <t xml:space="preserve">урон / псионика.</t>
  </si>
  <si>
    <t xml:space="preserve">уменьшенный урон/бонус сопротивления.</t>
  </si>
  <si>
    <t xml:space="preserve">игнорировать остальную броню; каждую порцию уменьшить на сумму применимой защиты (не ниже 0); травму не проверять; то же значение прибавить к встречной проверке против контроля, чтения мыслей, иллюзии и сходного эффекта.</t>
  </si>
  <si>
    <t xml:space="preserve">«не действует при любой защите» полностью запрещает только конкретную способность; конкретный иммунитет сильнее.</t>
  </si>
  <si>
    <t xml:space="preserve">§5.4.3.6, стр. 97–98.</t>
  </si>
  <si>
    <t xml:space="preserve">Реестр правил!B64:AH64</t>
  </si>
  <si>
    <t xml:space="preserve">7cc7ead488364fbe64bb318e40d82aca362756f67354b037f226a2c0e4a0ab20</t>
  </si>
  <si>
    <t xml:space="preserve">SRCMAP-017</t>
  </si>
  <si>
    <t xml:space="preserve">CORE-117</t>
  </si>
  <si>
    <t xml:space="preserve">Проверка получения травмы</t>
  </si>
  <si>
    <t xml:space="preserve">травма / триггер.</t>
  </si>
  <si>
    <t xml:space="preserve">новая травма/эффект.</t>
  </si>
  <si>
    <t xml:space="preserve">Нормативная база (действует во всей непротиворечащей части):
если проверка Z строго ниже урона, создать травму зоны и применить CORE-119–124; равенство травму не даёт.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после исключения сложной анатомии ссылаться только на травмы классической анатомии; generic flee вынести отдельно
[v1.3] Для EntityKind=CUSTOM_MONSTER targetZone всегда TORSO; травма маршрутизируется как травма корпуса без таблицы зон. Канонические зональные механики не меняются.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</si>
  <si>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дополнительный урон травмы не запускает новую травму/шрам/повтор.
Поздние дельты применяются по приоритету AQ3 &gt; AQ2 &gt; AQA/CQA &gt; базовая карточка; локальное исключение сильнее общего.</t>
  </si>
  <si>
    <t xml:space="preserve">§5.4.4, стр. 98–99.
Прямое уточнение пользователя 2026-07-28 — шаблоны врагов v1.3
Предразработочный QA и прямые ответы пользователя 2026-07-29</t>
  </si>
  <si>
    <t xml:space="preserve">Реестр правил!B65:AH65</t>
  </si>
  <si>
    <t xml:space="preserve">7ee29ff1af7c8c2b49bb066d9e91780d38b32ae3a903136725b33e68ed7d8988</t>
  </si>
  <si>
    <t xml:space="preserve">SRCMAP-018</t>
  </si>
  <si>
    <t xml:space="preserve">Травма корпуса гуманоида</t>
  </si>
  <si>
    <t xml:space="preserve">травма / корпус.</t>
  </si>
  <si>
    <t xml:space="preserve">дополнительная потеря HP.</t>
  </si>
  <si>
    <t xml:space="preserve">Нормативная база (действует во всей непротиворечащей части):
один раз дополнительно уменьшить HP цели на extra; не запускать новую травму, шрам или повтор этого эффекта.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упоминание шрама из запрета рекурсивных триггеров</t>
  </si>
  <si>
    <t xml:space="preserve">тяжёлое ранение/смерть после дополнительного урона проверяются обычно.
Поздние дельты применяются по приоритету AQ3 &gt; AQ2 &gt; AQA/CQA &gt; базовая карточка; локальное исключение сильнее общего.</t>
  </si>
  <si>
    <t xml:space="preserve">§5.4.4.1.3, стр. 98; уточнение стр. 99.</t>
  </si>
  <si>
    <t xml:space="preserve">Реестр правил!B67:AH67</t>
  </si>
  <si>
    <t xml:space="preserve">d5f2d629247f76a0f5ea840ba071c685fc5b6148e1c81e7b42d279da8954eafd</t>
  </si>
  <si>
    <t xml:space="preserve">SRCMAP-019</t>
  </si>
  <si>
    <t xml:space="preserve">борьба / состояние.</t>
  </si>
  <si>
    <t xml:space="preserve">link на конечность.</t>
  </si>
  <si>
    <t xml:space="preserve">установить удержание выбранной конечности; разрешить последующий травмирующий/болевой приём; освобождение =1 действие и встречная борьба, равенство сохраняет.</t>
  </si>
  <si>
    <t xml:space="preserve">самостоятельные штрафы удержания не заданы.</t>
  </si>
  <si>
    <t xml:space="preserve">§5.4.5.5.3(4), стр. 102.</t>
  </si>
  <si>
    <t xml:space="preserve">Реестр правил!B76:AH76</t>
  </si>
  <si>
    <t xml:space="preserve">e704727f0f15515756b4eb6a1d7b38702b1ebe7dd386f5586da6c013b6ceb441</t>
  </si>
  <si>
    <t xml:space="preserve">SRCMAP-020</t>
  </si>
  <si>
    <t xml:space="preserve">CORE-155</t>
  </si>
  <si>
    <t xml:space="preserve">Добивание тяжело раненного</t>
  </si>
  <si>
    <t xml:space="preserve">смерть / урон.</t>
  </si>
  <si>
    <t xml:space="preserve">dead=true.</t>
  </si>
  <si>
    <t xml:space="preserve">немедленно установить окончательную смерть; если порция после защит =0, не убивает.</t>
  </si>
  <si>
    <t xml:space="preserve">дееспособность/дубль не предотвращают.</t>
  </si>
  <si>
    <t xml:space="preserve">§5.5, стр. 104.</t>
  </si>
  <si>
    <t xml:space="preserve">Реестр правил!B82:AH82</t>
  </si>
  <si>
    <t xml:space="preserve">37866920deaae4e6b51d85cf1a1738e4a5b297b99f5fae648028557e3f61d191</t>
  </si>
  <si>
    <t xml:space="preserve">SRCMAP-021</t>
  </si>
  <si>
    <t xml:space="preserve">CORE-156</t>
  </si>
  <si>
    <t xml:space="preserve">Реанимация</t>
  </si>
  <si>
    <t xml:space="preserve">смерть / восстановление.</t>
  </si>
  <si>
    <t xml:space="preserve">жив, не тяжело ранен.</t>
  </si>
  <si>
    <t xml:space="preserve">остановить таймер; снять тяжёлое ранение; HP установить указанным значением, иначе 1. Обычное лечение HP без прямого указания не действует.</t>
  </si>
  <si>
    <t xml:space="preserve">отвар CORE-060.</t>
  </si>
  <si>
    <t xml:space="preserve">Реестр правил!B83:AH83</t>
  </si>
  <si>
    <t xml:space="preserve">7602850a777103f48c390cb775221fe4457a8dc4ee58ae744b77d8aee3b381e1</t>
  </si>
  <si>
    <t xml:space="preserve">SRCMAP-022</t>
  </si>
  <si>
    <t xml:space="preserve">CORE-176</t>
  </si>
  <si>
    <t xml:space="preserve">Термины хода, круга и сцены</t>
  </si>
  <si>
    <t xml:space="preserve">бой / временная модель.</t>
  </si>
  <si>
    <t xml:space="preserve">однозначные time anchors для эффектов.</t>
  </si>
  <si>
    <t xml:space="preserve">ход персонажа = его одно место в инициативе; «ход»/«боевой ход» без уточнения = личный ход, не круг. Круг инициативы = полный цикл, где каждый участник получает ход. Формулировка «до конца хода (круга инициативы)» означает конец текущего круга. Сцена = непрерывный эпизод в одном месте/времени, её завершение вводит мастер.</t>
  </si>
  <si>
    <t xml:space="preserve">конкретный эффект с собственным моментом тика сильнее.</t>
  </si>
  <si>
    <t xml:space="preserve">§5.4.1, стр. 93.</t>
  </si>
  <si>
    <t xml:space="preserve">Реестр правил!B95:AH95</t>
  </si>
  <si>
    <t xml:space="preserve">e062c564f2ce15daf119b1fda8f2be688932728e67b6b86d5c082d3d98337c10</t>
  </si>
  <si>
    <t xml:space="preserve">SRCMAP-023</t>
  </si>
  <si>
    <t xml:space="preserve">Автомат состояния «бегство»</t>
  </si>
  <si>
    <t xml:space="preserve">контроль поведения / выход из боя.</t>
  </si>
  <si>
    <t xml:space="preserve">участник либо остаётся в состоянии бегства, либо удалён из текущей боевой ситуации</t>
  </si>
  <si>
    <t xml:space="preserve">Установить fleeing=true. В начале каждого личного хода запретить атаки и автоматически расходовать все боевые действия на обычные перемещения по прямой от ближайшего противника; каждое перемещение равно max(0,R20+D−En×10). Ближайший противник пересчитывается перед каждым перемещением, равенство разрешается случайно. Режим «бежать несмотря ни на что» не включается. Защитные реакции сохраняются. После достижения дистанции более 150 м до ближайшего противника немедленно исключить участника из боя.</t>
  </si>
  <si>
    <t xml:space="preserve">прямой эффект, отменяющий бегство, снимает флаг; препятствия, безопасный путь и высота не моделируются</t>
  </si>
  <si>
    <t xml:space="preserve">Q-CORE-037 (Round 2); §5.4.4.2.3, стр. 99.</t>
  </si>
  <si>
    <t xml:space="preserve">Реестр правил!B96:AH96</t>
  </si>
  <si>
    <t xml:space="preserve">556c0bfd898c2bbfcce7942916f0b8cd7ecd35c00be890db6aa1cc38f9436b5c</t>
  </si>
  <si>
    <t xml:space="preserve">SRCMAP-024</t>
  </si>
  <si>
    <t xml:space="preserve">SYM-003</t>
  </si>
  <si>
    <t xml:space="preserve">Иммунитет Чистых к естественному заражению</t>
  </si>
  <si>
    <t xml:space="preserve">заражение.</t>
  </si>
  <si>
    <t xml:space="preserve">HEURISTIC_INDEX_ONLY</t>
  </si>
  <si>
    <t xml:space="preserve">состав симбионтов неизменен.</t>
  </si>
  <si>
    <t xml:space="preserve">Нормативная база (действует во всей непротиворечащей части):
проверку не выполнять; заражение не возникает.
Приоритетные авторские дельты (заменяют только прямо пересекающиеся ветви):
[AQ2-GM-SYM] Операции мастера по добавлению, удалению, замене, пересадке и изменению уровня симбионта определены карточками AQ2-013–AQ2-025. Прежняя помета о неопределённости пересадки в конфликтующей части не применяется.</t>
  </si>
  <si>
    <t xml:space="preserve">правило относится к естественному заражению; операции пересадки здесь не определены.
Поздние дельты применяются по приоритету AQ3 &gt; AQ2 &gt; AQA/CQA &gt; базовая карточка; локальное исключение сильнее общего.</t>
  </si>
  <si>
    <t xml:space="preserve">7.1, стр. 111.</t>
  </si>
  <si>
    <t xml:space="preserve">Реестр правил!B99:AH99</t>
  </si>
  <si>
    <t xml:space="preserve">a7c5b9a72f79e16d39fd378b02d38f942cee86ac975308099fba17ab5b605385</t>
  </si>
  <si>
    <t xml:space="preserve">SRCMAP-025</t>
  </si>
  <si>
    <t xml:space="preserve">SYM-006</t>
  </si>
  <si>
    <t xml:space="preserve">Состояние пересаженного симбионта</t>
  </si>
  <si>
    <t xml:space="preserve">пересадка / сохранение прогресса.</t>
  </si>
  <si>
    <t xml:space="preserve">симбионт переносится без потери прогресса, но без текущей энергии.</t>
  </si>
  <si>
    <t xml:space="preserve">сохранить приобретённый уровень и изученные способности; установить currentOE=0.</t>
  </si>
  <si>
    <t xml:space="preserve">восстановление ОЭ — только обычным отдыхом.</t>
  </si>
  <si>
    <t xml:space="preserve">Реестр правил!B100:AH100</t>
  </si>
  <si>
    <t xml:space="preserve">b2e47da300b51ca6f9a9e54bf73e8e17c7c3e0b37552207a40e9bcb9f0ebaca6</t>
  </si>
  <si>
    <t xml:space="preserve">SRCMAP-026</t>
  </si>
  <si>
    <t xml:space="preserve">SYM-008</t>
  </si>
  <si>
    <t xml:space="preserve">Возврат отключённого симбионта</t>
  </si>
  <si>
    <t xml:space="preserve">состояния симбионта.</t>
  </si>
  <si>
    <t xml:space="preserve">disabled=false.</t>
  </si>
  <si>
    <t xml:space="preserve">активировать симбионт только по прямо разрешённому условию; сам по себе отдых не сокращает любое отключение.</t>
  </si>
  <si>
    <t xml:space="preserve">конкретное описание отключения имеет приоритет.</t>
  </si>
  <si>
    <t xml:space="preserve">Реестр правил!B101:AH101</t>
  </si>
  <si>
    <t xml:space="preserve">a7852a8c93b2372fb75f36deddcb8655453b9c9aff1d655fde46e3e8b250bbdc</t>
  </si>
  <si>
    <t xml:space="preserve">SRCMAP-027</t>
  </si>
  <si>
    <t xml:space="preserve">SYM-015</t>
  </si>
  <si>
    <t xml:space="preserve">Цель, контакт и поле зрения</t>
  </si>
  <si>
    <t xml:space="preserve">адресация эффекта.</t>
  </si>
  <si>
    <t xml:space="preserve">валидная цель принимается либо команда отклоняется.</t>
  </si>
  <si>
    <t xml:space="preserve">если цель не названа и меняется тело носителя — цель носитель; «в поле зрения» проверять и при объявлении, и при разрешении; непрозрачное препятствие блокирует; контактная способность без дальности требует касания; дальняя без линии распространения требует поля зрения.</t>
  </si>
  <si>
    <t xml:space="preserve">прямые указания прохождения сквозь препятствия имеют приоритет.</t>
  </si>
  <si>
    <t xml:space="preserve">7.4, стр. 114.</t>
  </si>
  <si>
    <t xml:space="preserve">Реестр правил!B106:AH106</t>
  </si>
  <si>
    <t xml:space="preserve">9ab7d70cc77608bafe4ddfbda21eacbac63dbeecde69e6919d924a5511f6bbff</t>
  </si>
  <si>
    <t xml:space="preserve">SRCMAP-028</t>
  </si>
  <si>
    <t xml:space="preserve">SYM-025</t>
  </si>
  <si>
    <t xml:space="preserve">Временная потеря уровня, удаление и гибель</t>
  </si>
  <si>
    <t xml:space="preserve">развитие / жизненный цикл.</t>
  </si>
  <si>
    <t xml:space="preserve">обновлены доступность, ОЭ и производные показатели.</t>
  </si>
  <si>
    <t xml:space="preserve">при временной потере уровня не удалять способности, заблокировать способности выше L, ограничить ОЭ новым максимумом, XP не возвращать. При удалении/гибели прекратить обычные пассивы.</t>
  </si>
  <si>
    <t xml:space="preserve">прямо указанное постоянное последствие сохраняется (пример — навык Трогра после удаления).</t>
  </si>
  <si>
    <t xml:space="preserve">7.2, стр. 113.</t>
  </si>
  <si>
    <t xml:space="preserve">Реестр правил!B114:AH114</t>
  </si>
  <si>
    <t xml:space="preserve">8061a9942ae6999c85a466c41460b853ec5208204426c68ee8d66f139d931761</t>
  </si>
  <si>
    <t xml:space="preserve">SRCMAP-029</t>
  </si>
  <si>
    <t xml:space="preserve">SYM-027</t>
  </si>
  <si>
    <t xml:space="preserve">Регенерация</t>
  </si>
  <si>
    <t xml:space="preserve">лечение / активная.</t>
  </si>
  <si>
    <t xml:space="preserve">HP/травмы либо бессознательность.</t>
  </si>
  <si>
    <t xml:space="preserve">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</si>
  <si>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специальные диапазоны заменяют базовое 2R.</t>
  </si>
  <si>
    <t xml:space="preserve">7.5.1.2.1, стр. 116.</t>
  </si>
  <si>
    <t xml:space="preserve">Реестр правил!B117:AH117</t>
  </si>
  <si>
    <t xml:space="preserve">c8943639d6ead4ece60fc62f0380c7318c16794818e9c355a6e03f670c0aaca2</t>
  </si>
  <si>
    <t xml:space="preserve">SRCMAP-030</t>
  </si>
  <si>
    <t xml:space="preserve">SYM-029</t>
  </si>
  <si>
    <t xml:space="preserve">Внешняя регенерация</t>
  </si>
  <si>
    <t xml:space="preserve">лечение / контактная активная.</t>
  </si>
  <si>
    <t xml:space="preserve">HP/травмы цели.</t>
  </si>
  <si>
    <t xml:space="preserve">R=1: цель теряет 10 HP. R=2–4: нет эффекта. R=5–19: цель восстанавливает 2R HP. R=20: цель восстанавливает 50 HP, все травмы и косметические дефекты, снижающие C.</t>
  </si>
  <si>
    <t xml:space="preserve">контакт обязателен.</t>
  </si>
  <si>
    <t xml:space="preserve">7.5.1.3.2, стр. 116.</t>
  </si>
  <si>
    <t xml:space="preserve">Реестр правил!B118:AH118</t>
  </si>
  <si>
    <t xml:space="preserve">deba4529f74ac9baa7306a2130961e5c8ffb8ed27d71308c692b86408f5507ee</t>
  </si>
  <si>
    <t xml:space="preserve">SRCMAP-031</t>
  </si>
  <si>
    <t xml:space="preserve">SYM-036</t>
  </si>
  <si>
    <t xml:space="preserve">Облако регенерона</t>
  </si>
  <si>
    <t xml:space="preserve">площадное лечение.</t>
  </si>
  <si>
    <t xml:space="preserve">массовое лечение, включая союзников и противников.</t>
  </si>
  <si>
    <t xml:space="preserve">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</si>
  <si>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отдельной проверки по целям нет.</t>
  </si>
  <si>
    <t xml:space="preserve">7.5.1.7.1, стр. 117.</t>
  </si>
  <si>
    <t xml:space="preserve">Реестр правил!B119:AH119</t>
  </si>
  <si>
    <t xml:space="preserve">88db159eb0f1a7427f367eca6461922829fa8a61747dc90b44e90c0598600da0</t>
  </si>
  <si>
    <t xml:space="preserve">SRCMAP-032</t>
  </si>
  <si>
    <t xml:space="preserve">SYM-054</t>
  </si>
  <si>
    <t xml:space="preserve">Развивайся, ученик</t>
  </si>
  <si>
    <t xml:space="preserve">пассив / характеристики.</t>
  </si>
  <si>
    <t xml:space="preserve">производные W/I; при гибели/удалении вернуть исходные значения; при появлении другого симбионта убрать бонус I.</t>
  </si>
  <si>
    <t xml:space="preserve">W_bonus=max(0,min(4L,20−W_base)); W=W_base+W_bonus. Если Учитель — единственный симбионт, I_bonus=max(0,min(4L,20−I_base)), I=I_base+I_bonus.</t>
  </si>
  <si>
    <t xml:space="preserve">способность только повышает характеристики до 20 и никогда не снижает исходное значение выше 20.</t>
  </si>
  <si>
    <t xml:space="preserve">7.5.4.2.1, стр. 124.</t>
  </si>
  <si>
    <t xml:space="preserve">Реестр правил!B127:AH127</t>
  </si>
  <si>
    <t xml:space="preserve">e6c57e18842fff0e7cf1ebbe5405bbf59c034a2f99285a9f4fd2c14c15602385</t>
  </si>
  <si>
    <t xml:space="preserve">SRCMAP-033</t>
  </si>
  <si>
    <t xml:space="preserve">SYM-061</t>
  </si>
  <si>
    <t xml:space="preserve">Подкожный панцирь</t>
  </si>
  <si>
    <t xml:space="preserve">пассив / броня.</t>
  </si>
  <si>
    <t xml:space="preserve">повышенный спасбросок/показатель брони.</t>
  </si>
  <si>
    <t xml:space="preserve">добавить L к броне поражённой зоны, складывая с носимой бронёй.</t>
  </si>
  <si>
    <t xml:space="preserve">бонус не действует против кулаков, ног, кастетов и грубого оружия.</t>
  </si>
  <si>
    <t xml:space="preserve">7.5.5.2.1, стр. 126.</t>
  </si>
  <si>
    <t xml:space="preserve">Реестр правил!B132:AH132</t>
  </si>
  <si>
    <t xml:space="preserve">0ec2c81e0f6c68be16cd82abf5487ce9451e2431f7c7575ec0b51968a677d3e2</t>
  </si>
  <si>
    <t xml:space="preserve">SRCMAP-034</t>
  </si>
  <si>
    <t xml:space="preserve">SYM-062</t>
  </si>
  <si>
    <t xml:space="preserve">Здоров как буйвол</t>
  </si>
  <si>
    <t xml:space="preserve">пассив / характеристика.</t>
  </si>
  <si>
    <t xml:space="preserve">пересчитать Z и зависимые значения.</t>
  </si>
  <si>
    <t xml:space="preserve">Z = Z_base + L; при гибели/удалении вернуть базовое.</t>
  </si>
  <si>
    <t xml:space="preserve">нет.</t>
  </si>
  <si>
    <t xml:space="preserve">7.5.5.3.1, стр. 126.</t>
  </si>
  <si>
    <t xml:space="preserve">Реестр правил!B133:AH133</t>
  </si>
  <si>
    <t xml:space="preserve">669d1c916052a598673410335ab9aef09bcf866add774d030f5b9959eee93fa2</t>
  </si>
  <si>
    <t xml:space="preserve">SRCMAP-035</t>
  </si>
  <si>
    <t xml:space="preserve">SYM-063</t>
  </si>
  <si>
    <t xml:space="preserve">Не вырубишь!</t>
  </si>
  <si>
    <t xml:space="preserve">пассив / иммунитет к состоянию.</t>
  </si>
  <si>
    <t xml:space="preserve">состояние не применяется.</t>
  </si>
  <si>
    <t xml:space="preserve">отменить наложение оглушения.</t>
  </si>
  <si>
    <t xml:space="preserve">при HP≤50 иммунитета нет; иные формы потери сознания не названы.</t>
  </si>
  <si>
    <t xml:space="preserve">7.5.5.4.1, стр. 126.</t>
  </si>
  <si>
    <t xml:space="preserve">Реестр правил!B134:AH134</t>
  </si>
  <si>
    <t xml:space="preserve">4e1825618508213b5b77ec41ace30494747e271fc2dfb40fba0c638f84bcbe8b</t>
  </si>
  <si>
    <t xml:space="preserve">SRCMAP-036</t>
  </si>
  <si>
    <t xml:space="preserve">SYM-064</t>
  </si>
  <si>
    <t xml:space="preserve">Не подчиняюсь!</t>
  </si>
  <si>
    <t xml:space="preserve">пассив / сопротивление.</t>
  </si>
  <si>
    <t xml:space="preserve">модифицированный результат сопротивления.</t>
  </si>
  <si>
    <t xml:space="preserve">добавить +5.</t>
  </si>
  <si>
    <t xml:space="preserve">прямой бонус.</t>
  </si>
  <si>
    <t xml:space="preserve">7.5.5.5.1, стр. 126.</t>
  </si>
  <si>
    <t xml:space="preserve">Реестр правил!B135:AH135</t>
  </si>
  <si>
    <t xml:space="preserve">72d69b507848c51cfc5aefa1cf7e1d577502e69b981332b72d45a72323edc987</t>
  </si>
  <si>
    <t xml:space="preserve">SRCMAP-037</t>
  </si>
  <si>
    <t xml:space="preserve">SYM-065</t>
  </si>
  <si>
    <t xml:space="preserve">Не сдвинешь!</t>
  </si>
  <si>
    <t xml:space="preserve">пассив / сопротивление перемещению.</t>
  </si>
  <si>
    <t xml:space="preserve">модифицированная проверка.</t>
  </si>
  <si>
    <t xml:space="preserve">добавить +10.</t>
  </si>
  <si>
    <t xml:space="preserve">только попытки сдвинуть с места.</t>
  </si>
  <si>
    <t xml:space="preserve">7.5.5.6.1, стр. 126.</t>
  </si>
  <si>
    <t xml:space="preserve">Реестр правил!B136:AH136</t>
  </si>
  <si>
    <t xml:space="preserve">29f0f982caaf4726ed6c54353f7242d0ae46cc9fbec265758c98b2b0a583a7f0</t>
  </si>
  <si>
    <t xml:space="preserve">SRCMAP-038</t>
  </si>
  <si>
    <t xml:space="preserve">SYM-070</t>
  </si>
  <si>
    <t xml:space="preserve">Зубы-огниво</t>
  </si>
  <si>
    <t xml:space="preserve">пассив / зажигание.</t>
  </si>
  <si>
    <t xml:space="preserve">слюна получает состояние «горит».</t>
  </si>
  <si>
    <t xml:space="preserve">гарантированно зажечь слюну без проверки.</t>
  </si>
  <si>
    <t xml:space="preserve">складывается с «Подобное к подобному» Крысы; оба эффекта работают.</t>
  </si>
  <si>
    <t xml:space="preserve">7.5.6.4.1, стр. 128.</t>
  </si>
  <si>
    <t xml:space="preserve">Реестр правил!B138:AH138</t>
  </si>
  <si>
    <t xml:space="preserve">ecbb3df1cf017e6f939c20c44fb65067f5a825e5e1f46e3cb1f770be80e66aa8</t>
  </si>
  <si>
    <t xml:space="preserve">SRCMAP-039</t>
  </si>
  <si>
    <t xml:space="preserve">SYM-084</t>
  </si>
  <si>
    <t xml:space="preserve">Резервная копия: выход и параметры вне тела</t>
  </si>
  <si>
    <t xml:space="preserve">смерть носителя / самостоятельная сущность.</t>
  </si>
  <si>
    <t xml:space="preserve">Хранитель становится самостоятельной боевой сущностью с таймером жизни.</t>
  </si>
  <si>
    <t xml:space="preserve">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t>
  </si>
  <si>
    <t xml:space="preserve">сознание/память прежнего носителя непрерывно актуализированы.</t>
  </si>
  <si>
    <t xml:space="preserve">7.5.8.2.1, стр. 132.</t>
  </si>
  <si>
    <t xml:space="preserve">Реестр правил!B144:AH144</t>
  </si>
  <si>
    <t xml:space="preserve">0a5060dadd58f87e326d91643b649ac5a4a984303c268100a2067ecf924ac099</t>
  </si>
  <si>
    <t xml:space="preserve">SRCMAP-040</t>
  </si>
  <si>
    <t xml:space="preserve">SYM-086</t>
  </si>
  <si>
    <t xml:space="preserve">Парализующее жало</t>
  </si>
  <si>
    <t xml:space="preserve">контактная атака / полный паралич.</t>
  </si>
  <si>
    <t xml:space="preserve">все мышцы расслаблены, действия движения недоступны.</t>
  </si>
  <si>
    <t xml:space="preserve">выполнить атаку; пробитие=R12; если броня пробита и R20+10&gt;Z_target, полностью обездвижить цель на 2 хода/2 минуты.</t>
  </si>
  <si>
    <t xml:space="preserve">яд не применён без пробития.</t>
  </si>
  <si>
    <t xml:space="preserve">7.5.8.3.1, стр. 132.</t>
  </si>
  <si>
    <t xml:space="preserve">Реестр правил!B145:AH145</t>
  </si>
  <si>
    <t xml:space="preserve">bbf17844a766d722d304d30a61cd422e4d7ae5322d25c349ab49100223796517</t>
  </si>
  <si>
    <t xml:space="preserve">SRCMAP-041</t>
  </si>
  <si>
    <t xml:space="preserve">SYM-100</t>
  </si>
  <si>
    <t xml:space="preserve">Система устойчивости</t>
  </si>
  <si>
    <t xml:space="preserve">автоматическая передача контроля / защита от состояний.</t>
  </si>
  <si>
    <t xml:space="preserve">тело продолжает действовать под Советником.</t>
  </si>
  <si>
    <t xml:space="preserve">автоматически передать управление Советнику без расхода ОЭ до возвращения ясного сознания носителя.</t>
  </si>
  <si>
    <t xml:space="preserve">не действует при тяжёлом ранении, физическом параличе, разрушении нужных органов или полном обездвиживании.</t>
  </si>
  <si>
    <t xml:space="preserve">7.5.9.6.1 и уточнение, стр. 135.</t>
  </si>
  <si>
    <t xml:space="preserve">Реестр правил!B151:AH151</t>
  </si>
  <si>
    <t xml:space="preserve">a4bdb4f47abd8695c0d58723ef7ac31d77588a0d588430449ffa30c614d6565b</t>
  </si>
  <si>
    <t xml:space="preserve">SRCMAP-042</t>
  </si>
  <si>
    <t xml:space="preserve">SYM-113</t>
  </si>
  <si>
    <t xml:space="preserve">Маскировка под растение</t>
  </si>
  <si>
    <t xml:space="preserve">активная маскировка.</t>
  </si>
  <si>
    <t xml:space="preserve">состояние растительной маскировки.</t>
  </si>
  <si>
    <t xml:space="preserve">добавить +5 к скрытности; снять эффект при движении или применении любой другой способности симбионта.</t>
  </si>
  <si>
    <t xml:space="preserve">обычное действие без движения/симбионта прямо не снимает.</t>
  </si>
  <si>
    <t xml:space="preserve">7.5.11.5.1, стр. 139.</t>
  </si>
  <si>
    <t xml:space="preserve">Реестр правил!B158:AH158</t>
  </si>
  <si>
    <t xml:space="preserve">bc674b541e9e3999e486d6b644c033b8229f95453122dfe65ff98423abd8715a</t>
  </si>
  <si>
    <t xml:space="preserve">SRCMAP-043</t>
  </si>
  <si>
    <t xml:space="preserve">SYM-127</t>
  </si>
  <si>
    <t xml:space="preserve">Динамическая маскировка</t>
  </si>
  <si>
    <t xml:space="preserve">активная длительная маскировка.</t>
  </si>
  <si>
    <t xml:space="preserve">длительная маскировка либо негативный окрас.</t>
  </si>
  <si>
    <t xml:space="preserve">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t>
  </si>
  <si>
    <t xml:space="preserve">не складывается со статической.</t>
  </si>
  <si>
    <t xml:space="preserve">7.5.13.5.1, стр. 143.</t>
  </si>
  <si>
    <t xml:space="preserve">Реестр правил!B164:AH164</t>
  </si>
  <si>
    <t xml:space="preserve">c304aa70beaf1056abb10114f112c8aaa2c4042236f1f2b3082e2db7dc50696e</t>
  </si>
  <si>
    <t xml:space="preserve">SRCMAP-044</t>
  </si>
  <si>
    <t xml:space="preserve">SYM-128</t>
  </si>
  <si>
    <t xml:space="preserve">Сокрытие оружия</t>
  </si>
  <si>
    <t xml:space="preserve">пассив / модификатор маскировки.</t>
  </si>
  <si>
    <t xml:space="preserve">полный модификатор маскировки.</t>
  </si>
  <si>
    <t xml:space="preserve">не применять штраф/деление эффекта за крупные предметы; распространять маскировку на любые удерживаемые объекты.</t>
  </si>
  <si>
    <t xml:space="preserve">предмет должен удерживаться.</t>
  </si>
  <si>
    <t xml:space="preserve">7.5.13.6.1, стр. 143.</t>
  </si>
  <si>
    <t xml:space="preserve">Реестр правил!B165:AH165</t>
  </si>
  <si>
    <t xml:space="preserve">a89108cdbdefb3dfad7facdf82e273e9c70836a6379283a7ce60f6e3f25e9723</t>
  </si>
  <si>
    <t xml:space="preserve">SRCMAP-045</t>
  </si>
  <si>
    <t xml:space="preserve">SYM-130</t>
  </si>
  <si>
    <t xml:space="preserve">Профиль и линейное дерево Пингвина</t>
  </si>
  <si>
    <t xml:space="preserve">профиль / развитие.</t>
  </si>
  <si>
    <t xml:space="preserve">профиль/доступность.</t>
  </si>
  <si>
    <t xml:space="preserve">maxOE=20×L; связанные C,W; max L=7. Линейно: Ми-ми-ми → Oh nice! → Чёрно-белый страх → Чёрно-белая ярость → Чёрно-белый контроль → Чёрно-белое смещение → Чёрно-белое доминирование.</t>
  </si>
  <si>
    <t xml:space="preserve">при Трогре Пингвин не проявляет никаких эффектов, но продолжает получать XP.
Penguin сохраняет progression eligibility под подавлением Trogr согласно SYM-075.</t>
  </si>
  <si>
    <t xml:space="preserve">7.5.14–7.5.14.1, стр. 144 (дерево прочитано визуально).
Прямое авторское решение Q-SYMBIONT-XP-001 — опыт симбионтов за natural 20/1, 2026-07-30</t>
  </si>
  <si>
    <t xml:space="preserve">Реестр правил!B166:AH166</t>
  </si>
  <si>
    <t xml:space="preserve">0f742eac999c7a78f2621fe0f245f2391ed0ee96b5fbc3886508169839e34364</t>
  </si>
  <si>
    <t xml:space="preserve">SRCMAP-046</t>
  </si>
  <si>
    <t xml:space="preserve">SYM-140</t>
  </si>
  <si>
    <t xml:space="preserve">Шаровая молния</t>
  </si>
  <si>
    <t xml:space="preserve">самонаводящаяся дальняя атака.</t>
  </si>
  <si>
    <t xml:space="preserve">урон и контроль; дуга снята.</t>
  </si>
  <si>
    <t xml:space="preserve">после запуска прекратить дугу; цель не может защищаться; нанести 4A урона; носителю нанести 10 урона. A&gt;21−L → оглушение цели 1 ход/5 мин; A&gt;19−L → отключение её симбионтов на тот же срок; A=1 → специальное последствие носителю: сознание/30 урона/симбионты по SYM-137.</t>
  </si>
  <si>
    <t xml:space="preserve">два предшествующих хода должны быть полными.</t>
  </si>
  <si>
    <t xml:space="preserve">7.5.15.5.1 и уточнение, стр. 148–149.</t>
  </si>
  <si>
    <t xml:space="preserve">Реестр правил!B169:AH169</t>
  </si>
  <si>
    <t xml:space="preserve">0b2ca4c1a84007deef1c85ca420a28638e4b288dfc25bf63029e9bc7e04f6142</t>
  </si>
  <si>
    <t xml:space="preserve">SRCMAP-047</t>
  </si>
  <si>
    <t xml:space="preserve">SYM-141</t>
  </si>
  <si>
    <t xml:space="preserve">Молния</t>
  </si>
  <si>
    <t xml:space="preserve">беззащитная дальняя атака / самоповреждение.</t>
  </si>
  <si>
    <t xml:space="preserve">самоповреждение, дальний урон/контроль, снятие дуги.</t>
  </si>
  <si>
    <t xml:space="preserve">носитель получает 2A урона; разряд всё равно вылетает, даже если это вызвало тяжёлое ранение. Цель не защищается и получает 5D урона.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 После выстрела дуга прекращается.</t>
  </si>
  <si>
    <t xml:space="preserve">Контактный шокер отдельно не оплачивается, его обычный обратный урон не применяется; пороги относятся к первому R20, второй — только урон.</t>
  </si>
  <si>
    <t xml:space="preserve">7.5.15.6.1 и уточнение, стр. 149.</t>
  </si>
  <si>
    <t xml:space="preserve">Реестр правил!B170:AH170</t>
  </si>
  <si>
    <t xml:space="preserve">e01fe3c3860569c9ffdf80889a06f60b42f4f01e7d911a9cfbd7319bed47e4ce</t>
  </si>
  <si>
    <t xml:space="preserve">SRCMAP-048</t>
  </si>
  <si>
    <t xml:space="preserve">SYM-144</t>
  </si>
  <si>
    <t xml:space="preserve">Иммунитет к ядам</t>
  </si>
  <si>
    <t xml:space="preserve">пассив / иммунитет.</t>
  </si>
  <si>
    <t xml:space="preserve">урон/контроль не применяется.</t>
  </si>
  <si>
    <t xml:space="preserve">отменить урон от яда; отменить эффекты контроля, вызванные ядами или отварами, включая обезболивание.</t>
  </si>
  <si>
    <t xml:space="preserve">иные не-контролирующие эффекты отваров прямо не отменены.</t>
  </si>
  <si>
    <t xml:space="preserve">7.5.16.2.1, стр. 151.</t>
  </si>
  <si>
    <t xml:space="preserve">Реестр правил!B172:AH172</t>
  </si>
  <si>
    <t xml:space="preserve">22413d801067f64d41f600a635f9c1c454bc81cfc3093031833f1caba97be385</t>
  </si>
  <si>
    <t xml:space="preserve">SRCMAP-049</t>
  </si>
  <si>
    <t xml:space="preserve">SYM-145</t>
  </si>
  <si>
    <t xml:space="preserve">Оптимизация метаболизма</t>
  </si>
  <si>
    <t xml:space="preserve">активное временное жертвование характеристик / восстановление.</t>
  </si>
  <si>
    <t xml:space="preserve">временные модификаторы и лимиты выживания; затем атомарное восстановление.</t>
  </si>
  <si>
    <t xml:space="preserve">временно снизить выбранные характеристики на N; за каждый пункт добавить +5 часов существования без еды и сна и +10 минут без кислорода. Не удалять навыки. Вернуть все пункты только после совместного выполнения: доступ к кислороду восстановлен, плотная еда принята, завершены 4 часа сна.</t>
  </si>
  <si>
    <t xml:space="preserve">полноценность сна для восстановления пользы по SYM-007 отдельно не требуется текстом, но длительность 4 часа обязательна.</t>
  </si>
  <si>
    <t xml:space="preserve">7.5.16.3.1 и уточнение, стр. 151.</t>
  </si>
  <si>
    <t xml:space="preserve">Реестр правил!B173:AH173</t>
  </si>
  <si>
    <t xml:space="preserve">dfa98c5a9dc92465f9547fe49f1119f9bb21a6383b29c878c6a30124060912ca</t>
  </si>
  <si>
    <t xml:space="preserve">SRCMAP-050</t>
  </si>
  <si>
    <t xml:space="preserve">SYM-148</t>
  </si>
  <si>
    <t xml:space="preserve">На, держи</t>
  </si>
  <si>
    <t xml:space="preserve">переключаемый контактный пассив / отключение симбионтов.</t>
  </si>
  <si>
    <t xml:space="preserve">симбионты цели disabled до таймера.</t>
  </si>
  <si>
    <t xml:space="preserve">отключить всех симбионтов цели на 5 минут/1 ход.</t>
  </si>
  <si>
    <t xml:space="preserve">можно касаться без активации железы; дополнительное действие/ОЭ не тратится.</t>
  </si>
  <si>
    <t xml:space="preserve">7.5.16.6.1, стр. 151.</t>
  </si>
  <si>
    <t xml:space="preserve">Реестр правил!B174:AH174</t>
  </si>
  <si>
    <t xml:space="preserve">3ce2087f57aba9a27d7da927cf122fd8b89a8ec4963e8e70bf29650ce3940e69</t>
  </si>
  <si>
    <t xml:space="preserve">SRCMAP-051</t>
  </si>
  <si>
    <t xml:space="preserve">SYM-150</t>
  </si>
  <si>
    <t xml:space="preserve">Амфибиоморфная асфиксия</t>
  </si>
  <si>
    <t xml:space="preserve">добавка к атаке языком / отложенный контроль.</t>
  </si>
  <si>
    <t xml:space="preserve">отложенная встречная проверка и бессознательность.</t>
  </si>
  <si>
    <t xml:space="preserve">при успешном попадании и пробитии поставить таймер; по истечении сравнить результаты. Если R20+5 &gt; checkM_target, цель теряет сознание на 5 минут/1 ход.</t>
  </si>
  <si>
    <t xml:space="preserve">иммунитет Жабы к ядам отменяет эффект; иных способов нейтрализации не описано.</t>
  </si>
  <si>
    <t xml:space="preserve">7.5.16.8.1, стр. 151.</t>
  </si>
  <si>
    <t xml:space="preserve">Реестр правил!B176:AH176</t>
  </si>
  <si>
    <t xml:space="preserve">250663de71a13dd57e09d966fd3bee91c937a13c2218a475074bd7d51131ef54</t>
  </si>
  <si>
    <t xml:space="preserve">SRCMAP-052</t>
  </si>
  <si>
    <t xml:space="preserve">SYM-153</t>
  </si>
  <si>
    <t xml:space="preserve">Самостоятельность: гибель и перерождение</t>
  </si>
  <si>
    <t xml:space="preserve">смерть симбионта / восстановление.</t>
  </si>
  <si>
    <t xml:space="preserve">Крыса возвращена в тело.</t>
  </si>
  <si>
    <t xml:space="preserve">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</si>
  <si>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уровень не ниже 1.</t>
  </si>
  <si>
    <t xml:space="preserve">7.5.17.2.1 и уточнение, стр. 153.
Предразработочный QA и прямые ответы пользователя 2026-07-29</t>
  </si>
  <si>
    <t xml:space="preserve">Реестр правил!B178:AH178</t>
  </si>
  <si>
    <t xml:space="preserve">93c2ec6d43445801c6f4e68f5b6b0da744b1b9e9950142bdd92fc48eeccde5bd</t>
  </si>
  <si>
    <t xml:space="preserve">SRCMAP-053</t>
  </si>
  <si>
    <t xml:space="preserve">SYM-165</t>
  </si>
  <si>
    <t xml:space="preserve">Ментальный компас: боевая часть</t>
  </si>
  <si>
    <t xml:space="preserve">пассив / ментальная защита.</t>
  </si>
  <si>
    <t xml:space="preserve">повышенная защита и раскрытая позиция.</t>
  </si>
  <si>
    <t xml:space="preserve">добавить +10; при успешной защите гарантированно раскрыть источник и его местоположение.</t>
  </si>
  <si>
    <t xml:space="preserve">бонусы маршрута/поиска пути исключены как небоевые.</t>
  </si>
  <si>
    <t xml:space="preserve">7.5.18.5.1, стр. 156.</t>
  </si>
  <si>
    <t xml:space="preserve">Реестр правил!B186:AH186</t>
  </si>
  <si>
    <t xml:space="preserve">43af63476764b84e116f3670018de561dd8d1acb340493d68b80e1515242dd25</t>
  </si>
  <si>
    <t xml:space="preserve">SRCMAP-054</t>
  </si>
  <si>
    <t xml:space="preserve">SYM-166</t>
  </si>
  <si>
    <t xml:space="preserve">Мирный воин: исполняемая часть</t>
  </si>
  <si>
    <t xml:space="preserve">пассив / сопротивление и развитие навыков.</t>
  </si>
  <si>
    <t xml:space="preserve">модифицированная проверка и вместимость навыков.</t>
  </si>
  <si>
    <t xml:space="preserve">добавить +5 к любой проверке сопротивления харизме; добавить 5 слотов навыков.</t>
  </si>
  <si>
    <t xml:space="preserve">+5 к обучению в ролях учителя/ученика исключено как небоевое.</t>
  </si>
  <si>
    <t xml:space="preserve">7.5.18.7.1, стр. 156.</t>
  </si>
  <si>
    <t xml:space="preserve">Реестр правил!B187:AH187</t>
  </si>
  <si>
    <t xml:space="preserve">cb394df82c69a2af48e4b78be18ccaef13693c48029398ff69435f1a2b951974</t>
  </si>
  <si>
    <t xml:space="preserve">SRCMAP-055</t>
  </si>
  <si>
    <t xml:space="preserve">SYM-170</t>
  </si>
  <si>
    <t xml:space="preserve">Молниеносная реакция</t>
  </si>
  <si>
    <t xml:space="preserve">пассив / инициатива и уклонение.</t>
  </si>
  <si>
    <t xml:space="preserve">модифицированные проверки.</t>
  </si>
  <si>
    <t xml:space="preserve">добавить +L к реакции при неожиданном нападении на носителя/группу и +L к уклонению.</t>
  </si>
  <si>
    <t xml:space="preserve">7.5.19.4.1, стр. 158.</t>
  </si>
  <si>
    <t xml:space="preserve">Реестр правил!B189:AH189</t>
  </si>
  <si>
    <t xml:space="preserve">60a26c2a4af16d968d5b2917e687aea2fcd14e3919f413af9da9a6d6c860586a</t>
  </si>
  <si>
    <t xml:space="preserve">SRCMAP-056</t>
  </si>
  <si>
    <t xml:space="preserve">MON-004</t>
  </si>
  <si>
    <t xml:space="preserve">Начало и поддержание «Пожирания»</t>
  </si>
  <si>
    <t xml:space="preserve">активная поддерживаемая способность.</t>
  </si>
  <si>
    <t xml:space="preserve">после полного срока цель считается съеденной; до завершения награда не начисляется.</t>
  </si>
  <si>
    <t xml:space="preserve">списать 50 ОЭ при объявлении; каждый из 10 ходов Химера тратит все боевые действия на процесс; дееспособная захваченная цель может в свой ход освобождаться.</t>
  </si>
  <si>
    <t xml:space="preserve">мёртвая цель недопустима; разрыв захвата, уход цели либо любой урон Химере в голову или корпус прерывает процесс без награды.</t>
  </si>
  <si>
    <t xml:space="preserve">§7.6.1.2.1 и уточнение, печ. стр. 164.</t>
  </si>
  <si>
    <t xml:space="preserve">Реестр правил!B194:AH194</t>
  </si>
  <si>
    <t xml:space="preserve">290938d390ca86781ae178c2c96ba4ad3bc440ba1d5b5bb3abea932fba017286</t>
  </si>
  <si>
    <t xml:space="preserve">SRCMAP-057</t>
  </si>
  <si>
    <t xml:space="preserve">MON-005</t>
  </si>
  <si>
    <t xml:space="preserve">Уязвимость Химеры во время «Пожирания»</t>
  </si>
  <si>
    <t xml:space="preserve">модификатор входящего урона.</t>
  </si>
  <si>
    <t xml:space="preserve">уменьшить HP на пятикратный урон и прервать «Пожирание» без награды.</t>
  </si>
  <si>
    <t xml:space="preserve">итоговый урон умножить на 5.</t>
  </si>
  <si>
    <t xml:space="preserve">атака в иные зоны не получает множитель и сама по себе не названа причиной прерывания.</t>
  </si>
  <si>
    <t xml:space="preserve">§7.6.1.2.1, печ. стр. 164.</t>
  </si>
  <si>
    <t xml:space="preserve">Реестр правил!B195:AH195</t>
  </si>
  <si>
    <t xml:space="preserve">d0e73282b94f1fd0477697b0988f194b3836d6353dcdaf847fbbe43224faf196</t>
  </si>
  <si>
    <t xml:space="preserve">SRCMAP-058</t>
  </si>
  <si>
    <t xml:space="preserve">MON-008</t>
  </si>
  <si>
    <t xml:space="preserve">«Дублирование органов»: предотвращение тяжёлого ранения</t>
  </si>
  <si>
    <t xml:space="preserve">пассивная защита / тяжёлое ранение.</t>
  </si>
  <si>
    <t xml:space="preserve">Химера остаётся вне тяжёлого ранения с 1 HP; отметить расход срабатывания.</t>
  </si>
  <si>
    <t xml:space="preserve">отменить переход в тяжёлое ранение и установить текущее HP равным 1.</t>
  </si>
  <si>
    <t xml:space="preserve">не более 1 раза за боевую ситуацию.</t>
  </si>
  <si>
    <t xml:space="preserve">§7.6.1.3.1, печ. стр. 164.</t>
  </si>
  <si>
    <t xml:space="preserve">Реестр правил!B196:AH196</t>
  </si>
  <si>
    <t xml:space="preserve">93bb1ce3951d177723795f86f8d02951ad87d6297db215a59917d9ccf4b6ea43</t>
  </si>
  <si>
    <t xml:space="preserve">SRCMAP-059</t>
  </si>
  <si>
    <t xml:space="preserve">MON-009</t>
  </si>
  <si>
    <t xml:space="preserve">«Дублирование органов»: состояние после тяжёлого ранения</t>
  </si>
  <si>
    <t xml:space="preserve">пассивное изменение тяжёлого ранения.</t>
  </si>
  <si>
    <t xml:space="preserve">тяжело раненая Химера может действовать, таймер смерти ×4.</t>
  </si>
  <si>
    <t xml:space="preserve">сохранить дееспособность; увеличить время до смерти в 4 раза.</t>
  </si>
  <si>
    <t xml:space="preserve">иные причины недееспособности продолжают действовать.
Множитель ×4 синхронизирован с локальным приоритетом CORE-154.</t>
  </si>
  <si>
    <t xml:space="preserve">Реестр правил!B197:AH197</t>
  </si>
  <si>
    <t xml:space="preserve">80a030e724d8747a7571e740169feb981ea5e091d88ece1ff0c9246d240400e9</t>
  </si>
  <si>
    <t xml:space="preserve">SRCMAP-060</t>
  </si>
  <si>
    <t xml:space="preserve">MON-013</t>
  </si>
  <si>
    <t xml:space="preserve">«Гончая»</t>
  </si>
  <si>
    <t xml:space="preserve">активная метка цели.</t>
  </si>
  <si>
    <t xml:space="preserve">создать метку «Гончая» с таймером и источником.</t>
  </si>
  <si>
    <t xml:space="preserve">длительность метки R20×2 минут; для Химеры мир отображается чёрно-белым, цель и все её следы — ярко-красными.</t>
  </si>
  <si>
    <t xml:space="preserve">метка используется «Охотничьим азартом» и «Змеиным броском».</t>
  </si>
  <si>
    <t xml:space="preserve">§7.6.1.4.2, печ. стр. 164–165.</t>
  </si>
  <si>
    <t xml:space="preserve">Реестр правил!B200:AH200</t>
  </si>
  <si>
    <t xml:space="preserve">c54430f4a2b30a1804d609bc840a66ba4253cc20b26554162493becdaeeb8fae</t>
  </si>
  <si>
    <t xml:space="preserve">SRCMAP-061</t>
  </si>
  <si>
    <t xml:space="preserve">MON-016</t>
  </si>
  <si>
    <t xml:space="preserve">«Выносливость хищника»</t>
  </si>
  <si>
    <t xml:space="preserve">пассивная характеристика.</t>
  </si>
  <si>
    <t xml:space="preserve">повышенная итоговая M.</t>
  </si>
  <si>
    <t xml:space="preserve">M += 15.</t>
  </si>
  <si>
    <t xml:space="preserve">общие правила сложения модификаторов.</t>
  </si>
  <si>
    <t xml:space="preserve">§7.6.1.5.1, печ. стр. 165.</t>
  </si>
  <si>
    <t xml:space="preserve">Реестр правил!B202:AH202</t>
  </si>
  <si>
    <t xml:space="preserve">120cc4cf8e47a081c5fd93cce579d3bec5d2977eac1f83783c3945a5a3490d38</t>
  </si>
  <si>
    <t xml:space="preserve">SRCMAP-062</t>
  </si>
  <si>
    <t xml:space="preserve">MON-017</t>
  </si>
  <si>
    <t xml:space="preserve">«Охотничий азарт»</t>
  </si>
  <si>
    <t xml:space="preserve">пассивное преследование.</t>
  </si>
  <si>
    <t xml:space="preserve">повышенный итог преследования.</t>
  </si>
  <si>
    <t xml:space="preserve">удвоить значение проверки Химеры.</t>
  </si>
  <si>
    <t xml:space="preserve">не действует на непомеченные цели.</t>
  </si>
  <si>
    <t xml:space="preserve">§7.6.1.5.2, печ. стр. 165.</t>
  </si>
  <si>
    <t xml:space="preserve">Реестр правил!B203:AH203</t>
  </si>
  <si>
    <t xml:space="preserve">f580c0a049b37095255c66319a382278123c541f50890861f30dab0117716242</t>
  </si>
  <si>
    <t xml:space="preserve">SRCMAP-063</t>
  </si>
  <si>
    <t xml:space="preserve">MON-024</t>
  </si>
  <si>
    <t xml:space="preserve">«Ведомый голодом»: завершение</t>
  </si>
  <si>
    <t xml:space="preserve">обратный пересчёт временного эффекта.</t>
  </si>
  <si>
    <t xml:space="preserve">пропорционально сохраняется полученный во время эффекта урон.</t>
  </si>
  <si>
    <t xml:space="preserve">вернуть максимальный HP и удвоенные характеристики к прежним значениям; текущее HP разделить на 2 с округлением вверх.</t>
  </si>
  <si>
    <t xml:space="preserve">если тяжёлое ранение уже наступило, обратный пересчёт его не отменяет.</t>
  </si>
  <si>
    <t xml:space="preserve">уточнение к §7.6.1, печ. стр. 165.</t>
  </si>
  <si>
    <t xml:space="preserve">Реестр правил!B206:AH206</t>
  </si>
  <si>
    <t xml:space="preserve">11bf69c118381d3493fb36acc7567ee0082a9e422c908fd6ccec150c182a795b</t>
  </si>
  <si>
    <t xml:space="preserve">SRCMAP-064</t>
  </si>
  <si>
    <t xml:space="preserve">MON-027</t>
  </si>
  <si>
    <t xml:space="preserve">Направляй ментально</t>
  </si>
  <si>
    <t xml:space="preserve">пассивная ментальная модификация Харизмы.</t>
  </si>
  <si>
    <t xml:space="preserve">контекстное эффективное значение C_eff без изменения базовой C.</t>
  </si>
  <si>
    <t xml:space="preserve">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t>
  </si>
  <si>
    <t xml:space="preserve">Не действует на других Кукловодов; COMBAT/Q-MON-078 имеет приоритет.</t>
  </si>
  <si>
    <t xml:space="preserve">§7.6.2.2.1, стр. 167; COMBAT/Q-MON-078.</t>
  </si>
  <si>
    <t xml:space="preserve">Реестр правил!B209:AH209</t>
  </si>
  <si>
    <t xml:space="preserve">f69923be35738ff7ba37db093a2f5cfedb9511f0e6a040d9718441044abae3f3</t>
  </si>
  <si>
    <t xml:space="preserve">SRCMAP-065</t>
  </si>
  <si>
    <t xml:space="preserve">MON-028</t>
  </si>
  <si>
    <t xml:space="preserve">«Доминантный разум»</t>
  </si>
  <si>
    <t xml:space="preserve">постоянный динамический бонус I.</t>
  </si>
  <si>
    <t xml:space="preserve">I += L.</t>
  </si>
  <si>
    <t xml:space="preserve">пересчитывается при изменении уровня.</t>
  </si>
  <si>
    <t xml:space="preserve">§7.6.2.3.1, печ. стр. 168.</t>
  </si>
  <si>
    <t xml:space="preserve">Реестр правил!B210:AH210</t>
  </si>
  <si>
    <t xml:space="preserve">fc4bdc746f7a5ad3ac541f0b71e4e962539dd9d61450b2b3a006cad3be2ffe54</t>
  </si>
  <si>
    <t xml:space="preserve">SRCMAP-066</t>
  </si>
  <si>
    <t xml:space="preserve">MON-029</t>
  </si>
  <si>
    <t xml:space="preserve">«Рассеянность»: наложение и длительность</t>
  </si>
  <si>
    <t xml:space="preserve">активное ментальное воздействие / длительный контроль.</t>
  </si>
  <si>
    <t xml:space="preserve">создать эффект «Рассеянность» с таймером.</t>
  </si>
  <si>
    <t xml:space="preserve">длительность R20/5 минут или боевых ходов; каждый ход цели запускать MON-030.</t>
  </si>
  <si>
    <t xml:space="preserve">при провале встречной проверки эффект не создаётся, затраты не возвращаются.</t>
  </si>
  <si>
    <t xml:space="preserve">§7.6.2.3.3, печ. стр. 168.</t>
  </si>
  <si>
    <t xml:space="preserve">Реестр правил!B211:AH211</t>
  </si>
  <si>
    <t xml:space="preserve">8e2e3d838ca3b616af2c97a8fabd15f5c462e0778a02ff6a0276b739720a5d76</t>
  </si>
  <si>
    <t xml:space="preserve">SRCMAP-067</t>
  </si>
  <si>
    <t xml:space="preserve">MON-034</t>
  </si>
  <si>
    <t xml:space="preserve">«Псионическое разложение»: проверка концентрации</t>
  </si>
  <si>
    <t xml:space="preserve">прерывание поддержания.</t>
  </si>
  <si>
    <t xml:space="preserve">состояние эффекта изменено либо сохранено.</t>
  </si>
  <si>
    <t xml:space="preserve">если итог проверки &lt;20, прекратить поддержание; иначе сохранить.</t>
  </si>
  <si>
    <t xml:space="preserve">проверка выполняется после каждого отдельного получения урона.</t>
  </si>
  <si>
    <t xml:space="preserve">§7.6.2.4.3 и уточнение, печ. стр. 168–169.</t>
  </si>
  <si>
    <t xml:space="preserve">Реестр правил!B212:AH212</t>
  </si>
  <si>
    <t xml:space="preserve">424b7b206e98ff5cfbb92cbd64acae3a5a8e8926a528bd5be1474ae23c7ef075</t>
  </si>
  <si>
    <t xml:space="preserve">SRCMAP-068</t>
  </si>
  <si>
    <t xml:space="preserve">MON-042</t>
  </si>
  <si>
    <t xml:space="preserve">Контактное заражение ассистентами</t>
  </si>
  <si>
    <t xml:space="preserve">цель добавляется в реестр заражённых данного источника.</t>
  </si>
  <si>
    <t xml:space="preserve">если итог Доктора строго выше итога проверки Z цели, создать заражение ассистентами.</t>
  </si>
  <si>
    <t xml:space="preserve">Доктор может отказаться от попытки; при вакцинации другим Доктором применить MON-055.</t>
  </si>
  <si>
    <t xml:space="preserve">§7.6.3.2.1, печ. стр. 171.</t>
  </si>
  <si>
    <t xml:space="preserve">Реестр правил!B215:AH215</t>
  </si>
  <si>
    <t xml:space="preserve">5b5dfb122c29ecc34e3b8eebe527507ecccded0805952b4a8ad9910651e1b505</t>
  </si>
  <si>
    <t xml:space="preserve">SRCMAP-069</t>
  </si>
  <si>
    <t xml:space="preserve">MON-045</t>
  </si>
  <si>
    <t xml:space="preserve">Лимит заражённых ассистентами</t>
  </si>
  <si>
    <t xml:space="preserve">лимит связанных сущностей.</t>
  </si>
  <si>
    <t xml:space="preserve">реестр остаётся в лимите.</t>
  </si>
  <si>
    <t xml:space="preserve">Нормативная база (действует во всей непротиворечащей части):
без «Масштабной эпидемии» лимит 2L; при превышении случайно выбрать одного из ранее заражённых и уничтожить в нём всех ассистентов, новая цель остаётся заражённой.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исключение про отдельный лимит Чумного пророка
[AQ2-001] Каждое заражение получает возрастающий infectionOrder. Последовательные цели нумеруются по порядку подтверждения; массовая операция без ручного порядка — по UUID по возрастанию. При уменьшении лимита сохраняются newLimit заражений с наибольшим infectionOrder, остальные уничтожаются; при newLimit=0 уничтожаются все.</t>
  </si>
  <si>
    <t xml:space="preserve">заражённые через Чумного пророка учитываются в отдельном лимите пророка, а не Доктора.
Поздние дельты применяются по приоритету AQ3 &gt; AQ2 &gt; AQA/CQA &gt; базовая карточка; локальное исключение сильнее общего.</t>
  </si>
  <si>
    <t xml:space="preserve">Реестр правил!B216:AH216</t>
  </si>
  <si>
    <t xml:space="preserve">43185474dc761ac0771b7f4e4545d71cd6670f03066737103e7ea52c3383b330</t>
  </si>
  <si>
    <t xml:space="preserve">SRCMAP-070</t>
  </si>
  <si>
    <t xml:space="preserve">MON-049</t>
  </si>
  <si>
    <t xml:space="preserve">«Вы больны, вам нужно отдохнуть»</t>
  </si>
  <si>
    <t xml:space="preserve">активный дебафф заражённого.</t>
  </si>
  <si>
    <t xml:space="preserve">временное фиксированное M либо снятие заражения.</t>
  </si>
  <si>
    <t xml:space="preserve">при R20≥3 установить M цели равной 1 на R20/3 минут/ходов; при R20=1 уничтожить всех ассистентов в цели; при 2 эффект отсутствует.</t>
  </si>
  <si>
    <t xml:space="preserve">по §7.1 один и тот же первый R20 определяет активацию и длительность.</t>
  </si>
  <si>
    <t xml:space="preserve">§7.6.3.3.2, печ. стр. 171.</t>
  </si>
  <si>
    <t xml:space="preserve">Реестр правил!B217:AH217</t>
  </si>
  <si>
    <t xml:space="preserve">8aef220f4a9c86b21fce67ea1e789d12512bd21ae0f8c66de55cf99942fb2f87</t>
  </si>
  <si>
    <t xml:space="preserve">SRCMAP-071</t>
  </si>
  <si>
    <t xml:space="preserve">MON-052</t>
  </si>
  <si>
    <t xml:space="preserve">«Какое здоровье, какая воля к жизни!»</t>
  </si>
  <si>
    <t xml:space="preserve">активный периодический урон заражённому.</t>
  </si>
  <si>
    <t xml:space="preserve">длительный урон либо временный межисточниковый иммунитет.</t>
  </si>
  <si>
    <t xml:space="preserve">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t>
  </si>
  <si>
    <t xml:space="preserve">иммунитет действует против всех Чумных докторов.</t>
  </si>
  <si>
    <t xml:space="preserve">§7.6.3.4.2, печ. стр. 172.</t>
  </si>
  <si>
    <t xml:space="preserve">Реестр правил!B218:AH218</t>
  </si>
  <si>
    <t xml:space="preserve">3d224a0879e14686f83e2e892ce1ef38a1593a217c8b2d72b73df27fb9b274dc</t>
  </si>
  <si>
    <t xml:space="preserve">SRCMAP-072</t>
  </si>
  <si>
    <t xml:space="preserve">MON-053</t>
  </si>
  <si>
    <t xml:space="preserve">«Сражайся, больной!»</t>
  </si>
  <si>
    <t xml:space="preserve">активный бафф с отложенным уроном.</t>
  </si>
  <si>
    <t xml:space="preserve">временный модификатор характеристик; затем урон и снятие модификатора.</t>
  </si>
  <si>
    <t xml:space="preserve">увеличить S и D на R20/2; длительность R20/4 минут/ходов; при завершении однократно нанести отдельный R20 урона от яда.</t>
  </si>
  <si>
    <t xml:space="preserve">все три R20 независимы.</t>
  </si>
  <si>
    <t xml:space="preserve">§7.6.3.4.3, печ. стр. 172.</t>
  </si>
  <si>
    <t xml:space="preserve">Реестр правил!B219:AH219</t>
  </si>
  <si>
    <t xml:space="preserve">a783162485ee6fdbd09ec7bb14c7ddf3490983e71398138c9e3d12c2579f0196</t>
  </si>
  <si>
    <t xml:space="preserve">SRCMAP-073</t>
  </si>
  <si>
    <t xml:space="preserve">MON-054</t>
  </si>
  <si>
    <t xml:space="preserve">«Масштабная эпидемия»</t>
  </si>
  <si>
    <t xml:space="preserve">пассивный лимит и ментальная защита.</t>
  </si>
  <si>
    <t xml:space="preserve">новый лимит; модификатор защиты; информационный результат при успехе.</t>
  </si>
  <si>
    <t xml:space="preserve">Нормативная база (действует во всей непротиворечащей части):
увеличить лимит заражённых в L раз: 2L²; добавить +10 к сопротивлению ментальным воздействиям; при успешном сопротивлении раскрыть источник и его местоположение.
Приоритетные авторские дельты (заменяют только прямо пересекающиеся ветви):
[AQ2-001] Для заражений одной массовой операции infectionOrder назначается после сортировки целей по UUID по возрастанию, если пользователь не задавал порядок подтверждением. При дальнейшем уменьшении лимита сохраняются самые поздние заражения с наибольшим infectionOrder.</t>
  </si>
  <si>
    <t xml:space="preserve">пророческие лимиты отдельны.
Поздние дельты применяются по приоритету AQ3 &gt; AQ2 &gt; AQA/CQA &gt; базовая карточка; локальное исключение сильнее общего.</t>
  </si>
  <si>
    <t xml:space="preserve">§7.6.3.5.1, печ. стр. 172.</t>
  </si>
  <si>
    <t xml:space="preserve">Реестр правил!B220:AH220</t>
  </si>
  <si>
    <t xml:space="preserve">5b1a51d1a4e1b2967cde5557637ad13095112434abd57654161c8fecf9f7db29</t>
  </si>
  <si>
    <t xml:space="preserve">SRCMAP-074</t>
  </si>
  <si>
    <t xml:space="preserve">MON-056</t>
  </si>
  <si>
    <t xml:space="preserve">«Самое надёжное лекарство»: активный эффект</t>
  </si>
  <si>
    <t xml:space="preserve">активное уничтожение заражения / возгорание.</t>
  </si>
  <si>
    <t xml:space="preserve">снять заражение; наложить горение.</t>
  </si>
  <si>
    <t xml:space="preserve">Нормативная база (действует во всей непротиворечащей части):
гарантированно уничтожить ассистентов и воспламенить случайную часть тела цели.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заменить случайную часть тела одним binary burning по Q-CORE-030</t>
  </si>
  <si>
    <t xml:space="preserve">Поветрие как отдельная болезнь не снимается.
Поздние дельты применяются по приоритету AQ3 &gt; AQ2 &gt; AQA/CQA &gt; базовая карточка; локальное исключение сильнее общего.</t>
  </si>
  <si>
    <t xml:space="preserve">§7.6.3.6.1, печ. стр. 172.</t>
  </si>
  <si>
    <t xml:space="preserve">Реестр правил!B221:AH221</t>
  </si>
  <si>
    <t xml:space="preserve">ffe0c510362650fac70d5ec91856b17da7af3e13f52df03e710cfeb195201b38</t>
  </si>
  <si>
    <t xml:space="preserve">SRCMAP-075</t>
  </si>
  <si>
    <t xml:space="preserve">MON-057</t>
  </si>
  <si>
    <t xml:space="preserve">«Самое надёжное лекарство»: огнестойкость Доктора</t>
  </si>
  <si>
    <t xml:space="preserve">пассивная огнестойкость.</t>
  </si>
  <si>
    <t xml:space="preserve">уменьшенный урон, отсутствие указанной проверки.</t>
  </si>
  <si>
    <t xml:space="preserve">не выполнять проверки самообладания из-за боли от горения; огонь наносит 5 HP за минуту/ход вместо 10.</t>
  </si>
  <si>
    <t xml:space="preserve">не заявлен общий иммунитет к иному огненному урону.</t>
  </si>
  <si>
    <t xml:space="preserve">Реестр правил!B222:AH222</t>
  </si>
  <si>
    <t xml:space="preserve">132d521a21e9ceaa340d45f920d9b5567cb75b2f47dbb97d5577330f1da07ed6</t>
  </si>
  <si>
    <t xml:space="preserve">SRCMAP-076</t>
  </si>
  <si>
    <t xml:space="preserve">MON-061</t>
  </si>
  <si>
    <t xml:space="preserve">«Мёртвый вестник»: базовые пассивы</t>
  </si>
  <si>
    <t xml:space="preserve">пассивное изменение тела/действий.</t>
  </si>
  <si>
    <t xml:space="preserve">пересчитать характеристики и серию; запретить состояние «без сознания».</t>
  </si>
  <si>
    <t xml:space="preserve">убрать штрафы S−5,D−5,M−5; Доктор не чувствует боли и не может потерять сознание; к числу действий серии прибавить 1; минимум действий в ход =2.</t>
  </si>
  <si>
    <t xml:space="preserve">невозможность потерять сознание не отменяет недееспособность тяжёлого ранения, паралич и физическое разрушение тела.</t>
  </si>
  <si>
    <t xml:space="preserve">§7.6.3.7.2 и уточнение, печ. стр. 173.</t>
  </si>
  <si>
    <t xml:space="preserve">Реестр правил!B223:AH223</t>
  </si>
  <si>
    <t xml:space="preserve">fac4f9b6aa536d167793663e692c756ac79b6f415ccb1a44422b16e24a6fca01</t>
  </si>
  <si>
    <t xml:space="preserve">SRCMAP-077</t>
  </si>
  <si>
    <t xml:space="preserve">MON-063</t>
  </si>
  <si>
    <t xml:space="preserve">Костяной клинок: гарантированное заражение</t>
  </si>
  <si>
    <t xml:space="preserve">эффект оружия при уроне.</t>
  </si>
  <si>
    <t xml:space="preserve">добавить цель в реестр и применить лимит MON-045.</t>
  </si>
  <si>
    <t xml:space="preserve">без проверки Z гарантированно заразить цель ассистентами.</t>
  </si>
  <si>
    <t xml:space="preserve">вакцинация/иммунитет может запретить заражение; лимит сохраняется.</t>
  </si>
  <si>
    <t xml:space="preserve">§7.6.3.7.2, печ. стр. 173.</t>
  </si>
  <si>
    <t xml:space="preserve">Реестр правил!B225:AH225</t>
  </si>
  <si>
    <t xml:space="preserve">67ec4ce3582ef7af37de6fb90066acf7aea585a74e70b002b04123f468c4efb7</t>
  </si>
  <si>
    <t xml:space="preserve">SRCMAP-078</t>
  </si>
  <si>
    <t xml:space="preserve">MON-070</t>
  </si>
  <si>
    <t xml:space="preserve">Чумной зомби: безоружная атака и иммунитеты</t>
  </si>
  <si>
    <t xml:space="preserve">атака / иммунитеты.</t>
  </si>
  <si>
    <t xml:space="preserve">разрешить атаку либо отклонить перечисленный эффект.</t>
  </si>
  <si>
    <t xml:space="preserve">Нормативная база (действует во всей непротиворечащей части):
точность R20+D, пробитие 0, урон R6+S; игнорировать боль, усталость, болезни, яд и обычные ментальные эффекты.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боевой статблок Чумного зомби исключён Q-MON-033/034</t>
  </si>
  <si>
    <t xml:space="preserve">не дан иммунитет к физическому контролю или огню.
Поздние дельты применяются по приоритету AQ3 &gt; AQ2 &gt; AQA/CQA &gt; базовая карточка; локальное исключение сильнее общего.</t>
  </si>
  <si>
    <t xml:space="preserve">уточнение к §7.6.3.9.1, печ. стр. 174.</t>
  </si>
  <si>
    <t xml:space="preserve">Реестр правил!B228:AH228</t>
  </si>
  <si>
    <t xml:space="preserve">01cfc24dbe449747d34b072b675d8164c3f08485ecfe78ec74ad4d92f176733b</t>
  </si>
  <si>
    <t xml:space="preserve">SRCMAP-079</t>
  </si>
  <si>
    <t xml:space="preserve">Эффект «Отравление»</t>
  </si>
  <si>
    <t xml:space="preserve">болезнь/состояние.</t>
  </si>
  <si>
    <t xml:space="preserve">временные модификаторы до излечения.</t>
  </si>
  <si>
    <t xml:space="preserve">Нормативная база (действует во всей непротиворечащей части):
S−2, M−2.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болезнь возникает только мастерской командой/специальным автоматическим источником, а не MON-074</t>
  </si>
  <si>
    <t xml:space="preserve">повтор того же состояния не складывается; разные болезни складываются.
Поздние дельты применяются по приоритету AQ3 &gt; AQ2 &gt; AQA/CQA &gt; базовая карточка; локальное исключение сильнее общего.</t>
  </si>
  <si>
    <t xml:space="preserve">§8.1, печ. стр. 206.</t>
  </si>
  <si>
    <t xml:space="preserve">42697a1d21cbb1429a207156abfca5bcb7ca7939cc483a460a5e041d41691e11</t>
  </si>
  <si>
    <t xml:space="preserve">SRCMAP-080</t>
  </si>
  <si>
    <t xml:space="preserve">Эффект «Насморк»</t>
  </si>
  <si>
    <t xml:space="preserve">модификатор до излечения.</t>
  </si>
  <si>
    <t xml:space="preserve">M−2.</t>
  </si>
  <si>
    <t xml:space="preserve">одноимённый повтор не складывается.</t>
  </si>
  <si>
    <t xml:space="preserve">ee072d2b2699e56a10d2ba57c0f5a08a2b27ae5823ecb8bcca5876040955a50e</t>
  </si>
  <si>
    <t xml:space="preserve">SRCMAP-081</t>
  </si>
  <si>
    <t xml:space="preserve">Эффект «Жар»</t>
  </si>
  <si>
    <t xml:space="preserve">M−10.</t>
  </si>
  <si>
    <t xml:space="preserve">6c407f9611a7cdf06d67a83b04d984635390eec0aad6e22983fd54115603986b</t>
  </si>
  <si>
    <t xml:space="preserve">SRCMAP-082</t>
  </si>
  <si>
    <t xml:space="preserve">Эффект «Чесотка»</t>
  </si>
  <si>
    <t xml:space="preserve">модификаторы до излечения.</t>
  </si>
  <si>
    <t xml:space="preserve">I−4, C−4, D−2.</t>
  </si>
  <si>
    <t xml:space="preserve">b5b2d1ba126423bad1bc168d552b53caaf365f3579e1bb7ab70bbaea6194bb45</t>
  </si>
  <si>
    <t xml:space="preserve">SRCMAP-083</t>
  </si>
  <si>
    <t xml:space="preserve">MON-080</t>
  </si>
  <si>
    <t xml:space="preserve">Эффект «Пневмония»</t>
  </si>
  <si>
    <t xml:space="preserve">болезнь/состояние с периодическим уроном.</t>
  </si>
  <si>
    <t xml:space="preserve">временные характеристики и периодическая потеря HP.</t>
  </si>
  <si>
    <t xml:space="preserve">M−14, S−12, D−12; каждые сутки HP−10.</t>
  </si>
  <si>
    <t xml:space="preserve">единственный перечисленный в §8.1 эффект с прямо заданным периодическим уроном.</t>
  </si>
  <si>
    <t xml:space="preserve">0f879760eb5c2c5d2228531a35c9bbeada8a2a81f62adafa203dfe9a37bab823</t>
  </si>
  <si>
    <t xml:space="preserve">SRCMAP-084</t>
  </si>
  <si>
    <t xml:space="preserve">Эффект «Мигрень»</t>
  </si>
  <si>
    <t xml:space="preserve">I−6, C−2.</t>
  </si>
  <si>
    <t xml:space="preserve">f596ce314525fd1c61805e6131fbc57431e5584e27ab2f5f8cdc8cb4e571a9b4</t>
  </si>
  <si>
    <t xml:space="preserve">SRCMAP-085</t>
  </si>
  <si>
    <t xml:space="preserve">Эффект «Метеоризм»</t>
  </si>
  <si>
    <t xml:space="preserve">−5 к проверкам скрытности; C−5.</t>
  </si>
  <si>
    <t xml:space="preserve">4c0e9e44f710cf2b4be06c928c257a0cc58929056f02a56d3aae48920a7c5713</t>
  </si>
  <si>
    <t xml:space="preserve">SRCMAP-086</t>
  </si>
  <si>
    <t xml:space="preserve">Эффект «Образования на коже»</t>
  </si>
  <si>
    <t xml:space="preserve">C−6.</t>
  </si>
  <si>
    <t xml:space="preserve">33f7b2e1ff4098d54c7cd0ee996098fe4b545bdc70e24cb1f12dd47386564b64</t>
  </si>
  <si>
    <t xml:space="preserve">SRCMAP-087</t>
  </si>
  <si>
    <t xml:space="preserve">Эффект «Чешущиеся образования на коже»</t>
  </si>
  <si>
    <t xml:space="preserve">D−3, C−6.</t>
  </si>
  <si>
    <t xml:space="preserve">3f519ee9e87b8b9be0dc7abc3680c273f8f8c0e6fcbe0fc5398dbab3a2e0b41e</t>
  </si>
  <si>
    <t xml:space="preserve">SRCMAP-088</t>
  </si>
  <si>
    <t xml:space="preserve">MON-087</t>
  </si>
  <si>
    <t xml:space="preserve">Запрет неуказанного периодического урона болезни</t>
  </si>
  <si>
    <t xml:space="preserve">правило по умолчанию.</t>
  </si>
  <si>
    <t xml:space="preserve">болезнь применяет только явно перечисленные эффекты.</t>
  </si>
  <si>
    <t xml:space="preserve">Нормативная база (действует во всей непротиворечащей части):
не создавать тики урона.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Поветрие из списка автоматических периодических исключений</t>
  </si>
  <si>
    <t xml:space="preserve">пневмония и Поветрие используют свои явные периодические последствия.
Поздние дельты применяются по приоритету AQ3 &gt; AQ2 &gt; AQA/CQA &gt; базовая карточка; локальное исключение сильнее общего.</t>
  </si>
  <si>
    <t xml:space="preserve">уточнение к §8.1, печ. стр. 206.</t>
  </si>
  <si>
    <t xml:space="preserve">Реестр правил!B239:AH239</t>
  </si>
  <si>
    <t xml:space="preserve">81bc140213679232c81372b8d239e20f9053c2263a981e274f0e556f546722a9</t>
  </si>
  <si>
    <t xml:space="preserve">SRCMAP-089</t>
  </si>
  <si>
    <t xml:space="preserve">MON-095</t>
  </si>
  <si>
    <t xml:space="preserve">Бубуй: отсутствие штрафов опьянения к S/D/I</t>
  </si>
  <si>
    <t xml:space="preserve">сопротивление состоянию.</t>
  </si>
  <si>
    <t xml:space="preserve">три характеристики сохраняются.</t>
  </si>
  <si>
    <t xml:space="preserve">не применять к бубую снижение S,D,I от алкоголя.</t>
  </si>
  <si>
    <t xml:space="preserve">иные эффекты опьянения прямо не отменены.</t>
  </si>
  <si>
    <t xml:space="preserve">§9.1.1, печ. стр. 207.</t>
  </si>
  <si>
    <t xml:space="preserve">Реестр правил!B245:AH245</t>
  </si>
  <si>
    <t xml:space="preserve">2cebce0efa3b267b3e6e71e157a0cec506e4750edccdda848edcc45da3444abf</t>
  </si>
  <si>
    <t xml:space="preserve">SRCMAP-090</t>
  </si>
  <si>
    <t xml:space="preserve">MON-178</t>
  </si>
  <si>
    <t xml:space="preserve">Бубуй: запрет оружия</t>
  </si>
  <si>
    <t xml:space="preserve">ограничение боевых действий.</t>
  </si>
  <si>
    <t xml:space="preserve">оружейные атаки недоступны.</t>
  </si>
  <si>
    <t xml:space="preserve">запретить применение оружия как боевого инструмента; разрешить только безоружный удар по MON-091.
[v1.3] Когда каноническому существу запрещено оружие, оно использует системную MONSTER_ATTACK CORE-212, а не обычный безоружный удар. Особые атаки сохраняются.</t>
  </si>
  <si>
    <t xml:space="preserve">оружие может присутствовать как небоевой инструмент, но не использоваться в схватке.</t>
  </si>
  <si>
    <t xml:space="preserve">§9.1.1, печ. стр. 207.
Прямое уточнение пользователя 2026-07-28 — шаблоны врагов v1.3</t>
  </si>
  <si>
    <t xml:space="preserve">Реестр правил!B246:AH246</t>
  </si>
  <si>
    <t xml:space="preserve">e5797c99a488ed081314e6faadc0d6c40038312170d5a1e96eead6b7b5ed454f</t>
  </si>
  <si>
    <t xml:space="preserve">SRCMAP-091</t>
  </si>
  <si>
    <t xml:space="preserve">Крысюк: яды, болезни и истощение</t>
  </si>
  <si>
    <t xml:space="preserve">иммунитет/бонус сопротивления.</t>
  </si>
  <si>
    <t xml:space="preserve">Любой POISON не изменяет состояние цели; неядовитые болезни/истощение используют указанный бонус.</t>
  </si>
  <si>
    <t xml:space="preserve">Если effectFamily=POISON, полностью отклонить эффект до любого броска независимо от источника: обычный, природный, искусственный или симбиотический. Блокируются прямой урон яда, состояния, счётчики и вторичные ядовитые эффекты. Сохранить +5 к болезням и истощению.</t>
  </si>
  <si>
    <t xml:space="preserve">SourceScope=ANY; специальный или симбиотический источник не обходит иммунитет. Эффект без тега POISON не считается ядом по названию.</t>
  </si>
  <si>
    <t xml:space="preserve">§9.4.3, печ. стр. 211.
Предразработочный QA и прямые ответы пользователя 2026-07-29</t>
  </si>
  <si>
    <t xml:space="preserve">Реестр правил!B250:AH250</t>
  </si>
  <si>
    <t xml:space="preserve">e0c0513162f871bf8f9251a5d12edecde636236da84d608b5182573691c24320</t>
  </si>
  <si>
    <t xml:space="preserve">SRCMAP-092</t>
  </si>
  <si>
    <t xml:space="preserve">MON-105</t>
  </si>
  <si>
    <t xml:space="preserve">Крысюк: добивание слабой цели</t>
  </si>
  <si>
    <t xml:space="preserve">условный бонус точности.</t>
  </si>
  <si>
    <t xml:space="preserve">повышенный результат атаки.</t>
  </si>
  <si>
    <t xml:space="preserve">добавить +3 к точности.</t>
  </si>
  <si>
    <t xml:space="preserve">проверка условия выполняется при объявлении атаки.</t>
  </si>
  <si>
    <t xml:space="preserve">§9.4.3, печ. стр. 211.</t>
  </si>
  <si>
    <t xml:space="preserve">Реестр правил!B251:AH251</t>
  </si>
  <si>
    <t xml:space="preserve">ed6e4bacf375991eb6e75aa4f8a3f816bcfd31a68e15e5e9b16d64be33caf827</t>
  </si>
  <si>
    <t xml:space="preserve">SRCMAP-093</t>
  </si>
  <si>
    <t xml:space="preserve">MON-110</t>
  </si>
  <si>
    <t xml:space="preserve">Кенг: бегство и уклонение</t>
  </si>
  <si>
    <t xml:space="preserve">защитный бонус / боевой ИИ.</t>
  </si>
  <si>
    <t xml:space="preserve">повышенная защита/бегство; ИИ переключён на отход.</t>
  </si>
  <si>
    <t xml:space="preserve">добавить +5 к бегству и уклонению; после получения урона назначить намерение немедленно скрыться.</t>
  </si>
  <si>
    <t xml:space="preserve">точный маршрут и расход действий определяются общим движком/мастером.</t>
  </si>
  <si>
    <t xml:space="preserve">§9.5.3, печ. стр. 212.</t>
  </si>
  <si>
    <t xml:space="preserve">Реестр правил!B255:AH255</t>
  </si>
  <si>
    <t xml:space="preserve">df041bcb81a7aaa6348c6c105bdb645628ff98b87619a3fb1615c8f09feec208</t>
  </si>
  <si>
    <t xml:space="preserve">SRCMAP-094</t>
  </si>
  <si>
    <t xml:space="preserve">MON-120</t>
  </si>
  <si>
    <t xml:space="preserve">Умоляющий: скрытое тело и суша</t>
  </si>
  <si>
    <t xml:space="preserve">обнаружение / средовой модификатор.</t>
  </si>
  <si>
    <t xml:space="preserve">модификатор обнаружения/характеристики.</t>
  </si>
  <si>
    <t xml:space="preserve">пока тело скрыто, −20 к проверкам его обнаружения; вне воды установить D=6.</t>
  </si>
  <si>
    <t xml:space="preserve">установка D=6 имеет приоритет над диапазонным значением на время суши.</t>
  </si>
  <si>
    <t xml:space="preserve">§9.7.3, печ. стр. 214.</t>
  </si>
  <si>
    <t xml:space="preserve">Реестр правил!B260:AH260</t>
  </si>
  <si>
    <t xml:space="preserve">84dcb43dc08a99c2c62024a222b53ffcbdaadd6445854b96210c0c0287b73fde</t>
  </si>
  <si>
    <t xml:space="preserve">SRCMAP-095</t>
  </si>
  <si>
    <t xml:space="preserve">MON-123</t>
  </si>
  <si>
    <t xml:space="preserve">Сказочница: распознавание имитации</t>
  </si>
  <si>
    <t xml:space="preserve">встречная проверка обнаружения обмана.</t>
  </si>
  <si>
    <t xml:space="preserve">скрытая информация раскрывается.</t>
  </si>
  <si>
    <t xml:space="preserve">если проверяющий превышает встречный результат, распознать имитацию.</t>
  </si>
  <si>
    <t xml:space="preserve">равенство не является превышением.</t>
  </si>
  <si>
    <t xml:space="preserve">§9.8.3, печ. стр. 215.</t>
  </si>
  <si>
    <t xml:space="preserve">Реестр правил!B263:AH263</t>
  </si>
  <si>
    <t xml:space="preserve">30c01edef4d6d1b258cc78c0897582a54c78634241305fe4d268dc2e821811a1</t>
  </si>
  <si>
    <t xml:space="preserve">SRCMAP-096</t>
  </si>
  <si>
    <t xml:space="preserve">MON-124</t>
  </si>
  <si>
    <t xml:space="preserve">Сказочница: подготовленная ловушка</t>
  </si>
  <si>
    <t xml:space="preserve">засада/ловушка.</t>
  </si>
  <si>
    <t xml:space="preserve">одноразовый штраф защиты и, возможно, пропуск хода.</t>
  </si>
  <si>
    <t xml:space="preserve">дать цели −20 к защите от первой атаки; отдельно потребовать превысить 25 проверкой D или S; при непрохождении цель пропускает следующий ход.</t>
  </si>
  <si>
    <t xml:space="preserve">применяется только к первой вошедшей цели и первой атаке.</t>
  </si>
  <si>
    <t xml:space="preserve">Реестр правил!B264:AH264</t>
  </si>
  <si>
    <t xml:space="preserve">8df3c132637bbcf3ffa7b24a5a3ce352b18f1e5ae4dc5ec4792db5aa56942aa0</t>
  </si>
  <si>
    <t xml:space="preserve">SRCMAP-097</t>
  </si>
  <si>
    <t xml:space="preserve">MON-127</t>
  </si>
  <si>
    <t xml:space="preserve">Трясинник: захват вместо урона</t>
  </si>
  <si>
    <t xml:space="preserve">альтернативный эффект атаки.</t>
  </si>
  <si>
    <t xml:space="preserve">цель удерживается.</t>
  </si>
  <si>
    <t xml:space="preserve">не наносить урон; установить захват; освобождение — встречная борьба.</t>
  </si>
  <si>
    <t xml:space="preserve">нельзя одновременно применить урон и захват.</t>
  </si>
  <si>
    <t xml:space="preserve">§9.9.3, печ. стр. 216.</t>
  </si>
  <si>
    <t xml:space="preserve">Реестр правил!B267:AH267</t>
  </si>
  <si>
    <t xml:space="preserve">97c3cf740e3e98ab941e58492c4c624bbc4cc575dab70b058ace2ad01f10463c</t>
  </si>
  <si>
    <t xml:space="preserve">SRCMAP-098</t>
  </si>
  <si>
    <t xml:space="preserve">MON-128</t>
  </si>
  <si>
    <t xml:space="preserve">Трясинник: светочувствительная спина</t>
  </si>
  <si>
    <t xml:space="preserve">уязвимая зона.</t>
  </si>
  <si>
    <t xml:space="preserve">уменьшить HP на двойной урон.</t>
  </si>
  <si>
    <t xml:space="preserve">умножить прошедший после брони урон на 2.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</si>
  <si>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множитель применяется после брони.</t>
  </si>
  <si>
    <t xml:space="preserve">§9.9.3, печ. стр. 216.
Предразработочный QA и прямые ответы пользователя 2026-07-29</t>
  </si>
  <si>
    <t xml:space="preserve">Реестр правил!B268:AH268</t>
  </si>
  <si>
    <t xml:space="preserve">8bca3cf1a6741d13b682c7b833ef43bf2447ff5efc3a3d54edb30577adf04d0f</t>
  </si>
  <si>
    <t xml:space="preserve">SRCMAP-099</t>
  </si>
  <si>
    <t xml:space="preserve">Трясинник: застревание длинного клинка</t>
  </si>
  <si>
    <t xml:space="preserve">осложнение атаки/снаряжения.</t>
  </si>
  <si>
    <t xml:space="preserve">оружие временно недоступно либо освобождено.</t>
  </si>
  <si>
    <t xml:space="preserve">пометить оружие «застряло»; для снятия потратить действие и превысить 30 проверкой S.</t>
  </si>
  <si>
    <t xml:space="preserve">иной тип оружия не затрагивается.</t>
  </si>
  <si>
    <t xml:space="preserve">Реестр правил!B269:AH269</t>
  </si>
  <si>
    <t xml:space="preserve">1971d7185c0696200cb668bb2c0b302d573e4b8a4b11063616ff77940717e8a4</t>
  </si>
  <si>
    <t xml:space="preserve">SRCMAP-100</t>
  </si>
  <si>
    <t xml:space="preserve">MON-133</t>
  </si>
  <si>
    <t xml:space="preserve">Венок: захват успешной первой атакой</t>
  </si>
  <si>
    <t xml:space="preserve">дополнительный эффект попадания.</t>
  </si>
  <si>
    <t xml:space="preserve">цель удерживается до успешного освобождения.</t>
  </si>
  <si>
    <t xml:space="preserve">наложить захват; для освобождения разрешить встречную борьбу с указанным результатом Венка.</t>
  </si>
  <si>
    <t xml:space="preserve">ровно 10 удовлетворяет условию.</t>
  </si>
  <si>
    <t xml:space="preserve">§9.10.3, печ. стр. 217.</t>
  </si>
  <si>
    <t xml:space="preserve">Реестр правил!B273:AH273</t>
  </si>
  <si>
    <t xml:space="preserve">80fff7e62ced40ee81f9d981373f119e96ff749379eff3e6b989c62dd252146d</t>
  </si>
  <si>
    <t xml:space="preserve">SRCMAP-101</t>
  </si>
  <si>
    <t xml:space="preserve">MON-136</t>
  </si>
  <si>
    <t xml:space="preserve">Прядильщик: сеть</t>
  </si>
  <si>
    <t xml:space="preserve">ловушка/контроль.</t>
  </si>
  <si>
    <t xml:space="preserve">дебафф/освобождение.</t>
  </si>
  <si>
    <t xml:space="preserve">пока в сети, −15 ко всем действиям; при успешном освобождении снять состояние.</t>
  </si>
  <si>
    <t xml:space="preserve">точность попадания в заранее размещённую сеть задаётся сценой/мастером.</t>
  </si>
  <si>
    <t xml:space="preserve">§9.11.3, печ. стр. 218.</t>
  </si>
  <si>
    <t xml:space="preserve">Реестр правил!B276:AH276</t>
  </si>
  <si>
    <t xml:space="preserve">b660294eec1caa99174da14384c477a1a10c4cae1f0511992d60eb2980a54dbf</t>
  </si>
  <si>
    <t xml:space="preserve">SRCMAP-102</t>
  </si>
  <si>
    <t xml:space="preserve">MON-140</t>
  </si>
  <si>
    <t xml:space="preserve">Вольмер: уязвимость только головы</t>
  </si>
  <si>
    <t xml:space="preserve">зональная модель здоровья.</t>
  </si>
  <si>
    <t xml:space="preserve">изменяется headHP либо числовой запас здоровья не меняется; самостоятельные дополнительные эффекты сохраняются.</t>
  </si>
  <si>
    <t xml:space="preserve">только атаки по голове уменьшают headHP; при headHP≤0 Вольмер немедленно погибает. Урон корпусу/конечностям не меняет headHP и сама такая рана не может убить или остановить Вольмера; иные явно наложенные эффекты атаки (например, горение или яд) разрешаются по собственным правилам.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</si>
  <si>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точные нефинансовые последствия ран корпуса/конечностей отсутствуют; правило не создаёт общего иммунитета к эффектам.</t>
  </si>
  <si>
    <t xml:space="preserve">§9.12.1 и §9.12.3, печ. стр. 219.
Предразработочный QA и прямые ответы пользователя 2026-07-29</t>
  </si>
  <si>
    <t xml:space="preserve">Реестр правил!B280:AH280</t>
  </si>
  <si>
    <t xml:space="preserve">69cff2c8c41e6c23f43894ecc9eebb216bf7735ebb8f492f005eb5d8d4e3d081</t>
  </si>
  <si>
    <t xml:space="preserve">SRCMAP-103</t>
  </si>
  <si>
    <t xml:space="preserve">MON-149</t>
  </si>
  <si>
    <t xml:space="preserve">Пеленальщица: пеленальная нить</t>
  </si>
  <si>
    <t xml:space="preserve">дальняя атака/контроль.</t>
  </si>
  <si>
    <t xml:space="preserve">цель опутана/освобождена.</t>
  </si>
  <si>
    <t xml:space="preserve">при попадании наложить −20 ко всем действиям; при успешном освобождении снять; если нить достигла кожи — MON-150.</t>
  </si>
  <si>
    <t xml:space="preserve">нить является дальней атакой; прочие защиты не названы.</t>
  </si>
  <si>
    <t xml:space="preserve">§9.14.3 и уточнение, печ. стр. 221.</t>
  </si>
  <si>
    <t xml:space="preserve">Реестр правил!B287:AH287</t>
  </si>
  <si>
    <t xml:space="preserve">0ba877f7ec76068a2a0d1ecc76fc46b92d9549a32c7a12d54248d0dfa4d4d0a7</t>
  </si>
  <si>
    <t xml:space="preserve">SRCMAP-104</t>
  </si>
  <si>
    <t xml:space="preserve">MON-155</t>
  </si>
  <si>
    <t xml:space="preserve">Гигантская жаба: яды и болезни</t>
  </si>
  <si>
    <t xml:space="preserve">иммунитет/сопротивление.</t>
  </si>
  <si>
    <t xml:space="preserve">Если effectFamily=POISON, полностью отклонить эффект до любого броска независимо от источника: обычный, природный, искусственный или симбиотический. Блокируются прямой урон яда, состояния, счётчики и вторичные ядовитые эффекты. Сохранить +10 к болезням.</t>
  </si>
  <si>
    <t xml:space="preserve">§9.15.3, печ. стр. 222.
Предразработочный QA и прямые ответы пользователя 2026-07-29</t>
  </si>
  <si>
    <t xml:space="preserve">Реестр правил!B291:AH291</t>
  </si>
  <si>
    <t xml:space="preserve">a9b7aba77247da960e01495f4ea7d24c4e8a2becac9341792cad8df67ad0ff8e</t>
  </si>
  <si>
    <t xml:space="preserve">SRCMAP-105</t>
  </si>
  <si>
    <t xml:space="preserve">MON-161</t>
  </si>
  <si>
    <t xml:space="preserve">Псионическая жаба: прекращение пси-эффектов</t>
  </si>
  <si>
    <t xml:space="preserve">очистка эффектов по источнику.</t>
  </si>
  <si>
    <t xml:space="preserve">союзники/цели возвращаются к состоянию без этих эффектов.</t>
  </si>
  <si>
    <t xml:space="preserve">немедленно удалить все выданные этой Жабой бонусы и дебаффы.</t>
  </si>
  <si>
    <t xml:space="preserve">уже разрешённая проверка не пересчитывается назад.</t>
  </si>
  <si>
    <t xml:space="preserve">§9.16.3, печ. стр. 223.</t>
  </si>
  <si>
    <t xml:space="preserve">Реестр правил!B294:AH294</t>
  </si>
  <si>
    <t xml:space="preserve">e66088206a9fc98851e7889d6782ea68ad3f9079b925b7aa580334999875615a</t>
  </si>
  <si>
    <t xml:space="preserve">SRCMAP-106</t>
  </si>
  <si>
    <t xml:space="preserve">MON-173</t>
  </si>
  <si>
    <t xml:space="preserve">Тихая Поляна: первичный яд и попытка выхода</t>
  </si>
  <si>
    <t xml:space="preserve">немедленная ловушка.</t>
  </si>
  <si>
    <t xml:space="preserve">HP/модификатор; положение внутри/снаружи.</t>
  </si>
  <si>
    <t xml:space="preserve">Нормативная база (действует во всей непротиворечащей части):
немедленно нанести R12 урона от яда и наложить D−5; дать одну немедленную попытку превысить 28; при успехе персонаж выходит до закрытия, при провале остаётся.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Тихая Поляна исключена Q-MON-066–068</t>
  </si>
  <si>
    <t xml:space="preserve">попытка не тратит обычное действие и заменяет неясный срок «до начала следующего хода».
Поздние дельты применяются по приоритету AQ3 &gt; AQ2 &gt; AQA/CQA &gt; базовая карточка; локальное исключение сильнее общего.</t>
  </si>
  <si>
    <t xml:space="preserve">§9.19.3 и уточнение, печ. стр. 226.</t>
  </si>
  <si>
    <t xml:space="preserve">Реестр правил!B301:AH301</t>
  </si>
  <si>
    <t xml:space="preserve">8ca9cbfe4c5c5ad9d19c4dd620173e94d489f46916f1707347d57de8aed3790c</t>
  </si>
  <si>
    <t xml:space="preserve">SRCMAP-107</t>
  </si>
  <si>
    <t xml:space="preserve">MON-174</t>
  </si>
  <si>
    <t xml:space="preserve">Тихая Поляна: закрытие и захват</t>
  </si>
  <si>
    <t xml:space="preserve">прямой урон/захват области.</t>
  </si>
  <si>
    <t xml:space="preserve">HP уменьшено; цель не свободна.</t>
  </si>
  <si>
    <t xml:space="preserve">Нормативная база (действует во всей непротиворечащей части):
нанести R20+20 прямого физического урона; установить состояние «захвачен Поляной».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Тихая Поляна исключена Q-MON-066–068</t>
  </si>
  <si>
    <t xml:space="preserve">урон не вызывает отдельной травмы.
Поздние дельты применяются по приоритету AQ3 &gt; AQ2 &gt; AQA/CQA &gt; базовая карточка; локальное исключение сильнее общего.</t>
  </si>
  <si>
    <t xml:space="preserve">Реестр правил!B302:AH302</t>
  </si>
  <si>
    <t xml:space="preserve">fef4eec036fd334e4ec25b74621ca016e51a6165b5d189bece37731a91bf9f5e</t>
  </si>
  <si>
    <t xml:space="preserve">SRCMAP-108</t>
  </si>
  <si>
    <t xml:space="preserve">MON-176</t>
  </si>
  <si>
    <t xml:space="preserve">Тихая Поляна: слизь после выхода</t>
  </si>
  <si>
    <t xml:space="preserve">остаточный дебафф.</t>
  </si>
  <si>
    <t xml:space="preserve">остаточный эффект снят.</t>
  </si>
  <si>
    <t xml:space="preserve">Нормативная база (действует во всей непротиворечащей части):
штраф D−5 сохраняется после выхода; потратить 1 действие на смывание и удалить штраф.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Тихая Поляна исключена Q-MON-066–068</t>
  </si>
  <si>
    <t xml:space="preserve">до выхода смывание не заявлено.
Поздние дельты применяются по приоритету AQ3 &gt; AQ2 &gt; AQA/CQA &gt; базовая карточка; локальное исключение сильнее общего.</t>
  </si>
  <si>
    <t xml:space="preserve">уточнение к §9.19.3, печ. стр. 226.</t>
  </si>
  <si>
    <t xml:space="preserve">Реестр правил!B303:AH303</t>
  </si>
  <si>
    <t xml:space="preserve">5a79306d3899292d328c56138ba0fb01c5fe0f5710084d692e980871b58cc30c</t>
  </si>
  <si>
    <t xml:space="preserve">SRCMAP-109</t>
  </si>
  <si>
    <t xml:space="preserve">CQA-001</t>
  </si>
  <si>
    <t xml:space="preserve">Каков полный жизненный цикл персонажа после установки окончательной смерти: текущая команда, инициатива, труп, инвентарь, симбионты, таймеры и право управления?</t>
  </si>
  <si>
    <t xml:space="preserve">Combat QA / CORE — общие боевые состояния (4).</t>
  </si>
  <si>
    <t xml:space="preserve">После установки dead=true текущая команда и все подготовленные реакции отменяются.
События «при окончательной смерти» разрешаются один раз, после чего персонаж удаляется из активной инициативы и игрок теряет обычные команды за него.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Отдельные сущности, созданные событием смерти, не сливаются с ним автоматически.
После завершения боевой ситуации победой каждый игрок может выбрать труп и открыть его инвентарь для перемещения в свой инвентарь предметов с трупа.
Если труп выбран другим игроком, он недоступен для выбора.
Окончание фазы мародерства после боя определяет мастер</t>
  </si>
  <si>
    <t xml:space="preserve">После установки dead=true текущая команда и все подготовленные реакции отменяются. События «при окончательной смерти» разрешаются один раз, после чего персонаж удаляется из активной инициативы и игрок теряет обычные команды за него.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Отдельные сущности, созданные событием смерти, не сливаются с ним автоматически. После завершения боевой ситуации победой каждый игрок может выбрать труп и открыть его инвентарь для перемещения в свой инвентарь предметов с трупа. Если труп выбран другим игроком, он недоступен для выбора. Окончание фазы мародерства после боя определяет мастер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</si>
  <si>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t>
  </si>
  <si>
    <t xml:space="preserve">Combat QA / Q-CORE-064.
Предразработочный QA и прямые ответы пользователя 2026-07-29</t>
  </si>
  <si>
    <t xml:space="preserve">Реестр правил!B304:AH304</t>
  </si>
  <si>
    <t xml:space="preserve">dddc0d1ca087d88bc4144119944676dce5fee5268e22e9f98242325b66599af2</t>
  </si>
  <si>
    <t xml:space="preserve">SRCMAP-110</t>
  </si>
  <si>
    <t xml:space="preserve">Каково общее правило завершения уже созданных аур, форм, мин, снарядов, ядов, заражений и длительных эффектов при смерти, тяжёлом ранении, бессознательности, отключении симбионта или выходе источника из боя?</t>
  </si>
  <si>
    <t xml:space="preserve">Мгновенно разрешённый результат не откатывается.
Поддерживаемые источником формы, ауры, полёт, маскировка, каналы, управление и контактные зоны прекращаются, когда источник умер, потерял дееспособность, соответствующий симбионт отключён или удалён либо источник исключён с карты.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Пока источник доступен, продолжающийся эффект при каждом применении числовой величины использует текущий L по Q-SYM-006.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
Прямое правило конкретной способности имеет приоритет.</t>
  </si>
  <si>
    <t xml:space="preserve">Мгновенно разрешённый результат не откатывается. Поддерживаемые источником формы, ауры, полёт, маскировка, каналы, управление и контактные зоны прекращаются, когда источник умер, потерял дееспособность, соответствующий симбионт отключён или удалён либо источник исключён с карты.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Пока источник доступен, продолжающийся эффект при каждом применении числовой величины использует текущий L по Q-SYM-006.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 Прямое правило конкретной способности имеет приоритет.</t>
  </si>
  <si>
    <t xml:space="preserve">Поддерживаемые источником формы, ауры, полёт, маскировка, каналы, управление и контактные зоны прекращаются, когда источник умер, потерял дееспособность, соответствующий симбионт отключён или удалён либо источник исключён с карты.
Прямое правило конкретной способности имеет приоритет.</t>
  </si>
  <si>
    <t xml:space="preserve">Combat QA / Q-CORE-065.</t>
  </si>
  <si>
    <t xml:space="preserve">Реестр правил!B305:AH305</t>
  </si>
  <si>
    <t xml:space="preserve">466b05e9091f8ce8ed49e6ed3a98565cc7fd638caa18b2f687f4917b4ac84c61</t>
  </si>
  <si>
    <t xml:space="preserve">SRCMAP-111</t>
  </si>
  <si>
    <t xml:space="preserve">CQA-005</t>
  </si>
  <si>
    <t xml:space="preserve">Можно ли применять «Внешнюю регенерацию» к самому носителю и как разрешается касание дееспособной недобровольной цели?</t>
  </si>
  <si>
    <t xml:space="preserve">Combat QA / SYM — обыкновенные симбионты (36).</t>
  </si>
  <si>
    <t xml:space="preserve">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</si>
  <si>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</si>
  <si>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Недобровольная дееспособная цель требует обычной рукопашной проверки касания с доступной активной защитой; пробитие и урон не выполняются.</t>
  </si>
  <si>
    <t xml:space="preserve">Combat QA / Q-SYM-078.</t>
  </si>
  <si>
    <t xml:space="preserve">Реестр правил!B308:AH308</t>
  </si>
  <si>
    <t xml:space="preserve">01c344c477292b09a91e677c35cf350ac04f09ce5c2e22e113805ae496e4befd</t>
  </si>
  <si>
    <t xml:space="preserve">SRCMAP-112</t>
  </si>
  <si>
    <t xml:space="preserve">CQA-006</t>
  </si>
  <si>
    <t xml:space="preserve">Что происходит с действующей «Заменой органа», если до окончания её срока другой эффект уже вывел персонажа из тяжёлого ранения?</t>
  </si>
  <si>
    <t xml:space="preserve">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
Обычное лечение HP, не снимающее тяжёлое ранение, эффект не прерывает.</t>
  </si>
  <si>
    <t xml:space="preserve">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 Обычное лечение HP, не снимающее тяжёлое ранение, эффект не прерывает.</t>
  </si>
  <si>
    <t xml:space="preserve">Отдельные исключения не заданы; применяется алгоритм этой карточки.</t>
  </si>
  <si>
    <t xml:space="preserve">Combat QA / Q-SYM-079.</t>
  </si>
  <si>
    <t xml:space="preserve">Реестр правил!B309:AH309</t>
  </si>
  <si>
    <t xml:space="preserve">8b1c275dcde048a57e26150b46da2141ad040b1c005fdf6cea3760a76daca527</t>
  </si>
  <si>
    <t xml:space="preserve">SRCMAP-113</t>
  </si>
  <si>
    <t xml:space="preserve">CQA-008</t>
  </si>
  <si>
    <t xml:space="preserve">Может ли носитель войти в тяжёлое ранение или умереть от исчерпания 1000 HP во время «Абсолютной регенерации», и что именно восстанавливается через два хода?</t>
  </si>
  <si>
    <t xml:space="preserve">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Прямой эффект, который убивает без уменьшения HP, не отменяется этой способностью.
После снятия режима HP ограничиваются обычным максимумом, а незавершённые таймеры лечения продолжаются с этим ограничением.</t>
  </si>
  <si>
    <t xml:space="preserve">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Прямой эффект, который убивает без уменьшения HP, не отменяется этой способностью. После снятия режима HP ограничиваются обычным максимумом, а незавершённые таймеры лечения продолжаются с этим ограничением.</t>
  </si>
  <si>
    <t xml:space="preserve">Combat QA / Q-SYM-081.</t>
  </si>
  <si>
    <t xml:space="preserve">Реестр правил!B311:AH311</t>
  </si>
  <si>
    <t xml:space="preserve">0a5dd23d7a399d2a4bc54cbc2fd6e8e6a9add016a155ba26ce0bd3caf9105395</t>
  </si>
  <si>
    <t xml:space="preserve">SRCMAP-114</t>
  </si>
  <si>
    <t xml:space="preserve">CQA-009</t>
  </si>
  <si>
    <t xml:space="preserve">Каковы цена, воспламенение, срок и расходование горючей слюны, нанесённой на оружие или снаряд?</t>
  </si>
  <si>
    <t xml:space="preserve">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При повторном нанесении проверка на воспламенение не требуется.</t>
  </si>
  <si>
    <t xml:space="preserve">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При повторном нанесении проверка на воспламенение не требуется.</t>
  </si>
  <si>
    <t xml:space="preserve">Combat QA / Q-SYM-082.</t>
  </si>
  <si>
    <t xml:space="preserve">Реестр правил!B312:AH312</t>
  </si>
  <si>
    <t xml:space="preserve">f3d4a481ee24ee537f702e033ba91f3dc1e5484ab7d03974bd6c1219a3dead56</t>
  </si>
  <si>
    <t xml:space="preserve">SRCMAP-115</t>
  </si>
  <si>
    <t xml:space="preserve">CQA-015</t>
  </si>
  <si>
    <t xml:space="preserve">Повторяется ли бой Трогра и Хранителя после равенства текущих ОЭ или последующего изменения их запасов?</t>
  </si>
  <si>
    <t xml:space="preserve">Для уже находящихся в одном теле Трогра и Хранителя сравнение выполняется один раз при первом возникновении совместного присутствия.
При равенстве оба остаются живы и последующие траты или восстановление ОЭ автоматического нового боя не вызывают.
Повторное сравнение возможно только если один из этих симбионтов покинул тело и позднее снова проник в него.
Специальный результат неудачного вторжения Хранителя обрабатывается отдельно по Q-SYM-092.</t>
  </si>
  <si>
    <t xml:space="preserve">Для уже находящихся в одном теле Трогра и Хранителя сравнение выполняется один раз при первом возникновении совместного присутствия. При равенстве оба остаются живы и последующие траты или восстановление ОЭ автоматического нового боя не вызывают. Повторное сравнение возможно только если один из этих симбионтов покинул тело и позднее снова проник в него. Специальный результат неудачного вторжения Хранителя обрабатывается отдельно по Q-SYM-092.</t>
  </si>
  <si>
    <t xml:space="preserve">Повторное сравнение возможно только если один из этих симбионтов покинул тело и позднее снова проник в него.</t>
  </si>
  <si>
    <t xml:space="preserve">Combat QA / Q-SYM-088.</t>
  </si>
  <si>
    <t xml:space="preserve">Реестр правил!B318:AH318</t>
  </si>
  <si>
    <t xml:space="preserve">d3648f020987a06e51b3ebb46fe2fc6abc76e2a89d0d0488c284388747f3e837</t>
  </si>
  <si>
    <t xml:space="preserve">SRCMAP-116</t>
  </si>
  <si>
    <t xml:space="preserve">CQA-017</t>
  </si>
  <si>
    <t xml:space="preserve">Базовый сценарий Combat QA: Как именно приложение создаёт самостоятельного Хранителя в текущем бою при окончательной смерти носителя?
Позднее уточнение Application QA: Как приложение создаёт самостоятельного Хранителя при окончательной смерти носителя, в том числе если носителя успели воскресить до фактического выхода Хранителя, и когда новый участник получает первый ход?</t>
  </si>
  <si>
    <t xml:space="preserve">Базовое решение Combat QA: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д.).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Эффекты, травмы, горение и инвентарь тела не наследуются.
В продолжающемся бою Хранитель бросает ч…</t>
  </si>
  <si>
    <t xml:space="preserve">Базовое решение Combat QA: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д.).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Эффекты, травмы, горение и инвентарь тела не наследуются.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</si>
  <si>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Позднее уточнение Application QA (приоритетно в пересекающейся части):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</si>
  <si>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Combat QA / Q-SYM-090.</t>
  </si>
  <si>
    <t xml:space="preserve">Реестр правил!B320:AH320</t>
  </si>
  <si>
    <t xml:space="preserve">38fd28d6b605940cd29ea9ee970658b8453bf24b5e41b24a4fb56f62886dfba9</t>
  </si>
  <si>
    <t xml:space="preserve">SRCMAP-117</t>
  </si>
  <si>
    <t xml:space="preserve">CQA-018</t>
  </si>
  <si>
    <t xml:space="preserve">Что происходит, если исходного носителя воскресили после того, как Хранитель уже вышел из его тела?</t>
  </si>
  <si>
    <t xml:space="preserve">После выхода хранителя из тела, воскрешение этого тела уже невозможно никакими способами.</t>
  </si>
  <si>
    <t xml:space="preserve">Combat QA / Q-SYM-091.</t>
  </si>
  <si>
    <t xml:space="preserve">Реестр правил!B321:AH321</t>
  </si>
  <si>
    <t xml:space="preserve">b7ae4686102b21a5c394edf8425307c470ef5e45d0e5ad56b7411728e2a93165</t>
  </si>
  <si>
    <t xml:space="preserve">SRCMAP-118</t>
  </si>
  <si>
    <t xml:space="preserve">CQA-019</t>
  </si>
  <si>
    <t xml:space="preserve">Где оказывается Хранитель и что может делать после поражения или ничьей в бою с выбранным симбионтом нового тела?</t>
  </si>
  <si>
    <t xml:space="preserve">Перед проникновением выбирается симбионт-жертва; если его вид не раскрыт игроку, приложение выбирает жертву случайно среди симбионтов тела.
При большем currentOE Хранитель побеждает по Q-SYM-074.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t>
  </si>
  <si>
    <t xml:space="preserve">Перед проникновением выбирается симбионт-жертва; если его вид не раскрыт игроку, приложение выбирает жертву случайно среди симбионтов тела. При большем currentOE Хранитель побеждает по Q-SYM-074.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t>
  </si>
  <si>
    <t xml:space="preserve">Combat QA / Q-SYM-092.</t>
  </si>
  <si>
    <t xml:space="preserve">Реестр правил!B322:AH322</t>
  </si>
  <si>
    <t xml:space="preserve">eab1c7dbb7b3a7124098a859d1fb366b3b0fbb03ad0637336510a8770d141d43</t>
  </si>
  <si>
    <t xml:space="preserve">SRCMAP-119</t>
  </si>
  <si>
    <t xml:space="preserve">CQA-020</t>
  </si>
  <si>
    <t xml:space="preserve">Какие данные персонажа и право управления сохраняются после 24-часовой перезаписи тела Хранителем?</t>
  </si>
  <si>
    <t xml:space="preserve">От нового тела сохраняются раса, пол, внешность, S, D, M, Z, max/current HP, травмы, экипировка, инвентарь и все оставшиеся в теле симбионты.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Хранитель занимает слот уничтоженного симбионта.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</si>
  <si>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От нового тела сохраняются раса, пол, внешность, S, D, M, Z, max/current HP, травмы, экипировка, инвентарь и все оставшиеся в теле симбионты.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Хранитель занимает слот уничтоженного симбионта.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</si>
  <si>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Combat QA / Q-SYM-093.</t>
  </si>
  <si>
    <t xml:space="preserve">Реестр правил!B323:AH323</t>
  </si>
  <si>
    <t xml:space="preserve">85f2746e573d1e2c14a2caee29746ef9fc08a8cedc65b33971d7ec164017f53a</t>
  </si>
  <si>
    <t xml:space="preserve">SRCMAP-120</t>
  </si>
  <si>
    <t xml:space="preserve">CQA-021</t>
  </si>
  <si>
    <t xml:space="preserve">Базовый сценарий Combat QA: Как Хранитель с «Попутчиками» уничтожает всех оставшихся симбионтов нового Единого перед восстановлением исходного набора?
Позднее уточнение Application QA: Как Хранитель с «Попутчиками» уничтожает оставшихся симбионтов нового Единого, как разрешаются поражение и ничья, и в какой момент восстанавливается исходный набор?</t>
  </si>
  <si>
    <t xml:space="preserve">Базовое решение Combat QA:
После занятия первого слота приложение открывает отдельную последовательность внутренних боёв.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Так же хранитель вправе не убивать симбионта цели и оставить его.
От игрока потребуется явно подтвердить, что конфигурация симбионтов финальная.
Дальнейшее восстановление выполняется по уже принятому Q-SYM-039.
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t>
  </si>
  <si>
    <t xml:space="preserve">Базовое решение Combat QA:
После занятия первого слота приложение открывает отдельную последовательность внутренних боёв.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Так же хранитель вправе не убивать симбионта цели и оставить его. От игрока потребуется явно подтвердить, что конфигурация симбионтов финальная. Дальнейшее восстановление выполняется по уже принятому Q-SYM-039.
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Для Трогра применяется его актуальная стоимость слотов после поглощённых Учителя/Дельфина.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При заселении Вольного генетический материал «Попутчиков» теряется.</t>
  </si>
  <si>
    <t xml:space="preserve">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t>
  </si>
  <si>
    <t xml:space="preserve">Combat QA / Q-SYM-094.</t>
  </si>
  <si>
    <t xml:space="preserve">Реестр правил!B324:AH324</t>
  </si>
  <si>
    <t xml:space="preserve">cba857725d50ec7fe2b14ebb18b985b5b560032c34e20f6a3caaf5c5186d0237</t>
  </si>
  <si>
    <t xml:space="preserve">SRCMAP-121</t>
  </si>
  <si>
    <t xml:space="preserve">CQA-023</t>
  </si>
  <si>
    <t xml:space="preserve">Базовый сценарий Combat QA: Каков полный жизненный цикл связи «Гарпуна»: число активных гарпунов, ограничение движения, конечная позиция подтягивания и потеря гарпуна?
Позднее уточнение Application QA: Как завершается связь «Гарпуна», если гарпун уже попал в цель: можно ли втянуть или отсоединить его отдельной командой и что происходит при смерти/удалении цели либо завершении боя?</t>
  </si>
  <si>
    <t xml:space="preserve">Базовое решение Combat QA:
Одновременно может существовать один выпущенный гарпун.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Новый выстрел до втягивания невозможен.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Одновременно существует не более одного выпущенного гарпуна.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Цель не получает дополнительного урона, а гарпун снова считается готовым к выстрелу.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Труп цели не сохраняет механическую связь и не ограничивает движение носителя.</t>
  </si>
  <si>
    <t xml:space="preserve">Базовое решение Combat QA:
Одновременно может существовать один выпущенный гарпун.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Новый выстрел до втягивания невозможен.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Одновременно существует не более одного выпущенного гарпуна.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Цель не получает дополнительного урона, а гарпун снова считается готовым к выстрелу.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Труп цели не сохраняет механическую связь и не ограничивает движение носителя.</t>
  </si>
  <si>
    <t xml:space="preserve">Гарпун можно выпустить только в персонажа-участника боевой ситуации.
Позднее уточнение Application QA (приоритетно в пересекающейся части):</t>
  </si>
  <si>
    <t xml:space="preserve">Combat QA / Q-SYM-096.</t>
  </si>
  <si>
    <t xml:space="preserve">Реестр правил!B326:AH326</t>
  </si>
  <si>
    <t xml:space="preserve">af4a364e94323dd8296333324b8120eeb037ceb5d1144647a391edb10b933394</t>
  </si>
  <si>
    <t xml:space="preserve">SRCMAP-122</t>
  </si>
  <si>
    <t xml:space="preserve">CQA-025</t>
  </si>
  <si>
    <t xml:space="preserve">Базовый сценарий Combat QA: Как приложение ведёт удалившегося с поля боя летящего Сверчка и возвращает его в текущую боевую ситуацию?
Позднее уточнение Application QA: Как приложение ведёт удалившегося с поля боя летящего Сверчка, возвращает его и обрабатывает потерю дееспособности, отключение Сверчка или смерть во время полёта вне карты?</t>
  </si>
  <si>
    <t xml:space="preserve">Базовое решение Combat QA: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Позднее уточнение Application QA (приоритетно в пересекающейся части):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 мастера фиксируется; восстановление дееспособности само по себе полёт не воз…</t>
  </si>
  <si>
    <t xml:space="preserve">Базовое решение Combat QA: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Позднее уточнение Application QA (приоритетно в пересекающейся части):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 мастера фиксируется; восстановление дееспособности само по себе полёт не возобновляет. Падение, высота и дополнительный урон приложением не рассчитываются.</t>
  </si>
  <si>
    <t xml:space="preserve">Позднее уточнение Application QA (приоритетно в пересекающейся части):</t>
  </si>
  <si>
    <t xml:space="preserve">Combat QA / Q-SYM-098.</t>
  </si>
  <si>
    <t xml:space="preserve">Реестр правил!B328:AH328</t>
  </si>
  <si>
    <t xml:space="preserve">569b8874dedcaf2b94dabbec4ab3d2b37144b523bd41e2c7601d2771e16e5572</t>
  </si>
  <si>
    <t xml:space="preserve">SRCMAP-123</t>
  </si>
  <si>
    <t xml:space="preserve">CQA-026</t>
  </si>
  <si>
    <t xml:space="preserve">Как именно ограничивается движение двух концов связи «Выстрела паутиной» и когда связь прекращается при смерти, недееспособности либо уходе одного из участников из боя?</t>
  </si>
  <si>
    <t xml:space="preserve">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Бессознательность и отключение Паука связь не снимают; смерть или удаление любого конца с карты прекращают игровой эффект связи.
Носитель по-прежнему может отсоединить нить за 1 действие, цель — освободиться за 1 действие проверкой R20+S &gt; 15+L.</t>
  </si>
  <si>
    <t xml:space="preserve">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Бессознательность и отключение Паука связь не снимают; смерть или удаление любого конца с карты прекращают игровой эффект связи. Носитель по-прежнему может отсоединить нить за 1 действие, цель — освободиться за 1 действие проверкой R20+S &gt; 15+L.</t>
  </si>
  <si>
    <t xml:space="preserve">Combat QA / Q-SYM-099.</t>
  </si>
  <si>
    <t xml:space="preserve">Реестр правил!B329:AH329</t>
  </si>
  <si>
    <t xml:space="preserve">5aaa31a0af92fa02fd634152beca37bcd1cf6c9f9fd8e39e96f3e8c353faeb3d</t>
  </si>
  <si>
    <t xml:space="preserve">SRCMAP-124</t>
  </si>
  <si>
    <t xml:space="preserve">CQA-027</t>
  </si>
  <si>
    <t xml:space="preserve">Что именно запрещает критический исход «Ловчей сети», сковавший руки носителя на 4 хода, и можно ли снять его раньше?</t>
  </si>
  <si>
    <t xml:space="preserve">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t>
  </si>
  <si>
    <t xml:space="preserve">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t>
  </si>
  <si>
    <t xml:space="preserve">Combat QA / Q-SYM-100.</t>
  </si>
  <si>
    <t xml:space="preserve">Реестр правил!B330:AH330</t>
  </si>
  <si>
    <t xml:space="preserve">1cbad0c8726d837e012c74ecc3ca17dab844d1e1449d837f7b35c551237e5eb2</t>
  </si>
  <si>
    <t xml:space="preserve">SRCMAP-125</t>
  </si>
  <si>
    <t xml:space="preserve">CQA-029</t>
  </si>
  <si>
    <t xml:space="preserve">Базовый сценарий Combat QA: Как приложение должно исполнять критический исход «Чёрно-белой ярости» — «цель в течение 1 хода пытается убить носителя» — если цель не может атаковать его, носитель уже мёртв или вышел из боя?
Позднее уточнение Application QA: Как приложение исполняет критический исход «Чёрно-белой ярости» «цель в течение 1 хода пытается убить носителя»: сколько действий обязательно тратится, что происходит при необходимости сближения и когда принуждение прекращается?</t>
  </si>
  <si>
    <t xml:space="preserve">Базовое решение Combat QA: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Позднее уточнение Application QA (приоритетно в пересекающейся части):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</si>
  <si>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Базовое решение Combat QA: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Позднее уточнение Application QA (приоритетно в пересекающейся части):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</si>
  <si>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На один следующий личный ход цели её приоритетом становится доступная атака носителя Пингвина.
Позднее уточнение Application QA (приоритетно в пересекающейся части):
Как только атака становится доступна, первое подходящее оставшееся действие тратится на одну атаку, после чего принуждение заканчивается.</t>
  </si>
  <si>
    <t xml:space="preserve">Combat QA / Q-SYM-102.</t>
  </si>
  <si>
    <t xml:space="preserve">Реестр правил!B332:AH332</t>
  </si>
  <si>
    <t xml:space="preserve">1de2da529321620e4469637d56a2a2bc16262a5f21adab8e902f60036a07c033</t>
  </si>
  <si>
    <t xml:space="preserve">SRCMAP-126</t>
  </si>
  <si>
    <t xml:space="preserve">CQA-031</t>
  </si>
  <si>
    <t xml:space="preserve">Долетает ли уже выпущенная «Шаровая молния», если её обязательные 10 урона немедленно переводят носителя в тяжёлое ранение, бессознательность или смерть?</t>
  </si>
  <si>
    <t xml:space="preserve">Да.
После успешного объявления и полной оплаты снаряд считается отделившимся: сначала прекращается дуга и носитель получает 10 урона, затем молния в любом случае достигает выбранной допустимой цели и разрешает свой пакет.
Смерть/бессознательность после запуска не отменяет уже созданный снаряд.</t>
  </si>
  <si>
    <t xml:space="preserve">Да. После успешного объявления и полной оплаты снаряд считается отделившимся: сначала прекращается дуга и носитель получает 10 урона, затем молния в любом случае достигает выбранной допустимой цели и разрешает свой пакет. Смерть/бессознательность после запуска не отменяет уже созданный снаряд.</t>
  </si>
  <si>
    <t xml:space="preserve">Combat QA / Q-SYM-104.</t>
  </si>
  <si>
    <t xml:space="preserve">Реестр правил!B334:AH334</t>
  </si>
  <si>
    <t xml:space="preserve">56c017ff498663fe3658749d2caee3382e560e6a7326501661522c6b333afbc8</t>
  </si>
  <si>
    <t xml:space="preserve">SRCMAP-127</t>
  </si>
  <si>
    <t xml:space="preserve">CQA-032</t>
  </si>
  <si>
    <t xml:space="preserve">Можно ли применять «Оптимизацию метаболизма» повторно до восстановления ранее пожертвованных характеристик и как в таком случае считаются ресурсы и восстановление?</t>
  </si>
  <si>
    <t xml:space="preserve">Да, пока каждая характеристика остаётся не ниже 1 и хватает ОЭ.
Каждое применение добавляет новые пожертвованные пункты в один общий пул; цена и бонусы рассчитываются только по новым пунктам.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</si>
  <si>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Да, пока каждая характеристика остаётся не ниже 1 и хватает ОЭ. Каждое применение добавляет новые пожертвованные пункты в один общий пул; цена и бонусы рассчитываются только по новым пунктам.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</si>
  <si>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Каждое применение добавляет новые пожертвованные пункты в один общий пул; цена и бонусы рассчитываются только по новым пунктам.</t>
  </si>
  <si>
    <t xml:space="preserve">Combat QA / Q-SYM-105.</t>
  </si>
  <si>
    <t xml:space="preserve">Реестр правил!B335:AH335</t>
  </si>
  <si>
    <t xml:space="preserve">b523b9e99da33c4288280aa9f491c59576af9b69b26514e28bfbc39df1c2e2c0</t>
  </si>
  <si>
    <t xml:space="preserve">SRCMAP-128</t>
  </si>
  <si>
    <t xml:space="preserve">CQA-034</t>
  </si>
  <si>
    <t xml:space="preserve">Базовый сценарий Combat QA: Что происходит с Крысой, находящейся вне тела, если её носитель умирает или покидает бой до возвращения симбионта?
Позднее уточнение Application QA: Что происходит с Крысой вне тела, если её носитель окончательно умирает либо живым покидает текущую боевую ситуацию до возвращения симбионта?</t>
  </si>
  <si>
    <t xml:space="preserve">Базовое решение Combat QA:
Со смертью носителя Крыса немедленно умирает
Позднее уточнение Application QA (приоритетно в пересекающейся части):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Без физического контакта вернуть её в тело нельзя.
Срок автономного существования L часов продолжает идти; при его истечении Крыса погибает по общему правилу.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</si>
  <si>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Базовое решение Combat QA:
Со смертью носителя Крыса немедленно умирает
Позднее уточнение Application QA (приоритетно в пересекающейся части):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Без физического контакта вернуть её в тело нельзя. Срок автономного существования L часов продолжает идти; при его истечении Крыса погибает по общему правилу.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</si>
  <si>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Combat QA / Q-SYM-107.</t>
  </si>
  <si>
    <t xml:space="preserve">Реестр правил!B337:AH337</t>
  </si>
  <si>
    <t xml:space="preserve">b251e60c40b2f0d0e067879b716b5c463ce7ce647bbb6c8d055ff816ba05ba32</t>
  </si>
  <si>
    <t xml:space="preserve">SRCMAP-129</t>
  </si>
  <si>
    <t xml:space="preserve">CQA-035</t>
  </si>
  <si>
    <t xml:space="preserve">Каковы жизненный цикл стаи и удалённого приказа, если Крыса-вожак погибает, возвращается в тело, носитель теряет сознание, умирает или покидает бой?</t>
  </si>
  <si>
    <t xml:space="preserve">Пока Крыса вне тела и жива, она сама является вожаком.
Её смерть немедленно запускает обычное отступление стаи.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t>
  </si>
  <si>
    <t xml:space="preserve">Пока Крыса вне тела и жива, она сама является вожаком. Её смерть немедленно запускает обычное отступление стаи.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t>
  </si>
  <si>
    <t xml:space="preserve">Combat QA / Q-SYM-108.</t>
  </si>
  <si>
    <t xml:space="preserve">Реестр правил!B338:AH338</t>
  </si>
  <si>
    <t xml:space="preserve">9f061f9fe8a04c8982cc63750d25aee8ddf1fa54f593ef5a83f40c058233d71f</t>
  </si>
  <si>
    <t xml:space="preserve">SRCMAP-130</t>
  </si>
  <si>
    <t xml:space="preserve">CQA-036</t>
  </si>
  <si>
    <t xml:space="preserve">До какого точного момента «Эхолокация» раскрывает замаскированных существ и когда Хамелеон снова становится скрытым?</t>
  </si>
  <si>
    <t xml:space="preserve">Раскрытие действует с успешного применения до начала следующего личного хода носителя Дельфина.
В этот момент статус раскрытия снимается.
Активная динамическая маскировка Хамелеона начинает снова давать свой модификатор автоматически; статическая требует, чтобы носитель по-прежнему не двигался.
Важно: эхолокация раскрывает хамелеона только носителю дельфина, союзники дельфина по прежнему не видят хамелеона даже при успешном применении дельфином эхолокации.
Новая проверка скрытности выполняется только при следующей попытке обнаружения по общим правилам.</t>
  </si>
  <si>
    <t xml:space="preserve">Раскрытие действует с успешного применения до начала следующего личного хода носителя Дельфина. В этот момент статус раскрытия снимается. Активная динамическая маскировка Хамелеона начинает снова давать свой модификатор автоматически; статическая требует, чтобы носитель по-прежнему не двигался. Важно: эхолокация раскрывает хамелеона только носителю дельфина, союзники дельфина по прежнему не видят хамелеона даже при успешном применении дельфином эхолокации. Новая проверка скрытности выполняется только при следующей попытке обнаружения по общим правилам.</t>
  </si>
  <si>
    <t xml:space="preserve">Важно: эхолокация раскрывает хамелеона только носителю дельфина, союзники дельфина по прежнему не видят хамелеона даже при успешном применении дельфином эхолокации.
Новая проверка скрытности выполняется только при следующей попытке обнаружения по общим правилам.</t>
  </si>
  <si>
    <t xml:space="preserve">Combat QA / Q-SYM-109.</t>
  </si>
  <si>
    <t xml:space="preserve">Реестр правил!B339:AH339</t>
  </si>
  <si>
    <t xml:space="preserve">91ebb27de283ead719221a107b59ae2efdef11f9a20bf589dc4704adf6fcf9f1</t>
  </si>
  <si>
    <t xml:space="preserve">SRCMAP-131</t>
  </si>
  <si>
    <t xml:space="preserve">CQA-038</t>
  </si>
  <si>
    <t xml:space="preserve">Какие события прекращают «Веерную защиту» помимо добровольного движения и атаки?</t>
  </si>
  <si>
    <t xml:space="preserve">Стойка прекращается немедленно при любом добровольном или принудительном перемещении, любой физической атаке, применении активной способности, активной защите, тяжёлом ранении, потере сознания, смерти, отключении Богомола либо складывании хотя бы одного клинка.
Пассивное получение урона и срабатывание обычной брони сами по себе стойку не снимают.</t>
  </si>
  <si>
    <t xml:space="preserve">Стойка прекращается немедленно при любом добровольном или принудительном перемещении, любой физической атаке, применении активной способности, активной защите, тяжёлом ранении, потере сознания, смерти, отключении Богомола либо складывании хотя бы одного клинка. Пассивное получение урона и срабатывание обычной брони сами по себе стойку не снимают.</t>
  </si>
  <si>
    <t xml:space="preserve">Combat QA / Q-SYM-111.</t>
  </si>
  <si>
    <t xml:space="preserve">Реестр правил!B341:AH341</t>
  </si>
  <si>
    <t xml:space="preserve">c7210dff7b5859204227bb554f020e9effb2a6d2c8c9c2eca41112095970c365</t>
  </si>
  <si>
    <t xml:space="preserve">SRCMAP-132</t>
  </si>
  <si>
    <t xml:space="preserve">CQA-039</t>
  </si>
  <si>
    <t xml:space="preserve">Как «Вонючее облако» взаимодействует с герметичным Нэйтом, собственной Жабой и другими иммунитетами к яду/газу?</t>
  </si>
  <si>
    <t xml:space="preserve">Герметичный Нэйт или независимая замкнутая система дыхания полностью предотвращают снижение M и ограничение действий, пока защита герметична.
Иммунитет Жабы к ядам не защищает: облако не является уроном от яда и его контроль не назван ядом/отваром.
Обнаружение скрытых существ и возможность потушить огонь продолжают действовать независимо от дыхательной защиты.</t>
  </si>
  <si>
    <t xml:space="preserve">Герметичный Нэйт или независимая замкнутая система дыхания полностью предотвращают снижение M и ограничение действий, пока защита герметична. Иммунитет Жабы к ядам не защищает: облако не является уроном от яда и его контроль не назван ядом/отваром. Обнаружение скрытых существ и возможность потушить огонь продолжают действовать независимо от дыхательной защиты.</t>
  </si>
  <si>
    <t xml:space="preserve">Combat QA / Q-SYM-112.</t>
  </si>
  <si>
    <t xml:space="preserve">Реестр правил!B342:AH342</t>
  </si>
  <si>
    <t xml:space="preserve">1646825d813f94b0c83e662a99e306f8a4cffcc3761586b755fe9c444d8ada6c</t>
  </si>
  <si>
    <t xml:space="preserve">SRCMAP-133</t>
  </si>
  <si>
    <t xml:space="preserve">CQA-042</t>
  </si>
  <si>
    <t xml:space="preserve">Базовый сценарий Combat QA: Как «Охотничий азарт» удваивает движение и что происходит, когда отмеченная цель перестаёт убегать, умирает или выходит из боя?
Позднее уточнение Application QA: Как «Охотничий азарт» удваивает движение и когда снимаются метка и бонус, если цель перестала убегать, умерла, покинула бой либо истёк срок «Гончей»?</t>
  </si>
  <si>
    <t xml:space="preserve">Combat QA / MON — симбиотические чудовища (20).</t>
  </si>
  <si>
    <t xml:space="preserve">Базовое решение Combat QA: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Бонус не применяется к движению в сторону или от цели.
Метка и бонус снимаются, когда цель либо удалена с боевой карты; новая цель требует нового срабатывания способности.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
Метка и бонус немедленно снимаются при окончательной смерти цели, её удалении с боевой карты, завершении боя или истечении срока «Гончей».
Тяжёлое ранение, бессознательность и прекращение бегства сами по себе метку не снимают.
Возвращение удалённой цели не восстанавливает прежнюю метку; для неё требуется новое применение «Гончей».</t>
  </si>
  <si>
    <t xml:space="preserve">Базовое решение Combat QA: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Бонус не применяется к движению в сторону или от цели. Метка и бонус снимаются, когда цель либо удалена с боевой карты; новая цель требует нового срабатывания способности.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 Метка и бонус немедленно снимаются при окончательной смерти цели, её удалении с боевой карты, завершении боя или истечении срока «Гончей». Тяжёлое ранение, бессознательность и прекращение бегства сами по себе метку не снимают. Возвращение удалённой цели не восстанавливает прежнюю метку; для неё требуется новое применение «Гончей».</t>
  </si>
  <si>
    <t xml:space="preserve">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t>
  </si>
  <si>
    <t xml:space="preserve">Combat QA / Q-MON-070.</t>
  </si>
  <si>
    <t xml:space="preserve">Реестр правил!B345:AH345</t>
  </si>
  <si>
    <t xml:space="preserve">d99d2ee584760a0e03dc53e2c782d9e01b10c8cc9a91bf1ff91da595b47dd754</t>
  </si>
  <si>
    <t xml:space="preserve">SRCMAP-134</t>
  </si>
  <si>
    <t xml:space="preserve">CQA-043</t>
  </si>
  <si>
    <t xml:space="preserve">Снимает ли успешная «Неудержимость» уже действующий контроль и какие состояния она не может отменить?</t>
  </si>
  <si>
    <t xml:space="preserve">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
Способность не снимает тяжёлое ранение, потерю сознания, смерть, урон, травмы и отключение самой Химеры.</t>
  </si>
  <si>
    <t xml:space="preserve">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 Способность не снимает тяжёлое ранение, потерю сознания, смерть, урон, травмы и отключение самой Химеры.</t>
  </si>
  <si>
    <t xml:space="preserve">Combat QA / Q-MON-071.</t>
  </si>
  <si>
    <t xml:space="preserve">Реестр правил!B346:AH346</t>
  </si>
  <si>
    <t xml:space="preserve">50a4112175345cfa025baf8a4650d8e26c5694db6026526beb041e14fae53848</t>
  </si>
  <si>
    <t xml:space="preserve">SRCMAP-135</t>
  </si>
  <si>
    <t xml:space="preserve">CQA-045</t>
  </si>
  <si>
    <t xml:space="preserve">Как досрочно прекращается успешная форма «Ведомого голодом» при смерти/отключении Химеры и в каком порядке откатываются удвоенные maxHP и currentHP?</t>
  </si>
  <si>
    <t xml:space="preserve">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
Критическая 1 уже однозначна по Q-MON-009: она отключает саму Химеру до конца боя и форму не создаёт.</t>
  </si>
  <si>
    <t xml:space="preserve">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 Критическая 1 уже однозначна по Q-MON-009: она отключает саму Химеру до конца боя и форму не создаёт.</t>
  </si>
  <si>
    <t xml:space="preserve">Combat QA / Q-MON-073.</t>
  </si>
  <si>
    <t xml:space="preserve">Реестр правил!B348:AH348</t>
  </si>
  <si>
    <t xml:space="preserve">1aa6ceedde2b8fcde16ec30261f6307973a0b8f0c6755641c74dbe8b068bd3c7</t>
  </si>
  <si>
    <t xml:space="preserve">SRCMAP-136</t>
  </si>
  <si>
    <t xml:space="preserve">CQA-048</t>
  </si>
  <si>
    <t xml:space="preserve">Какие действия доступны Кукловоду во время «Чужих чувств», какими органами чувств он пользуется и какие события досрочно прекращают связь?</t>
  </si>
  <si>
    <t xml:space="preserve">Способность «Чужие чувства» не автоматизируется приложением и отыгрывается мастером и игроком устно</t>
  </si>
  <si>
    <t xml:space="preserve">Combat QA / Q-MON-076.</t>
  </si>
  <si>
    <t xml:space="preserve">Реестр правил!B351:AH351</t>
  </si>
  <si>
    <t xml:space="preserve">7f87c4fb62d616467c4115bf0e6a857fa57478104adba8d52ffd8aafc2843a4c</t>
  </si>
  <si>
    <t xml:space="preserve">SRCMAP-137</t>
  </si>
  <si>
    <t xml:space="preserve">CQA-049</t>
  </si>
  <si>
    <t xml:space="preserve">Когда прекращается «Марионетка» при смерти/недееспособности источника или цели и как приложение должно обрабатывать опасные для цели приказы?</t>
  </si>
  <si>
    <t xml:space="preserve">Эффект немедленно прекращается при смерти, тяжёлом ранении, бессознательности или отключении Кукловода, а также при смерти цели.
Интерфейс запрещает прямой приказ атаковать себя или явно нанести себе урон.
Другие ограничения не обрабатываются; марионетка не получает дополнительных действий и не игнорирует физические ограничения.</t>
  </si>
  <si>
    <t xml:space="preserve">Эффект немедленно прекращается при смерти, тяжёлом ранении, бессознательности или отключении Кукловода, а также при смерти цели. Интерфейс запрещает прямой приказ атаковать себя или явно нанести себе урон. Другие ограничения не обрабатываются; марионетка не получает дополнительных действий и не игнорирует физические ограничения.
[v1.4] owningController сохраняется; effectiveController может быть временно переопределён валидным ControlLease CORE-221. После окончания управление возвращается исходному контроллеру. Выбор защиты выполняет текущий effectiveController.</t>
  </si>
  <si>
    <t xml:space="preserve">Интерфейс запрещает прямой приказ атаковать себя или явно нанести себе урон.</t>
  </si>
  <si>
    <t xml:space="preserve">Combat QA / Q-MON-077.
Предразработочный QA и прямые ответы пользователя 2026-07-29</t>
  </si>
  <si>
    <t xml:space="preserve">Реестр правил!B352:AH352</t>
  </si>
  <si>
    <t xml:space="preserve">b698e85a17c3ce1f02324ddb4a0006662ae4262d780dadbf36ff145792bbb628</t>
  </si>
  <si>
    <t xml:space="preserve">SRCMAP-138</t>
  </si>
  <si>
    <t xml:space="preserve">CQA-050</t>
  </si>
  <si>
    <t xml:space="preserve">Как полная и числовая ментальная защита взаимодействуют со способностями без встречной проверки, в частности с «Последним взглядом» Химеры и «Постоянной иллюзией» Кукловода?</t>
  </si>
  <si>
    <t xml:space="preserve">Полная неуязвимость к соответствующему ментальному типу делает цель недопустимой либо отменяет эффект.
Числовой бонус защиты применяется только там, где способность прямо выполняет встречную проверку; если такой проверки нет, он не создаёт новую проверку.
Поэтому «Последний взгляд» действует без проверки на обычную цель, но не действует на цель с полной ментальной неуязвимостью.</t>
  </si>
  <si>
    <t xml:space="preserve">Полная неуязвимость к соответствующему ментальному типу делает цель недопустимой либо отменяет эффект. Числовой бонус защиты применяется только там, где способность прямо выполняет встречную проверку; если такой проверки нет, он не создаёт новую проверку. Поэтому «Последний взгляд» действует без проверки на обычную цель, но не действует на цель с полной ментальной неуязвимостью.</t>
  </si>
  <si>
    <t xml:space="preserve">Числовой бонус защиты применяется только там, где способность прямо выполняет встречную проверку; если такой проверки нет, он не создаёт новую проверку.</t>
  </si>
  <si>
    <t xml:space="preserve">Combat QA / Q-MON-078.</t>
  </si>
  <si>
    <t xml:space="preserve">Реестр правил!B353:AH353</t>
  </si>
  <si>
    <t xml:space="preserve">dc5ad7465b2a2bc399e5aa133d3d4a59cd6a7065d42288c3b832e11b3008242f</t>
  </si>
  <si>
    <t xml:space="preserve">SRCMAP-139</t>
  </si>
  <si>
    <t xml:space="preserve">CQA-051</t>
  </si>
  <si>
    <t xml:space="preserve">Сохраняются ли уже созданные заражения Чумного доктора после смерти, тяжёлого ранения, бессознательности, отключения или выхода источника из боя?</t>
  </si>
  <si>
    <t xml:space="preserve">При гибели чумного доктора все его ассистенты немедленно погибают, эффекты от них прекращаются.</t>
  </si>
  <si>
    <t xml:space="preserve">Combat QA / Q-MON-079.</t>
  </si>
  <si>
    <t xml:space="preserve">Реестр правил!B354:AH354</t>
  </si>
  <si>
    <t xml:space="preserve">80a2cd7303b5714e3a24dd136d5c92a32541ff250134aa1590403af1aab7d253</t>
  </si>
  <si>
    <t xml:space="preserve">SRCMAP-140</t>
  </si>
  <si>
    <t xml:space="preserve">CQA-052</t>
  </si>
  <si>
    <t xml:space="preserve">Игнорирует ли гарантированное заражение «Не обращайте внимания — я потягиваюсь» герметичный Нэйт, «Вакцинацию» и полный иммунитет к ассистентам?</t>
  </si>
  <si>
    <t xml:space="preserve">Нет.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
Лимит заражённых Доктора также применяется обычно.</t>
  </si>
  <si>
    <t xml:space="preserve">Нет.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 Лимит заражённых Доктора также применяется обычно.</t>
  </si>
  <si>
    <t xml:space="preserve">«Гарантированно» отменяет только встречную проверку Z.</t>
  </si>
  <si>
    <t xml:space="preserve">Combat QA / Q-MON-080.</t>
  </si>
  <si>
    <t xml:space="preserve">Реестр правил!B355:AH355</t>
  </si>
  <si>
    <t xml:space="preserve">61ff265c89ee7cca3b19b50a791d52262986b09b52b49eff14a25f15617499e5</t>
  </si>
  <si>
    <t xml:space="preserve">SRCMAP-141</t>
  </si>
  <si>
    <t xml:space="preserve">CQA-053</t>
  </si>
  <si>
    <t xml:space="preserve">Что делает критический иммунитет из способности «Какое здоровье, какая воля к жизни!» с уже существующими ассистентами и уже запущенными эффектами Чумных докторов?</t>
  </si>
  <si>
    <t xml:space="preserve">При получении иммунитета немедленно уничтожить в цели всех ассистентов всех Чумных докторов и завершить все поддерживаемые ими эффекты.
Уже нанесённый урон и завершённые изменения не откатываются.
На срок иммунитета новые заражения невозможны; после окончания прежние ассистенты и эффекты не восстанавливаются.</t>
  </si>
  <si>
    <t xml:space="preserve">При получении иммунитета немедленно уничтожить в цели всех ассистентов всех Чумных докторов и завершить все поддерживаемые ими эффекты. Уже нанесённый урон и завершённые изменения не откатываются. На срок иммунитета новые заражения невозможны; после окончания прежние ассистенты и эффекты не восстанавливаются.</t>
  </si>
  <si>
    <t xml:space="preserve">Combat QA / Q-MON-081.</t>
  </si>
  <si>
    <t xml:space="preserve">Реестр правил!B356:AH356</t>
  </si>
  <si>
    <t xml:space="preserve">ad1741b34e9100e2218b0640098a84881e46ce511ea0347c5db6876a5f449c51</t>
  </si>
  <si>
    <t xml:space="preserve">SRCMAP-142</t>
  </si>
  <si>
    <t xml:space="preserve">CQA-054</t>
  </si>
  <si>
    <t xml:space="preserve">Базовый сценарий Combat QA: Каких заражённых удалять, если лимит «Масштабной эпидемии» уменьшается ниже текущего числа после потери уровня, способности или активности Чумного доктора?
Позднее уточнение Application QA: Каких заражённых удалять, если лимит «Масштабной эпидемии» уменьшился ниже текущего числа: самые ранние или самые поздние заражения, и как разрешается одновременное заражение?</t>
  </si>
  <si>
    <t xml:space="preserve">Базовое решение Combat QA:
Сразу после пересчёта выбрать самых первых заражённых сверх нового лимита и уничтожить в них ассистентов, пока число не станет допустимым.
Каждый заражённый имеет одинаковый вес; источник не выбирает, кого сохранить.
Уже запущенные независимые эффекты разрешаются по общему правилу их жизненного цикла.
Позднее уточнение Application QA (приоритетно в пересекающейся части):
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t>
  </si>
  <si>
    <t xml:space="preserve">Базовое решение Combat QA:
Сразу после пересчёта выбрать самых первых заражённых сверх нового лимита и уничтожить в них ассистентов, пока число не станет допустимым. Каждый заражённый имеет одинаковый вес; источник не выбирает, кого сохранить. Уже запущенные независимые эффекты разрешаются по общему правилу их жизненного цикла.
Позднее уточнение Application QA (приоритетно в пересекающейся части):
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t>
  </si>
  <si>
    <t xml:space="preserve">Combat QA / Q-MON-082.</t>
  </si>
  <si>
    <t xml:space="preserve">Реестр правил!B357:AH357</t>
  </si>
  <si>
    <t xml:space="preserve">df7a61d1011a280d05996ea88bcfb77c93b03333fa739034f7c8f662b8cf130b</t>
  </si>
  <si>
    <t xml:space="preserve">SRCMAP-143</t>
  </si>
  <si>
    <t xml:space="preserve">CQA-055</t>
  </si>
  <si>
    <t xml:space="preserve">Как минимум две серии действий от «Мёртвого вестника» соотносится с верхним пределом действий, пропуском хода, тяжёлым ранением и другими эффектами, задающими фиксированное число действий?</t>
  </si>
  <si>
    <t xml:space="preserve">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
«Мёртвый вестник» не позволяет действовать мёртвому, бессознательному или тяжело раненому персонажу.</t>
  </si>
  <si>
    <t xml:space="preserve">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 «Мёртвый вестник» не позволяет действовать мёртвому, бессознательному или тяжело раненому персонажу.</t>
  </si>
  <si>
    <t xml:space="preserve">Сначала применить эффекты полного пропуска хода и недееспособности: они дают 0 действий и имеют абсолютный приоритет.
Если другой эффект прямо устанавливает максимум 1, этот максимум имеет приоритет и остаётся 1.</t>
  </si>
  <si>
    <t xml:space="preserve">Combat QA / Q-MON-083.</t>
  </si>
  <si>
    <t xml:space="preserve">Реестр правил!B358:AH358</t>
  </si>
  <si>
    <t xml:space="preserve">5be03d519fadc883e95da10dfdefa45bf3e0090035d4a3f741c29afa56a346f0</t>
  </si>
  <si>
    <t xml:space="preserve">SRCMAP-144</t>
  </si>
  <si>
    <t xml:space="preserve">CQA-057</t>
  </si>
  <si>
    <t xml:space="preserve">Как выдвигается и втягивается костяной клинок «Мёртвого вестника», что с ним происходит при отключении Доктора и требует ли его гарантированное заражение отдельной попытки?</t>
  </si>
  <si>
    <t xml:space="preserve">Выдвижение и втягивание клинка занимают по 1 действию; клинок остаётся выдвинутым до явного втягивания.
При отключении Чумного доктора анатомический клинок всегда втягивается.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</si>
  <si>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Выдвижение и втягивание клинка занимают по 1 действию; клинок остаётся выдвинутым до явного втягивания. При отключении Чумного доктора анатомический клинок всегда втягивается.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</si>
  <si>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Combat QA / Q-MON-085.</t>
  </si>
  <si>
    <t xml:space="preserve">Реестр правил!B360:AH360</t>
  </si>
  <si>
    <t xml:space="preserve">dd450449fd21243bc2d8160815eb40d6cb6e65f4b7769692b9c5f3ae580eb2bf</t>
  </si>
  <si>
    <t xml:space="preserve">SRCMAP-145</t>
  </si>
  <si>
    <t xml:space="preserve">CQA-060</t>
  </si>
  <si>
    <t xml:space="preserve">После ручного назначения болезни мастером должно ли приложение автоматически применять её эффекты, сложение разных болезней и потерю сознания?</t>
  </si>
  <si>
    <t xml:space="preserve">Мастер вручную назначает и снимает diseaseId, а приложение после назначения автоматически применяет строку эффектов этой болезни.
Повтор той же болезни не складывается, разные болезни складываются.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</si>
  <si>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Мастер вручную назначает и снимает diseaseId, а приложение после назначения автоматически применяет строку эффектов этой болезни. Повтор той же болезни не складывается, разные болезни складываются.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</si>
  <si>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Автоматические проверки заражения, выбор болезни и попытки лечения не выполняются без отдельной команды мастера.</t>
  </si>
  <si>
    <t xml:space="preserve">Combat QA / Q-MON-088.</t>
  </si>
  <si>
    <t xml:space="preserve">Реестр правил!B363:AH363</t>
  </si>
  <si>
    <t xml:space="preserve">2087756b6e471430f00ceb09a0a6e72990305029cce8f1de02a1dbc10f4d0f4f</t>
  </si>
  <si>
    <t xml:space="preserve">SRCMAP-146</t>
  </si>
  <si>
    <t xml:space="preserve">AQA-009</t>
  </si>
  <si>
    <t xml:space="preserve">Какие текущие HP, состояния, таймеры, положения встроенных органов/симбионтов и подготовленные объекты получает только что сохранённый персонаж?</t>
  </si>
  <si>
    <t xml:space="preserve">Application QA / Создание персонажа.</t>
  </si>
  <si>
    <t xml:space="preserve">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Тайпан начинает с выбранным по умолчанию смертельным ядом; Пингвин — с активным «Ми-ми-ми», если не подавлен; Скунс даёт свой постоянный штраф C, пока реально не экипирован герметичный Нэйт.
Крыса и Хранитель находятся внутри носителя; внешние сущности не создаются.
Клинки Богомола находятся в обычном сложенном состоянии.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t>
  </si>
  <si>
    <t xml:space="preserve">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Тайпан начинает с выбранным по умолчанию смертельным ядом; Пингвин — с активным «Ми-ми-ми», если не подавлен; Скунс даёт свой постоянный штраф C, пока реально не экипирован герметичный Нэйт. Крыса и Хранитель находятся внутри носителя; внешние сущности не создаются. Клинки Богомола находятся в обычном сложенном состоянии.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
[v1.3] Для CustomMonster базовый максимум HP не равен 100: мастер задаёт положительное целое baseMaxHP без игрового верхнего лимита по CORE-202.</t>
  </si>
  <si>
    <t xml:space="preserve">Application QA / Q-CHAR-009.
Прямое уточнение пользователя 2026-07-28 — шаблоны врагов v1.3</t>
  </si>
  <si>
    <t xml:space="preserve">Реестр правил!B372:AH372</t>
  </si>
  <si>
    <t xml:space="preserve">f108e20686173a6d4a184c30807ca3a81bce466695fd5587fa7e7e9d208b3cae</t>
  </si>
  <si>
    <t xml:space="preserve">SRCMAP-147</t>
  </si>
  <si>
    <t xml:space="preserve">AQA-023</t>
  </si>
  <si>
    <t xml:space="preserve">Является ли время реальным, когда оно идёт, кто может его менять и как определяются день/ночь?</t>
  </si>
  <si>
    <t xml:space="preserve">Application QA / Действия мастера.</t>
  </si>
  <si>
    <t xml:space="preserve">Кампания хранит монотонное виртуальное время, не связанное с системными часами.
Начальную дату и время задаёт мастер.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Назад время не переводится.
Состояние освещения хранится отдельно как master-set lightState (например, день, ночь, сумерки, искусственный свет).
После 21:00 по игровым часам начинается ночь, с 6:00 по игровым часам начинается день.</t>
  </si>
  <si>
    <t xml:space="preserve">Кампания хранит монотонное виртуальное время, не связанное с системными часами. Начальную дату и время задаёт мастер.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Назад время не переводится.
Состояние освещения хранится отдельно как master-set lightState (например, день, ночь, сумерки, искусственный свет). После 21:00 по игровым часам начинается ночь, с 6:00 по игровым часам начинается день.</t>
  </si>
  <si>
    <t xml:space="preserve">Application QA / Q-GM-001.</t>
  </si>
  <si>
    <t xml:space="preserve">Реестр правил!B386:AH386</t>
  </si>
  <si>
    <t xml:space="preserve">1a72a7d8e073a9bc8c2030e9014dc350b04a5b5adbbaad7d4c749fd999dc1bec</t>
  </si>
  <si>
    <t xml:space="preserve">SRCMAP-148</t>
  </si>
  <si>
    <t xml:space="preserve">AQA-024</t>
  </si>
  <si>
    <t xml:space="preserve">В каком порядке исполняются одновременные тики болезней, урон, окончание эффектов, восстановление и смерть? Обрабатываются ли сущности вне текущей группы?</t>
  </si>
  <si>
    <t xml:space="preserve">Продвижение времени является одной транзакцией с остановками на каждой метке события и охватывает всех постоянных персонажей и НПС кампании.
На одной метке сначала фиксируется неизменяемый список событий, существовавших до её обработки.
Затем: 1) списываются обязательные цены и выполняются периодические тики; 2) после каждого тика пересчитываются тяжёлые ранения, сознание и окончательная смерть со всеми немедленными триггерами; 3) завершаются операции, восстановления и отдых; 4) истекают эффекты, срок которых закончился на этой метке; 5) создаются запросы мастеру.
Новое событие с той же меткой добавляется в конец подходящей ещё не завершённой фазы и не возвращает обработку к прошлой фазе.
Перед каждым событием приложение повторно проверяет его применимость к актуальному состоянию.
Окончательная смерть отменяет все ещё не выполненные личные тики, завершения отдыха и восстановления этой сущности на той же метке времени; продолжаются только прямо вызванные смертью события.
Внутри одной фазы используется стабильный порядок createdAt, затем UUID.</t>
  </si>
  <si>
    <t xml:space="preserve">Продвижение времени является одной транзакцией с остановками на каждой метке события и охватывает всех постоянных персонажей и НПС кампании. На одной метке сначала фиксируется неизменяемый список событий, существовавших до её обработки. Затем: 1) списываются обязательные цены и выполняются периодические тики; 2) после каждого тика пересчитываются тяжёлые ранения, сознание и окончательная смерть со всеми немедленными триггерами; 3) завершаются операции, восстановления и отдых; 4) истекают эффекты, срок которых закончился на этой метке; 5) создаются запросы мастеру. Новое событие с той же меткой добавляется в конец подходящей ещё не завершённой фазы и не возвращает обработку к прошлой фазе.
Перед каждым событием приложение повторно проверяет его применимость к актуальному состоянию. Окончательная смерть отменяет все ещё не выполненные личные тики, завершения отдыха и восстановления этой сущности на той же метке времени; продолжаются только прямо вызванные смертью события. Внутри одной фазы используется стабильный порядок createdAt, затем UUID.</t>
  </si>
  <si>
    <t xml:space="preserve">Окончательная смерть отменяет все ещё не выполненные личные тики, завершения отдыха и восстановления этой сущности на той же метке времени; продолжаются только прямо вызванные смертью события.</t>
  </si>
  <si>
    <t xml:space="preserve">Application QA / Q-GM-002.</t>
  </si>
  <si>
    <t xml:space="preserve">Реестр правил!B387:AH387</t>
  </si>
  <si>
    <t xml:space="preserve">5ec8a26ecf64105836fb88611947497240a18ad519edcf735bf940ab8553d5ff</t>
  </si>
  <si>
    <t xml:space="preserve">SRCMAP-149</t>
  </si>
  <si>
    <t xml:space="preserve">AQA-028</t>
  </si>
  <si>
    <t xml:space="preserve">Какие параметры мастер вправе изменять напрямую и должны ли после этого срабатывать автоматические производные правила?</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</si>
  <si>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Правка разрешена только на безопасной границе операции.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Обычная правка не может отключить эти последствия.
Флаг dead=true является терминальным: обычное лечение HP, повышение HP или снятие состояния не возвращает сущность к жизни.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</si>
  <si>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Правка разрешена только на безопасной границе операции.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Обычная правка не может отключить эти последствия.
Флаг dead=true является терминальным: обычное лечение HP, повышение HP или снятие состояния не возвращает сущность к жизни.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
К разрешённым прямым операциям мастера добавляется создание или изменение версии профиля конкретного оружия по CORE-187–CORE-190. После правки требования и валидность использования пересчитываются, но уже разрешённая атака не меняется.
[v1.3] Структурированные изменения экземпляра никогда не записываются в EnemyTemplateVersion. Для CustomMonster допустимы текущие HP/ОЭ, состояния и модификаторы характеристик, но нельзя создать inventory, skills или bodyZones; предел 35 к последующим модификаторам не применяется.</t>
  </si>
  <si>
    <t xml:space="preserve">Правка разрешена только на безопасной границе операции.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t>
  </si>
  <si>
    <t xml:space="preserve">Application QA / Q-GM-006.
Прямое уточнение пользователя 2026-07-28
Прямое уточнение пользователя 2026-07-28 — шаблоны врагов v1.3</t>
  </si>
  <si>
    <t xml:space="preserve">Реестр правил!B391:AH391</t>
  </si>
  <si>
    <t xml:space="preserve">a2e1853b4cdb24de856a1b6e44f3da0d568c9c3bc33939cbbe8bf7b3d34d1956</t>
  </si>
  <si>
    <t xml:space="preserve">SRCMAP-150</t>
  </si>
  <si>
    <t xml:space="preserve">AQA-029</t>
  </si>
  <si>
    <t xml:space="preserve">Когда сюжетная пометка должна влиять на расчёты и какие поля обязательны у механического эффекта?</t>
  </si>
  <si>
    <t xml:space="preserve">Свободный текст создаёт только сюжетную пометку и никогда не влияет на числа или доступность действий.</t>
  </si>
  <si>
    <t xml:space="preserve">Application QA / Q-GM-007.</t>
  </si>
  <si>
    <t xml:space="preserve">Реестр правил!B392:AH392</t>
  </si>
  <si>
    <t xml:space="preserve">806827dd50915beeda4dcec0908fe7eb9b874d6025d589a3caa4f70cc52d0852</t>
  </si>
  <si>
    <t xml:space="preserve">SRCMAP-151</t>
  </si>
  <si>
    <t xml:space="preserve">AQA-034</t>
  </si>
  <si>
    <t xml:space="preserve">Как должны работать «Отпустить», «Добавить НПС» и «Убить», и что сохраняется после сцены?</t>
  </si>
  <si>
    <t xml:space="preserve">«Отпустить»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</si>
  <si>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
[v1.3] «Добавить НПС», «Отпустить» и завершение сцены никогда не сохраняют экземпляр как многоразовый шаблон. Труп CustomMonster не содержит предметов.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</si>
  <si>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Application QA / Q-GM-014.
Прямое уточнение пользователя 2026-07-28 — шаблоны врагов v1.3
Предразработочный QA и прямые ответы пользователя 2026-07-29</t>
  </si>
  <si>
    <t xml:space="preserve">Реестр правил!B397:AH397</t>
  </si>
  <si>
    <t xml:space="preserve">e06283212c09b49e52d1df15d0297eb48b0c25b96badf4f875f4a8db0f15d513</t>
  </si>
  <si>
    <t xml:space="preserve">SRCMAP-152</t>
  </si>
  <si>
    <t xml:space="preserve">AQ2-006</t>
  </si>
  <si>
    <t xml:space="preserve">Всегда ли игровые часы автоматически идут вне боя или мастер может запускать и останавливать их; какое состояние восстанавливается после боя, паузы и ручной промотки?</t>
  </si>
  <si>
    <t xml:space="preserve">Application QA — раунд 2 / Уточнения к полученным ответам.</t>
  </si>
  <si>
    <t xml:space="preserve">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t>
  </si>
  <si>
    <t xml:space="preserve">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t>
  </si>
  <si>
    <t xml:space="preserve">Бой временно замораживает автоматическое продвижение и запоминает прежний режим; после боя часы продолжаются только если до боя были running.</t>
  </si>
  <si>
    <t xml:space="preserve">Application QA — раунд 2 / Q-GM-026.</t>
  </si>
  <si>
    <t xml:space="preserve">Реестр правил!B412:AH412</t>
  </si>
  <si>
    <t xml:space="preserve">5c757385e72fce6dd76b82ced591bf733b876ef6cabe2c70ec6c413180e65063</t>
  </si>
  <si>
    <t xml:space="preserve">SRCMAP-153</t>
  </si>
  <si>
    <t xml:space="preserve">AQ2-007</t>
  </si>
  <si>
    <t xml:space="preserve">Может ли мастер отклонить смерть, возникшую при промотке, и откатывается ли уже обработанное время при закрытии окна или остановке промотки?</t>
  </si>
  <si>
    <t xml:space="preserve">На метке смерти сначала исполняются урон, тяжёлое ранение и окончательная смерть по общим правилам, затем промотка останавливается.
Диалог является подтверждением ознакомления, а не правом отменить смерть.
Мастер может разрешить доступную реакцию или воскрешение, продолжить промотку либо закончить её на текущей временной метке.
Уже прошедшее время и исполненные события не откатываются; закрытие окна оставляет промотку остановленной.</t>
  </si>
  <si>
    <t xml:space="preserve">На метке смерти сначала исполняются урон, тяжёлое ранение и окончательная смерть по общим правилам, затем промотка останавливается. Диалог является подтверждением ознакомления, а не правом отменить смерть. Мастер может разрешить доступную реакцию или воскрешение, продолжить промотку либо закончить её на текущей временной метке. Уже прошедшее время и исполненные события не откатываются; закрытие окна оставляет промотку остановленной.</t>
  </si>
  <si>
    <t xml:space="preserve">Application QA — раунд 2 / Q-GM-027.</t>
  </si>
  <si>
    <t xml:space="preserve">Реестр правил!B413:AH413</t>
  </si>
  <si>
    <t xml:space="preserve">350c1b22fbaacb96332302891ddd3bad83f114ae3562d950ef27db13682ef209</t>
  </si>
  <si>
    <t xml:space="preserve">SRCMAP-154</t>
  </si>
  <si>
    <t xml:space="preserve">AQ2-009</t>
  </si>
  <si>
    <t xml:space="preserve">Поддерживает ли первая версия универсальный редактор произвольных механических эффектов или только предопределённые мастерские операции?</t>
  </si>
  <si>
    <t xml:space="preserve">Универсального редактора произвольной механики нет.
Свободная запись всегда остаётся сюжетной.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
Остальные механические исключения требуют отдельного версионированного правила кампании.</t>
  </si>
  <si>
    <t xml:space="preserve">Универсального редактора произвольной механики нет. Свободная запись всегда остаётся сюжетной.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 Остальные механические исключения требуют отдельного версионированного правила кампании.</t>
  </si>
  <si>
    <t xml:space="preserve">Мастер использует только структурированные операции Q-GM-006: HP, ОЭ, расходники, формализованное состояние и модификатор характеристики.
Остальные механические исключения требуют отдельного версионированного правила кампании.</t>
  </si>
  <si>
    <t xml:space="preserve">Application QA — раунд 2 / Q-GM-029.</t>
  </si>
  <si>
    <t xml:space="preserve">Реестр правил!B415:AH415</t>
  </si>
  <si>
    <t xml:space="preserve">3e343e8d06844a2e666e4e59c9c534e46b3b0e1e2f5a42203b04ceb69ef68f27</t>
  </si>
  <si>
    <t xml:space="preserve">SRCMAP-155</t>
  </si>
  <si>
    <t xml:space="preserve">AQ2-020</t>
  </si>
  <si>
    <t xml:space="preserve">Какие активные эффекты, подготовленные состояния, созданные объекты, симбиотическая анатомия и предметы сохраняются после удаления симбионта-источника?</t>
  </si>
  <si>
    <t xml:space="preserve">Application QA — раунд 2 / Операции мастера с симбионтами.</t>
  </si>
  <si>
    <t xml:space="preserve">Сначала применяются специальные правила способности.
По умолчанию пассивы, поддерживаемые режимы, управление телом, сенсорные связи и эффекты «пока источник активен» прекращаются немедленно; незавершённая способность отменяется без возврата затрат.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
Самостоятельные физические объекты — готовая паутина, мины и аналоги — сохраняются.
Выбранный яд, выпущенные когти, взведённые клинки, накопленный заряд, природное оружие, броня и крылья, зависящие от присутствия симбионта, исчезают или становятся недоступны.
Обычный инвентарь не меняется.</t>
  </si>
  <si>
    <t xml:space="preserve">Сначала применяются специальные правила способности. По умолчанию пассивы, поддерживаемые режимы, управление телом, сенсорные связи и эффекты «пока источник активен» прекращаются немедленно; незавершённая способность отменяется без возврата затрат.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 Самостоятельные физические объекты — готовая паутина, мины и аналоги — сохраняются. Выбранный яд, выпущенные когти, взведённые клинки, накопленный заряд, природное оружие, броня и крылья, зависящие от присутствия симбионта, исчезают или становятся недоступны. Обычный инвентарь не меняется.</t>
  </si>
  <si>
    <t xml:space="preserve">Application QA — раунд 2 / Q-GM-SYM-008.</t>
  </si>
  <si>
    <t xml:space="preserve">Реестр правил!B426:AH426</t>
  </si>
  <si>
    <t xml:space="preserve">7cc6eaebcf2c7db9dd16a51d887e8fec123369080769e97c7949ee1de31c2beb</t>
  </si>
  <si>
    <t xml:space="preserve">SRCMAP-156</t>
  </si>
  <si>
    <t xml:space="preserve">AQ2-022</t>
  </si>
  <si>
    <t xml:space="preserve">Что именно означает правило «при удалении Трогра изменений в характеристиках носителя не происходит» для характеристик, maxHP, поглощённых и подавленных симбионтов?</t>
  </si>
  <si>
    <t xml:space="preserve">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
Бонус 20L к maxHP, броня, способности, пределы и остальные активные пассивы Трогра прекращаются; currentHP ограничивается новым максимумом.
Навык от «Мой дубина — твой башка!» сохраняется.
Поглощённые Учитель и Дельфин не восстанавливаются.
Советник и Пингвин перестают быть подавленными; минимум подавленного Советника больше не действует, хотя снимковый вклад сохраняет фактическое I на момент удаления.</t>
  </si>
  <si>
    <t xml:space="preserve">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 Бонус 20L к maxHP, броня, способности, пределы и остальные активные пассивы Трогра прекращаются; currentHP ограничивается новым максимумом. Навык от «Мой дубина — твой башка!» сохраняется. Поглощённые Учитель и Дельфин не восстанавливаются. Советник и Пингвин перестают быть подавленными; минимум подавленного Советника больше не действует, хотя снимковый вклад сохраняет фактическое I на момент удаления.</t>
  </si>
  <si>
    <t xml:space="preserve">Application QA — раунд 2 / Q-GM-SYM-010.</t>
  </si>
  <si>
    <t xml:space="preserve">Реестр правил!B428:AH428</t>
  </si>
  <si>
    <t xml:space="preserve">d377f093d2c872c1169b1da371894d1e594068f17121c10367393d3e5eaa7672</t>
  </si>
  <si>
    <t xml:space="preserve">SRCMAP-157</t>
  </si>
  <si>
    <t xml:space="preserve">AQ2-023</t>
  </si>
  <si>
    <t xml:space="preserve">Как создаётся и удаляется Советник при мастерской операции, особенно если он сразу подавлен Трогром или в момент удаления управляет телом?</t>
  </si>
  <si>
    <t xml:space="preserve">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Новый Советник получает новые броски и новую карточку.</t>
  </si>
  <si>
    <t xml:space="preserve">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Новый Советник получает новые броски и новую карточку.</t>
  </si>
  <si>
    <t xml:space="preserve">Application QA — раунд 2 / Q-GM-SYM-011.</t>
  </si>
  <si>
    <t xml:space="preserve">Реестр правил!B429:AH429</t>
  </si>
  <si>
    <t xml:space="preserve">5e34b887a4fbb4cf6e88c7a8a2d9e05a519aaec02fa730af18353ee3c10294bd</t>
  </si>
  <si>
    <t xml:space="preserve">SRCMAP-158</t>
  </si>
  <si>
    <t xml:space="preserve">AQ2-024</t>
  </si>
  <si>
    <t xml:space="preserve">Как операция обрабатывает Хранителя и Крысу, когда они находятся снаружи тела, ожидают выхода, захватывают тело, перерождаются или управляют связанными сущностями?</t>
  </si>
  <si>
    <t xml:space="preserve">Добавленный Хранитель начинает сохранять личность текущего носителя после фиксации.
Его удаление из живого тела уничтожает Хранителя без выхода и без смерти носителя; «Резервная копия» не срабатывает.
Операция блокируется, если Хранитель уже вышел, ожидает выхода, захватывает тело или перезаписывает личность.
Удаление крысы, находящейся вне тела, невозможно (операция заблокирована) до возвращения крысы в носителя.</t>
  </si>
  <si>
    <t xml:space="preserve">Добавленный Хранитель начинает сохранять личность текущего носителя после фиксации. Его удаление из живого тела уничтожает Хранителя без выхода и без смерти носителя; «Резервная копия» не срабатывает. Операция блокируется, если Хранитель уже вышел, ожидает выхода, захватывает тело или перезаписывает личность. Удаление крысы, находящейся вне тела, невозможно (операция заблокирована) до возвращения крысы в носителя.</t>
  </si>
  <si>
    <t xml:space="preserve">Application QA — раунд 2 / Q-GM-SYM-012.</t>
  </si>
  <si>
    <t xml:space="preserve">Реестр правил!B430:AH430</t>
  </si>
  <si>
    <t xml:space="preserve">bcebd6ae48d7aefd8c3fbec320f473723be7b16d39ddebee2369a2399de4ba2c</t>
  </si>
  <si>
    <t xml:space="preserve">SRCMAP-159</t>
  </si>
  <si>
    <t xml:space="preserve">AQ2-029</t>
  </si>
  <si>
    <t xml:space="preserve">Складываются ли отрезки сна до и после дежурства и что происходит на точной границе четырёх часов?</t>
  </si>
  <si>
    <t xml:space="preserve">Application QA — раунд 2 / Длительный отдых и график дозоров.</t>
  </si>
  <si>
    <t xml:space="preserve">Для каждого персонажа ведётся отдельный непрерывный интервал сна.
Начало его смены немедленно обнуляет незавершённый прогресс; интервалы до и после дозора складываются.
После окончания смены новый интервал начинается с нуля.
При завершении групповой операции незаконченный прогресс удаляется.</t>
  </si>
  <si>
    <t xml:space="preserve">Для каждого персонажа ведётся отдельный непрерывный интервал сна. Начало его смены немедленно обнуляет незавершённый прогресс; интервалы до и после дозора складываются. После окончания смены новый интервал начинается с нуля. При завершении групповой операции незаконченный прогресс удаляется.</t>
  </si>
  <si>
    <t xml:space="preserve">Application QA — раунд 2 / Q-REST-004.</t>
  </si>
  <si>
    <t xml:space="preserve">Реестр правил!B435:AH435</t>
  </si>
  <si>
    <t xml:space="preserve">a9300fb3635f48554b738dec5a239a2f7c6033177e048b086718410ca6b5483a</t>
  </si>
  <si>
    <t xml:space="preserve">SRCMAP-160</t>
  </si>
  <si>
    <t xml:space="preserve">AQ2-030</t>
  </si>
  <si>
    <t xml:space="preserve">Какие события прерывают сон, когда именно бой разрывает отдых и можно ли продолжить прежний график после боя?</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</si>
  <si>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</si>
  <si>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t>
  </si>
  <si>
    <t xml:space="preserve">Application QA — раунд 2 / Q-REST-005.</t>
  </si>
  <si>
    <t xml:space="preserve">Реестр правил!B436:AH436</t>
  </si>
  <si>
    <t xml:space="preserve">21d6c697a5bd101d557236ae8dab555e6d5fa820479db031a49e4945c7316298</t>
  </si>
  <si>
    <t xml:space="preserve">SRCMAP-161</t>
  </si>
  <si>
    <t xml:space="preserve">AQ2-031</t>
  </si>
  <si>
    <t xml:space="preserve">Когда применяются последствия полноценного отдыха, как они соотносятся с 24-часовым лимитом и в каком порядке включаются симбионты, восстанавливаются HP/ОЭ и срабатывают особые эффекты?</t>
  </si>
  <si>
    <t xml:space="preserve">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</si>
  <si>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</si>
  <si>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Частные исключения, включая ОЭ 0 у выращенных «Попутчиками», сильнее общего порядка.</t>
  </si>
  <si>
    <t xml:space="preserve">Application QA — раунд 2 / Q-REST-006.</t>
  </si>
  <si>
    <t xml:space="preserve">Реестр правил!B437:AH437</t>
  </si>
  <si>
    <t xml:space="preserve">a81a8c237877cac53acea073df94b50fed19d8af40610e1b3cf2e6737ed08ef7</t>
  </si>
  <si>
    <t xml:space="preserve">SRCMAP-162</t>
  </si>
  <si>
    <t xml:space="preserve">AQ2-032</t>
  </si>
  <si>
    <t xml:space="preserve">Кому, когда и в каком объёме мастер может выдать последствия длительного отдыха без четырёх часов непрерывного сна, и обходится ли 24-часовой лимит?</t>
  </si>
  <si>
    <t xml:space="preserve">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</si>
  <si>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</si>
  <si>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Оно не проматывает время и отменяет только требование четырёх часов; остальные предусловия специальных правил сохраняются.</t>
  </si>
  <si>
    <t xml:space="preserve">Application QA — раунд 2 / Q-REST-007.</t>
  </si>
  <si>
    <t xml:space="preserve">Реестр правил!B438:AH438</t>
  </si>
  <si>
    <t xml:space="preserve">7e50ff5559d2234af5df8e863ba01ae77274190481dd72bcd9cd51eed8af22ec</t>
  </si>
  <si>
    <t xml:space="preserve">SRCMAP-163</t>
  </si>
  <si>
    <t xml:space="preserve">AQ3-003</t>
  </si>
  <si>
    <t xml:space="preserve">Что именно означает формулировка «отрезки сна до и после дозора складываются»: обнуляется только текущий отрезок или весь накопленный прогресс, является ли плановый дозор исключением из требования непрерывности и что происходит на точной границе четырёх часов?</t>
  </si>
  <si>
    <t xml:space="preserve">Application QA — раунд 3 / Длительный отдых и дозоры.</t>
  </si>
  <si>
    <t xml:space="preserve">В пределах одной подтверждённой заявки отдыха для каждого персонажа хранятся accumulatedRestMinutes и текущий непрерывный отрезок сна.
Начало плановой смены дозора завершает текущий отрезок, но уже накопленные минуты не удаляет; во время смены новые минуты отдыха не начисляются.
После смены новый отрезок начинается с нуля и прибавляется к тому же накопленному итогу.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Пауза приложения и остановка виртуального времени прогресс не обнуляют.
При завершении групповой операции незавершённый накопленный прогресс удаляется.</t>
  </si>
  <si>
    <t xml:space="preserve">В пределах одной подтверждённой заявки отдыха для каждого персонажа хранятся accumulatedRestMinutes и текущий непрерывный отрезок сна. Начало плановой смены дозора завершает текущий отрезок, но уже накопленные минуты не удаляет; во время смены новые минуты отдыха не начисляются. После смены новый отрезок начинается с нуля и прибавляется к тому же накопленному итогу.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Пауза приложения и остановка виртуального времени прогресс не обнуляют. При завершении групповой операции незавершённый накопленный прогресс удаляется.</t>
  </si>
  <si>
    <t xml:space="preserve">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t>
  </si>
  <si>
    <t xml:space="preserve">Application QA — раунд 3 / Q-REST-009.</t>
  </si>
  <si>
    <t xml:space="preserve">Реестр правил!B442:AH442</t>
  </si>
  <si>
    <t xml:space="preserve">e19651e8c8d07e52a13b9b11d00712cc794e8b896908b799543814cf0e5d89e1</t>
  </si>
  <si>
    <t xml:space="preserve">SRCMAP-164</t>
  </si>
  <si>
    <t xml:space="preserve">CORE-002</t>
  </si>
  <si>
    <t xml:space="preserve">Усталость от последовательных ходов</t>
  </si>
  <si>
    <t xml:space="preserve">бой / выносливость.</t>
  </si>
  <si>
    <t xml:space="preserve">хранить consecutiveTurnCount, fatiguePenalty; серия не ниже 0.</t>
  </si>
  <si>
    <t xml:space="preserve">Нормативная база (действует во всей непротиворечащей части):
safeTurns=max(1, round_math(M/5)); первые safeTurns личных ходов не штрафуются; в начале следующего личного хода fatiguePenalty=1, затем увеличивается на 1 в каждом последующем личном ходу; combatActions=max(0, baseSeries+bonuses−fatiguePenalty).
Приоритетные авторские дельты (заменяют только прямо пересекающиеся ветви):
[Q-CORE-001] Это ошибка в правилах. В приложении будет допущение: мы в принципе никак не учитываем усталость, игнорируем формулу.</t>
  </si>
  <si>
    <t xml:space="preserve">сцена нападения не считается обычным ходом для усталости; область действия правила требует подтверждения Q-CORE-001.
Поздние дельты применяются по приоритету AQ3 &gt; AQ2 &gt; AQA/CQA &gt; базовая карточка; локальное исключение сильнее общего.</t>
  </si>
  <si>
    <t xml:space="preserve">§3.2.6.1, стр. 48; §5.1, стр. 85.</t>
  </si>
  <si>
    <t xml:space="preserve">Реестр правил!B443:AH443</t>
  </si>
  <si>
    <t xml:space="preserve">c4eb861aa6021149032e965e6dd388de89c22e3a8517b14137bee7c7eecb1921</t>
  </si>
  <si>
    <t xml:space="preserve">SRCMAP-165</t>
  </si>
  <si>
    <t xml:space="preserve">CORE-003</t>
  </si>
  <si>
    <t xml:space="preserve">Полный сброс усталости</t>
  </si>
  <si>
    <t xml:space="preserve">бой / действие.</t>
  </si>
  <si>
    <t xml:space="preserve">усталость полностью снята.</t>
  </si>
  <si>
    <t xml:space="preserve">Нормативная база (действует во всей непротиворечащей части):
завершить ход без действий и реакций; установить consecutiveTurnCount=0, fatiguePenalty=0; новый отсчёт начинается со следующего личного хода.
Приоритетные авторские дельты (заменяют только прямо пересекающиеся ветви):
[Q-CORE-001] Это ошибка в правилах. В приложении будет допущение: мы в принципе никак не учитываем усталость, игнорируем формулу.</t>
  </si>
  <si>
    <t xml:space="preserve">частичный пропуск или ход с любой защитой сброса не даёт; область субъектов должна совпадать с ответом по CORE-002.
Поздние дельты применяются по приоритету AQ3 &gt; AQ2 &gt; AQA/CQA &gt; базовая карточка; локальное исключение сильнее общего.</t>
  </si>
  <si>
    <t xml:space="preserve">Реестр правил!B444:AH444</t>
  </si>
  <si>
    <t xml:space="preserve">113b558dd71906b7e1b18a17a0575ddb815b34da9012ff7b6d077dc9e6967aa5</t>
  </si>
  <si>
    <t xml:space="preserve">SRCMAP-166</t>
  </si>
  <si>
    <t xml:space="preserve">Нэйт</t>
  </si>
  <si>
    <t xml:space="preserve">защитный костюм / герметичность.</t>
  </si>
  <si>
    <t xml:space="preserve">защита или потеря герметичности.</t>
  </si>
  <si>
    <t xml:space="preserve">Нормативная база (действует во всей непротиворечащей части):
пока герметичен: сопротивление 20 заражению, болезням, химическим воздействиям, ядовитым испарениям, электрическим и псионическим воздействиям; полностью блокирует вдыхание феромонов/заражённых испарений; ментальный урон уменьшается на 20 и к встречным псионическим проверкам +20. Если после воздействия носитель фактически потерял ≥1 HP либо костюм отдельно повреждён режущим, колющим, огненным или разъедающим воздействием, sealed=false, все свойства утрачены до ремонта. Физической бронёй не является.
Приоритетные авторские дельты (заменяют только прямо пересекающиеся ветви):
[Q-CORE-014] Пока Нэйт герметичен, он полностью блокирует вдыхаемые феромоны и заражённые испарения. К проверкам сопротивления заражению симбионтом, болезни, внешнему химическому воздействию и ядовитым испарениям добавляется +20. Каждая порция электрического, ментального, химического урона или урона от ядовитых испарений уменьшается на 20; к встречным проверкам против недамажащего электрического или псионического контроля также добавляется +20. Нэйт не защищает от уже проглоченного, введённого либо попавшего внутрь яда и не снимает ранее полученный эффект. Более конкретный иммунитет имеет приоритет.</t>
  </si>
  <si>
    <t xml:space="preserve">точная семантика сопротивления 20 для нементальных категорий не определена.
Поздние дельты применяются по приоритету AQ3 &gt; AQ2 &gt; AQA/CQA &gt; базовая карточка; локальное исключение сильнее общего.</t>
  </si>
  <si>
    <t xml:space="preserve">§4.5, таблица 4, стр. 82; §5.4.3.4, §5.4.3.6, стр. 96–98.</t>
  </si>
  <si>
    <t xml:space="preserve">Реестр правил!B471:AH471</t>
  </si>
  <si>
    <t xml:space="preserve">272610ae7dc77e549a99b8169742e6951e6be27e9b5d98532698f16ece95cc9b</t>
  </si>
  <si>
    <t xml:space="preserve">SRCMAP-167</t>
  </si>
  <si>
    <t xml:space="preserve">Общие правила фармацевтики</t>
  </si>
  <si>
    <t xml:space="preserve">предмет / препарат.</t>
  </si>
  <si>
    <t xml:space="preserve">списаны доза/действие; обновлён журнал доз и эффект.</t>
  </si>
  <si>
    <t xml:space="preserve">Нормативная база (действует во всей непротиворечащей части):
максимум один препарат за боевой ход; самому — 1 небоевое действие, передать/принудительно ввести другому — 1 боевое действие; лимит «в сутки» = скользящие 24 часа от первой дозы; превышение запрещено; мгновенное восстановление срабатывает от каждой допустимой дозы до максимума; одноимённые продолжающиеся эффекты не складываются, повтор обновляет срок и не усиливает число.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
[Q-CORE-060] Применение к себе либо введение соседней согласной или беспомощной цели требует 1 боевого действия и 1 дозы и автоматически успешно. Для дееспособного персонажа другого игрока согласие запрашивается до объявления и списания; отказ ничего не расходует. Согласие дееспособного NPC до списания подтверждает мастер. Передача соседней согласной цели требует 1 действия и перемещает дозу в её инвентарь без активации. Принудительное введение сопротивляющейся цели доступно только после захвата: при объявлении списываются 1 действие и доза, затем выполняется встречная проверка борьбы; при провале ресурсы не возвращаются.</t>
  </si>
  <si>
    <t xml:space="preserve">K одновременных доз и лимит одного препарата — Q-CORE-016; процедура передачи/принудительного введения — Q-CORE-060.
Поздние дельты применяются по приоритету AQ3 &gt; AQ2 &gt; AQA/CQA &gt; базовая карточка; локальное исключение сильнее общего.</t>
  </si>
  <si>
    <t xml:space="preserve">§4.6, стр. 83–84; §5.4.2.5, стр. 95.</t>
  </si>
  <si>
    <t xml:space="preserve">Реестр правил!B473:AH473</t>
  </si>
  <si>
    <t xml:space="preserve">fe3ea53a1c2c4b336d84efae4b64b0b52c801e8f98f7846dc7eeb756bbe9f716</t>
  </si>
  <si>
    <t xml:space="preserve">SRCMAP-168</t>
  </si>
  <si>
    <t xml:space="preserve">Антисептик</t>
  </si>
  <si>
    <t xml:space="preserve">фармацевтика / профилактика.</t>
  </si>
  <si>
    <t xml:space="preserve">модифицированная попытка заражения.</t>
  </si>
  <si>
    <t xml:space="preserve">Нормативная база (действует во всей непротиворечащей части):
diseaseRoll−=10.
Приоритетные авторские дельты (заменяют только прямо пересекающиеся ветви):
[Q-CORE-017] Одна обработка расходует одну дозу антисептика и применяется к одной выбранной ране. В бою обработка своей раны или раны соседней согласной цели требует одного боевого действия; принудительное применение разрешается по процедуре Q-CORE-060. Антисептик даёт −10 только к следующей попытке болезни проникнуть через эту рану и прекращает действовать сразу после этой попытки.</t>
  </si>
  <si>
    <t xml:space="preserve">расход действия вне боя/длительность обработки не заданы.
Поздние дельты применяются по приоритету AQ3 &gt; AQ2 &gt; AQA/CQA &gt; базовая карточка; локальное исключение сильнее общего.</t>
  </si>
  <si>
    <t xml:space="preserve">§4.6, таблица 5, стр. 83.</t>
  </si>
  <si>
    <t xml:space="preserve">Реестр правил!B474:AH474</t>
  </si>
  <si>
    <t xml:space="preserve">70fc2c4d1779fd22aea8e986d6bc7869f0fd09f330dbf8bbbea38a418bdf5b30</t>
  </si>
  <si>
    <t xml:space="preserve">SRCMAP-169</t>
  </si>
  <si>
    <t xml:space="preserve">CORE-061</t>
  </si>
  <si>
    <t xml:space="preserve">Снотворное</t>
  </si>
  <si>
    <t xml:space="preserve">фармацевтика / контроль.</t>
  </si>
  <si>
    <t xml:space="preserve">сон с таймером.</t>
  </si>
  <si>
    <t xml:space="preserve">Нормативная база (действует во всей непротиворечащей части):
вычислить sleepAttack=(R20+5)×K; если он строго превышает R20+Z+модификаторы цели, цель спит 1 час; получение любого урона немедленно будит; CORE-060 прекращает сон.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</si>
  <si>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K и бой — Q-CORE-016.
Поздние дельты применяются по приоритету AQ3 &gt; AQ2 &gt; AQA/CQA &gt; базовая карточка; локальное исключение сильнее общего.</t>
  </si>
  <si>
    <t xml:space="preserve">Реестр правил!B475:AH475</t>
  </si>
  <si>
    <t xml:space="preserve">f66242a222472660dca5bbbf3e128362822709e3f5cedb4417bd225cdfe1cf30</t>
  </si>
  <si>
    <t xml:space="preserve">SRCMAP-170</t>
  </si>
  <si>
    <t xml:space="preserve">CORE-062</t>
  </si>
  <si>
    <t xml:space="preserve">Отвар-паралитик</t>
  </si>
  <si>
    <t xml:space="preserve">состояние «парализован».</t>
  </si>
  <si>
    <t xml:space="preserve">Нормативная база (действует во всей непротиворечащей части):
paralysisAttack=(R20+5)×K; при строгом превышении проверки Z цель теряет чувствительность и способность двигаться на 1 час; жизненные процессы сохраняются; урон не снимает; CORE-060 снимает.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</si>
  <si>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K и бой — Q-CORE-016; ментальные действия CORE-103.
Поздние дельты применяются по приоритету AQ3 &gt; AQ2 &gt; AQA/CQA &gt; базовая карточка; локальное исключение сильнее общего.</t>
  </si>
  <si>
    <t xml:space="preserve">Реестр правил!B476:AH476</t>
  </si>
  <si>
    <t xml:space="preserve">f66828db2394c447bed325846ae8c13cb9150d3dcdbd37aa6c9e6a4b7d027db6</t>
  </si>
  <si>
    <t xml:space="preserve">SRCMAP-171</t>
  </si>
  <si>
    <t xml:space="preserve">Кровоостанавливающий отвар</t>
  </si>
  <si>
    <t xml:space="preserve">фармацевтика / состояние.</t>
  </si>
  <si>
    <t xml:space="preserve">эффект кровотечения прекращён.</t>
  </si>
  <si>
    <t xml:space="preserve">Нормативная база (действует во всей непротиворечащей части):
остановить кровотечение.
Приоритетные авторские дельты (заменяют только прямо пересекающиеся ветви):
[Q-CORE-018] Одна доза кровоостанавливающего отвара прекращает все имеющиеся у персонажа в данный момент кровотечения.</t>
  </si>
  <si>
    <t xml:space="preserve">множественные источники и охват одной дозы не указаны.
Поздние дельты применяются по приоритету AQ3 &gt; AQ2 &gt; AQA/CQA &gt; базовая карточка; локальное исключение сильнее общего.</t>
  </si>
  <si>
    <t xml:space="preserve">Реестр правил!B477:AH477</t>
  </si>
  <si>
    <t xml:space="preserve">bb0db2ef2ac543e0fe95f6b0790d39db977204ab6d8f22ccb66c6755dffa0daf</t>
  </si>
  <si>
    <t xml:space="preserve">SRCMAP-172</t>
  </si>
  <si>
    <t xml:space="preserve">CORE-065</t>
  </si>
  <si>
    <t xml:space="preserve">Симбиотический отвар</t>
  </si>
  <si>
    <t xml:space="preserve">фармацевтика / ОЭ.</t>
  </si>
  <si>
    <t xml:space="preserve">восстановление ОЭ.</t>
  </si>
  <si>
    <t xml:space="preserve">Нормативная база (действует во всей непротиворечащей части):
OE=min(maxOE,OE+50).
Приоритетные авторские дельты (заменяют только прямо пересекающиеся ветви):
[Q-CORE-019] При применении одной дозы игрок выбирает одного симбионта носителя; только его текущий запас ОЭ увеличивается на 50, но не выше его максимума. Делить восстановление между симбионтами или применять его ко всем нельзя.</t>
  </si>
  <si>
    <t xml:space="preserve">у нескольких симбионтов адресат восстановления не указан.
Поздние дельты применяются по приоритету AQ3 &gt; AQ2 &gt; AQA/CQA &gt; базовая карточка; локальное исключение сильнее общего.</t>
  </si>
  <si>
    <t xml:space="preserve">Реестр правил!B478:AH478</t>
  </si>
  <si>
    <t xml:space="preserve">2f170b4b6191e1e6139819b4b0d1e4995f8a7165c5febffa2d30d6f85e8a5399</t>
  </si>
  <si>
    <t xml:space="preserve">SRCMAP-173</t>
  </si>
  <si>
    <t xml:space="preserve">CORE-068</t>
  </si>
  <si>
    <t xml:space="preserve">Таблетка ледяного спокойствия</t>
  </si>
  <si>
    <t xml:space="preserve">фармацевтика / бой и состояние.</t>
  </si>
  <si>
    <t xml:space="preserve">временный бонус/флаг.</t>
  </si>
  <si>
    <t xml:space="preserve">Нормативная база (действует во всей непротиворечащей части):
на max(1,round_math(R20/3)) личных ходов +3 к проверкам точности и полная безэмоциональность; повтор обновляет.
Приоритетные авторские дельты (заменяют только прямо пересекающиеся ветви):
[Q-CORE-020] Безэмоциональность является только нарративным состоянием и сама по себе не даёт иммунитетов, автоматических успехов или штрафов. Механический эффект таблетки ограничивается указанным бонусом +3 к меткости.</t>
  </si>
  <si>
    <t xml:space="preserve">механические последствия «безэмоциональности» не определены.
Поздние дельты применяются по приоритету AQ3 &gt; AQ2 &gt; AQA/CQA &gt; базовая карточка; локальное исключение сильнее общего.</t>
  </si>
  <si>
    <t xml:space="preserve">Реестр правил!B479:AH479</t>
  </si>
  <si>
    <t xml:space="preserve">ac3e56ac76f4fe535ca2908fa27dee9b21fa17da2f00c71aacdcaad3d6540085</t>
  </si>
  <si>
    <t xml:space="preserve">SRCMAP-174</t>
  </si>
  <si>
    <t xml:space="preserve">CORE-069</t>
  </si>
  <si>
    <t xml:space="preserve">Таблетка взрывной мощи</t>
  </si>
  <si>
    <t xml:space="preserve">одноразовый бонус и временное исключение смерти.</t>
  </si>
  <si>
    <t xml:space="preserve">Нормативная база (действует во всей непротиворечащей части):
следующее действие получает +6 к ролу на S; до конца текущего боя персонаж сохраняет дееспособность при тяжёлом ранении.
Приоритетные авторские дельты (заменяют только прямо пересекающиеся ветви):
[Q-CORE-021] Бонус +6 применяется к первой следующей проверке, модификатором которой является S; действие без проверки S его не расходует. После одной такой проверки или при окончании боя неиспользованный бонус прекращается.</t>
  </si>
  <si>
    <t xml:space="preserve">потребление/срок «следующего действия» требует Q-CORE-021; новый урон всё равно добивает тяжело раненного по CORE-155.
Поздние дельты применяются по приоритету AQ3 &gt; AQ2 &gt; AQA/CQA &gt; базовая карточка; локальное исключение сильнее общего.</t>
  </si>
  <si>
    <t xml:space="preserve">Реестр правил!B480:AH480</t>
  </si>
  <si>
    <t xml:space="preserve">26313f325d0678156bcd82762707c5743b173da50c617ca6890823ba9058291d</t>
  </si>
  <si>
    <t xml:space="preserve">SRCMAP-175</t>
  </si>
  <si>
    <t xml:space="preserve">CORE-072</t>
  </si>
  <si>
    <t xml:space="preserve">Таблетка неудержимости</t>
  </si>
  <si>
    <t xml:space="preserve">фармацевтика / сопротивление контролю.</t>
  </si>
  <si>
    <t xml:space="preserve">временный бонус.</t>
  </si>
  <si>
    <t xml:space="preserve">Нормативная база (действует во всей непротиворечащей части):
до конца боя +5 ко всем проверкам сопротивления эффектам контроля; повтор не складывает.
Приоритетные авторские дельты (заменяют только прямо пересекающиеся ветви):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</si>
  <si>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перечень эффектов, считающихся «контролем», не закрыт.
Поздние дельты применяются по приоритету AQ3 &gt; AQ2 &gt; AQA/CQA &gt; базовая карточка; локальное исключение сильнее общего.</t>
  </si>
  <si>
    <t xml:space="preserve">Реестр правил!B481:AH481</t>
  </si>
  <si>
    <t xml:space="preserve">86fbfc8903518061bf840c2420da33320e973fc22d787763b932ec4d22a142a3</t>
  </si>
  <si>
    <t xml:space="preserve">SRCMAP-176</t>
  </si>
  <si>
    <t xml:space="preserve">CORE-080</t>
  </si>
  <si>
    <t xml:space="preserve">Сложение эффектов</t>
  </si>
  <si>
    <t xml:space="preserve">эффект / стек.</t>
  </si>
  <si>
    <t xml:space="preserve">нормализованный список эффектов.</t>
  </si>
  <si>
    <t xml:space="preserve">Нормативная база (действует во всей непротиворечащей части):
одноимённые эффекты одного источника не складываются: оставить наиболее сильное значение, повтором обновить длительность; разноимённые эффекты разных источников складываются.
Приоритетные авторские дельты (заменяют только прямо пересекающиеся ветви):
[Q-CORE-023] Одноимённые эффекты не суммируются независимо от источника: действует наибольшее числовое значение, а сроки каждого источника отсчитываются отдельно. После окончания сильнейшего начинает действовать следующий ещё не истёкший эффект; специальное правило фармацевтики об обновлении срока имеет приоритет.</t>
  </si>
  <si>
    <t xml:space="preserve">фармацевтика запрещает сложение одноимённых эффектов в целом; конкретное правило сильнее.
Поздние дельты применяются по приоритету AQ3 &gt; AQ2 &gt; AQA/CQA &gt; базовая карточка; локальное исключение сильнее общего.</t>
  </si>
  <si>
    <t xml:space="preserve">Реестр правил!B482:AH482</t>
  </si>
  <si>
    <t xml:space="preserve">9129de7f843e86fe585c80b8c1e0553b7525045b21d864c7b620cc672d9b5e8f</t>
  </si>
  <si>
    <t xml:space="preserve">SRCMAP-177</t>
  </si>
  <si>
    <t xml:space="preserve">CORE-101</t>
  </si>
  <si>
    <t xml:space="preserve">Общие длительности и периодика</t>
  </si>
  <si>
    <t xml:space="preserve">бой / эффект.</t>
  </si>
  <si>
    <t xml:space="preserve">таймер/тики.</t>
  </si>
  <si>
    <t xml:space="preserve">Нормативная база (действует во всей непротиворечащей части):
N ходов начинается сразу и заканчивается в конце N-го последующего хода источника; без источника — тик в конце каждого круга; «раз в ход» — конец хода поражённого; «минут/боевых ходов» использует соответствующую среду без пересчёта задним числом; при формуле длительности ≤0 эффект не возникает; «до конца боя» нельзя активировать без угрозы и заканчивается с боем.
Приоритетные авторские дельты (заменяют только прямо пересекающиеся ветви):
[Q-CORE-062] В один момент сначала одновременно разрешаются все порции урона и потери ресурсов, затем один раз проверяются тяжёлое ранение, окончательная смерть и остальные последствия; после этого применяются лечение и восстановление, а последними уменьшаются ранее действовавшие таймеры и истекают эффекты. Таймер или периодический эффект, созданный в текущем разрешении, в этот же момент не уменьшается и впервые срабатывает в следующий предусмотренный правилами момент. Порции урона остаются отдельными для сопротивлений и триггеров, но изменение HP применяется до единой проверки состояния.
[Q-CORE-063] При смене режима конвертируется только остаток, уже истёкшее время не пересчитывается.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 Обратный переход рассчитывается из сохранённого точного остатка, поэтому повторные вход и выход из боя не увеличивают длительность.</t>
  </si>
  <si>
    <t xml:space="preserve">конкретно указанный момент сильнее; порядок нескольких эффектов одного момента — Q-CORE-062; переход между боевым/мирным режимом — Q-CORE-063.
Поздние дельты применяются по приоритету AQ3 &gt; AQ2 &gt; AQA/CQA &gt; базовая карточка; локальное исключение сильнее общего.</t>
  </si>
  <si>
    <t xml:space="preserve">§5.4.2.5, стр. 95.</t>
  </si>
  <si>
    <t xml:space="preserve">Реестр правил!B489:AH489</t>
  </si>
  <si>
    <t xml:space="preserve">c177a9fae01de515444c1ae1f20894e4d7e315eda4ab9b064cc147416f719488</t>
  </si>
  <si>
    <t xml:space="preserve">SRCMAP-178</t>
  </si>
  <si>
    <t xml:space="preserve">CORE-106</t>
  </si>
  <si>
    <t xml:space="preserve">Шрам от ударного урона</t>
  </si>
  <si>
    <t xml:space="preserve">урон / долгосрочное последствие.</t>
  </si>
  <si>
    <t xml:space="preserve">запись шрама, зона, видимость, charismaDelta.</t>
  </si>
  <si>
    <t xml:space="preserve">Нормативная база (действует во всей непротиворечащей части):
если первый R20&lt;2, создать шрам на атакованной части; второй R20: чем ниже, тем виднее; при втором 19–20 игрок сам выбирает локализацию и шрам даёт контекстное C+1; иначе видимый шрам даёт контекстное C−2 при общении с НПС.
Приоритетные авторские дельты (заменяют только прямо пересекающиеся ветви):
[Q-CORE-028] В windows приложении мы не учитываем шрамы, ожоги и их видимость</t>
  </si>
  <si>
    <t xml:space="preserve">точная карта локализации не задана; социальное применение вне охвата.
Поздние дельты применяются по приоритету AQ3 &gt; AQ2 &gt; AQA/CQA &gt; базовая карточка; локальное исключение сильнее общего.</t>
  </si>
  <si>
    <t xml:space="preserve">§5.4.3.1, стр. 96.</t>
  </si>
  <si>
    <t xml:space="preserve">Реестр правил!B490:AH490</t>
  </si>
  <si>
    <t xml:space="preserve">6443930a80b68ee3f660fad3dddd24e5884b32b636396a7070b2ee85e4191f0a</t>
  </si>
  <si>
    <t xml:space="preserve">SRCMAP-179</t>
  </si>
  <si>
    <t xml:space="preserve">Пищевое и алкогольное отравление</t>
  </si>
  <si>
    <t xml:space="preserve">расписание тиков.</t>
  </si>
  <si>
    <t xml:space="preserve">Нормативная база (действует во всей непротиворечащей части):
пища: порция R4, частота R12 раз в сутки, срок R20×2−Z часов; если срок ≤0, эффект не возникает. Алкоголь/некачественный алкоголь: 5 HP в час, срок 30−Z часов, при ≤0 не возникает.
Приоритетные авторские дельты (заменяют только прямо пересекающиеся ветви):
[Q-CORE-029] В windows приложении мы не учитываем пищевое отравление</t>
  </si>
  <si>
    <t xml:space="preserve">распределение R12 тиков внутри суток не задано.
Поздние дельты применяются по приоритету AQ3 &gt; AQ2 &gt; AQA/CQA &gt; базовая карточка; локальное исключение сильнее общего.</t>
  </si>
  <si>
    <t xml:space="preserve">Реестр правил!B491:AH491</t>
  </si>
  <si>
    <t xml:space="preserve">184c69b2fee7d982a85ec78de4ba598fd9d337aedba4a21751287adf8adb1c5a</t>
  </si>
  <si>
    <t xml:space="preserve">SRCMAP-180</t>
  </si>
  <si>
    <t xml:space="preserve">CORE-111</t>
  </si>
  <si>
    <t xml:space="preserve">Урон электричеством и ожог</t>
  </si>
  <si>
    <t xml:space="preserve">урон / электричество.</t>
  </si>
  <si>
    <t xml:space="preserve">HP и, возможно, ожог.</t>
  </si>
  <si>
    <t xml:space="preserve">Нормативная база (действует во всей непротиворечащей части):
игнорировать всю броню кроме кольчуги и Нэйта; применить их снижение; травму не проверять. Если фактически полученная порция &gt;30, чистый R20: при &lt;4 создать ожог в зоне; второй R20 определяет видимость качественно; видимый ожог имеет C−5 при общении с НПС.
Приоритетные авторские дельты (заменяют только прямо пересекающиеся ветви):
[Q-CORE-014] Пока Нэйт герметичен, он полностью блокирует вдыхаемые феромоны и заражённые испарения. К проверкам сопротивления заражению симбионтом, болезни, внешнему химическому воздействию и ядовитым испарениям добавляется +20. Каждая порция электрического, ментального, химического урона или урона от ядовитых испарений уменьшается на 20; к встречным проверкам против недамажащего электрического или псионического контроля также добавляется +20. Нэйт не защищает от уже проглоченного, введённого либо попавшего внутрь яда и не снимает ранее полученный эффект. Более конкретный иммунитет имеет приоритет.
[Q-CORE-028] В windows приложении мы не учитываем шрамы, ожоги и их видимость</t>
  </si>
  <si>
    <t xml:space="preserve">точная защита Нэйта Q-CORE-014; локализация Q-CORE-028.
Поздние дельты применяются по приоритету AQ3 &gt; AQ2 &gt; AQA/CQA &gt; базовая карточка; локальное исключение сильнее общего.</t>
  </si>
  <si>
    <t xml:space="preserve">§5.4.3.4, стр. 96–97.</t>
  </si>
  <si>
    <t xml:space="preserve">Реестр правил!B492:AH492</t>
  </si>
  <si>
    <t xml:space="preserve">e2eb4847cd95c2b58485374b01e46986de918bb30fba714be58d8c96c3aeba45</t>
  </si>
  <si>
    <t xml:space="preserve">SRCMAP-181</t>
  </si>
  <si>
    <t xml:space="preserve">CORE-112</t>
  </si>
  <si>
    <t xml:space="preserve">Базовое горение</t>
  </si>
  <si>
    <t xml:space="preserve">урон / огонь.</t>
  </si>
  <si>
    <t xml:space="preserve">горение, HP, уничтожение предметов.</t>
  </si>
  <si>
    <t xml:space="preserve">Нормативная база (действует во всей непротиворечащей части):
огонь игнорирует броню, не травмирует; наносит 10 урона раз в минуту/в конце каждого боевого хода цели; длительность увеличивается на 2 минуты/хода за каждую закрытую часть тела и ещё 2 за рюкзак; предмет, не потушенный 2 минуты/хода, негоден, включая содержимое рюкзака, кроме предметов без горючих элементов.
Приоритетные авторские дельты (заменяют только прямо пересекающиеся ветви):
[Q-CORE-030] Горение хранится как один двоичный статус персонажа без зон тела и предметов экипировки, с параметрами «оставшиеся ходы» и «урон за тик». Источник задаёт начальную длительность; если она не указана, применяется 2 хода. Стандартный урон равен 10 и игнорирует броню. Первое обслуживание статуса происходит в начале следующего личного хода цели: выполняется проверка самообладания по Q-CORE-031; в конце этого хода наносится один тик урона, после чего остаток уменьшается на 1. При нуле статус снимается. Повторное возгорание не создаёт второй статус и не наносит немедленный тик: остаток становится равным максимуму текущей и новой длительности. Досрочное тушение обычными действиями отдельно не рассчитывается: после его разрешения по сцене мастер снимает статус вручную. Прямо описанные эффекты тушения, включая Вонючее облако, изменяют статус автоматически. Горящий персонаж в начале каждого хода горения совершает проверку самообладания по описанным в рулбуке правилам. Если проверка провалена, персонаж бросает на серию действий и автоматически тратит эти действия на сокращение времени горения, игроку выводится баннер с пояснением происходящего, 1 потраченное действие = -1 ход горения, если оставшееся число ходов горения стало 0, а действия еще остались, персонаж может потратить их в стандартном режиме, эффект горения при этом снимается).</t>
  </si>
  <si>
    <t xml:space="preserve">базовая длительность, распространение и состав горящих предметов не заданы.
Поздние дельты применяются по приоритету AQ3 &gt; AQ2 &gt; AQA/CQA &gt; базовая карточка; локальное исключение сильнее общего.</t>
  </si>
  <si>
    <t xml:space="preserve">Реестр правил!B493:AH493</t>
  </si>
  <si>
    <t xml:space="preserve">705503ba57cfefdf37ea1aa0f59a89f158e3320638a555a438dfb186ce0ddb0b</t>
  </si>
  <si>
    <t xml:space="preserve">SRCMAP-182</t>
  </si>
  <si>
    <t xml:space="preserve">CORE-114</t>
  </si>
  <si>
    <t xml:space="preserve">Самообладание при полном возгорании</t>
  </si>
  <si>
    <t xml:space="preserve">огонь / контроль действий.</t>
  </si>
  <si>
    <t xml:space="preserve">свободный ход либо принудительный план действий.</t>
  </si>
  <si>
    <t xml:space="preserve">Нормативная база (действует во всей непротиворечащей части):
если персонаж строго превышает мастера — свобода действий; иначе все доступные действия тратятся на избавление от горящих частей/тушение при воде или горящей плоти; сложность отдельных действий назначает мастер.
Приоритетные авторские дельты (заменяют только прямо пересекающиеся ветви):
[Q-CORE-031] В начале каждого личного хода горящего персонажа выполняется проверка самообладания. При успехе действия используются обычно. При провале персонаж бросает обычную серию действий и автоматически тратит каждое полученное действие на уменьшение remainingTurns горения на 1. Если remainingTurns достигает нуля раньше исчерпания серии, горение снимается, а оставшиеся действия этого хода доступны обычно. Полный автоматический пропуск хода не применяется.</t>
  </si>
  <si>
    <t xml:space="preserve">точный момент повторения проверки не задан.
Поздние дельты применяются по приоритету AQ3 &gt; AQ2 &gt; AQA/CQA &gt; базовая карточка; локальное исключение сильнее общего.</t>
  </si>
  <si>
    <t xml:space="preserve">§5.4.3.5, стр. 97; §3.2.6.1.1, стр. 48.</t>
  </si>
  <si>
    <t xml:space="preserve">Реестр правил!B494:AH494</t>
  </si>
  <si>
    <t xml:space="preserve">c2a838bb8e6dc3097c35bf21cfb96dd2d664de1bd9a3b6a9ad4da2b5c2a848d8</t>
  </si>
  <si>
    <t xml:space="preserve">SRCMAP-183</t>
  </si>
  <si>
    <t xml:space="preserve">CORE-115</t>
  </si>
  <si>
    <t xml:space="preserve">Ожоги от огня</t>
  </si>
  <si>
    <t xml:space="preserve">огонь / долгосрочное последствие.</t>
  </si>
  <si>
    <t xml:space="preserve">счётчик урона возгорания, ожог.</t>
  </si>
  <si>
    <t xml:space="preserve">Нормативная база (действует во всей непротиворечащей части):
на каждом пороге 30 бросить R20; при &lt;5 создать ожог; при нескольких зонах случайно D6 выбрать одну; второй R20 задаёт качественную видимость; видимый ожог C−5 при общении с НПС.
Приоритетные авторские дельты (заменяют только прямо пересекающиеся ветви):
[Q-CORE-028] В windows приложении мы не учитываем шрамы, ожоги и их видимость
[Q-CORE-032] В windows приложении мы используем упрощенную модель горения: предметы экипировки не выбираются. Учитываем только факт возгорания персонажа при применении способности, длительность горения и периодический урон.</t>
  </si>
  <si>
    <t xml:space="preserve">D6-карта для произвольного множества/не-гуманоида и точная локализация не заданы.
Поздние дельты применяются по приоритету AQ3 &gt; AQ2 &gt; AQA/CQA &gt; базовая карточка; локальное исключение сильнее общего.</t>
  </si>
  <si>
    <t xml:space="preserve">Реестр правил!B495:AH495</t>
  </si>
  <si>
    <t xml:space="preserve">01ffa2329baeb0cac13582549fce3685eb5a139e50bfce71dc3556a676fb2d12</t>
  </si>
  <si>
    <t xml:space="preserve">SRCMAP-184</t>
  </si>
  <si>
    <t xml:space="preserve">CORE-119</t>
  </si>
  <si>
    <t xml:space="preserve">Травма ноги/руки</t>
  </si>
  <si>
    <t xml:space="preserve">травма / конечность.</t>
  </si>
  <si>
    <t xml:space="preserve">травма/недееспособность/штрафы.</t>
  </si>
  <si>
    <t xml:space="preserve">Нормативная база (действует во всей непротиворечащей части):
injury=max(0,round_math(R12−Z/3)); нога — штраф injury к перемещению/уклонению (штрафы двух ног суммируются); рука — штраф injury к атаке/защите при использовании этой руки. Если injury&gt;6: конечность не действует и общий −5 ко всем проверкам; такие общие штрафы нескольких тяжёлых конечностей суммируются. Отключение конечности симбионтом даёт аналогичный эффект.
Приоритетные авторские дельты (заменяют только прямо пересекающиеся ветви):
[Q-CORE-033] Значения повторных травм одной конечности складываются в её общий штраф. Если суммарная травма превышает 6, конечность становится недействующей; общий штраф −5 применяется один раз за каждую недействующую конечность.
[Авторское решение 2026-07-31] При одновременных травме и онемении одной конечности числовые штрафы не складываются: действует наиболее строгий; самостоятельные ограничения объединяются, снятие источников независимо.</t>
  </si>
  <si>
    <t xml:space="preserve">повторные травмы одной конечности не регламентированы.
Поздние дельты применяются по приоритету AQ3 &gt; AQ2 &gt; AQA/CQA &gt; базовая карточка; локальное исключение сильнее общего.</t>
  </si>
  <si>
    <t xml:space="preserve">§5.4.4.1.1, стр. 98; уточнение стр. 99.</t>
  </si>
  <si>
    <t xml:space="preserve">Реестр правил!B496:AH496</t>
  </si>
  <si>
    <t xml:space="preserve">40067df385b9b6de67b32e0ec4943caeb8071b657d733b9696946e899c59f363</t>
  </si>
  <si>
    <t xml:space="preserve">SRCMAP-185</t>
  </si>
  <si>
    <t xml:space="preserve">Травма головы гуманоида</t>
  </si>
  <si>
    <t xml:space="preserve">травма / голова.</t>
  </si>
  <si>
    <t xml:space="preserve">одноразовый штраф и, возможно, оглушение.</t>
  </si>
  <si>
    <t xml:space="preserve">Нормативная база (действует во всей непротиворечащей части):
наложить прямой −injury на следующее действие цели; если injury&gt;6 — оглушить: пропуск следующего хода в бою / отключение на 5 минут вне боя. Любая активная защита головы получает +5.
Приоритетные авторские дельты (заменяют только прямо пересекающиеся ветви):
[Q-CORE-034] Штраф травмы головы применяется к первой следующей проверке, которую выполняет пострадавший, включая активную защиту, реакцию или действие собственного хода, и после неё расходуется. Действие без проверочного броска штраф не расходует.</t>
  </si>
  <si>
    <t xml:space="preserve">что считается «следующим действием» при реакции до своего хода — Q-CORE-034.
Поздние дельты применяются по приоритету AQ3 &gt; AQ2 &gt; AQA/CQA &gt; базовая карточка; локальное исключение сильнее общего.</t>
  </si>
  <si>
    <t xml:space="preserve">§5.4.4.1.2, стр. 98–99.</t>
  </si>
  <si>
    <t xml:space="preserve">Реестр правил!B497:AH497</t>
  </si>
  <si>
    <t xml:space="preserve">980ada659b080c1ffb2bd8d7ac5546d76d1a10022188f777faeec9f110b702f0</t>
  </si>
  <si>
    <t xml:space="preserve">SRCMAP-186</t>
  </si>
  <si>
    <t xml:space="preserve">CORE-122</t>
  </si>
  <si>
    <t xml:space="preserve">Зоны многоконечного существа</t>
  </si>
  <si>
    <t xml:space="preserve">анатомия / зона.</t>
  </si>
  <si>
    <t xml:space="preserve">targetZone/limbId.</t>
  </si>
  <si>
    <t xml:space="preserve">Нормативная база (действует во всей непротиворечащей части):
1 голова/головогрудь; 2 корпус/грудь/брюшко; 3 случайная перемещающая конечность; 4 случайная атакующая конечность.
Приоритетные авторские дельты (заменяют только прямо пересекающиеся ветви):
[Q-CORE-035] В windows приложении мы используем только классическую анатомию</t>
  </si>
  <si>
    <t xml:space="preserve">если конечность относится к обеим группам или допустимых нет — не задано.
Поздние дельты применяются по приоритету AQ3 &gt; AQ2 &gt; AQA/CQA &gt; базовая карточка; локальное исключение сильнее общего.</t>
  </si>
  <si>
    <t xml:space="preserve">§5.4.4.2, стр. 98–99.</t>
  </si>
  <si>
    <t xml:space="preserve">Реестр правил!B498:AH498</t>
  </si>
  <si>
    <t xml:space="preserve">6d81b74d02e4c821f3f8483181e3dc657fac38dd237bb0b0501ccec23b0ce32e</t>
  </si>
  <si>
    <t xml:space="preserve">SRCMAP-187</t>
  </si>
  <si>
    <t xml:space="preserve">CORE-123</t>
  </si>
  <si>
    <t xml:space="preserve">Травма конечности многоконечного существа</t>
  </si>
  <si>
    <t xml:space="preserve">травма / многоконечное.</t>
  </si>
  <si>
    <t xml:space="preserve">штраф/невозможность.</t>
  </si>
  <si>
    <t xml:space="preserve">Нормативная база (действует во всей непротиворечащей части):
перемещающая конечность: штраф к перемещению round_math(Li/Ht); при Ht=0 движение этими конечностями невозможно и деления нет. Атакующая: штраф атак этой конечностью max(0,round_math(R12−Z/3)).
Приоритетные авторские дельты (заменяют только прямо пересекающиеся ветви):
[Q-CORE-036] Штраф к перемещению является одним динамическим значением Li/Ht и не суммируется отдельно за каждую травму. После изменения числа нетравмированных перемещающих конечностей Ht он пересчитывается; при Ht=0 такое перемещение невозможно.</t>
  </si>
  <si>
    <t xml:space="preserve">складывание штрафа за несколько травмированных перемещающих конечностей не определено.
Поздние дельты применяются по приоритету AQ3 &gt; AQ2 &gt; AQA/CQA &gt; базовая карточка; локальное исключение сильнее общего.</t>
  </si>
  <si>
    <t xml:space="preserve">§5.4.4.2.1, стр. 99.</t>
  </si>
  <si>
    <t xml:space="preserve">Реестр правил!B499:AH499</t>
  </si>
  <si>
    <t xml:space="preserve">7dd8e2e378ae5bf774be8e44a1ce39e3dd93bd0ec8e81afdfd9ec8b5bc14c01a</t>
  </si>
  <si>
    <t xml:space="preserve">SRCMAP-188</t>
  </si>
  <si>
    <t xml:space="preserve">CORE-124</t>
  </si>
  <si>
    <t xml:space="preserve">Травма корпуса/головы многоконечного</t>
  </si>
  <si>
    <t xml:space="preserve">HP/состояние бегства.</t>
  </si>
  <si>
    <t xml:space="preserve">Нормативная база (действует во всей непротиворечащей части):
корпус — добавить один раз max(0,round_math(R12−Z/3)) урона без рекурсии; голова — D12 1–11 добавить выпавшее к урону, D12=12 не добавляет это число, а запускает чистую проверку боевого духа R20: &lt;10 — существо обращается в бегство.
Приоритетные авторские дельты (заменяют только прямо пересекающиеся ветви):
[Q-CORE-037] Флаг «бегство» устанавливается добровольно в начале личного хода либо принудительно эффектом правила.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используется max(0, R20+D−En×10), а режим «бежать несмотря ни на что» не включается. Ближайший противник определяется заново перед каждым перемещением, равенство разрешается случайно. Атаки запрещены, доступные защитные реакции сохраняются. Когда после перемещения расстояние до ближайшего противника становится больше 150 метров, существо немедленно исключается из боя.</t>
  </si>
  <si>
    <t xml:space="preserve">автоматическое поведение «бегство» и его завершение не заданы.
Поздние дельты применяются по приоритету AQ3 &gt; AQ2 &gt; AQA/CQA &gt; базовая карточка; локальное исключение сильнее общего.</t>
  </si>
  <si>
    <t xml:space="preserve">§5.4.4.2.2–5.4.4.2.3, стр. 99.</t>
  </si>
  <si>
    <t xml:space="preserve">Реестр правил!B500:AH500</t>
  </si>
  <si>
    <t xml:space="preserve">7e6d2bfe23e0e1f9cd0c3a9b7363fc0054018edd54c311315bc3891d383261d1</t>
  </si>
  <si>
    <t xml:space="preserve">SRCMAP-189</t>
  </si>
  <si>
    <t xml:space="preserve">CORE-138</t>
  </si>
  <si>
    <t xml:space="preserve">Захват и освобождение</t>
  </si>
  <si>
    <t xml:space="preserve">связь grappler-target, сохранённый DC, штрафы.</t>
  </si>
  <si>
    <t xml:space="preserve">Нормативная база (действует во всей непротиворечащей части):
цель не может уклоняться; −5 ко всем её атакующим/защитным действиям кроме способностей симбионтов; борец получает −8 на противодействие всем, кроме захваченного. Освобождение =1 действие и встречная борьба против сохранённого результата захвата со всеми модификаторами; равенство сохраняет захват.
Приоритетные авторские дельты (заменяют только прямо пересекающиеся ветви):
[Q-CORE-042] Один захват занимает одну свободную хватательную конечность; добровольно отпустить цель можно бесплатно. Одновременно удерживать можно не больше целей, чем есть свободных хватательных конечностей, однако двигаться разрешено только с одной удерживаемой целью: перед перемещением остальные захваты нужно прекратить. Перемещение с одной целью стоит одно действие; согласная или беспомощная цель перемещается автоматически, сопротивляющаяся выполняет встречную проверку борьбы. При успехе оба перемещаются не более чем на половину обычной дистанции удерживающего, при провале позиции не меняются.</t>
  </si>
  <si>
    <t xml:space="preserve">движение пары и возможность нескольких захватов не заданы.
Поздние дельты применяются по приоритету AQ3 &gt; AQ2 &gt; AQA/CQA &gt; базовая карточка; локальное исключение сильнее общего.</t>
  </si>
  <si>
    <t xml:space="preserve">§5.4.5.5.3(1), стр. 101–102.</t>
  </si>
  <si>
    <t xml:space="preserve">Реестр правил!B506:AH506</t>
  </si>
  <si>
    <t xml:space="preserve">123e8d1e384f21e64c4c97918838c083862a2eeb584cba6cf4aa385da42ba425</t>
  </si>
  <si>
    <t xml:space="preserve">SRCMAP-190</t>
  </si>
  <si>
    <t xml:space="preserve">CORE-139</t>
  </si>
  <si>
    <t xml:space="preserve">Борцовский бросок</t>
  </si>
  <si>
    <t xml:space="preserve">борьба / приём.</t>
  </si>
  <si>
    <t xml:space="preserve">HP/сознание; обновить лимит.</t>
  </si>
  <si>
    <t xml:space="preserve">Нормативная база (действует во всей непротиворечащей части):
при успехе цель получает 10 урона борьбы; затем чистый D20, при &lt;3 без сознания на 5 минут/1 личный боевой ход.
Приоритетные авторские дельты (заменяют только прямо пересекающиеся ветви):
[Q-CORE-043] После успешного борцовского броска захват прекращается, цель оказывается лежащей в пределах дистанции рукопашной атаки от борца, а борец остаётся на месте. Чтобы встать, цели требуется обычное одно боевое действие.</t>
  </si>
  <si>
    <t xml:space="preserve">сохраняется ли захват/меняется позиция после броска — не задано.
Поздние дельты применяются по приоритету AQ3 &gt; AQ2 &gt; AQA/CQA &gt; базовая карточка; локальное исключение сильнее общего.</t>
  </si>
  <si>
    <t xml:space="preserve">§5.4.5.5.3(2), стр. 102.</t>
  </si>
  <si>
    <t xml:space="preserve">Реестр правил!B507:AH507</t>
  </si>
  <si>
    <t xml:space="preserve">e53cbe20e63fbf7af9e671c53046e36c0d89b161aaa82fc56b961636973ffa1b</t>
  </si>
  <si>
    <t xml:space="preserve">SRCMAP-191</t>
  </si>
  <si>
    <t xml:space="preserve">Болевой приём; выдавливание глаз не моделируется</t>
  </si>
  <si>
    <t xml:space="preserve">Частично активно</t>
  </si>
  <si>
    <t xml:space="preserve">Реализовать болевой приём; исключить ветвь слепоты</t>
  </si>
  <si>
    <t xml:space="preserve">борьба / контроль.</t>
  </si>
  <si>
    <t xml:space="preserve">EXPLICIT_WITH_EXCLUDED_BRANCH</t>
  </si>
  <si>
    <t xml:space="preserve">ограничение действий; состояние потери зрения не создаётся.</t>
  </si>
  <si>
    <t xml:space="preserve">Нормативная база (действует во всей непротиворечащей части):
нанести 10 урона борьбы; если Mcheck цели строго превышает результат приёма — свобода действий; иначе цель до снятия может делать только защитные действия борьбы для устранения источника боли. Одна попытка освобождения стоит 1 боевое действие и является встречной борьбой; равенство сохраняет приём. Выдавливание глаз требует, чтобы борьба атакующего превысила доступную защиту цели минимум на 15 и лицо не было закрыто прочной бронёй; при успехе цель теряет зрение.
Приоритетные авторские дельты (заменяют только прямо пересекающиеся ветви):
[Q-CORE-045] В windows приложении мы не реализуем механику выдавливания глаз.
[Авторское решение 2026-07-31] Слепота, выдавливание глаз и иная потеря зрения не моделируются приложением: EffectInstance не создаётся, зрительные проверки и зрительный контакт не изменяются.</t>
  </si>
  <si>
    <t xml:space="preserve">В приложении исполняется только болевой приём; ветвь потери зрения отсутствует. Поздние дельты применяются по приоритету AQ3 &gt; AQ2 &gt; AQA/CQA &gt; базовая карточка; локальное исключение сильнее общего.</t>
  </si>
  <si>
    <t xml:space="preserve">§5.4.5.5.3(6), стр. 102.</t>
  </si>
  <si>
    <t xml:space="preserve">Реестр правил!B509:AH509</t>
  </si>
  <si>
    <t xml:space="preserve">60c2aa1235b0897fbe50b4daa9220a14c1293dac79f8a0c1fcd2b17cb2b290f7</t>
  </si>
  <si>
    <t xml:space="preserve">SRCMAP-192</t>
  </si>
  <si>
    <t xml:space="preserve">борьба / контроль сознания.</t>
  </si>
  <si>
    <t xml:space="preserve">choking timer/бессознательность.</t>
  </si>
  <si>
    <t xml:space="preserve">Нормативная база (действует во всей непротиворечащей части):
required=max(1,round_math(M/5)); первый завершённый ход считать в конце хода наложения; при достижении required цель отключается до конца боя/на 5 минут; раз в свой ход цель может потратить действие на освобождение с штрафом −5×K, где K — уже завершённые ходы, минимум 1.
Приоритетные авторские дельты (заменяют только прямо пересекающиеся ветви):
[Q-CORE-046] Удушающий приём выполняется только по цепочке: действующий захват этой цели → успешное занятие выгодной позиции → отдельное действие удушения. Прекращение захвата на любом этапе отменяет выгодную позицию и удушение.</t>
  </si>
  <si>
    <t xml:space="preserve">требуется ли базовый захват помимо выгодной позиции — Q-CORE-046.
Поздние дельты применяются по приоритету AQ3 &gt; AQ2 &gt; AQA/CQA &gt; базовая карточка; локальное исключение сильнее общего.</t>
  </si>
  <si>
    <t xml:space="preserve">§5.4.5.5.3(7), стр. 102.</t>
  </si>
  <si>
    <t xml:space="preserve">Реестр правил!B510:AH510</t>
  </si>
  <si>
    <t xml:space="preserve">44c625b6d4f350d2073091f4b52ca30b4f7810c5f99027bdede1a42ad0af05f7</t>
  </si>
  <si>
    <t xml:space="preserve">SRCMAP-193</t>
  </si>
  <si>
    <t xml:space="preserve">CORE-152</t>
  </si>
  <si>
    <t xml:space="preserve">Базовый запас HP и вход в тяжёлое ранение</t>
  </si>
  <si>
    <t xml:space="preserve">смерть / состояние.</t>
  </si>
  <si>
    <t xml:space="preserve">severelyWounded=true, HP=0, organ damaged.</t>
  </si>
  <si>
    <t xml:space="preserve">Нормативная база (действует во всей непротиворечащей части):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Приоритетные авторские дельты (заменяют только прямо пересекающиеся ветви):
[Q-CORE-047] В текущей V7 при входе в тяжёлое ранение хранится абстрактное состояние «повреждён жизненно важный орган» без случайного organId. Эффекты Ткача и Химеры дублируют все жизненно важные органы, поэтому любой действующий функциональный дубль считается соответствующим повреждённому органу.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
[v1.3] База 100 не применяется к CustomMonster; его baseMaxHP задаёт мастер по CORE-202, а затем применяются симбиотические модификаторы.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</si>
  <si>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способ определения органа не задан; особая дееспособность CORE-154/таблетка CORE-069.
Поздние дельты применяются по приоритету AQ3 &gt; AQ2 &gt; AQA/CQA &gt; базовая карточка; локальное исключение сильнее общего.</t>
  </si>
  <si>
    <t xml:space="preserve">§5.5, стр. 104.
Прямое уточнение пользователя 2026-07-28 — шаблоны врагов v1.3
Предразработочный QA и прямые ответы пользователя 2026-07-29</t>
  </si>
  <si>
    <t xml:space="preserve">Реестр правил!B514:AH514</t>
  </si>
  <si>
    <t xml:space="preserve">580d93958ec34cd6f45fb61cfd53f2d555e2e4d96cdde22724b0c38caabd53e3</t>
  </si>
  <si>
    <t xml:space="preserve">SRCMAP-194</t>
  </si>
  <si>
    <t xml:space="preserve">смерть / таймер.</t>
  </si>
  <si>
    <t xml:space="preserve">таймер/окончательная смерть.</t>
  </si>
  <si>
    <t xml:space="preserve">Нормативная база (действует во всей непротиворечащей части):
в бою remainingTurns=D6, в конце каждого последующего собственного хода −1, при 0 смерть; вне боя отдельный D6×5 минут. При функциональном дубле на входе исходный таймер ×4 один раз.
Приоритетные авторские дельты (заменяют только прямо пересекающиеся ветви):
[Q-CORE-063] При смене режима конвертируется только остаток, уже истёкшее время не пересчитывается.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 Обратный переход рассчитывается из сохранённого точного остатка, поэтому повторные вход и выход из боя не увеличивают длительность.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</si>
  <si>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несколько дублей не перемножаются; прекращение временного дубля не пересчитывает таймер; смена режима боя Q-CORE-063.
Поздние дельты применяются по приоритету AQ3 &gt; AQ2 &gt; AQA/CQA &gt; базовая карточка; локальное исключение сильнее общего.</t>
  </si>
  <si>
    <t xml:space="preserve">§5.5, стр. 104.
Предразработочный QA и прямые ответы пользователя 2026-07-29</t>
  </si>
  <si>
    <t xml:space="preserve">Реестр правил!B515:AH515</t>
  </si>
  <si>
    <t xml:space="preserve">187d9e62af4980b1ac14478a9a5ed332a5e1166639f313f04e5c09f58ce125a8</t>
  </si>
  <si>
    <t xml:space="preserve">SRCMAP-195</t>
  </si>
  <si>
    <t xml:space="preserve">CORE-154</t>
  </si>
  <si>
    <t xml:space="preserve">Дубль жизненно важного органа</t>
  </si>
  <si>
    <t xml:space="preserve">смерть / исключение.</t>
  </si>
  <si>
    <t xml:space="preserve">conditional capable.</t>
  </si>
  <si>
    <t xml:space="preserve">Нормативная база (действует во всей непротиворечащей части):
разрешить действовать в тяжёлом ранении; таймер ×4; если временный дубль исчез — запретить действия, таймер оставить. Урон всё равно добивает.
Приоритетные авторские дельты (заменяют только прямо пересекающиеся ветви):
[Q-CORE-047] В текущей V7 при входе в тяжёлое ранение хранится абстрактное состояние «повреждён жизненно важный орган» без случайного organId. Эффекты Ткача и Химеры дублируют все жизненно важные органы, поэтому любой действующий функциональный дубль считается соответствующим повреждённому органу.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</si>
  <si>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несколько дублей не усиливают; Химера «вдвое дольше» в уточнении унифицирована как ×4.
Поздние дельты применяются по приоритету AQ3 &gt; AQ2 &gt; AQA/CQA &gt; базовая карточка; локальное исключение сильнее общего.</t>
  </si>
  <si>
    <t xml:space="preserve">Реестр правил!B516:AH516</t>
  </si>
  <si>
    <t xml:space="preserve">e66880b2ff6c62d8b601545db75320bf4fcbe6161cb8fd084fc6b99285e7eb0d</t>
  </si>
  <si>
    <t xml:space="preserve">SRCMAP-196</t>
  </si>
  <si>
    <t xml:space="preserve">CORE-177</t>
  </si>
  <si>
    <t xml:space="preserve">Известные ограничения занятости рук</t>
  </si>
  <si>
    <t xml:space="preserve">экипировка / руки.</t>
  </si>
  <si>
    <t xml:space="preserve">handSlots/activeGrip.</t>
  </si>
  <si>
    <t xml:space="preserve">Нормативная база (действует во всей непротиворечащей части):
Кенси — единственный арбалет, прямо разрешающий одновременное использование двух экземпляров, по одному в каждой руке; обычный щит прямо совместим с одноручным либо полуторным оружием (полуторный использует требования хвата одной рукой); Корнадора/Бларадэ экипируются как собственные пары. Прочая занятость рук выводится из названия только после ответа Q-CORE-058.
Приоритетные авторские дельты (заменяют только прямо пересекающиеся ветви):
[Q-CORE-058] Одну руку занимают Кенси, грубое и всё названное одноручным оружие, кинжал, мизерикордия, шпага, клевец, кастет и обычный щит; две руки — остальные арбалеты (кроме Кенси), все луки, копьё и всё названное двуручным оружие. Для полуторного меча при экипировке выбирается фиксированный хват на одну или две руки без последующей смены в приложении; Корнадора и Бларадэ как полный комплект занимают две руки. В Windows-приложении мы не рассматриваем вариант возникновения дополнительной хватательной конечности и считаем его невозможным</t>
  </si>
  <si>
    <t xml:space="preserve">анатомия с дополнительными руками и точные handCost не описаны.
Поздние дельты применяются по приоритету AQ3 &gt; AQ2 &gt; AQA/CQA &gt; базовая карточка; локальное исключение сильнее общего.</t>
  </si>
  <si>
    <t xml:space="preserve">§4.2 стр. 69; §4.4 стр. 73, 77–80.</t>
  </si>
  <si>
    <t xml:space="preserve">Реестр правил!B525:AH525</t>
  </si>
  <si>
    <t xml:space="preserve">3853e342b37435edc8a866cd1846dcb0feb5274b75fa3ba5334d13835b4d032b</t>
  </si>
  <si>
    <t xml:space="preserve">SRCMAP-197</t>
  </si>
  <si>
    <t xml:space="preserve">SYM-004</t>
  </si>
  <si>
    <t xml:space="preserve">Периодичность проверки естественного заражения</t>
  </si>
  <si>
    <t xml:space="preserve">заражение / игровое время.</t>
  </si>
  <si>
    <t xml:space="preserve">инициируется проверка заражения по таблице/механике, не приведённой в 7.1–7.5.20.</t>
  </si>
  <si>
    <t xml:space="preserve">Нормативная база (действует во всей непротиворечащей части):
разрешать не более одной проверки за каждый игровой час непрерывного контакта; отдельные касания внутри этого часа не создают дополнительные проверки.
Приоритетные авторские дельты (заменяют только прямо пересекающиеся ветви):
[Q-SYM-001] Приложение не определяет заражение и защищённость среды автоматически. Мастер вручную запускает и останавливает таймер непрерывного незащищённого контакта. 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</si>
  <si>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без свободного слота проверка не проводится.
Поздние дельты применяются по приоритету AQ3 &gt; AQ2 &gt; AQA/CQA &gt; базовая карточка; локальное исключение сильнее общего.</t>
  </si>
  <si>
    <t xml:space="preserve">Реестр правил!B526:AH526</t>
  </si>
  <si>
    <t xml:space="preserve">e3662ea63fb6367d043aa34c24f804153af1970affd72c5c729f49e832b58d5a</t>
  </si>
  <si>
    <t xml:space="preserve">SRCMAP-198</t>
  </si>
  <si>
    <t xml:space="preserve">SYM-005</t>
  </si>
  <si>
    <t xml:space="preserve">Переброс занятого вида при естественном заражении</t>
  </si>
  <si>
    <t xml:space="preserve">заражение / случайный выбор.</t>
  </si>
  <si>
    <t xml:space="preserve">добавляется доступный обычный симбионт.</t>
  </si>
  <si>
    <t xml:space="preserve">Нормативная база (действует во всей непротиворечащей части):
повторять случайный выбор только среди доступных обыкновенных симбионтов до получения незанятого вида.
Приоритетные авторские дельты (заменяют только прямо пересекающиеся ветви):
[Q-SYM-001] Приложение не определяет заражение и защищённость среды автоматически. Мастер вручную запускает и останавливает таймер непрерывного незащищённого контакта. 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</si>
  <si>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симбиотическое чудовище не возникает, кроме прямо заданного мастером сюжетного события.
Поздние дельты применяются по приоритету AQ3 &gt; AQ2 &gt; AQA/CQA &gt; базовая карточка; локальное исключение сильнее общего.</t>
  </si>
  <si>
    <t xml:space="preserve">Реестр правил!B527:AH527</t>
  </si>
  <si>
    <t xml:space="preserve">870296c90a590fab1db84ce7adef1e88a33ed87b2c8fcc3d7ba59496b941147d</t>
  </si>
  <si>
    <t xml:space="preserve">SRCMAP-199</t>
  </si>
  <si>
    <t xml:space="preserve">SYM-007</t>
  </si>
  <si>
    <t xml:space="preserve">Полноценный отдых и частота его пользы</t>
  </si>
  <si>
    <t xml:space="preserve">восстановление / игровое время.</t>
  </si>
  <si>
    <t xml:space="preserve">HP увеличен, ОЭ активных симбионтов полны.</t>
  </si>
  <si>
    <t xml:space="preserve">Нормативная база (действует во всей непротиворечащей части):
восстановить персонажу Z HP с применением общего предела HP; каждому активному симбионту установить currentOE=maxOE; зафиксировать использование восстановления.
Приоритетные авторские дельты (заменяют только прямо пересекающиеся ветви):
[Q-SYM-002]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У мастера должна быть возможность проматывать игровое время (пропускать выбранное количество часов)
[AQ3-003] В одной подтверждённой заявке отдыха полноценный отдых наступает при накоплении 240 минут. Только плановая смена дозора может разделять эти минуты без потери accumulatedRestMinutes; любое иное прерывание из AQ2-030 обнуляет текущий отрезок и накопленный итог. Пауза приложения и остановка виртуального времени ничего не начисляют и не обнуляют. Скользящий 24-часовой лимит пользы не меняется.</t>
  </si>
  <si>
    <t xml:space="preserve">повторный 4-часовой сон в те же 24 игровых часа не повторяет HP/ОЭ-восстановление, но может иметь сюжетный эффект.
Поздние дельты применяются по приоритету AQ3 &gt; AQ2 &gt; AQA/CQA &gt; базовая карточка; локальное исключение сильнее общего.</t>
  </si>
  <si>
    <t xml:space="preserve">Реестр правил!B528:AH528</t>
  </si>
  <si>
    <t xml:space="preserve">fc066148f7157540cd34b85a9532eceeb4caaa50e1b050f32b8ddd012fe613c4</t>
  </si>
  <si>
    <t xml:space="preserve">SRCMAP-200</t>
  </si>
  <si>
    <t xml:space="preserve">SYM-028</t>
  </si>
  <si>
    <t xml:space="preserve">Замена органа</t>
  </si>
  <si>
    <t xml:space="preserve">тяжёлое ранение / активная и автоматическая.</t>
  </si>
  <si>
    <t xml:space="preserve">временная функция органа, продление таймера смерти; возможно постоянное восстановление.</t>
  </si>
  <si>
    <t xml:space="preserve">Нормативная база (действует во всей непротиворечащей части):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
[Q-SYM-008]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t>
  </si>
  <si>
    <t xml:space="preserve">автоприменение только при достаточных ОЭ.
Поздние дельты применяются по приоритету AQ3 &gt; AQ2 &gt; AQA/CQA &gt; базовая карточка; локальное исключение сильнее общего.</t>
  </si>
  <si>
    <t xml:space="preserve">7.5.1.3.1, стр. 116.</t>
  </si>
  <si>
    <t xml:space="preserve">Реестр правил!B533:AH533</t>
  </si>
  <si>
    <t xml:space="preserve">f504c32ce26e34d557daca0ec6d70c1d647f6f02f808f0029de3b5228d4fdb48</t>
  </si>
  <si>
    <t xml:space="preserve">SRCMAP-201</t>
  </si>
  <si>
    <t xml:space="preserve">SYM-030</t>
  </si>
  <si>
    <t xml:space="preserve">Дублирование органов</t>
  </si>
  <si>
    <t xml:space="preserve">защитный длительный эффект.</t>
  </si>
  <si>
    <t xml:space="preserve">одноразовое предотвращение тяжёлого ранения либо штраф симбионту.</t>
  </si>
  <si>
    <t xml:space="preserve">Нормативная база (действует во всей непротиворечащей части):
R≥2: наложить «Задвоенные органы» на R/2 ходов.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</si>
  <si>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эффект расходуется первым срабатыванием.
Поздние дельты применяются по приоритету AQ3 &gt; AQ2 &gt; AQA/CQA &gt; базовая карточка; локальное исключение сильнее общего.</t>
  </si>
  <si>
    <t xml:space="preserve">7.5.1.4.1, стр. 116.</t>
  </si>
  <si>
    <t xml:space="preserve">Реестр правил!B534:AH534</t>
  </si>
  <si>
    <t xml:space="preserve">806ef1a59eb883b1806693481982e7a5c14a29b49e19f865f51a74bdcaee7848</t>
  </si>
  <si>
    <t xml:space="preserve">SRCMAP-202</t>
  </si>
  <si>
    <t xml:space="preserve">SYM-031</t>
  </si>
  <si>
    <t xml:space="preserve">Выстрел регенерона</t>
  </si>
  <si>
    <t xml:space="preserve">дальняя лечебная/атакующая способность.</t>
  </si>
  <si>
    <t xml:space="preserve">лечение либо атака колючкой.</t>
  </si>
  <si>
    <t xml:space="preserve">Нормативная база (действует во всей непротиворечащей части):
R=2–4: нет эффекта. R≥5 и попадание: голая кожа → +2R HP; проницаемая одежда → +R HP; герметичная одежда → 0. R=1: вместо лечения кристаллизованная колючка наносит 2×R_damage урона, пробитие = R_penetration.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</si>
  <si>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стандартные дальняя атака/защита; активационная единица только выбирает ветку осложнения и не подставляется в формулы урона/пробития.
Поздние дельты применяются по приоритету AQ3 &gt; AQ2 &gt; AQA/CQA &gt; базовая карточка; локальное исключение сильнее общего.</t>
  </si>
  <si>
    <t xml:space="preserve">7.5.1.4.2, стр. 116.</t>
  </si>
  <si>
    <t xml:space="preserve">Реестр правил!B535:AH535</t>
  </si>
  <si>
    <t xml:space="preserve">4ca4059c884c2df9e480441ced6e9fe2a9ea4904616aef20149f14f14c445030</t>
  </si>
  <si>
    <t xml:space="preserve">SRCMAP-203</t>
  </si>
  <si>
    <t xml:space="preserve">SYM-032</t>
  </si>
  <si>
    <t xml:space="preserve">Анаболический форсаж</t>
  </si>
  <si>
    <t xml:space="preserve">усиление / длительный эффект.</t>
  </si>
  <si>
    <t xml:space="preserve">временные модификаторы и при единице потеря самоконтроля.</t>
  </si>
  <si>
    <t xml:space="preserve">Нормативная база (действует во всей непротиворечащей части):
A≥2: S += A/2, D += A/2 на T/4 ходов. A=1: вместо этого S +=20, D +=20 на 5 ходов и каждый ход носитель атакует случайную цель в поле зрения.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
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t>
  </si>
  <si>
    <t xml:space="preserve">цель случайной атаки может быть любой видимой.
Поздние дельты применяются по приоритету AQ3 &gt; AQ2 &gt; AQA/CQA &gt; базовая карточка; локальное исключение сильнее общего.</t>
  </si>
  <si>
    <t xml:space="preserve">7.5.1.5.1, стр. 116–117.</t>
  </si>
  <si>
    <t xml:space="preserve">Реестр правил!B536:AH536</t>
  </si>
  <si>
    <t xml:space="preserve">2b66fb79ff802aefb93ab692f58f24d33072abb5e2c7052725448f3470e1b14a</t>
  </si>
  <si>
    <t xml:space="preserve">SRCMAP-204</t>
  </si>
  <si>
    <t xml:space="preserve">SYM-033</t>
  </si>
  <si>
    <t xml:space="preserve">Адреналиновая реанимация</t>
  </si>
  <si>
    <t xml:space="preserve">дальняя реанимация / атака шипом.</t>
  </si>
  <si>
    <t xml:space="preserve">реанимация либо фатальный исход.</t>
  </si>
  <si>
    <t xml:space="preserve">Нормативная база (действует во всей непротиворечащей части):
R=2–4: активация неуспешна. R≥5: выполнить попадание и пробитие; если шип достиг плоти, вывести цель из тяжёлого ранения, установить HP=1. R=1: «добить цель».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t>
  </si>
  <si>
    <t xml:space="preserve">броня должна быть пробита.
Поздние дельты применяются по приоритету AQ3 &gt; AQ2 &gt; AQA/CQA &gt; базовая карточка; локальное исключение сильнее общего.</t>
  </si>
  <si>
    <t xml:space="preserve">7.5.1.5.2, стр. 117.</t>
  </si>
  <si>
    <t xml:space="preserve">Реестр правил!B537:AH537</t>
  </si>
  <si>
    <t xml:space="preserve">f9d388828b2f1ecbf5aec6a7217a85524f4cc3fcd8fd90b9b24f1a23227c3330</t>
  </si>
  <si>
    <t xml:space="preserve">SRCMAP-205</t>
  </si>
  <si>
    <t xml:space="preserve">SYM-034</t>
  </si>
  <si>
    <t xml:space="preserve">Абсолютная регенерация</t>
  </si>
  <si>
    <t xml:space="preserve">предельная защита / длительный эффект.</t>
  </si>
  <si>
    <t xml:space="preserve">временный режим абсолютной регенерации либо деградация.</t>
  </si>
  <si>
    <t xml:space="preserve">Нормативная база (действует во всей непротиворечащей части):
R=2–3: нет основного эффекта, вся энергия потрачена.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[Q-SYM-013] 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
[Q-SYM-014] 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t>
  </si>
  <si>
    <t xml:space="preserve">цена — вся энергия, не фиксированные 200.
Поздние дельты применяются по приоритету AQ3 &gt; AQ2 &gt; AQA/CQA &gt; базовая карточка; локальное исключение сильнее общего.</t>
  </si>
  <si>
    <t xml:space="preserve">7.5.1.6.1, стр. 117.</t>
  </si>
  <si>
    <t xml:space="preserve">Реестр правил!B538:AH538</t>
  </si>
  <si>
    <t xml:space="preserve">1182dc7cbc49cc8e37230c443b326c9d625c0db744c5009c92707356cdc811e0</t>
  </si>
  <si>
    <t xml:space="preserve">SRCMAP-206</t>
  </si>
  <si>
    <t xml:space="preserve">SYM-035</t>
  </si>
  <si>
    <t xml:space="preserve">Абсолютная реанимация</t>
  </si>
  <si>
    <t xml:space="preserve">воскрешение.</t>
  </si>
  <si>
    <t xml:space="preserve">цель возвращается к жизни либо остаётся мёртвой; Ткач вводится в тело цели по описанию.</t>
  </si>
  <si>
    <t xml:space="preserve">Нормативная база (действует во всей непротиворечащей части):
если R=1, цель любой степени повреждения воскресает с I=1 независимо от формулы. Иначе воскрешение успешно только если R − 4T &gt; 0.
Приоритетные авторские дельты (заменяют только прямо пересекающиеся ветви):
[Q-SYM-015]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t>
  </si>
  <si>
    <t xml:space="preserve">натуральная 1 — прямое исключение.
Поздние дельты применяются по приоритету AQ3 &gt; AQ2 &gt; AQA/CQA &gt; базовая карточка; локальное исключение сильнее общего.</t>
  </si>
  <si>
    <t xml:space="preserve">7.5.1.6.2 и уточнение, стр. 117.</t>
  </si>
  <si>
    <t xml:space="preserve">Реестр правил!B539:AH539</t>
  </si>
  <si>
    <t xml:space="preserve">39fd2f13aab402b755cc95475957f824f5c6931c637f3acdea0579b5a20f5a6f</t>
  </si>
  <si>
    <t xml:space="preserve">SRCMAP-207</t>
  </si>
  <si>
    <t xml:space="preserve">SYM-038</t>
  </si>
  <si>
    <t xml:space="preserve">Несовместимость Тайпана и Жабы</t>
  </si>
  <si>
    <t xml:space="preserve">межсимбионтное взаимодействие.</t>
  </si>
  <si>
    <t xml:space="preserve">ядовитые режимы Тайпана не создают яд; развитие остановлено.</t>
  </si>
  <si>
    <t xml:space="preserve">Нормативная база (действует во всей непротиворечащей части):
установить Тайпану состояние подавления: запретить получение XP и выработку ядов.
Приоритетные авторские дельты (заменяют только прямо пересекающиеся ветви):
[Q-SYM-016] Тайпан и Жаба могут находиться в одном теле, но Жаба подавляет Тайпана: он не получает опыт, не вырабатывает яд и не применяет зависящие от яда способности. Уже наложенные на других персонажей эффекты яда продолжаются до окончания своего срока.
Подавленный Taipan не является кандидатом DIRECT_SYMBIONT и не может получать распределяемый XP.</t>
  </si>
  <si>
    <t xml:space="preserve">текст говорит, что виды «не могут существовать» вместе, но одновременно описывает состояние сосуществования.
Поздние дельты применяются по приоритету AQ3 &gt; AQ2 &gt; AQA/CQA &gt; базовая карточка; локальное исключение сильнее общего.
Событие при отсутствии иных кандидатов идёт в CHARACTER_PROGRESS_COUNTER.</t>
  </si>
  <si>
    <t xml:space="preserve">7.5.2, стр. 118; 7.5.16, стр. 150.
Прямое авторское решение Q-SYMBIONT-XP-001 — опыт симбионтов за natural 20/1, 2026-07-30</t>
  </si>
  <si>
    <t xml:space="preserve">Реестр правил!B540:AH540</t>
  </si>
  <si>
    <t xml:space="preserve">840d6c5f1ecd0a58eae15d7cabdb3b0f4d1a68ffbc775a0757ed7fde2c4ff446</t>
  </si>
  <si>
    <t xml:space="preserve">SRCMAP-208</t>
  </si>
  <si>
    <t xml:space="preserve">Переключение типа яда Тайпана</t>
  </si>
  <si>
    <t xml:space="preserve">переключаемый пассив / режим.</t>
  </si>
  <si>
    <t xml:space="preserve">по завершении activePoisonType заменён новым; способности доставки используют тип, превалирующий в момент объявления.</t>
  </si>
  <si>
    <t xml:space="preserve">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t>
  </si>
  <si>
    <t xml:space="preserve">во время подавления яд не вырабатывается.
Поздние дельты применяются по приоритету AQ3 &gt; AQ2 &gt; AQA/CQA &gt; базовая карточка; локальное исключение сильнее общего.</t>
  </si>
  <si>
    <t xml:space="preserve">7.5.2.2.1, 7.5.2.5.1, 7.5.2.8.1, стр. 119–120.</t>
  </si>
  <si>
    <t xml:space="preserve">Реестр правил!B541:AH541</t>
  </si>
  <si>
    <t xml:space="preserve">743923c4c82aa5d6a3493f258950284091f55ba536c1c20fb86b9ffb35c0c9b8</t>
  </si>
  <si>
    <t xml:space="preserve">SRCMAP-209</t>
  </si>
  <si>
    <t xml:space="preserve">SYM-183</t>
  </si>
  <si>
    <t xml:space="preserve">Нанесение активного яда на предмет или пищу</t>
  </si>
  <si>
    <t xml:space="preserve">мирная команда Тайпана / подготовка яда.</t>
  </si>
  <si>
    <t xml:space="preserve">предмет или пища получает ссылку на вид яда и профиль его применения.</t>
  </si>
  <si>
    <t xml:space="preserve">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</si>
  <si>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Смена вида яда разрешается по SYM-181; до завершения перехода активным остаётся прежний тип. Прямые параметры профиля имеют приоритет.</t>
  </si>
  <si>
    <t xml:space="preserve">§7.5.2.2.1, §7.5.2.5.1, §7.5.2.8.1, стр. 119–120; ROUND2/Q-APP-002.</t>
  </si>
  <si>
    <t xml:space="preserve">Реестр правил!B542:AH542</t>
  </si>
  <si>
    <t xml:space="preserve">18f0abdc31ff18a9545f82564bde05ba5727f793d5fd18dcda83cded7f3c5eb2</t>
  </si>
  <si>
    <t xml:space="preserve">SRCMAP-210</t>
  </si>
  <si>
    <t xml:space="preserve">Смертельный яд</t>
  </si>
  <si>
    <t xml:space="preserve">переключаемый пассив / яд.</t>
  </si>
  <si>
    <t xml:space="preserve">создаётся периодический эффект с зафиксированными величиной и сроком; повторное применение обновляет, а не складывает эффект.</t>
  </si>
  <si>
    <t xml:space="preserve">Нормативная база (действует во всей непротиворечащей части):
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t>
  </si>
  <si>
    <t xml:space="preserve">общие вопросы дозы/тика и округления — Q-SYM-005, Q-SYM-017.
Поздние дельты применяются по приоритету AQ3 &gt; AQ2 &gt; AQA/CQA &gt; базовая карточка; локальное исключение сильнее общего.</t>
  </si>
  <si>
    <t xml:space="preserve">7.5.2.2.1 и уточнение, стр. 119.</t>
  </si>
  <si>
    <t xml:space="preserve">Реестр правил!B543:AH543</t>
  </si>
  <si>
    <t xml:space="preserve">914d60a880b9ff01bf276609ef47968e7fdd2714844176bb358ae74790be5a15</t>
  </si>
  <si>
    <t xml:space="preserve">SRCMAP-211</t>
  </si>
  <si>
    <t xml:space="preserve">SYM-040</t>
  </si>
  <si>
    <t xml:space="preserve">Проницаемая кожа</t>
  </si>
  <si>
    <t xml:space="preserve">контактная доставка яда.</t>
  </si>
  <si>
    <t xml:space="preserve">подготовлена контактная зона либо наложен штраф серии.</t>
  </si>
  <si>
    <t xml:space="preserve">Нормативная база (действует во всей непротиворечащей части):
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
Приоритетные авторские дельты (заменяют только прямо пересекающиеся ветви):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</si>
  <si>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срок существования проницаемой зоны не указан.
Поздние дельты применяются по приоритету AQ3 &gt; AQ2 &gt; AQA/CQA &gt; базовая карточка; локальное исключение сильнее общего.</t>
  </si>
  <si>
    <t xml:space="preserve">7.5.2.3.1, стр. 119.</t>
  </si>
  <si>
    <t xml:space="preserve">Реестр правил!B544:AH544</t>
  </si>
  <si>
    <t xml:space="preserve">2be3361a1b793fc794dbe9fa20a804a8f2a003c16dde789b77e6bd520d4333e5</t>
  </si>
  <si>
    <t xml:space="preserve">SRCMAP-212</t>
  </si>
  <si>
    <t xml:space="preserve">SYM-041</t>
  </si>
  <si>
    <t xml:space="preserve">Плевок ядом</t>
  </si>
  <si>
    <t xml:space="preserve">дальняя доставка яда.</t>
  </si>
  <si>
    <t xml:space="preserve">яд на цели либо самоповреждение; при контакте слизь инициирует неопределённый коррозионный эффект на одежде/лёгкой броне.</t>
  </si>
  <si>
    <t xml:space="preserve">Нормативная база (действует во всей непротиворечащей части):
R20≥4: выполнить дальнюю атаку; пробитие=R12; если сгусток достиг кожи, наложить текущий яд. R20=2–3: нет эффекта. R20=1: носитель теряет 10 HP.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[Q-SYM-075] 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t>
  </si>
  <si>
    <t xml:space="preserve">числовые последствия коррозии не заданы и не могут быть отброшены как художественное описание.
Поздние дельты применяются по приоритету AQ3 &gt; AQ2 &gt; AQA/CQA &gt; базовая карточка; локальное исключение сильнее общего.</t>
  </si>
  <si>
    <t xml:space="preserve">7.5.2.4.1, стр. 119.</t>
  </si>
  <si>
    <t xml:space="preserve">Реестр правил!B545:AH545</t>
  </si>
  <si>
    <t xml:space="preserve">55b69c34f3cab6d82a6c98a93a196668189e4fdcbc9e1502ed07f748c4a43cd2</t>
  </si>
  <si>
    <t xml:space="preserve">SRCMAP-213</t>
  </si>
  <si>
    <t xml:space="preserve">Ослабляющий яд</t>
  </si>
  <si>
    <t xml:space="preserve">переключаемый пассив / дебафф характеристик.</t>
  </si>
  <si>
    <t xml:space="preserve">временные модификаторы S,D,M.</t>
  </si>
  <si>
    <t xml:space="preserve">Нормативная база (действует во всей непротиворечащей части):
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[Q-SYM-019] Сила снижения K рассчитывается как max(0, R20 + L − Z). При K=0 яд считается попавшим, но характеристики цели не изменяются.</t>
  </si>
  <si>
    <t xml:space="preserve">при неположительном K текст не определяет, применять ли 0 либо повышение.
Поздние дельты применяются по приоритету AQ3 &gt; AQ2 &gt; AQA/CQA &gt; базовая карточка; локальное исключение сильнее общего.</t>
  </si>
  <si>
    <t xml:space="preserve">7.5.2.5.1 и уточнение, стр. 119.</t>
  </si>
  <si>
    <t xml:space="preserve">Реестр правил!B546:AH546</t>
  </si>
  <si>
    <t xml:space="preserve">ecd9744114789c9a0bc8c1cb6bd29cb1552958a253962a28bef1c5f3b7487331</t>
  </si>
  <si>
    <t xml:space="preserve">SRCMAP-214</t>
  </si>
  <si>
    <t xml:space="preserve">SYM-043</t>
  </si>
  <si>
    <t xml:space="preserve">Ядовитый шип</t>
  </si>
  <si>
    <t xml:space="preserve">дальняя атака / яд.</t>
  </si>
  <si>
    <t xml:space="preserve">урон/яд либо отключение.</t>
  </si>
  <si>
    <t xml:space="preserve">Нормативная база (действует во всей непротиворечащей части):
R≥4: дальняя атака, пробитие=R+L, урон=R+L одной проверкой; если нанесён урон, наложить текущий яд. R=2–3: нет эффекта. R=1: Тайпан отключён на 1 час/6 ходов.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</si>
  <si>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дальность не задана.
Поздние дельты применяются по приоритету AQ3 &gt; AQ2 &gt; AQA/CQA &gt; базовая карточка; локальное исключение сильнее общего.</t>
  </si>
  <si>
    <t xml:space="preserve">7.5.2.6.1, стр. 119–120.</t>
  </si>
  <si>
    <t xml:space="preserve">Реестр правил!B547:AH547</t>
  </si>
  <si>
    <t xml:space="preserve">fc70025125d11bf699390e1cf1db2ec9b1dd2521990141b3ee8bc5987c1738ff</t>
  </si>
  <si>
    <t xml:space="preserve">SRCMAP-215</t>
  </si>
  <si>
    <t xml:space="preserve">SYM-044</t>
  </si>
  <si>
    <t xml:space="preserve">Кумулятивный шип</t>
  </si>
  <si>
    <t xml:space="preserve">атака либо самоповреждение/оглушение.</t>
  </si>
  <si>
    <t xml:space="preserve">Нормативная база (действует во всей непротиворечащей части):
A≥4: пробитие=(A+L)×2, урон=D+L; при нанесении урона наложить текущий яд. A=2–3: нет эффекта. A=1: носитель получает 20 урона и оглушение на 40 минут/3 хода.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</si>
  <si>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7.5.2.7.1, стр. 120.</t>
  </si>
  <si>
    <t xml:space="preserve">Реестр правил!B548:AH548</t>
  </si>
  <si>
    <t xml:space="preserve">1f0c66638c4165ceabe4dd89ab97bf642656ff03b1088206c9ad52117e8f9ce1</t>
  </si>
  <si>
    <t xml:space="preserve">SRCMAP-216</t>
  </si>
  <si>
    <t xml:space="preserve">Парализующий яд</t>
  </si>
  <si>
    <t xml:space="preserve">переключаемый пассив / контроль конечности.</t>
  </si>
  <si>
    <t xml:space="preserve">конечность получает состояние «онемела» до таймера.</t>
  </si>
  <si>
    <t xml:space="preserve">Нормативная база (действует во всей непротиворечащей части):
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
[Авторское решение 2026-07-31] При одновременных травме и онемении одной конечности числовые штрафы не складываются: действует наиболее строгий; самостоятельные ограничения объединяются, снятие источников независимо.</t>
  </si>
  <si>
    <t xml:space="preserve">повторные применения могут выбирать другие действующие конечности; анатомия не-D4 требует решения.
Поздние дельты применяются по приоритету AQ3 &gt; AQ2 &gt; AQA/CQA &gt; базовая карточка; локальное исключение сильнее общего.</t>
  </si>
  <si>
    <t xml:space="preserve">7.5.2.8.1 и уточнение, стр. 120.</t>
  </si>
  <si>
    <t xml:space="preserve">Реестр правил!B549:AH549</t>
  </si>
  <si>
    <t xml:space="preserve">2ab9b80beb4ed34db3e56fe80793c6d87865f05eca7fc1f0b72efd716363d9e3</t>
  </si>
  <si>
    <t xml:space="preserve">SRCMAP-217</t>
  </si>
  <si>
    <t xml:space="preserve">SYM-047</t>
  </si>
  <si>
    <t xml:space="preserve">Безупречное зрение и подавление Двойного фокуса</t>
  </si>
  <si>
    <t xml:space="preserve">пассив / обнаружение / межсимбионтное исключение.</t>
  </si>
  <si>
    <t xml:space="preserve">модифицирован визуальный бросок; эффект Хамелеона подавлен.</t>
  </si>
  <si>
    <t xml:space="preserve">Нормативная база (действует во всей непротиворечащей части):
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</si>
  <si>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Сова прямо имеет приоритет над Двойным фокусом.
Поздние дельты применяются по приоритету AQ3 &gt; AQ2 &gt; AQA/CQA &gt; базовая карточка; локальное исключение сильнее общего.</t>
  </si>
  <si>
    <t xml:space="preserve">7.5.3.2.1, стр. 122.</t>
  </si>
  <si>
    <t xml:space="preserve">Реестр правил!B550:AH550</t>
  </si>
  <si>
    <t xml:space="preserve">5f3130caa132a4b63c765cd1a975b22e5ae2dd3380a35f73d244b500d10204aa</t>
  </si>
  <si>
    <t xml:space="preserve">SRCMAP-218</t>
  </si>
  <si>
    <t xml:space="preserve">SYM-057</t>
  </si>
  <si>
    <t xml:space="preserve">Свети, ученик</t>
  </si>
  <si>
    <t xml:space="preserve">контактная подмена способности.</t>
  </si>
  <si>
    <t xml:space="preserve">следующая способность цели подменена; маркер расходован.</t>
  </si>
  <si>
    <t xml:space="preserve">Нормативная база (действует во всей непротиворечащей части):
R≥5: поставить на цель одноразовый маркер; при следующей попытке цели применить способность своего симбионта вместо неё случайно выбрать разрешимую активную способность одного из симбионтов носителя Учителя и случайную допустимую цель. При R=1 полностью обнулить ОЭ всех симбионтов носителя Учителя. Копия использует L Учителя, характеристики его носителя, правила целей/проверок/защит/единицы исходной способности; самоповреждение получает носитель Учителя.
Приоритетные авторские дельты (заменяют только прямо пересекающиеся ветви):
[Q-SYM-023]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t>
  </si>
  <si>
    <t xml:space="preserve">пассивы, постоянные перестройки и способности без допустимой цели/анатомии исключаются.
Поздние дельты применяются по приоритету AQ3 &gt; AQ2 &gt; AQA/CQA &gt; базовая карточка; локальное исключение сильнее общего.</t>
  </si>
  <si>
    <t xml:space="preserve">7.5.4.5.1 и общее уточнение копирования, стр. 124.</t>
  </si>
  <si>
    <t xml:space="preserve">Реестр правил!B552:AH552</t>
  </si>
  <si>
    <t xml:space="preserve">7f5a26096596ab4f3fbf44297528f3c2baeee1b4ecc017e6f321fda9da33f864</t>
  </si>
  <si>
    <t xml:space="preserve">SRCMAP-219</t>
  </si>
  <si>
    <t xml:space="preserve">SYM-066</t>
  </si>
  <si>
    <t xml:space="preserve">Поднять щиты!</t>
  </si>
  <si>
    <t xml:space="preserve">активное защитное действие.</t>
  </si>
  <si>
    <t xml:space="preserve">атака отражена либо руки скованы.</t>
  </si>
  <si>
    <t xml:space="preserve">Нормативная база (действует во всей непротиворечащей части):
R≥4: сформировать полусферический щит внешней площадью 8 м² на время отражения и полностью отменить атаку любой силы/критичности. R=2–3: защита не срабатывает. R=1: сковать обе руки персонажа.
Приоритетные авторские дельты (заменяют только прямо пересекающиеся ветви):
[Q-SYM-026] 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</si>
  <si>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не работает против атак без права на защитное действие.
Поздние дельты применяются по приоритету AQ3 &gt; AQ2 &gt; AQA/CQA &gt; базовая карточка; локальное исключение сильнее общего.</t>
  </si>
  <si>
    <t xml:space="preserve">7.5.5.7.1, стр. 126.</t>
  </si>
  <si>
    <t xml:space="preserve">Реестр правил!B554:AH554</t>
  </si>
  <si>
    <t xml:space="preserve">bb817d4926a17e956a6c02b2f1f5fcd17643b049746496e3f3d8ebdb64858138</t>
  </si>
  <si>
    <t xml:space="preserve">SRCMAP-220</t>
  </si>
  <si>
    <t xml:space="preserve">SYM-068</t>
  </si>
  <si>
    <t xml:space="preserve">Горючая слюна</t>
  </si>
  <si>
    <t xml:space="preserve">пассив / горение / подготовка оружия.</t>
  </si>
  <si>
    <t xml:space="preserve">создаётся/передаётся эффект горения.</t>
  </si>
  <si>
    <t xml:space="preserve">Нормативная база (действует во всей непротиворечащей части):
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
Приоритетные авторские дельты (заменяют только прямо пересекающиеся ветви):
[Q-SYM-027] Для передачи горения достаточно успешного попадания с итогом точности 19+; наносить урон или пробивать броню не требуется.</t>
  </si>
  <si>
    <t xml:space="preserve">механика огня — п. 5.4.3.5; требование повреждения плоти не указано.
Поздние дельты применяются по приоритету AQ3 &gt; AQ2 &gt; AQA/CQA &gt; базовая карточка; локальное исключение сильнее общего.</t>
  </si>
  <si>
    <t xml:space="preserve">7.5.6.2.1, стр. 128.</t>
  </si>
  <si>
    <t xml:space="preserve">Реестр правил!B555:AH555</t>
  </si>
  <si>
    <t xml:space="preserve">af7d0c37dc7d3340b114608da9655e4777cff7b95d0045ee7bec69ca4df2f6b9</t>
  </si>
  <si>
    <t xml:space="preserve">SRCMAP-221</t>
  </si>
  <si>
    <t xml:space="preserve">SYM-069</t>
  </si>
  <si>
    <t xml:space="preserve">Огнеупорная глотка</t>
  </si>
  <si>
    <t xml:space="preserve">пассив / локальная огнестойкость.</t>
  </si>
  <si>
    <t xml:space="preserve">локальный урон предотвращён в пределах времени.</t>
  </si>
  <si>
    <t xml:space="preserve">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Приоритетные авторские дельты (заменяют только прямо пересекающиеся ветви):
[Q-SYM-028]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t>
  </si>
  <si>
    <t xml:space="preserve">порядок накопления времени не определён.
Поздние дельты применяются по приоритету AQ3 &gt; AQ2 &gt; AQA/CQA &gt; базовая карточка; локальное исключение сильнее общего.</t>
  </si>
  <si>
    <t xml:space="preserve">7.5.6.3.1, стр. 128.</t>
  </si>
  <si>
    <t xml:space="preserve">Реестр правил!B556:AH556</t>
  </si>
  <si>
    <t xml:space="preserve">5c0e0777805cdd6521f0eb5cf171fa00d2a75c5fd7b1a154f10e1474a68a7e51</t>
  </si>
  <si>
    <t xml:space="preserve">SRCMAP-222</t>
  </si>
  <si>
    <t xml:space="preserve">SYM-071</t>
  </si>
  <si>
    <t xml:space="preserve">Нагнетатель давления</t>
  </si>
  <si>
    <t xml:space="preserve">струйная площадная атака.</t>
  </si>
  <si>
    <t xml:space="preserve">множественные эффекты горения либо потеря ресурса.</t>
  </si>
  <si>
    <t xml:space="preserve">Нормативная база (действует во всей непротиворечащей части):
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</si>
  <si>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обычный отдых и иные способы восстановления не запрещены текстом.
Поздние дельты применяются по приоритету AQ3 &gt; AQ2 &gt; AQA/CQA &gt; базовая карточка; локальное исключение сильнее общего.</t>
  </si>
  <si>
    <t xml:space="preserve">7.5.6.5.1, стр. 128.</t>
  </si>
  <si>
    <t xml:space="preserve">Реестр правил!B557:AH557</t>
  </si>
  <si>
    <t xml:space="preserve">8852ab7499036caf0ec758fe3c876ca6b1fbb3b1172762f7db61a8d624b64c1d</t>
  </si>
  <si>
    <t xml:space="preserve">SRCMAP-223</t>
  </si>
  <si>
    <t xml:space="preserve">SYM-072</t>
  </si>
  <si>
    <t xml:space="preserve">Долгое горение</t>
  </si>
  <si>
    <t xml:space="preserve">пассив / модификатор горения.</t>
  </si>
  <si>
    <t xml:space="preserve">более длительное горение.</t>
  </si>
  <si>
    <t xml:space="preserve">Нормативная база (действует во всей непротиворечащей части):
заменить стартовую длительность на 6 ходов.
Приоритетные авторские дельты (заменяют только прямо пересекающиеся ветви):
[Q-SYM-077]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</si>
  <si>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применяется только к слюне носителя этого Дракона; до ответа нельзя считать эффект бесплатным и постоянно включённым.
Поздние дельты применяются по приоритету AQ3 &gt; AQ2 &gt; AQA/CQA &gt; базовая карточка; локальное исключение сильнее общего.</t>
  </si>
  <si>
    <t xml:space="preserve">7.5.6.6.1, стр. 128.</t>
  </si>
  <si>
    <t xml:space="preserve">Реестр правил!B558:AH558</t>
  </si>
  <si>
    <t xml:space="preserve">debd6765ce5565f7af0d23af4209a1cb75bad0f957326349e41848d1ec78a877</t>
  </si>
  <si>
    <t xml:space="preserve">SRCMAP-224</t>
  </si>
  <si>
    <t xml:space="preserve">SYM-073</t>
  </si>
  <si>
    <t xml:space="preserve">Огненный шар</t>
  </si>
  <si>
    <t xml:space="preserve">дальняя площадная атака / огонь.</t>
  </si>
  <si>
    <t xml:space="preserve">чистый площадной урон и горение.</t>
  </si>
  <si>
    <t xml:space="preserve">Нормативная база (действует во всей непротиворечащей части):
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
Приоритетные авторские дельты (заменяют только прямо пересекающиеся ветви):
[Q-SYM-030] 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t>
  </si>
  <si>
    <t xml:space="preserve">шар взрывается о первое препятствие; чистый урон ничем не уменьшается.
Поздние дельты применяются по приоритету AQ3 &gt; AQ2 &gt; AQA/CQA &gt; базовая карточка; локальное исключение сильнее общего.</t>
  </si>
  <si>
    <t xml:space="preserve">7.5.6.7.1, стр. 128–129.</t>
  </si>
  <si>
    <t xml:space="preserve">Реестр правил!B559:AH559</t>
  </si>
  <si>
    <t xml:space="preserve">09085038ae2d1ab26c8836b5bfc812fca8de990a16456a23695acde5bc522103</t>
  </si>
  <si>
    <t xml:space="preserve">SRCMAP-225</t>
  </si>
  <si>
    <t xml:space="preserve">SYM-075</t>
  </si>
  <si>
    <t xml:space="preserve">Межсимбионтная хищность и подавление Трогра</t>
  </si>
  <si>
    <t xml:space="preserve">жертвы/подавленные симбионты и минимумы характеристик обновлены.</t>
  </si>
  <si>
    <t xml:space="preserve">Нормативная база (действует во всей непротиворечащей части):
Учитель и Дельфин подлежат поглощению; Советник не развивается, не получает XP и не проявляет себя; Пингвин затаивается и не проявляется, но продолжает получать XP; Трогр охотится на Хранителя. Для Советника один раз бросить R20 и зафиксировать «постоянный бонус к минимальному I = R20/4»; способ сложения с базовым минимумом и минимумом 4 от поглощённого Учителя требует решения.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[Q-SYM-031] При появлении Трогра в одном теле с Учителем или Дельфином он немедленно и без проверки поглощает их; симбионты, их опыт и способности утрачиваются и после удаления Трогра не восстанавливаются. С Хранителем проводится бой симбионтов по текущим ОЭ: имеющий строго больший текущий запас уничтожает другого и теряет количество ОЭ уничтоженного; при равенстве никто не погибает.
[Q-SYM-073] При начале подавления один раз определяется бонус B=R20/4 с общим математическим округлением. Итоговый минимум I равен 1+B, а если Трогр поглотил Учителя — 4+B; минимум W при поглощённом Учителе остаётся равен 4. Важно: эти бонусы просто позволяют носителю трогра по мере прокачки трогра сохранить больше интеллекта.
Под Trogr: Adviser не является кандидатом progression; Penguin сохраняет право на progression и распределение.</t>
  </si>
  <si>
    <t xml:space="preserve">конкретная процедура и момент поглощения/охоты не заданы.
Поздние дельты применяются по приоритету AQ3 &gt; AQ2 &gt; AQA/CQA &gt; базовая карточка; локальное исключение сильнее общего.
Локальное исключение Penguin сильнее общего правила отключённого симбионта CORE-104.</t>
  </si>
  <si>
    <t xml:space="preserve">7.5.7 и 7.5.7.2.1, стр. 129–130.
Прямое авторское решение Q-SYMBIONT-XP-001 — опыт симбионтов за natural 20/1, 2026-07-30</t>
  </si>
  <si>
    <t xml:space="preserve">Реестр правил!B560:AH560</t>
  </si>
  <si>
    <t xml:space="preserve">820ffef966daeb5b2f416a03d8f97d67c7a53f6535948ab7e8eae942299d1650</t>
  </si>
  <si>
    <t xml:space="preserve">SRCMAP-226</t>
  </si>
  <si>
    <t xml:space="preserve">SYM-077</t>
  </si>
  <si>
    <t xml:space="preserve">Трогр крушить!</t>
  </si>
  <si>
    <t xml:space="preserve">пассив / накопительный боевой бонус.</t>
  </si>
  <si>
    <t xml:space="preserve">динамический бонус силы.</t>
  </si>
  <si>
    <t xml:space="preserve">Нормативная база (действует во всей непротиворечащей части):
бонус к S = floor(totalLostHP/10); сбросить в конце схватки.
Приоритетные авторские дельты (заменяют только прямо пересекающиеся ветви):
[Q-SYM-033] 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t>
  </si>
  <si>
    <t xml:space="preserve">лечение не описано как уменьшающее счётчик.
Поздние дельты применяются по приоритету AQ3 &gt; AQ2 &gt; AQA/CQA &gt; базовая карточка; локальное исключение сильнее общего.</t>
  </si>
  <si>
    <t xml:space="preserve">7.5.7.3.1, стр. 130.</t>
  </si>
  <si>
    <t xml:space="preserve">Реестр правил!B562:AH562</t>
  </si>
  <si>
    <t xml:space="preserve">9cf9e69f2144efaf06c72ce14dfadca360480a233cbb786d8c682873c64e0e79</t>
  </si>
  <si>
    <t xml:space="preserve">SRCMAP-227</t>
  </si>
  <si>
    <t xml:space="preserve">SYM-078</t>
  </si>
  <si>
    <t xml:space="preserve">WAAAGH!!!</t>
  </si>
  <si>
    <t xml:space="preserve">активный крик / встречная проверка / контроль.</t>
  </si>
  <si>
    <t xml:space="preserve">состояние по диапазону.</t>
  </si>
  <si>
    <t xml:space="preserve">Нормативная база (действует во всей непротиворечащей части):
если A≤B, нет эффекта. Разница 1–8: глухота 30 минут/6 ходов. 9–18: глухота + «страх» (−1 действие в серии) на тот же срок. &gt;18: бессознательность 5 минут/1 ход.
Приоритетные авторские дельты (заменяют только прямо пересекающиеся ветви):
[Q-SYM-034]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</si>
  <si>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после поглощения Дельфина способность может использоваться для эхолокации (небоевое применение вне реестра).
Поздние дельты применяются по приоритету AQ3 &gt; AQ2 &gt; AQA/CQA &gt; базовая карточка; локальное исключение сильнее общего.</t>
  </si>
  <si>
    <t xml:space="preserve">7.5.7.4.1, стр. 130.</t>
  </si>
  <si>
    <t xml:space="preserve">Реестр правил!B563:AH563</t>
  </si>
  <si>
    <t xml:space="preserve">f8efe75a65a28345b19fc88d6b6c96ceba7f8a10ce8e9961e101514e6ed6c08d</t>
  </si>
  <si>
    <t xml:space="preserve">SRCMAP-228</t>
  </si>
  <si>
    <t xml:space="preserve">SYM-080</t>
  </si>
  <si>
    <t xml:space="preserve">ЫЫЫ…</t>
  </si>
  <si>
    <t xml:space="preserve">активное подавление боли.</t>
  </si>
  <si>
    <t xml:space="preserve">состояние нечувствительности к боли; бонус SYM-077 снят/заблокирован.</t>
  </si>
  <si>
    <t xml:space="preserve">Нормативная база (действует во всей непротиворечащей части):
если итог &lt;10, носитель не чувствует боль любой силы и отключает эффект «Трогр крушить!».
Приоритетные авторские дельты (заменяют только прямо пересекающиеся ветви):
[Q-SYM-035]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t>
  </si>
  <si>
    <t xml:space="preserve">длительность и механические последствия боли не заданы.
Поздние дельты применяются по приоритету AQ3 &gt; AQ2 &gt; AQA/CQA &gt; базовая карточка; локальное исключение сильнее общего.</t>
  </si>
  <si>
    <t xml:space="preserve">7.5.7.6.1, стр. 130.</t>
  </si>
  <si>
    <t xml:space="preserve">Реестр правил!B564:AH564</t>
  </si>
  <si>
    <t xml:space="preserve">ae6763d04a3c75df1cce0fd52591561c5288b238c8b33ab0f7983fb6e5727d19</t>
  </si>
  <si>
    <t xml:space="preserve">SRCMAP-229</t>
  </si>
  <si>
    <t xml:space="preserve">SYM-085</t>
  </si>
  <si>
    <t xml:space="preserve">Резервная копия: захват нового тела</t>
  </si>
  <si>
    <t xml:space="preserve">перенос персонажа / конфликт симбионтов.</t>
  </si>
  <si>
    <t xml:space="preserve">тело получает личность прежнего носителя и Хранителя в слоте.</t>
  </si>
  <si>
    <t xml:space="preserve">Нормативная база (действует во всей непротиворечащей части):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Приоритетные авторские дельты (заменяют только прямо пересекающиеся ветви):
[Q-SYM-036]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</si>
  <si>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тело симбиотического чудовища нельзя захватить; его смерть убивает тело.
Поздние дельты применяются по приоритету AQ3 &gt; AQ2 &gt; AQA/CQA &gt; базовая карточка; локальное исключение сильнее общего.</t>
  </si>
  <si>
    <t xml:space="preserve">Реестр правил!B565:AH565</t>
  </si>
  <si>
    <t xml:space="preserve">06740460b3a768afc5f3f6ae79a6bbab16a6e4f709bd3e215eb13221c9fdede7</t>
  </si>
  <si>
    <t xml:space="preserve">SRCMAP-230</t>
  </si>
  <si>
    <t xml:space="preserve">SYM-089</t>
  </si>
  <si>
    <t xml:space="preserve">Маскировка «Хамелеон» Хранителя</t>
  </si>
  <si>
    <t xml:space="preserve">состояние маскировки либо потеря энергии.</t>
  </si>
  <si>
    <t xml:space="preserve">Нормативная база (действует во всей непротиворечащей части):
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</si>
  <si>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любое движение/другая способность прекращает.
Поздние дельты применяются по приоритету AQ3 &gt; AQ2 &gt; AQA/CQA &gt; базовая карточка; локальное исключение сильнее общего.</t>
  </si>
  <si>
    <t xml:space="preserve">7.5.8.5, стр. 132.</t>
  </si>
  <si>
    <t xml:space="preserve">Реестр правил!B567:AH567</t>
  </si>
  <si>
    <t xml:space="preserve">bc0797df46ffaa71c039f7c3cac7d999defb11d6db0753ea98f99abbbe4dd395</t>
  </si>
  <si>
    <t xml:space="preserve">SRCMAP-231</t>
  </si>
  <si>
    <t xml:space="preserve">SYM-091</t>
  </si>
  <si>
    <t xml:space="preserve">Крылья Хранителя</t>
  </si>
  <si>
    <t xml:space="preserve">полёт / поддерживаемый пассив.</t>
  </si>
  <si>
    <t xml:space="preserve">состояние полёта и модификаторы защиты.</t>
  </si>
  <si>
    <t xml:space="preserve">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Приоритетные авторские дельты (заменяют только прямо пересекающиеся ветви):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Финальная приоритетная нормализация:
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t>
  </si>
  <si>
    <t xml:space="preserve">порядок запуска/оплаты не задан.
Поздние дельты применяются по приоритету AQ3 &gt; AQ2 &gt; AQA/CQA &gt; базовая карточка; локальное исключение сильнее общего.
Финальная 2D-семантика заменяет ветвь падения и поиска безопасной точки.</t>
  </si>
  <si>
    <t xml:space="preserve">7.5.8.6.2, стр. 132.</t>
  </si>
  <si>
    <t xml:space="preserve">Реестр правил!B568:AH568</t>
  </si>
  <si>
    <t xml:space="preserve">e6b7c915820d7804f7f06fac22c1525c8069c04fa71258f82f8ff88bbf0f13f5</t>
  </si>
  <si>
    <t xml:space="preserve">SRCMAP-232</t>
  </si>
  <si>
    <t xml:space="preserve">SYM-099</t>
  </si>
  <si>
    <t xml:space="preserve">Принимаю управление</t>
  </si>
  <si>
    <t xml:space="preserve">передача контроля.</t>
  </si>
  <si>
    <t xml:space="preserve">контроллер тела и набор навыков переключены.</t>
  </si>
  <si>
    <t xml:space="preserve">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Приоритетные авторские дельты (заменяют только прямо пересекающиеся ветви):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t>
  </si>
  <si>
    <t xml:space="preserve">при нехватке ОЭ поведение не задано.
Поздние дельты применяются по приоритету AQ3 &gt; AQ2 &gt; AQA/CQA &gt; базовая карточка; локальное исключение сильнее общего.</t>
  </si>
  <si>
    <t xml:space="preserve">7.5.9.5.1, стр. 135.</t>
  </si>
  <si>
    <t xml:space="preserve">Реестр правил!B573:AH573</t>
  </si>
  <si>
    <t xml:space="preserve">b0d178a5bfad681cc801ed9ec0ffc57c9aabbf7e7ae44758df066c4e00306a88</t>
  </si>
  <si>
    <t xml:space="preserve">SRCMAP-233</t>
  </si>
  <si>
    <t xml:space="preserve">SYM-107</t>
  </si>
  <si>
    <t xml:space="preserve">Гарпун</t>
  </si>
  <si>
    <t xml:space="preserve">дальний захват / принудительное перемещение.</t>
  </si>
  <si>
    <t xml:space="preserve">создаётся связь гарпуна и возможное перемещение.</t>
  </si>
  <si>
    <t xml:space="preserve">Нормативная база (действует во всей непротиворечащей части):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При потере гарпуна восстановление 8−L суток.
Приоритетные авторские дельты (заменяют только прямо пересекающиеся ветви):
[Q-SYM-045] 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t>
  </si>
  <si>
    <t xml:space="preserve">урон, пробитие, проверка сопротивления и геометрия не заданы.
Поздние дельты применяются по приоритету AQ3 &gt; AQ2 &gt; AQA/CQA &gt; базовая карточка; локальное исключение сильнее общего.</t>
  </si>
  <si>
    <t xml:space="preserve">7.5.10.6.1, стр. 137.</t>
  </si>
  <si>
    <t xml:space="preserve">Реестр правил!B578:AH578</t>
  </si>
  <si>
    <t xml:space="preserve">a0689ec7f9534da87c5a52815a4c673665fb367b9e437c6aaf53fcd422cc88cd</t>
  </si>
  <si>
    <t xml:space="preserve">SRCMAP-234</t>
  </si>
  <si>
    <t xml:space="preserve">SYM-114</t>
  </si>
  <si>
    <t xml:space="preserve">Крылья Сверчка</t>
  </si>
  <si>
    <t xml:space="preserve">полёт / активная.</t>
  </si>
  <si>
    <t xml:space="preserve">удлинённый прыжок либо полёт.</t>
  </si>
  <si>
    <t xml:space="preserve">Нормативная база (действует во всей непротиворечащей части):
A≤10: увеличить дальность исходного прыжка в отдельный R20 раз. A≥11: начать полёт; max дальность max(0,M×L−C) км; при 0 приземлиться после прыжка. В полёте разрешены только изменение направления/высоты; дальние атаки по носителю получают −10 к точности.
Приоритетные авторские дельты (заменяют только прямо пересекающиеся ветви):
[Q-SYM-047] 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t>
  </si>
  <si>
    <t xml:space="preserve">масса тела не входит в C.
Поздние дельты применяются по приоритету AQ3 &gt; AQ2 &gt; AQA/CQA &gt; базовая карточка; локальное исключение сильнее общего.</t>
  </si>
  <si>
    <t xml:space="preserve">7.5.11.6.1 и уточнение, стр. 139.</t>
  </si>
  <si>
    <t xml:space="preserve">Реестр правил!B580:AH580</t>
  </si>
  <si>
    <t xml:space="preserve">8a623c4bd62d331865e91d54d27eb9dfa5c99a0bada31d5de3267b1aa5a9bb47</t>
  </si>
  <si>
    <t xml:space="preserve">SRCMAP-235</t>
  </si>
  <si>
    <t xml:space="preserve">SYM-120</t>
  </si>
  <si>
    <t xml:space="preserve">Выстрел паутиной</t>
  </si>
  <si>
    <t xml:space="preserve">дальняя активная / крепление.</t>
  </si>
  <si>
    <t xml:space="preserve">закреплённая линия либо самозапутывание.</t>
  </si>
  <si>
    <t xml:space="preserve">Нормативная база (действует во всей непротиворечащей части):
R≥3: дальняя атака; при попадании в твёрдый объект закрепить активную точку. Отсоединение нити от запястья занимает 1 минуту/1 действие. R=2: нет эффекта. R=1: носитель запутан, −5 ко всем проверкам до освобождения.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</si>
  <si>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сложность освобождения задаёт мастер.
Поздние дельты применяются по приоритету AQ3 &gt; AQ2 &gt; AQA/CQA &gt; базовая карточка; локальное исключение сильнее общего.</t>
  </si>
  <si>
    <t xml:space="preserve">7.5.12.5.1, стр. 141.</t>
  </si>
  <si>
    <t xml:space="preserve">Реестр правил!B583:AH583</t>
  </si>
  <si>
    <t xml:space="preserve">721f0411f005392be1d6538bd9a910003f5721ff7c39d07e98c9d3311607f0ae</t>
  </si>
  <si>
    <t xml:space="preserve">SRCMAP-236</t>
  </si>
  <si>
    <t xml:space="preserve">SYM-121</t>
  </si>
  <si>
    <t xml:space="preserve">Ловчая сеть</t>
  </si>
  <si>
    <t xml:space="preserve">дальний контроль.</t>
  </si>
  <si>
    <t xml:space="preserve">цель/носитель опутаны.</t>
  </si>
  <si>
    <t xml:space="preserve">Нормативная база (действует во всей непротиворечащей части):
R≥3: выстрелить сетью 2×2 м; при попадании цель получает −5 ко всем проверкам до освобождения. R=2: нет эффекта. R=1: руки носителя скованы на 20 минут/4 хода.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</si>
  <si>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дальность и сложность освобождения не заданы.
Поздние дельты применяются по приоритету AQ3 &gt; AQ2 &gt; AQA/CQA &gt; базовая карточка; локальное исключение сильнее общего.</t>
  </si>
  <si>
    <t xml:space="preserve">7.5.12.6.1, стр. 141.</t>
  </si>
  <si>
    <t xml:space="preserve">Реестр правил!B584:AH584</t>
  </si>
  <si>
    <t xml:space="preserve">5891c2bae20f6097eb39debd6b0b32b91c3bdc077fde810c381b9250b6187e27</t>
  </si>
  <si>
    <t xml:space="preserve">SRCMAP-237</t>
  </si>
  <si>
    <t xml:space="preserve">SYM-124</t>
  </si>
  <si>
    <t xml:space="preserve">Статическая маскировка</t>
  </si>
  <si>
    <t xml:space="preserve">маскировка либо негативный окрас.</t>
  </si>
  <si>
    <t xml:space="preserve">Нормативная база (действует во всей непротиворечащей части):
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</si>
  <si>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не складывается с динамической.
Поздние дельты применяются по приоритету AQ3 &gt; AQ2 &gt; AQA/CQA &gt; базовая карточка; локальное исключение сильнее общего.</t>
  </si>
  <si>
    <t xml:space="preserve">7.5.13.2.1, стр. 143.</t>
  </si>
  <si>
    <t xml:space="preserve">Реестр правил!B585:AH585</t>
  </si>
  <si>
    <t xml:space="preserve">912e9399d166a1aa7a4e4461be2b2222dfcb0260a2e556c53205daede4970115</t>
  </si>
  <si>
    <t xml:space="preserve">SRCMAP-238</t>
  </si>
  <si>
    <t xml:space="preserve">SYM-129</t>
  </si>
  <si>
    <t xml:space="preserve">Внешняя фотосеть</t>
  </si>
  <si>
    <t xml:space="preserve">активная площадная поддержка.</t>
  </si>
  <si>
    <t xml:space="preserve">площадной бонус.</t>
  </si>
  <si>
    <t xml:space="preserve">Нормативная база (действует во всей непротиворечащей части):
дать всем живым объектам в радиусе 4 м +L к скрытности.
Приоритетные авторские дельты (заменяют только прямо пересекающиеся ветви):
[Q-SYM-052] «Внешняя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</si>
  <si>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длительность, движение области, включение носителя и сложение не заданы.
Поздние дельты применяются по приоритету AQ3 &gt; AQ2 &gt; AQA/CQA &gt; базовая карточка; локальное исключение сильнее общего.</t>
  </si>
  <si>
    <t xml:space="preserve">7.5.13.7.1, стр. 143.</t>
  </si>
  <si>
    <t xml:space="preserve">Реестр правил!B588:AH588</t>
  </si>
  <si>
    <t xml:space="preserve">209c3a7cf125f9a2fb6b03e2478f5d3efbdd60c4c5e3dea31a5a7285388b6797</t>
  </si>
  <si>
    <t xml:space="preserve">SRCMAP-239</t>
  </si>
  <si>
    <t xml:space="preserve">SYM-131</t>
  </si>
  <si>
    <t xml:space="preserve">Базовый режим феромонов</t>
  </si>
  <si>
    <t xml:space="preserve">переключаемый пассив / состояние симбионта.</t>
  </si>
  <si>
    <t xml:space="preserve">по завершении новый тип становится активным.</t>
  </si>
  <si>
    <t xml:space="preserve">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</si>
  <si>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социальные модификаторы типов 1–3 вне реестра; контроль уровня 5 расширяет режим.
Поздние дельты применяются по приоритету AQ3 &gt; AQ2 &gt; AQA/CQA &gt; базовая карточка; локальное исключение сильнее общего.</t>
  </si>
  <si>
    <t xml:space="preserve">7.5.14.2.1–7.5.14.4.1, стр. 145.</t>
  </si>
  <si>
    <t xml:space="preserve">Реестр правил!B589:AH589</t>
  </si>
  <si>
    <t xml:space="preserve">26c4b8f2dad31bcec537fa597a18992f37c9b9af64f66b7b5200c5a83bab7e02</t>
  </si>
  <si>
    <t xml:space="preserve">SRCMAP-240</t>
  </si>
  <si>
    <t xml:space="preserve">SYM-132</t>
  </si>
  <si>
    <t xml:space="preserve">Чёрно-белая ярость</t>
  </si>
  <si>
    <t xml:space="preserve">активное усиление / контроль при единице.</t>
  </si>
  <si>
    <t xml:space="preserve">временный бафф либо принуждение.</t>
  </si>
  <si>
    <t xml:space="preserve">Нормативная база (действует во всей непротиворечащей части):
R≥4: цель получает +L S и +L D на R/5 минут/ходов. R=2–3: нет эффекта. R=1: цель в течение 1 хода пытается убить носителя Пингвина.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[Q-SYM-054] 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</si>
  <si>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сопротивление цели не указано.
Поздние дельты применяются по приоритету AQ3 &gt; AQ2 &gt; AQA/CQA &gt; базовая карточка; локальное исключение сильнее общего.</t>
  </si>
  <si>
    <t xml:space="preserve">7.5.14.5.1, стр. 145.</t>
  </si>
  <si>
    <t xml:space="preserve">Реестр правил!B590:AH590</t>
  </si>
  <si>
    <t xml:space="preserve">dcfc59b52c25bafedb539251f7adc4ccd29aae7203a58916e1f46a1f3aafd139</t>
  </si>
  <si>
    <t xml:space="preserve">SRCMAP-241</t>
  </si>
  <si>
    <t xml:space="preserve">SYM-133</t>
  </si>
  <si>
    <t xml:space="preserve">Чёрно-белый контроль</t>
  </si>
  <si>
    <t xml:space="preserve">пассив / управление режимом.</t>
  </si>
  <si>
    <t xml:space="preserve">активный набор из 0–2 типов.</t>
  </si>
  <si>
    <t xml:space="preserve">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</si>
  <si>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повторное включение/смена следует базовому таймеру, если не решено иначе.
Поздние дельты применяются по приоритету AQ3 &gt; AQ2 &gt; AQA/CQA &gt; базовая карточка; локальное исключение сильнее общего.</t>
  </si>
  <si>
    <t xml:space="preserve">7.5.14.6.1, стр. 146.</t>
  </si>
  <si>
    <t xml:space="preserve">Реестр правил!B591:AH591</t>
  </si>
  <si>
    <t xml:space="preserve">ac8b247d675db8cc97adc0c84d01c0e0608d1872350d7b97b0a2ad6e6f68039a</t>
  </si>
  <si>
    <t xml:space="preserve">SRCMAP-242</t>
  </si>
  <si>
    <t xml:space="preserve">SYM-135</t>
  </si>
  <si>
    <t xml:space="preserve">Чёрно-белое доминирование</t>
  </si>
  <si>
    <t xml:space="preserve">активный усилитель Пингвина.</t>
  </si>
  <si>
    <t xml:space="preserve">множитель эффектов либо L−1.</t>
  </si>
  <si>
    <t xml:space="preserve">Нормативная база (действует во всей непротиворечащей части):
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t>
  </si>
  <si>
    <t xml:space="preserve">при потере до L6 сама способность становится недоступна по общему правилу.
Поздние дельты применяются по приоритету AQ3 &gt; AQ2 &gt; AQA/CQA &gt; базовая карточка; локальное исключение сильнее общего.</t>
  </si>
  <si>
    <t xml:space="preserve">7.5.14.8.1 и уточнение, стр. 146.</t>
  </si>
  <si>
    <t xml:space="preserve">Реестр правил!B593:AH593</t>
  </si>
  <si>
    <t xml:space="preserve">17faff73c07583848b9748d7b1d075e2fc16375ee48b493a85fde0a5dd66bfac</t>
  </si>
  <si>
    <t xml:space="preserve">SRCMAP-243</t>
  </si>
  <si>
    <t xml:space="preserve">SYM-137</t>
  </si>
  <si>
    <t xml:space="preserve">Контактный шокер</t>
  </si>
  <si>
    <t xml:space="preserve">добавка к рукопашной атаке / электричество.</t>
  </si>
  <si>
    <t xml:space="preserve">урон/контроль цели или носителя.</t>
  </si>
  <si>
    <t xml:space="preserve">Нормативная база (действует во всей непротиворечащей части):
носитель всегда получает B урона. При попадании цель получает 2A; при промахе носитель дополнительно получает 2A, оба пакета складываются.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
Приоритетные авторские дельты (заменяют только прямо пересекающиеся ветви):
[Q-SYM-056] При промахе носитель получает и отдельный обратный урон R20 и все. Специальное последствие натуральной 1 применяется дополнительно по своему тексту.</t>
  </si>
  <si>
    <t xml:space="preserve">способность срабатывает несмотря на промах.
Поздние дельты применяются по приоритету AQ3 &gt; AQ2 &gt; AQA/CQA &gt; базовая карточка; локальное исключение сильнее общего.</t>
  </si>
  <si>
    <t xml:space="preserve">7.5.15.2.1 и уточнение, стр. 148.</t>
  </si>
  <si>
    <t xml:space="preserve">Реестр правил!B594:AH594</t>
  </si>
  <si>
    <t xml:space="preserve">209836ca4082df86f60d845495229f8eb3481db9640040e3c0479c215e870aa6</t>
  </si>
  <si>
    <t xml:space="preserve">SRCMAP-244</t>
  </si>
  <si>
    <t xml:space="preserve">SYM-139</t>
  </si>
  <si>
    <t xml:space="preserve">Электрическая дуга</t>
  </si>
  <si>
    <t xml:space="preserve">поддерживаемая способность / оружие / блок.</t>
  </si>
  <si>
    <t xml:space="preserve">поддерживаемое оружие, атака/блок, ресурсные тики.</t>
  </si>
  <si>
    <t xml:space="preserve">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Атака требует рукопашную проверку; цель защищается только уклонением/упреждающим ударом; при попадании урон 2A; A&gt;22−L → оглушение 1 ход/5 мин; A&gt;20−L → отключение симбионтов на тот же срок;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
Приоритетные авторские дельты (заменяют только прямо пересекающиеся ветви):
[Q-SYM-057] 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</si>
  <si>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прекращение только в ход носителя.
Поздние дельты применяются по приоритету AQ3 &gt; AQ2 &gt; AQA/CQA &gt; базовая карточка; локальное исключение сильнее общего.</t>
  </si>
  <si>
    <t xml:space="preserve">7.5.15.4.1, стр. 148.</t>
  </si>
  <si>
    <t xml:space="preserve">Реестр правил!B595:AH595</t>
  </si>
  <si>
    <t xml:space="preserve">0159c76e2d156b6c189b88833270f4209f9e05ae573b007f50097a47ecf2348b</t>
  </si>
  <si>
    <t xml:space="preserve">SRCMAP-245</t>
  </si>
  <si>
    <t xml:space="preserve">SYM-157</t>
  </si>
  <si>
    <t xml:space="preserve">Первый среди равных: стая</t>
  </si>
  <si>
    <t xml:space="preserve">призванная боевая единица.</t>
  </si>
  <si>
    <t xml:space="preserve">динамическая групповая сущность.</t>
  </si>
  <si>
    <t xml:space="preserve">Нормативная база (действует во всей непротиворечащей части):
одна единица: S=D=M=HP=N (N≤30), I=1,C=1,W=10,Z=10; брони и активной защиты нет; одна чистая инициатива и одно боевое действие. Укус: точность R20+D, пробитие 0, урон R6+N/5. Каждая потеря 1 HP удаляет 1 крысу и сразу уменьшает S,D,M,HP. При потере ≥30% N0 стая отступает.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</si>
  <si>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с Крысиным королём порог 60%; при возвращении Крысы в тело статус обычно утрачен.
Поздние дельты применяются по приоритету AQ3 &gt; AQ2 &gt; AQA/CQA &gt; базовая карточка; локальное исключение сильнее общего.</t>
  </si>
  <si>
    <t xml:space="preserve">7.5.17.5.2 и уточнение, стр. 153.
Предразработочный QA и прямые ответы пользователя 2026-07-29</t>
  </si>
  <si>
    <t xml:space="preserve">Реестр правил!B601:AH601</t>
  </si>
  <si>
    <t xml:space="preserve">fd27ec834ba13f2718724420faf4fa79b67d60807e03b4ee016a34fcb31f96da</t>
  </si>
  <si>
    <t xml:space="preserve">SRCMAP-246</t>
  </si>
  <si>
    <t xml:space="preserve">SYM-159</t>
  </si>
  <si>
    <t xml:space="preserve">Крысиный король</t>
  </si>
  <si>
    <t xml:space="preserve">пассив / мораль стаи.</t>
  </si>
  <si>
    <t xml:space="preserve">стая продолжает бой до нового порога.</t>
  </si>
  <si>
    <t xml:space="preserve">Нормативная база (действует во всей непротиворечащей части):
заменить порог отступления 30% на 60% исходного состава.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</si>
  <si>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Ретранслятор отменяет отступление из-за любых потерь в свой период.
Поздние дельты применяются по приоритету AQ3 &gt; AQ2 &gt; AQA/CQA &gt; базовая карточка; локальное исключение сильнее общего.</t>
  </si>
  <si>
    <t xml:space="preserve">7.5.17.6.2, стр. 154.
Предразработочный QA и прямые ответы пользователя 2026-07-29</t>
  </si>
  <si>
    <t xml:space="preserve">Реестр правил!B602:AH602</t>
  </si>
  <si>
    <t xml:space="preserve">4b72fea23e27124408fc800756648e6eadeab5ab9bed5ef977915014a7b4079c</t>
  </si>
  <si>
    <t xml:space="preserve">SRCMAP-247</t>
  </si>
  <si>
    <t xml:space="preserve">SYM-163</t>
  </si>
  <si>
    <t xml:space="preserve">Эхолокация</t>
  </si>
  <si>
    <t xml:space="preserve">активное пространственное восприятие.</t>
  </si>
  <si>
    <t xml:space="preserve">раскрывается пространственный план в направлении.</t>
  </si>
  <si>
    <t xml:space="preserve">Нормативная база (действует во всей непротиворечащей части):
если объект под водой — гарантированно получить план местности/объектов; иначе успех, если R20 &gt; 12−L.
Приоритетные авторские дельты (заменяют только прямо пересекающиеся ветви):
[Q-SYM-063]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</si>
  <si>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дальность/сектор не заданы.
Поздние дельты применяются по приоритету AQ3 &gt; AQ2 &gt; AQA/CQA &gt; базовая карточка; локальное исключение сильнее общего.</t>
  </si>
  <si>
    <t xml:space="preserve">7.5.18.3.1, стр. 156.</t>
  </si>
  <si>
    <t xml:space="preserve">Реестр правил!B603:AH603</t>
  </si>
  <si>
    <t xml:space="preserve">2234540ea983df7812fbae9127c51c11d9be818411677eff7bef5f267bf1690b</t>
  </si>
  <si>
    <t xml:space="preserve">SRCMAP-248</t>
  </si>
  <si>
    <t xml:space="preserve">активное состояние стазиса.</t>
  </si>
  <si>
    <t xml:space="preserve">состояние статуи и заморозка таймеров тика.</t>
  </si>
  <si>
    <t xml:space="preserve">Нормативная база (действует во всей непротиворечащей части):
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
Приоритетные авторские дельты (заменяют только прямо пересекающиеся ветви):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t>
  </si>
  <si>
    <t xml:space="preserve">метаболические небоевые эффекты не автоматизируются здесь.
Поздние дельты применяются по приоритету AQ3 &gt; AQ2 &gt; AQA/CQA &gt; базовая карточка; локальное исключение сильнее общего.</t>
  </si>
  <si>
    <t xml:space="preserve">7.5.19.3.1 и уточнение, стр. 158.</t>
  </si>
  <si>
    <t xml:space="preserve">Реестр правил!B605:AH605</t>
  </si>
  <si>
    <t xml:space="preserve">ab84fd61dab5bc3703e7b3d9d8f46ce67f55d608bc08a10a83cb3c555406b052</t>
  </si>
  <si>
    <t xml:space="preserve">SRCMAP-249</t>
  </si>
  <si>
    <t xml:space="preserve">SYM-171</t>
  </si>
  <si>
    <t xml:space="preserve">Каннибализм</t>
  </si>
  <si>
    <t xml:space="preserve">активное восстановление / постоянное развитие.</t>
  </si>
  <si>
    <t xml:space="preserve">полное восстановление и результат диапазона.</t>
  </si>
  <si>
    <t xml:space="preserve">Нормативная база (действует во всей непротиворечащей части):
сначала полностью восстановить HP носителя и ОЭ Богомола.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
Приоритетные авторские дельты (заменяют только прямо пересекающиеся ветви):
[Q-SYM-066]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t>
  </si>
  <si>
    <t xml:space="preserve">цена списывается до полного восстановления.
Поздние дельты применяются по приоритету AQ3 &gt; AQ2 &gt; AQA/CQA &gt; базовая карточка; локальное исключение сильнее общего.</t>
  </si>
  <si>
    <t xml:space="preserve">7.5.19.5.1, стр. 158.</t>
  </si>
  <si>
    <t xml:space="preserve">Реестр правил!B606:AH606</t>
  </si>
  <si>
    <t xml:space="preserve">f2036b529b1f6307691a50445ad4d248b8f7b7352b574fd935fb7292b99c51fc</t>
  </si>
  <si>
    <t xml:space="preserve">SRCMAP-250</t>
  </si>
  <si>
    <t xml:space="preserve">SYM-173</t>
  </si>
  <si>
    <t xml:space="preserve">Веерная защита</t>
  </si>
  <si>
    <t xml:space="preserve">активная стойка / реактивные атаки.</t>
  </si>
  <si>
    <t xml:space="preserve">реакция отмечена на цель, действие прервано, атаки разрешены.</t>
  </si>
  <si>
    <t xml:space="preserve">Нормативная база (действует во всей непротиворечащей части):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</si>
  <si>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максимум один триггер на противника за круг.
Поздние дельты применяются по приоритету AQ3 &gt; AQ2 &gt; AQA/CQA &gt; базовая карточка; локальное исключение сильнее общего.</t>
  </si>
  <si>
    <t xml:space="preserve">7.5.19.7.1 и уточнение, стр. 159.</t>
  </si>
  <si>
    <t xml:space="preserve">Реестр правил!B608:AH608</t>
  </si>
  <si>
    <t xml:space="preserve">472607b8b97d90277903264ebc631a6222ea5992ebac3cc6871e9396ca804e68</t>
  </si>
  <si>
    <t xml:space="preserve">SRCMAP-251</t>
  </si>
  <si>
    <t xml:space="preserve">SYM-175</t>
  </si>
  <si>
    <t xml:space="preserve">Анальная железа</t>
  </si>
  <si>
    <t xml:space="preserve">дальняя атака / контроль.</t>
  </si>
  <si>
    <t xml:space="preserve">набор дебаффов/урон/тушение либо постоянный до бани штраф носителя.</t>
  </si>
  <si>
    <t xml:space="preserve">Нормативная база (действует во всей непротиворечащей части):
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A≥17: цель пропускает следующий ход, но может защищаться в нём с −5 ко всем проверкам; при попадании в пламя погасить. Одинаковые эффекты не складывать.
Приоритетные авторские дельты (заменяют только прямо пересекающиеся ветви):
[Q-SYM-067] 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</si>
  <si>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диапазон 17+ не говорит о добавлении нижних диапазонов, поэтому они не добавлены.
Поздние дельты применяются по приоритету AQ3 &gt; AQ2 &gt; AQA/CQA &gt; базовая карточка; локальное исключение сильнее общего.</t>
  </si>
  <si>
    <t xml:space="preserve">7.5.20.2.1, стр. 161.</t>
  </si>
  <si>
    <t xml:space="preserve">Реестр правил!B609:AH609</t>
  </si>
  <si>
    <t xml:space="preserve">30684e6128d53049ace2ffc53cdc3a6b3a290f6b95e187856479ed5afd9974a2</t>
  </si>
  <si>
    <t xml:space="preserve">SRCMAP-252</t>
  </si>
  <si>
    <t xml:space="preserve">SYM-176</t>
  </si>
  <si>
    <t xml:space="preserve">Подладонные железы</t>
  </si>
  <si>
    <t xml:space="preserve">пассив / альтернативный канал Анальной железы.</t>
  </si>
  <si>
    <t xml:space="preserve">ослабленный эффект таблицы.</t>
  </si>
  <si>
    <t xml:space="preserve">Нормативная база (действует во всей непротиворечащей части):
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
Приоритетные авторские дельты (заменяют только прямо пересекающиеся ветви):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</si>
  <si>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стоимость, дальность и естественная 1 не уточнены.
Поздние дельты применяются по приоритету AQ3 &gt; AQ2 &gt; AQA/CQA &gt; базовая карточка; локальное исключение сильнее общего.</t>
  </si>
  <si>
    <t xml:space="preserve">7.5.20.3.1 и уточнение, стр. 161.</t>
  </si>
  <si>
    <t xml:space="preserve">Реестр правил!B610:AH610</t>
  </si>
  <si>
    <t xml:space="preserve">ea4d9647f14fa8208100bca4a3d6a5b3444bfdeed76b8a8920665dbc5ab6daee</t>
  </si>
  <si>
    <t xml:space="preserve">SRCMAP-253</t>
  </si>
  <si>
    <t xml:space="preserve">SYM-177</t>
  </si>
  <si>
    <t xml:space="preserve">Вонючее облако</t>
  </si>
  <si>
    <t xml:space="preserve">длительная область / дебафф.</t>
  </si>
  <si>
    <t xml:space="preserve">объект области, динамический состав/дебаффы/таймеры огня.</t>
  </si>
  <si>
    <t xml:space="preserve">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Проверки обнаружения в радиусе получают −10. Пока персонаж внутри, кроме носителя любого Скунса, снизить M на отдельный R20, но не ниже 1; при M=1 ограничить до 1 боевого действия в ход. При выходе/рассеивании полностью снять снижение. При перекрытии выбрать сильнейшее снижение, не складывать. Источник пламени, непрерывно находящийся внутри, гаснет через 2 минуты/2 хода.
Приоритетные авторские дельты (заменяют только прямо пересекающиеся ветви):
[Q-SYM-069] 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t>
  </si>
  <si>
    <t xml:space="preserve">носители Скунса иммунны только к снижению M; штраф обнаружения исключения не имеет.
Поздние дельты применяются по приоритету AQ3 &gt; AQ2 &gt; AQA/CQA &gt; базовая карточка; локальное исключение сильнее общего.</t>
  </si>
  <si>
    <t xml:space="preserve">7.5.20.4.1 и уточнение, стр. 161.</t>
  </si>
  <si>
    <t xml:space="preserve">Реестр правил!B611:AH611</t>
  </si>
  <si>
    <t xml:space="preserve">87c3d605e4993123964a71f4d52e778d43da557ba74b7d86a506e76d58bd03a6</t>
  </si>
  <si>
    <t xml:space="preserve">SRCMAP-254</t>
  </si>
  <si>
    <t xml:space="preserve">SYM-179</t>
  </si>
  <si>
    <t xml:space="preserve">Миномёт</t>
  </si>
  <si>
    <t xml:space="preserve">создание мин / отложенный контактный эффект.</t>
  </si>
  <si>
    <t xml:space="preserve">набор объектов-ловушек с таймерами и одноразовым/неуказанным контактом.</t>
  </si>
  <si>
    <t xml:space="preserve">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</si>
  <si>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«незаметность (10+L)×2 (чистая проверка)» не содержит дайса; дальность/раскладка и расходование мины не заданы.
Поздние дельты применяются по приоритету AQ3 &gt; AQ2 &gt; AQA/CQA &gt; базовая карточка; локальное исключение сильнее общего.</t>
  </si>
  <si>
    <t xml:space="preserve">7.5.20.6.1, стр. 162.</t>
  </si>
  <si>
    <t xml:space="preserve">Реестр правил!B613:AH613</t>
  </si>
  <si>
    <t xml:space="preserve">8febbf2e48bb2834b749a7cce1a73945e680a6e8522ac11981c7ae44de89f77b</t>
  </si>
  <si>
    <t xml:space="preserve">SRCMAP-255</t>
  </si>
  <si>
    <t xml:space="preserve">MON-020</t>
  </si>
  <si>
    <t xml:space="preserve">«Неудержимость»</t>
  </si>
  <si>
    <t xml:space="preserve">активный иммунитет к контролю.</t>
  </si>
  <si>
    <t xml:space="preserve">временный иммунитет либо временное снижение I; затраты не возвращаются.</t>
  </si>
  <si>
    <t xml:space="preserve">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
Приоритетные авторские дельты (заменяют только прямо пересекающиеся ветви):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</si>
  <si>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перечисление в скобках не объявлено закрытым; физическое обездвиживание и тяжёлое ранение не отменяются, если утверждённая таксономия не отнесёт их к эффектам контроля.
Поздние дельты применяются по приоритету AQ3 &gt; AQ2 &gt; AQA/CQA &gt; базовая карточка; локальное исключение сильнее общего.</t>
  </si>
  <si>
    <t xml:space="preserve">§7.6.1.6.1, печ. стр. 165.</t>
  </si>
  <si>
    <t xml:space="preserve">Реестр правил!B620:AH620</t>
  </si>
  <si>
    <t xml:space="preserve">5a62ce63d92c4a5dc734d4d3219157a7438b88b7dd8db39aaad1d264498da2c7</t>
  </si>
  <si>
    <t xml:space="preserve">SRCMAP-256</t>
  </si>
  <si>
    <t xml:space="preserve">MON-023</t>
  </si>
  <si>
    <t xml:space="preserve">«Ведомый голодом»: активация и состав эффекта</t>
  </si>
  <si>
    <t xml:space="preserve">активная форма / комплексный бафф.</t>
  </si>
  <si>
    <t xml:space="preserve">создать комплексный эффект с зафиксированными исходными максимумами и характеристиками.</t>
  </si>
  <si>
    <t xml:space="preserve">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Приоритетные авторские дельты (заменяют только прямо пересекающиеся ветви):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</si>
  <si>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при 1 основной эффект не активируется; затраты не возвращаются.
Поздние дельты применяются по приоритету AQ3 &gt; AQ2 &gt; AQA/CQA &gt; базовая карточка; локальное исключение сильнее общего.</t>
  </si>
  <si>
    <t xml:space="preserve">§7.6.1.7.1 и уточнение, печ. стр. 165–166.</t>
  </si>
  <si>
    <t xml:space="preserve">Реестр правил!B622:AH622</t>
  </si>
  <si>
    <t xml:space="preserve">42dbcf686e6c4d4fcfb4d9cb64c5868b5916634f8b009d5438d6e52fa1ae0a76</t>
  </si>
  <si>
    <t xml:space="preserve">SRCMAP-257</t>
  </si>
  <si>
    <t xml:space="preserve">MON-030</t>
  </si>
  <si>
    <t xml:space="preserve">«Рассеянность»: эффект очередного хода</t>
  </si>
  <si>
    <t xml:space="preserve">периодический контроль.</t>
  </si>
  <si>
    <t xml:space="preserve">снять эффект либо записать отложенное принуждение/потерю навыков.</t>
  </si>
  <si>
    <t xml:space="preserve">Нормативная база (действует во всей непротиворечащей части):
20 — снять эффект;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
Приоритетные авторские дельты (заменяют только прямо пересекающиеся ветви):
[Q-MON-010] 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
[Q-MON-011]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t>
  </si>
  <si>
    <t xml:space="preserve">диапазон 9–14 вне боя не действует.
Поздние дельты применяются по приоритету AQ3 &gt; AQ2 &gt; AQA/CQA &gt; базовая карточка; локальное исключение сильнее общего.</t>
  </si>
  <si>
    <t xml:space="preserve">Реестр правил!B623:AH623</t>
  </si>
  <si>
    <t xml:space="preserve">fd1c8c5fd8e3ea7cbd7e6d857794238ac7ab07414aef33a9ca3c4c3b1403e11d</t>
  </si>
  <si>
    <t xml:space="preserve">SRCMAP-258</t>
  </si>
  <si>
    <t xml:space="preserve">MON-032</t>
  </si>
  <si>
    <t xml:space="preserve">«Превосходство»</t>
  </si>
  <si>
    <t xml:space="preserve">временная передача навыка.</t>
  </si>
  <si>
    <t xml:space="preserve">после первого события навык остаётся только у исходной цели.</t>
  </si>
  <si>
    <t xml:space="preserve">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</si>
  <si>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при провале встречной проверки передачи нет.
Поздние дельты применяются по приоритету AQ3 &gt; AQ2 &gt; AQA/CQA &gt; базовая карточка; локальное исключение сильнее общего.</t>
  </si>
  <si>
    <t xml:space="preserve">§7.6.2.4.2 и уточнение, печ. стр. 168.</t>
  </si>
  <si>
    <t xml:space="preserve">Реестр правил!B625:AH625</t>
  </si>
  <si>
    <t xml:space="preserve">66da60587175c08572145303851c170f34563e52c6c59cbb0e3ef4bd20ec1e44</t>
  </si>
  <si>
    <t xml:space="preserve">SRCMAP-259</t>
  </si>
  <si>
    <t xml:space="preserve">MON-033</t>
  </si>
  <si>
    <t xml:space="preserve">«Псионическое разложение»: цикл поддержания</t>
  </si>
  <si>
    <t xml:space="preserve">активная поддерживаемая атакующая способность.</t>
  </si>
  <si>
    <t xml:space="preserve">уменьшить HP цели; увеличить номер поддержания на 1; после четвёртого хода завершить эффект.</t>
  </si>
  <si>
    <t xml:space="preserve">Нормативная база (действует во всей непротиворечащей части):
списать 50 ОЭ; не бросать серию и потратить весь боевой ход; в конце хода нанести L×2^(n−1) урона (L, 2L, 4L, 8L).
Приоритетные авторские дельты (заменяют только прямо пересекающиеся ветви):
[Q-MON-013]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t>
  </si>
  <si>
    <t xml:space="preserve">немедленно прекратить при потере дистанции, видимости, дееспособности или концентрации; невозможность заплатить 50 ОЭ также прекращает цикл по общему правилу.
Поздние дельты применяются по приоритету AQ3 &gt; AQ2 &gt; AQA/CQA &gt; базовая карточка; локальное исключение сильнее общего.</t>
  </si>
  <si>
    <t xml:space="preserve">Реестр правил!B626:AH626</t>
  </si>
  <si>
    <t xml:space="preserve">3962c3516d33c29ac3c8512bde9f9aec6d193bcaa8cde1fb02000e0818a12e2a</t>
  </si>
  <si>
    <t xml:space="preserve">SRCMAP-260</t>
  </si>
  <si>
    <t xml:space="preserve">MON-036</t>
  </si>
  <si>
    <t xml:space="preserve">«Отмена действия»</t>
  </si>
  <si>
    <t xml:space="preserve">подготовленная реакция / ментальный контроль.</t>
  </si>
  <si>
    <t xml:space="preserve">эффект исходного действия не применяется; реакция и ОЭ расходуются.</t>
  </si>
  <si>
    <t xml:space="preserve">Нормативная база (действует во всей непротиворечащей части):
если I Кукловода &gt; I цели, цель останавливается и не доводит физическое действие до конца.
Приоритетные авторские дельты (заменяют только прямо пересекающиеся ветви):
[Q-MON-015] 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t>
  </si>
  <si>
    <t xml:space="preserve">критически успешное действие отменить нельзя.
Поздние дельты применяются по приоритету AQ3 &gt; AQ2 &gt; AQA/CQA &gt; базовая карточка; локальное исключение сильнее общего.</t>
  </si>
  <si>
    <t xml:space="preserve">§7.6.2.5.3, печ. стр. 169.</t>
  </si>
  <si>
    <t xml:space="preserve">Реестр правил!B628:AH628</t>
  </si>
  <si>
    <t xml:space="preserve">344e899548cc26981994b054ba6f812178cdf31c968afc770b406db4a9489136</t>
  </si>
  <si>
    <t xml:space="preserve">SRCMAP-261</t>
  </si>
  <si>
    <t xml:space="preserve">MON-038</t>
  </si>
  <si>
    <t xml:space="preserve">«Марионетка»</t>
  </si>
  <si>
    <t xml:space="preserve">активный полный контроль.</t>
  </si>
  <si>
    <t xml:space="preserve">При успехе effectiveController временно становится контроллером Кукловода; owningController не меняется. По окончании эффекта управление восстанавливается.</t>
  </si>
  <si>
    <t xml:space="preserve">Выполнить два независимых броска: puppeteerResult=R20+I_Кукловода и targetResult=R20+I_цели. Успех, если puppeteerResult≥targetResult+10. После успеха отдельно бросить длительность и создать временный ControlLease по CORE-221.</t>
  </si>
  <si>
    <t xml:space="preserve">Бросок длительности не участвует во встречной проверке. Уже существующий более приоритетный явный запрет ментального контроля сохраняется.</t>
  </si>
  <si>
    <t xml:space="preserve">§7.6.2.6.3, печ. стр. 169.
Предразработочный QA и прямые ответы пользователя 2026-07-29</t>
  </si>
  <si>
    <t xml:space="preserve">Реестр правил!B630:AH630</t>
  </si>
  <si>
    <t xml:space="preserve">0da19d11b921aa3f86847c4e64cb1f650d239a863dd771b414daeac076c69c29</t>
  </si>
  <si>
    <t xml:space="preserve">SRCMAP-262</t>
  </si>
  <si>
    <t xml:space="preserve">MON-039</t>
  </si>
  <si>
    <t xml:space="preserve">«Ментальная паутина»</t>
  </si>
  <si>
    <t xml:space="preserve">активный усилитель следующей способности.</t>
  </si>
  <si>
    <t xml:space="preserve">следующая способность становится многоцелевой; после разрешения либо истечения срока усилитель удаляется.</t>
  </si>
  <si>
    <t xml:space="preserve">Нормативная база (действует во всей непротиворечащей части):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Приоритетные авторские дельты (заменяют только прямо пересекающиеся ветви):
[Q-MON-018]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t>
  </si>
  <si>
    <t xml:space="preserve">не подходят самонаправленные, пассивные и площадные способности.
Поздние дельты применяются по приоритету AQ3 &gt; AQ2 &gt; AQA/CQA &gt; базовая карточка; локальное исключение сильнее общего.</t>
  </si>
  <si>
    <t xml:space="preserve">§7.6.2.7.1 и уточнение, печ. стр. 169.</t>
  </si>
  <si>
    <t xml:space="preserve">Реестр правил!B631:AH631</t>
  </si>
  <si>
    <t xml:space="preserve">081ca9e7fa337080d6100720ab969154830ab1543662d2c8b9cffbfa74fecef8</t>
  </si>
  <si>
    <t xml:space="preserve">SRCMAP-263</t>
  </si>
  <si>
    <t xml:space="preserve">MON-043</t>
  </si>
  <si>
    <t xml:space="preserve">Цена повторных попыток заражения в бою</t>
  </si>
  <si>
    <t xml:space="preserve">экономика действий.</t>
  </si>
  <si>
    <t xml:space="preserve">увеличить счётчик попыток и списать действие при count&gt;1.</t>
  </si>
  <si>
    <t xml:space="preserve">Нормативная база (действует во всей непротиворечащей части):
первая попытка не тратит боевое действие; каждая следующая стоит 1 боевое действие.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</si>
  <si>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стоимость ОЭ конкретной способности оплачивается отдельно.
Поздние дельты применяются по приоритету AQ3 &gt; AQ2 &gt; AQA/CQA &gt; базовая карточка; локальное исключение сильнее общего.</t>
  </si>
  <si>
    <t xml:space="preserve">Реестр правил!B632:AH632</t>
  </si>
  <si>
    <t xml:space="preserve">58c7ec9e026357ceafd7e6c0cbe828e5d7346e3b480d0436c1250a2fa4a969b7</t>
  </si>
  <si>
    <t xml:space="preserve">SRCMAP-264</t>
  </si>
  <si>
    <t xml:space="preserve">MON-044</t>
  </si>
  <si>
    <t xml:space="preserve">Заражение через инфицированного переносчика</t>
  </si>
  <si>
    <t xml:space="preserve">опосредованное заражение.</t>
  </si>
  <si>
    <t xml:space="preserve">новая цель привязана к тому же Доктору-источнику.</t>
  </si>
  <si>
    <t xml:space="preserve">Нормативная база (действует во всей непротиворечащей части):
Доктор выполняет проверку; при строгом превышении новая цель заражается.
Приоритетные авторские дельты (заменяют только прямо пересекающиеся ветви):
[Q-MON-020] 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t>
  </si>
  <si>
    <t xml:space="preserve">заражение не происходит автономно без концентрации/проверки Доктора.
Поздние дельты применяются по приоритету AQ3 &gt; AQ2 &gt; AQA/CQA &gt; базовая карточка; локальное исключение сильнее общего.</t>
  </si>
  <si>
    <t xml:space="preserve">Реестр правил!B633:AH633</t>
  </si>
  <si>
    <t xml:space="preserve">32196dba23c935fe16afc72521a291088fe96163e34dad158744c7a4606c3271</t>
  </si>
  <si>
    <t xml:space="preserve">SRCMAP-265</t>
  </si>
  <si>
    <t xml:space="preserve">MON-046</t>
  </si>
  <si>
    <t xml:space="preserve">Добровольное уничтожение ассистентов</t>
  </si>
  <si>
    <t xml:space="preserve">управление заражением.</t>
  </si>
  <si>
    <t xml:space="preserve">снять заражение и освободить единицу лимита.</t>
  </si>
  <si>
    <t xml:space="preserve">Нормативная база (действует во всей непротиворечащей части):
уничтожить всех ассистентов в цели.
Приоритетные авторские дельты (заменяют только прямо пересекающиеся ветви):
[Q-MON-021] 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t>
  </si>
  <si>
    <t xml:space="preserve">не снимает отдельно наложенную болезнь «Поветрие».
Поздние дельты применяются по приоритету AQ3 &gt; AQ2 &gt; AQA/CQA &gt; базовая карточка; локальное исключение сильнее общего.</t>
  </si>
  <si>
    <t xml:space="preserve">Реестр правил!B634:AH634</t>
  </si>
  <si>
    <t xml:space="preserve">0d9cabfa3b97aa71d1bb77376295a37fa1de5109f3a9f8ec848b516d1a232fe8</t>
  </si>
  <si>
    <t xml:space="preserve">SRCMAP-266</t>
  </si>
  <si>
    <t xml:space="preserve">MON-047</t>
  </si>
  <si>
    <t xml:space="preserve">Реакция заражённого дикого животного</t>
  </si>
  <si>
    <t xml:space="preserve">контроль поведения животного.</t>
  </si>
  <si>
    <t xml:space="preserve">назначить поведение «бегство».</t>
  </si>
  <si>
    <t xml:space="preserve">Нормативная база (действует во всей непротиворечащей части):
если R20 &lt; L, животное бросается в бегство.
Приоритетные авторские дельты (заменяют только прямо пересекающиеся ветви):
[Q-MON-022] 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t>
  </si>
  <si>
    <t xml:space="preserve">для мыслящих и недиких животных проверка не указана.
Поздние дельты применяются по приоритету AQ3 &gt; AQ2 &gt; AQA/CQA &gt; базовая карточка; локальное исключение сильнее общего.</t>
  </si>
  <si>
    <t xml:space="preserve">Реестр правил!B635:AH635</t>
  </si>
  <si>
    <t xml:space="preserve">bd21c0fb781930b1fcb60c28f1477c5d343cbd61f1ecc75a112bb6f30be81a81</t>
  </si>
  <si>
    <t xml:space="preserve">SRCMAP-267</t>
  </si>
  <si>
    <t xml:space="preserve">MON-048</t>
  </si>
  <si>
    <t xml:space="preserve">Воздушно-капельное заражение «Кхе-кхе…»</t>
  </si>
  <si>
    <t xml:space="preserve">дальнее заражение.</t>
  </si>
  <si>
    <t xml:space="preserve">добавить цель в реестр с обработкой лимита.</t>
  </si>
  <si>
    <t xml:space="preserve">Нормативная база (действует во всей непротиворечащей части):
если итог Доктора строго выше проверки Z, заразить ассистентами.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</si>
  <si>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«Нэйт» полностью блокирует этот путь; цена действия требует решения Q-MON-019.
Поздние дельты применяются по приоритету AQ3 &gt; AQ2 &gt; AQA/CQA &gt; базовая карточка; локальное исключение сильнее общего.</t>
  </si>
  <si>
    <t xml:space="preserve">§7.6.3.3.1, печ. стр. 171.</t>
  </si>
  <si>
    <t xml:space="preserve">Реестр правил!B636:AH636</t>
  </si>
  <si>
    <t xml:space="preserve">379e2f76bb71d5a17656a18f2e249440886896bc4f7b7fd8dd2912a1338f1486</t>
  </si>
  <si>
    <t xml:space="preserve">SRCMAP-268</t>
  </si>
  <si>
    <t xml:space="preserve">MON-050</t>
  </si>
  <si>
    <t xml:space="preserve">«Они вам помогут…»: лечение ценой ассистентов</t>
  </si>
  <si>
    <t xml:space="preserve">активное лечение заражённого.</t>
  </si>
  <si>
    <t xml:space="preserve">заражение снимается при сработавших ветках; применяются лечение/возгорание.</t>
  </si>
  <si>
    <t xml:space="preserve">Нормативная база (действует во всей непротиворечащей части):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
Приоритетные авторские дельты (заменяют только прямо пересекающиеся ветви):
[Q-MON-023]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t>
  </si>
  <si>
    <t xml:space="preserve">при применении к себе Доктор теряет возможность проверок заражения на 8−L часов.
Поздние дельты применяются по приоритету AQ3 &gt; AQ2 &gt; AQA/CQA &gt; базовая карточка; локальное исключение сильнее общего.</t>
  </si>
  <si>
    <t xml:space="preserve">§7.6.3.3.3, печ. стр. 171.</t>
  </si>
  <si>
    <t xml:space="preserve">Реестр правил!B637:AH637</t>
  </si>
  <si>
    <t xml:space="preserve">20265ee18eaf6ebe2a5f1bc138d455ed03e36969ab5b4338afec72956a473371</t>
  </si>
  <si>
    <t xml:space="preserve">SRCMAP-269</t>
  </si>
  <si>
    <t xml:space="preserve">MON-051</t>
  </si>
  <si>
    <t xml:space="preserve">«Не обращайте внимания — я потягиваюсь»</t>
  </si>
  <si>
    <t xml:space="preserve">активное многоцелевое заражение.</t>
  </si>
  <si>
    <t xml:space="preserve">массовое заражение с обработкой лимитов либо временная блокировка заражения.</t>
  </si>
  <si>
    <t xml:space="preserve">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Приоритетные авторские дельты (заменяют только прямо пересекающиеся ветви):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</si>
  <si>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гарантированность отменяет проверку Z, но не лимит заражённых.
Поздние дельты применяются по приоритету AQ3 &gt; AQ2 &gt; AQA/CQA &gt; базовая карточка; локальное исключение сильнее общего.</t>
  </si>
  <si>
    <t xml:space="preserve">§7.6.3.4.1, печ. стр. 172.</t>
  </si>
  <si>
    <t xml:space="preserve">Реестр правил!B638:AH638</t>
  </si>
  <si>
    <t xml:space="preserve">79e60b06799a77a2be9102284455315f78b972f98eecdbe292c3c5c05f60677c</t>
  </si>
  <si>
    <t xml:space="preserve">SRCMAP-270</t>
  </si>
  <si>
    <t xml:space="preserve">MON-055</t>
  </si>
  <si>
    <t xml:space="preserve">«Вакцинация»</t>
  </si>
  <si>
    <t xml:space="preserve">активная защита от заражения.</t>
  </si>
  <si>
    <t xml:space="preserve">записать источник вакцинации и иммунитет к другим источникам.</t>
  </si>
  <si>
    <t xml:space="preserve">Нормативная база (действует во всей непротиворечащей части):
гарантированно дать неуязвимость к ассистентам всех других Чумных докторов.
Приоритетные авторские дельты (заменяют только прямо пересекающиеся ветви):
[Q-MON-025]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t>
  </si>
  <si>
    <t xml:space="preserve">не заявлена защита от ассистентов самого вакцинирующего Доктора.
Поздние дельты применяются по приоритету AQ3 &gt; AQ2 &gt; AQA/CQA &gt; базовая карточка; локальное исключение сильнее общего.</t>
  </si>
  <si>
    <t xml:space="preserve">§7.6.3.5.2, печ. стр. 172.</t>
  </si>
  <si>
    <t xml:space="preserve">Реестр правил!B639:AH639</t>
  </si>
  <si>
    <t xml:space="preserve">69899993e7b40b388625a1aa463d96de02f061ec830e1db0eed36a396a863897</t>
  </si>
  <si>
    <t xml:space="preserve">SRCMAP-271</t>
  </si>
  <si>
    <t xml:space="preserve">MON-058</t>
  </si>
  <si>
    <t xml:space="preserve">«Поветрие»: создание заразного источника и проверки</t>
  </si>
  <si>
    <t xml:space="preserve">активная эпидемическая болезнь / область.</t>
  </si>
  <si>
    <t xml:space="preserve">заболевший становится новым распространяющим источником.</t>
  </si>
  <si>
    <t xml:space="preserve">Нормативная база (действует во всей непротиворечащей части):
радиус каждого источника 4L м; сложность min(40, 20 + 5×N), где N — число заражённых источников в радиусе проверяемого; если проверка Z ниже сложности, заразить Поветрием. Проверять при первом входе и не чаще одного раза за каждый полный час непрерывного пребывания; в одном бою от того же очага повторной проверки нет.
Приоритетные авторские дельты (заменяют только прямо пересекающиеся ветви):
[Q-MON-026] Приложение не автоматизирует механики поветрия. Игрок и мастер отыгрывают их устно</t>
  </si>
  <si>
    <t xml:space="preserve">Чумные доктора полностью исключены из проверок/заражения этим правилом.
Поздние дельты применяются по приоритету AQ3 &gt; AQ2 &gt; AQA/CQA &gt; базовая карточка; локальное исключение сильнее общего.</t>
  </si>
  <si>
    <t xml:space="preserve">§7.6.3.7.1 и уточнение, печ. стр. 173.</t>
  </si>
  <si>
    <t xml:space="preserve">Реестр правил!B640:AH640</t>
  </si>
  <si>
    <t xml:space="preserve">be7b1129ce4ed47041fa307813fa39dd3f9dd0485f92cc02801a9b771441804d</t>
  </si>
  <si>
    <t xml:space="preserve">SRCMAP-272</t>
  </si>
  <si>
    <t xml:space="preserve">MON-059</t>
  </si>
  <si>
    <t xml:space="preserve">«Поветрие»: суточное ухудшение и смерть</t>
  </si>
  <si>
    <t xml:space="preserve">болезнь / периодический дебафф.</t>
  </si>
  <si>
    <t xml:space="preserve">накопительные потери характеристик, тяжёлое ранение, затем новый неподвижный источник болезни.</t>
  </si>
  <si>
    <t xml:space="preserve">Нормативная база (действует во всей непротиворечащей части):
каждый день уменьшать S,D,M на 3; если хотя бы одна опускается ниже 1, перевести в тяжёлое ранение; после смерти больного создать «цветок Поветрия» на 3 дня.
Приоритетные авторские дельты (заменяют только прямо пересекающиеся ветви):
[Q-MON-027] Приложение не автоматизирует механики поветрия. Игрок и мастер отыгрывают их устно</t>
  </si>
  <si>
    <t xml:space="preserve">цветок создаётся именно после смерти, а не при одном тяжёлом ранении.
Поздние дельты применяются по приоритету AQ3 &gt; AQ2 &gt; AQA/CQA &gt; базовая карточка; локальное исключение сильнее общего.</t>
  </si>
  <si>
    <t xml:space="preserve">§7.6.3.7.1, печ. стр. 173.</t>
  </si>
  <si>
    <t xml:space="preserve">Реестр правил!B641:AH641</t>
  </si>
  <si>
    <t xml:space="preserve">62b634cd4ea8f917794c71ee0a03bb2b4cd41a6796b03974bb545148a0e505f6</t>
  </si>
  <si>
    <t xml:space="preserve">SRCMAP-273</t>
  </si>
  <si>
    <t xml:space="preserve">MON-060</t>
  </si>
  <si>
    <t xml:space="preserve">«Поветрие»: излечение и восстановление</t>
  </si>
  <si>
    <t xml:space="preserve">лечение болезни.</t>
  </si>
  <si>
    <t xml:space="preserve">заражение и распространение прекращаются; характеристики восстанавливаются; на месяц сохраняется косметический цвет кожи (неисполняемый визуальный маркер).</t>
  </si>
  <si>
    <t xml:space="preserve">Нормативная база (действует во всей непротиворечащей части):
снять болезнь; вернуть утраченные от неё очки характеристик в течение суток.
Приоритетные авторские дельты (заменяют только прямо пересекающиеся ветви):
[Q-MON-028] Приложение не автоматизирует механики поветрия. Игрок и мастер отыгрывают их устно
[Q-MON-029] Приложение не автоматизирует механики поветрия. Игрок и мастер отыгрывают их устно</t>
  </si>
  <si>
    <t xml:space="preserve">дым от самого больного не подходит.
Поздние дельты применяются по приоритету AQ3 &gt; AQ2 &gt; AQA/CQA &gt; базовая карточка; локальное исключение сильнее общего.</t>
  </si>
  <si>
    <t xml:space="preserve">Реестр правил!B642:AH642</t>
  </si>
  <si>
    <t xml:space="preserve">e1eea11f41ce42e5f30efe933ed775711d5227c25930fee87d78772903864fd1</t>
  </si>
  <si>
    <t xml:space="preserve">SRCMAP-274</t>
  </si>
  <si>
    <t xml:space="preserve">MON-071</t>
  </si>
  <si>
    <t xml:space="preserve">«Выжгу до тла»: защитное применение</t>
  </si>
  <si>
    <t xml:space="preserve">активная способность / защитный блок.</t>
  </si>
  <si>
    <t xml:space="preserve">отменить удар; наложить горение атакующему.</t>
  </si>
  <si>
    <t xml:space="preserve">Нормативная база (действует во всей непротиворечащей части):
способность не тратит действий; при успешном блоке атакующий загорается до нанесения удара, исходная атака не достигает Доктора.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</si>
  <si>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при неуспешном блоке атака разрешается обычно; активная геометрия струи обрабатывается MON-072.
Поздние дельты применяются по приоритету AQ3 &gt; AQ2 &gt; AQA/CQA &gt; базовая карточка; локальное исключение сильнее общего.</t>
  </si>
  <si>
    <t xml:space="preserve">§7.6.3.9.2, печ. стр. 174.</t>
  </si>
  <si>
    <t xml:space="preserve">Реестр правил!B647:AH647</t>
  </si>
  <si>
    <t xml:space="preserve">9a8c4f1e430f0846212a30eff1d5ae250764eba32ab29dacb7b031183afadb98</t>
  </si>
  <si>
    <t xml:space="preserve">SRCMAP-275</t>
  </si>
  <si>
    <t xml:space="preserve">MON-072</t>
  </si>
  <si>
    <t xml:space="preserve">«Выжгу до тла»: струя и экипировка</t>
  </si>
  <si>
    <t xml:space="preserve">площадное возгорание.</t>
  </si>
  <si>
    <t xml:space="preserve">состояния горения записываются на выбранные элементы.</t>
  </si>
  <si>
    <t xml:space="preserve">Нормативная база (действует во всей непротиворечащей части):
на каждую попавшую под струю цель наложить горение на случайные R6 элементов экипировки; если R6=6, горят все элементы, включая рюкзак при наличии.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t>
  </si>
  <si>
    <t xml:space="preserve">точная форма струи и активная цена действий требуют Q-MON-035 и Q-MON-036.
Поздние дельты применяются по приоритету AQ3 &gt; AQ2 &gt; AQA/CQA &gt; базовая карточка; локальное исключение сильнее общего.</t>
  </si>
  <si>
    <t xml:space="preserve">Реестр правил!B648:AH648</t>
  </si>
  <si>
    <t xml:space="preserve">d038ea3095b689a1a4be6d83f1ce2d9c934e6165ce11be9953eeb480256d684c</t>
  </si>
  <si>
    <t xml:space="preserve">SRCMAP-276</t>
  </si>
  <si>
    <t xml:space="preserve">MON-074</t>
  </si>
  <si>
    <t xml:space="preserve">Стандартная проверка заражения болезнью</t>
  </si>
  <si>
    <t xml:space="preserve">заражение болезнью.</t>
  </si>
  <si>
    <t xml:space="preserve">создать состояние болезни и время начала; обновить время последней проверки экспозиции.</t>
  </si>
  <si>
    <t xml:space="preserve">Нормативная база (действует во всей непротиворечащей части):
назначить сложность 15 для слабого, 20 для опасного или 25 для чрезвычайно опасного воздействия; при результате ниже сложности применить назначенную болезнь/эффект.
Приоритетные авторские дельты (заменяют только прямо пересекающиеся ветви):
[Q-MON-037] Для реализации в приложения механика болезней упрощена: мастер просто в праве назначить выбранную болезнь выбранному персонажу или снять имеющуюся.
[Q-MON-038] Каждая строка §8.1 является отдельной болезнью со своим эффектом. Повторное заражение той же строкой не складывается, а разные строки считаются разными болезнями и складываются.</t>
  </si>
  <si>
    <t xml:space="preserve">специальная процедура конкретной болезни/источника имеет приоритет; одна непрерывная экспозиция — не более одной проверки в час.
Поздние дельты применяются по приоритету AQ3 &gt; AQ2 &gt; AQA/CQA &gt; базовая карточка; локальное исключение сильнее общего.</t>
  </si>
  <si>
    <t xml:space="preserve">§8 и уточнение, печ. стр. 206.</t>
  </si>
  <si>
    <t xml:space="preserve">Реестр правил!B649:AH649</t>
  </si>
  <si>
    <t xml:space="preserve">45855b4fe6391a4f100f43c2bd1985891da663574f25bfe3917c5af2088c4995</t>
  </si>
  <si>
    <t xml:space="preserve">SRCMAP-277</t>
  </si>
  <si>
    <t xml:space="preserve">MON-075</t>
  </si>
  <si>
    <t xml:space="preserve">Потеря сознания из-за болезни</t>
  </si>
  <si>
    <t xml:space="preserve">порог состояния.</t>
  </si>
  <si>
    <t xml:space="preserve">персонаж без сознания до излечения болезни.</t>
  </si>
  <si>
    <t xml:space="preserve">Нормативная база (действует во всей непротиворечащей части):
если сумма поражаемой характеристики и Z становится &lt;1, установить потерю сознания.
Приоритетные авторские дельты (заменяют только прямо пересекающиеся ветви):
[Q-MON-039] Для каждой характеристики X, которую снижает болезнь, отдельно проверяется условие «итоговое X + итоговое Z &lt; 1». Достаточно выполнения условия хотя бы для одной поражённой характеристики, чтобы персонаж потерял сознание до излечения.</t>
  </si>
  <si>
    <t xml:space="preserve">точный расчёт при нескольких поражённых характеристиках требует Q-MON-039.
Поздние дельты применяются по приоритету AQ3 &gt; AQ2 &gt; AQA/CQA &gt; базовая карточка; локальное исключение сильнее общего.</t>
  </si>
  <si>
    <t xml:space="preserve">§8, печ. стр. 206.</t>
  </si>
  <si>
    <t xml:space="preserve">Реестр правил!B650:AH650</t>
  </si>
  <si>
    <t xml:space="preserve">a9b49771291d3ace9cc25dfc0013af6ee3c8a6c81ca129befa2bb3def390a0cf</t>
  </si>
  <si>
    <t xml:space="preserve">SRCMAP-278</t>
  </si>
  <si>
    <t xml:space="preserve">MON-085</t>
  </si>
  <si>
    <t xml:space="preserve">Длительность и сложение болезней</t>
  </si>
  <si>
    <t xml:space="preserve">композиция эффектов.</t>
  </si>
  <si>
    <t xml:space="preserve">обновить набор активных уникальных болезней и агрегированные модификаторы.</t>
  </si>
  <si>
    <t xml:space="preserve">Нормативная база (действует во всей непротиворечащей части):
все штрафы действуют до излечения; повторная та же болезнь не добавляет второй комплект штрафов; разные болезни суммируют свои штрафы.
Приоритетные авторские дельты (заменяют только прямо пересекающиеся ветви):
[Q-MON-038] Каждая строка §8.1 является отдельной болезнью со своим эффектом. Повторное заражение той же строкой не складывается, а разные строки считаются разными болезнями и складываются.</t>
  </si>
  <si>
    <t xml:space="preserve">специальное правило болезни может задавать иной срок.
Поздние дельты применяются по приоритету AQ3 &gt; AQ2 &gt; AQA/CQA &gt; базовая карточка; локальное исключение сильнее общего.</t>
  </si>
  <si>
    <t xml:space="preserve">Реестр правил!B651:AH651</t>
  </si>
  <si>
    <t xml:space="preserve">82e3d11fd3c98ed6e842337917fa4c3c1a6960d06c38c2edc00df93bac117e5a</t>
  </si>
  <si>
    <t xml:space="preserve">SRCMAP-279</t>
  </si>
  <si>
    <t xml:space="preserve">MON-086</t>
  </si>
  <si>
    <t xml:space="preserve">Лечение болезни</t>
  </si>
  <si>
    <t xml:space="preserve">медицинская проверка.</t>
  </si>
  <si>
    <t xml:space="preserve">снять болезнь и её эффекты либо зафиксировать неудачу.</t>
  </si>
  <si>
    <t xml:space="preserve">Нормативная база (действует во всей непротиворечащей части):
если итог лечащего строго больше суммы 2R20 болезни, излечить; иначе сохранить болезнь; установить суточный cooldown попытки.
Приоритетные авторские дельты (заменяют только прямо пересекающиеся ветви):
[Q-MON-040] Для реализации в приложения механика болезней упрощена: мастер просто в праве назначить выбранную болезнь выбранному персонажу или снять имеющуюся.</t>
  </si>
  <si>
    <t xml:space="preserve">специальная процедура конкретной болезни имеет приоритет; «специализация Медик» трактуется как навык «Медик».
Поздние дельты применяются по приоритету AQ3 &gt; AQ2 &gt; AQA/CQA &gt; базовая карточка; локальное исключение сильнее общего.</t>
  </si>
  <si>
    <t xml:space="preserve">§8.1 и уточнение, печ. стр. 206.</t>
  </si>
  <si>
    <t xml:space="preserve">Реестр правил!B652:AH652</t>
  </si>
  <si>
    <t xml:space="preserve">0880d53042ac90daf4533e68faf9b986907757f5d1a0bc5165497e35dd7d27c0</t>
  </si>
  <si>
    <t xml:space="preserve">SRCMAP-280</t>
  </si>
  <si>
    <t xml:space="preserve">Вивисектор: ядовитые пары</t>
  </si>
  <si>
    <t xml:space="preserve">периодическая область.</t>
  </si>
  <si>
    <t xml:space="preserve">уменьшить HP цели.</t>
  </si>
  <si>
    <t xml:space="preserve">Нормативная база (действует во всей непротиворечащей части):
если проверка цели ниже встречного результата, нанести R12 урона от яда.
Приоритетные авторские дельты (заменяют только прямо пересекающиеся ветви):
[Q-MON-045] Каждая негерметично защищённая цель выполняет проверку ядовитых паров один раз в конце собственного хода, если в этот момент находится не дальше 6 метров от Вивисектора. В конце ходов Вивисектора и других участников дополнительной проверки нет.</t>
  </si>
  <si>
    <t xml:space="preserve">герметичная защита полностью исключает проверку.
Поздние дельты применяются по приоритету AQ3 &gt; AQ2 &gt; AQA/CQA &gt; базовая карточка; локальное исключение сильнее общего.</t>
  </si>
  <si>
    <t xml:space="preserve">§9.3.3, печ. стр. 210.</t>
  </si>
  <si>
    <t xml:space="preserve">Реестр правил!B657:AH657</t>
  </si>
  <si>
    <t xml:space="preserve">dea42e9cf67b275d285ac5972af72b1b3183375a2fe9076e2787baf46dd16dd7</t>
  </si>
  <si>
    <t xml:space="preserve">SRCMAP-281</t>
  </si>
  <si>
    <t xml:space="preserve">MON-101</t>
  </si>
  <si>
    <t xml:space="preserve">Вивисектор: устойчивости и слабость дальнему оружию</t>
  </si>
  <si>
    <t xml:space="preserve">сопротивления.</t>
  </si>
  <si>
    <t xml:space="preserve">невозможно однозначно вычислить.</t>
  </si>
  <si>
    <t xml:space="preserve">Нормативная база (действует во всей непротиворечащей части):
числовой алгоритм не задан; текст утверждает устойчивость к собственным выделениям, жаре и большинству природных ядов и плохую защиту от дальнобойного оружия.
Приоритетные авторские дельты (заменяют только прямо пересекающиеся ветви):
[Q-MON-047] Вивисектор полностью невосприимчив к собственной слизи и собственным парам. Против природных ядов он получает +10 к проверкам сопротивления, а обычный экологический жар и урон от огня уменьшаются вдвое после иных модификаторов; стандартное горение может быть наложено и действует с этим уменьшением. Искусственные и симбиотические яды действуют обычно. Дальние атаки не получают отдельного бонуса и проверяются против природной брони R12.</t>
  </si>
  <si>
    <t xml:space="preserve">природная броня R12 дана отдельно.
Поздние дельты применяются по приоритету AQ3 &gt; AQ2 &gt; AQA/CQA &gt; базовая карточка; локальное исключение сильнее общего.</t>
  </si>
  <si>
    <t xml:space="preserve">Реестр правил!B659:AH659</t>
  </si>
  <si>
    <t xml:space="preserve">28afa3060fbd651e8c6c1429cd49abc5d610263069d8c6a23344f5a76b56d6ab</t>
  </si>
  <si>
    <t xml:space="preserve">SRCMAP-282</t>
  </si>
  <si>
    <t xml:space="preserve">MON-113</t>
  </si>
  <si>
    <t xml:space="preserve">Огненная блоха: огнестойкость и горячее тело</t>
  </si>
  <si>
    <t xml:space="preserve">иммунитет / контактный ответный урон.</t>
  </si>
  <si>
    <t xml:space="preserve">иммунитет либо ответная потеря HP.</t>
  </si>
  <si>
    <t xml:space="preserve">Нормативная база (действует во всей непротиворечащей части):
обычный урон от огня игнорировать; при захвате голыми руками нанести атакующему 5 прямого урона.
Приоритетные авторские дельты (заменяют только прямо пересекающиеся ветви):
[Q-MON-049] «Обычный огонь» — это стандартный эффект горения, костры, пожары и огненные атаки без прямого указания, что они обходят невосприимчивость; такой урон Блохе не наносится. Голый захват наносит атакующему 5 прямого урона при каждой попытке захвата и в начале каждого его хода, пока незащищённый захват сохраняется.</t>
  </si>
  <si>
    <t xml:space="preserve">необычные/специальные виды огненного урона прямо не покрыты.
Поздние дельты применяются по приоритету AQ3 &gt; AQ2 &gt; AQA/CQA &gt; базовая карточка; локальное исключение сильнее общего.</t>
  </si>
  <si>
    <t xml:space="preserve">§9.6.3, печ. стр. 213.</t>
  </si>
  <si>
    <t xml:space="preserve">Реестр правил!B661:AH661</t>
  </si>
  <si>
    <t xml:space="preserve">b606ef7c1ddaa26b49ff581a2849be43924ab1a99e66332e4fda3255b40b3ae9</t>
  </si>
  <si>
    <t xml:space="preserve">SRCMAP-283</t>
  </si>
  <si>
    <t xml:space="preserve">MON-114</t>
  </si>
  <si>
    <t xml:space="preserve">Огненная блоха: подготовка самоподрыва</t>
  </si>
  <si>
    <t xml:space="preserve">активная отложенная атака.</t>
  </si>
  <si>
    <t xml:space="preserve">отложен MON-115.</t>
  </si>
  <si>
    <t xml:space="preserve">Нормативная база (действует во всей непротиворечащей части):
потратить все действия, но не менее 2; установить состояние «взрыв в начале следующего хода».
Приоритетные авторские дельты (заменяют только прямо пересекающиеся ветви):
[Q-MON-050]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 Отменить взрыв может только эффект, прямо нейтрализующий уже запущенную детонацию.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</si>
  <si>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при серии из 0–1 действия начать нельзя.
Поздние дельты применяются по приоритету AQ3 &gt; AQ2 &gt; AQA/CQA &gt; базовая карточка; локальное исключение сильнее общего.</t>
  </si>
  <si>
    <t xml:space="preserve">§9.6.3, печ. стр. 213.
Предразработочный QA и прямые ответы пользователя 2026-07-29</t>
  </si>
  <si>
    <t xml:space="preserve">Реестр правил!B662:AH662</t>
  </si>
  <si>
    <t xml:space="preserve">e51643029611422506d1ab27da3cafa0b191acd4e3d30b8e20c19255ff783303</t>
  </si>
  <si>
    <t xml:space="preserve">SRCMAP-284</t>
  </si>
  <si>
    <t xml:space="preserve">MON-115</t>
  </si>
  <si>
    <t xml:space="preserve">Огненная блоха: взрыв</t>
  </si>
  <si>
    <t xml:space="preserve">площадной урон.</t>
  </si>
  <si>
    <t xml:space="preserve">блоха уничтожается; урон и горение применены.
[v1.5] Полный урон R20×2+40 применяется к HP каждой цели без разрешения penetration и брони; затем отдельно разрешается горение.</t>
  </si>
  <si>
    <t xml:space="preserve">Нормативная база (действует во всей непротиворечащей части):
нанести R20×2+40 урона каждой цели в 10 м; укрытие уменьшает урон вдвое; у каждой цели случайно поджечь один горючий элемент экипировки.
Приоритетные авторские дельты (заменяют только прямо пересекающиеся ветви):
[Q-MON-050]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 Отменить взрыв может только эффект, прямо нейтрализующий уже запущенную детонацию.
[Q-MON-051] 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
[v1.4] Если самоподрыв уже запущен, его разрешение имеет приоритет над потерей сознания/обычной смертью. После взрыва corpsePolicy=NONE, lootPolicy=NOT_APPLICABLE; запрос обыска возвращает NO_CORPSE.
[v1.5 / Q-CROSS-REG-001] Урон взрыва Огненной блохи R20×2+40 игнорирует все активные слои брони цели, включая предметную, природную и симбиотическую броню. Этап пробития не выполняется: penetration не разрешается и не сравнивается с totalArmor. Урон остаётся обычным DAMAGE, а не direct/clean damage. Это локальное исключение имеет приоритет над CORE-150 и CORE-226. Формула, радиус, горение и политика трупа не изменяются.</t>
  </si>
  <si>
    <t xml:space="preserve">взрыв не детонирует других блох.
Поздние дельты применяются по приоритету AQ3 &gt; AQ2 &gt; AQA/CQA &gt; базовая карточка; локальное исключение сильнее общего.
[v1.5] IGNORE_ARMOR_BY_MON-115 — локальное исключение, сильнее общего порядка CORE-150 и CORE-226.</t>
  </si>
  <si>
    <t xml:space="preserve">§9.6.3, печ. стр. 213.
Предразработочный QA и прямые ответы пользователя 2026-07-29
Прямое решение пользователя 2026-07-30 — сквозная сверка четырёх реестров.</t>
  </si>
  <si>
    <t xml:space="preserve">Реестр правил!B663:AH663</t>
  </si>
  <si>
    <t xml:space="preserve">121b88267dff830d0d9e585a270b12a2b1c4cb1b3342f95e640399687d99ba2b</t>
  </si>
  <si>
    <t xml:space="preserve">SRCMAP-285</t>
  </si>
  <si>
    <t xml:space="preserve">MON-119</t>
  </si>
  <si>
    <t xml:space="preserve">Умоляющий: феромонная приманка</t>
  </si>
  <si>
    <t xml:space="preserve">ментально-химическая область контроля.</t>
  </si>
  <si>
    <t xml:space="preserve">назначить принудительное следующее действие.</t>
  </si>
  <si>
    <t xml:space="preserve">Нормативная база (действует во всей непротиворечащей части):
при результате цели ниже результата Умоляющего ближайшее действие цели тратится на движение к приманке; после очевидно опасного события повторить проверку.
Приоритетные авторские дельты (заменяют только прямо пересекающиеся ветви):
[Q-MON-053] Механика приманивания умоляющего не автоматизируется приложением и отыгрывается игроком и мастером устно
[Q-MON-054] Механика приманивания умоляющего не автоматизируется приложением и отыгрывается игроком и мастером устно</t>
  </si>
  <si>
    <t xml:space="preserve">герметичная защита почти полностью блокирует феромоны, но степень требует Q-MON-053.
Поздние дельты применяются по приоритету AQ3 &gt; AQ2 &gt; AQA/CQA &gt; базовая карточка; локальное исключение сильнее общего.</t>
  </si>
  <si>
    <t xml:space="preserve">Реестр правил!B665:AH665</t>
  </si>
  <si>
    <t xml:space="preserve">c358da10c84c4eaab473df43e02b84d11e0226c52f8bc7ea75fb30b24f73000f</t>
  </si>
  <si>
    <t xml:space="preserve">SRCMAP-286</t>
  </si>
  <si>
    <t xml:space="preserve">MON-145</t>
  </si>
  <si>
    <t xml:space="preserve">Дерево-кукловод: приказ и сопротивление</t>
  </si>
  <si>
    <t xml:space="preserve">ментальный контроль/захват.</t>
  </si>
  <si>
    <t xml:space="preserve">контроль движения, затем захват либо освобождение.</t>
  </si>
  <si>
    <t xml:space="preserve">Нормативная база (действует во всей непротиворечащей части):
при провале первичной проверки каждый ход двигать цель к дуплу; в конце каждого её хода повторять сопротивление; при уроне — дополнительная немедленная проверка +10; успех либо выход из 5 м снимает эффект; достигшая дупла цель захвачена, освобождение — встречная борьба против Дерева.
Приоритетные авторские дельты (заменяют только прямо пересекающиеся ветви):
[Q-MON-056] Взаимодействие с деревом-кукловодом не автоматизируется приложением, добавить дерево-кукловод в боевую ситуацию из бестиария нельзя. Взаимодействие с ним отыгрывается мастером и игроком устно.</t>
  </si>
  <si>
    <t xml:space="preserve">за ход Дерево берёт под контроль не более одной новой цели.
Поздние дельты применяются по приоритету AQ3 &gt; AQ2 &gt; AQA/CQA &gt; базовая карточка; локальное исключение сильнее общего.</t>
  </si>
  <si>
    <t xml:space="preserve">§9.13.3 и уточнение, печ. стр. 220.</t>
  </si>
  <si>
    <t xml:space="preserve">Реестр правил!B667:AH667</t>
  </si>
  <si>
    <t xml:space="preserve">480a40367f8bbe69e67f2edca0ddc8d18a75f0c89672c5c45fb728c6772c547e</t>
  </si>
  <si>
    <t xml:space="preserve">SRCMAP-287</t>
  </si>
  <si>
    <t xml:space="preserve">Пеленальщица: яд и паралич</t>
  </si>
  <si>
    <t xml:space="preserve">последовательный эффект яда.</t>
  </si>
  <si>
    <t xml:space="preserve">дебафф серии/паралич/сброс счётчика.</t>
  </si>
  <si>
    <t xml:space="preserve">Нормативная база (действует во всей непротиворечащей части):
при провале увеличить счётчик; первый провал — −2 действия в следующей серии; второй последовательный провал — паралич на 5 ходов; успешная проверка сбрасывает счётчик.
Приоритетные авторские дельты (заменяют только прямо пересекающиеся ветви):
[Q-MON-057] Второй последовательный провал заменяет эффект первого: цель парализуется на 5 своих ходов, а ожидающая потеря двух действий отменяется. После окончания паралича дополнительный штраф к серии не применяется.</t>
  </si>
  <si>
    <t xml:space="preserve">два провала должны быть последовательны в одной боевой ситуации.
Поздние дельты применяются по приоритету AQ3 &gt; AQ2 &gt; AQA/CQA &gt; базовая карточка; локальное исключение сильнее общего.</t>
  </si>
  <si>
    <t xml:space="preserve">Реестр правил!B668:AH668</t>
  </si>
  <si>
    <t xml:space="preserve">f4d3e63abf47280c8f8e5da8a28f15f20f3799f4599ac8480af92f5a3e69f0b4</t>
  </si>
  <si>
    <t xml:space="preserve">SRCMAP-288</t>
  </si>
  <si>
    <t xml:space="preserve">Пеленальщица: закрепление в коконе</t>
  </si>
  <si>
    <t xml:space="preserve">поддерживаемое выведение из боя.</t>
  </si>
  <si>
    <t xml:space="preserve">цель исключается из боевой активности.</t>
  </si>
  <si>
    <t xml:space="preserve">Нормативная база (действует во всей непротиворечащей части):
поддерживать процесс два полных хода; по завершении установить «в коконе, вне боя до освобождения союзниками».
Приоритетные авторские дельты (заменяют только прямо пересекающиеся ветви):
[Q-MON-058] Пеленальщица должна провести рядом с обездвиженной целью два последовательных полных личных хода, расходуя все действия; получение ею урона, потеря контакта или прекращение обездвиженности цели сбрасывает прогресс. После завершения цель не действует и не освобождается сама; соседний союзник освобождает её за 1 действие успешной проверкой R20+S или R20+D против 38.</t>
  </si>
  <si>
    <t xml:space="preserve">условия прерывания и процедура освобождения не заданы.
Поздние дельты применяются по приоритету AQ3 &gt; AQ2 &gt; AQA/CQA &gt; базовая карточка; локальное исключение сильнее общего.</t>
  </si>
  <si>
    <t xml:space="preserve">§9.14.3, печ. стр. 221.</t>
  </si>
  <si>
    <t xml:space="preserve">Реестр правил!B669:AH669</t>
  </si>
  <si>
    <t xml:space="preserve">60c14154c66371ba264c230f5d11028384b7124e16908b301b28e7621e13b07f</t>
  </si>
  <si>
    <t xml:space="preserve">SRCMAP-289</t>
  </si>
  <si>
    <t xml:space="preserve">MON-159</t>
  </si>
  <si>
    <t xml:space="preserve">Псионическая жаба: защитный бонус союзнику</t>
  </si>
  <si>
    <t xml:space="preserve">поддержка союзника.</t>
  </si>
  <si>
    <t xml:space="preserve">бонус расходуется до следующего круга.</t>
  </si>
  <si>
    <t xml:space="preserve">Нормативная база (действует во всей непротиворечащей части):
один раз за круг добавить +10 к одной защитной проверке.
Приоритетные авторские дельты (заменяют только прямо пересекающиеся ветви):
[Q-MON-060] До броска защитной проверки Жаба бесплатно выбирает одного видимого союзника в радиусе 15 метров и даёт ему +10 к результату следующего броска на любую защитную реакцию (блок, уклонение, парирование, упреждающий удар). Если до конца боевого круга цель не сделала ни одной защитной проверки, эффект сбрасывается.</t>
  </si>
  <si>
    <t xml:space="preserve">выбор и момент назначения требуют Q-MON-060.
Поздние дельты применяются по приоритету AQ3 &gt; AQ2 &gt; AQA/CQA &gt; базовая карточка; локальное исключение сильнее общего.</t>
  </si>
  <si>
    <t xml:space="preserve">Реестр правил!B671:AH671</t>
  </si>
  <si>
    <t xml:space="preserve">780c465d5de187030ae54c0b440030e0636a85093cb88c0affee2e650599f9ff</t>
  </si>
  <si>
    <t xml:space="preserve">SRCMAP-290</t>
  </si>
  <si>
    <t xml:space="preserve">MON-160</t>
  </si>
  <si>
    <t xml:space="preserve">Псионическая жаба: сбивающий импульс</t>
  </si>
  <si>
    <t xml:space="preserve">активный ментальный дебафф.</t>
  </si>
  <si>
    <t xml:space="preserve">отложенный дебафф серии и cooldown цели.</t>
  </si>
  <si>
    <t xml:space="preserve">Нормативная база (действует во всей непротиворечащей части):
при провале цели уменьшить число действий в следующем ходу на 2, минимум 0; возможен полный пропуск; установить запрет повторного воздействия на следующий ход.
Приоритетные авторские дельты (заменяют только прямо пересекающиеся ветви):
[Q-MON-061] «Сбивающий импульс» является активной способностью за 1 боевое действие. Если цель провалила сопротивление, Жаба не может выбрать её снова в свой следующий личный ход; через один промежуточный ход Жабы цель снова допустима. Провальная для Жабы попытка ограничение не запускает.</t>
  </si>
  <si>
    <t xml:space="preserve">«не действует два хода подряд» требует Q-MON-061.
Поздние дельты применяются по приоритету AQ3 &gt; AQ2 &gt; AQA/CQA &gt; базовая карточка; локальное исключение сильнее общего.</t>
  </si>
  <si>
    <t xml:space="preserve">Реестр правил!B672:AH672</t>
  </si>
  <si>
    <t xml:space="preserve">062e93ee403f582fbd2835ecdb21a99f55fbd0d28e0a890a0aa5a0ddec56ea43</t>
  </si>
  <si>
    <t xml:space="preserve">SRCMAP-291</t>
  </si>
  <si>
    <t xml:space="preserve">Фелида: плевок Тайпана</t>
  </si>
  <si>
    <t xml:space="preserve">дальняя атака/онемение.</t>
  </si>
  <si>
    <t xml:space="preserve">создать зональное онемение.</t>
  </si>
  <si>
    <t xml:space="preserve">Нормативная база (действует во всей непротиворечащей части):
если R20+7 &gt; Z, случайная конечность немеет на R20/3 хода.
Приоритетные авторские дельты (заменяют только прямо пересекающиеся ветви):
[Q-MON-063] У каждой фелиды обязательно есть тайпан. Носитель выполняет плевок как дальнюю атаку с точностью R20+D, дальностью 10 метров и обычными дальними защитами; после попадания отдельно бросается R12 пробития и при достижении кожи разрешается яд.
[Q-MON-064] Случайно выбирается одна действующая конечность цели; на указанный срок она считается полностью отключённой по общим правилам тяжёлой травмы конечности, но без урона и постоянной травмы. Для нестандартной анатомии отключаются только функции выбранной конечности; если допустимых конечностей нет, эффект отсутствует.
[Авторское решение 2026-07-31] При одновременных травме и онемении одной конечности числовые штрафы не складываются: действует наиболее строгий; самостоятельные ограничения объединяются, снятие источников независимо.</t>
  </si>
  <si>
    <t xml:space="preserve">формула точности не указана; наличие Тайпана у конкретной Фелиды не определено.
Поздние дельты применяются по приоритету AQ3 &gt; AQ2 &gt; AQA/CQA &gt; базовая карточка; локальное исключение сильнее общего.</t>
  </si>
  <si>
    <t xml:space="preserve">§9.18.2, печ. стр. 225.</t>
  </si>
  <si>
    <t xml:space="preserve">Реестр правил!B675:AH675</t>
  </si>
  <si>
    <t xml:space="preserve">9042c4bed0c1516c03b7d33728bdbaee355ddca2f0216ee061530cd960f83d2b</t>
  </si>
  <si>
    <t xml:space="preserve">SRCMAP-292</t>
  </si>
  <si>
    <t xml:space="preserve">MON-175</t>
  </si>
  <si>
    <t xml:space="preserve">Тихая Поляна: внешнее освобождение</t>
  </si>
  <si>
    <t xml:space="preserve">освобождение захваченного.</t>
  </si>
  <si>
    <t xml:space="preserve">одна цель освобождена либо создан проход.</t>
  </si>
  <si>
    <t xml:space="preserve">Нормативная база (действует во всей непротиворечащей части):
вариант A — при суммарной S&gt;35 освободить одну цель; вариант B — нанести 60 ударного урона одной точке и прорубить проход.
Приоритетные авторские дельты (заменяют только прямо пересекающиеся ветви):
[Q-MON-067] Взаимодействие с тихой поляной не автоматизируется приложением и отыгрывается мастером и игроком устно</t>
  </si>
  <si>
    <t xml:space="preserve">стоимость действий, броня оболочки и число выводимых через проход целей требуют Q-MON-067.
Поздние дельты применяются по приоритету AQ3 &gt; AQ2 &gt; AQA/CQA &gt; базовая карточка; локальное исключение сильнее общего.</t>
  </si>
  <si>
    <t xml:space="preserve">§9.19.3, печ. стр. 226.</t>
  </si>
  <si>
    <t xml:space="preserve">Реестр правил!B678:AH678</t>
  </si>
  <si>
    <t xml:space="preserve">dd8fff457a2177b814e1d8394891080436a8bb20ff1fac0449f9c4e5e9068177</t>
  </si>
  <si>
    <t xml:space="preserve">SRCMAP-293</t>
  </si>
  <si>
    <t xml:space="preserve">MON-177</t>
  </si>
  <si>
    <t xml:space="preserve">Тихая Поляна: закрытое состояние</t>
  </si>
  <si>
    <t xml:space="preserve">состояние существа после срабатывания.</t>
  </si>
  <si>
    <t xml:space="preserve">пока закрыта, повторно не срабатывает.</t>
  </si>
  <si>
    <t xml:space="preserve">Нормативная база (действует во всей непротиворечащей части):
установить закрытое безопасное состояние на выбранный срок 2–4 суток, затем вернуть открытое состояние.
Приоритетные авторские дельты (заменяют только прямо пересекающиеся ветви):
[Q-MON-068] Взаимодействие с тихой поляной не автоматизируется приложением и отыгрывается мастером и игроком устно</t>
  </si>
  <si>
    <t xml:space="preserve">способ выбора срока не задан.
Поздние дельты применяются по приоритету AQ3 &gt; AQ2 &gt; AQA/CQA &gt; базовая карточка; локальное исключение сильнее общего.</t>
  </si>
  <si>
    <t xml:space="preserve">§9.19.2, печ. стр. 226.</t>
  </si>
  <si>
    <t xml:space="preserve">Реестр правил!B679:AH679</t>
  </si>
  <si>
    <t xml:space="preserve">7664d91079c7d1e6c4aa834011113e34e7a94815527498734fced3e1f963ea5a</t>
  </si>
  <si>
    <t xml:space="preserve">SRCMAP-294</t>
  </si>
  <si>
    <t xml:space="preserve">CORE-181</t>
  </si>
  <si>
    <t xml:space="preserve">Приоритет источников управления телом</t>
  </si>
  <si>
    <t xml:space="preserve">контроль поведения / приоритет эффектов</t>
  </si>
  <si>
    <t xml:space="preserve">В каждый момент существует ровно один законный контроллер.</t>
  </si>
  <si>
    <t xml:space="preserve">Сначала физические состояния CORE-103 отсекают невозможные команды. Затем действующая «Марионетка» определяет внешнего контроллера и имеет приоритет над добровольным или автоматическим управлением Советника. Натуральная 1 «Чёрно-белой ярости» не меняет контроллера: она накладывает на текущего законного контроллера обязанность потратить первое доступное действие на попытку убить носителя Пингвина. Советник получает управление только при отсутствии внешнего контроллера и физической дееспособности тела. Частное прямое исключение способности сильнее этой таблицы.
[v1.4] owningController сохраняется; effectiveController может быть временно переопределён валидным ControlLease CORE-221. После окончания управление возвращается исходному контроллеру. Выбор защиты выполняет текущий effectiveController.</t>
  </si>
  <si>
    <t xml:space="preserve">Прямое частное исключение способности сильнее общего порядка.</t>
  </si>
  <si>
    <t xml:space="preserve">Q-QA-007; финальный авторский ответ
Предразработочный QA и прямые ответы пользователя 2026-07-29</t>
  </si>
  <si>
    <t xml:space="preserve">Реестр правил!B683:AH683</t>
  </si>
  <si>
    <t xml:space="preserve">c0994bb114c06e9ebce9ee3b1347e96517218540688318b2e6b7c7696e16ff0d</t>
  </si>
  <si>
    <t xml:space="preserve">SRCMAP-295</t>
  </si>
  <si>
    <t xml:space="preserve">SYM-184</t>
  </si>
  <si>
    <t xml:space="preserve">Совместное действие маскировок Хамелеона</t>
  </si>
  <si>
    <t xml:space="preserve">маскировка / конкурирующие эффекты</t>
  </si>
  <si>
    <t xml:space="preserve">Численно действует один, наибольший по модулю применимый штраф.</t>
  </si>
  <si>
    <t xml:space="preserve">Оба экземпляра сохраняют собственный срок и условия прекращения, но численно действует только наибольший по модулю применимый штраф к обнаружению после учёта крупного предмета и иных прямых условий. Значения не суммируются. Когда сильнейший эффект прекращается, второй начинает действовать автоматически, если его срок и предусловия ещё сохранены.</t>
  </si>
  <si>
    <t xml:space="preserve">Специальное правило относительно CORE-080.</t>
  </si>
  <si>
    <t xml:space="preserve">Q-QA-008; финальный авторский ответ</t>
  </si>
  <si>
    <t xml:space="preserve">Реестр правил!B684:AH684</t>
  </si>
  <si>
    <t xml:space="preserve">498ffa52450a9914cebb882ce6a4088c2b9d2266545ddbd8e524e5232a250fca</t>
  </si>
  <si>
    <t xml:space="preserve">SRCMAP-296</t>
  </si>
  <si>
    <t xml:space="preserve">SYM-185</t>
  </si>
  <si>
    <t xml:space="preserve">Единое постоянное наследие Трогра</t>
  </si>
  <si>
    <t xml:space="preserve">симбионт / постоянное наследие</t>
  </si>
  <si>
    <t xml:space="preserve">Повторное добавление не создаёт накопления одних и тех же постоянных выгод.</t>
  </si>
  <si>
    <t xml:space="preserve">Во-первых, не Трогра, а Трогра. Используй только такой вариант склонения. Для персонажа хранится одно наследие Трогра, раздельно по каждому постоянному правилу. Новый Трогр не прибавляет свой вклад поверх наследия: действует более сильное достигнутое значение, а при дальнейшем развитии записывается только разница до нового максимума. При удалении наследие обновляется до фактически достигнутого значения, а не складывается новым слоем. Уже выданное постоянное повышение навыка SYM-079 повторно не выдаётся; подавление других симбионтов остаётся только активным эффектом текущего Трогра.</t>
  </si>
  <si>
    <t xml:space="preserve">Непостоянные бонусы, броня, maxHP, способности и подавление в наследие не входят.</t>
  </si>
  <si>
    <t xml:space="preserve">Q-QA-009; финальный авторский ответ</t>
  </si>
  <si>
    <t xml:space="preserve">Реестр правил!B685:AH685</t>
  </si>
  <si>
    <t xml:space="preserve">188d6c02955d3be29032fbb4cd95221c277b2a56666b449aedc361248ed6d7a1</t>
  </si>
  <si>
    <t xml:space="preserve">SRCMAP-297</t>
  </si>
  <si>
    <t xml:space="preserve">AQA-045</t>
  </si>
  <si>
    <t xml:space="preserve">Жизненный цикл мастерских пометок и эффектов</t>
  </si>
  <si>
    <t xml:space="preserve">Старый эффект завершён, состояние пересчитано один раз, новая версия начинается с текущего момента.</t>
  </si>
  <si>
    <t xml:space="preserve">Сюжетную пометку мастер может редактировать или удалить на безопасной границе; это никогда не меняет механику. Изменение значения, срока, источника или ключа активного механического эффекта завершает старую версию и атомарно создаёт новую с текущего момента. Выключение или удаление немедленно прекращает эффект и один раз пересчитывает производные значения; прошедшее время и уже разрешённые последствия не откатываются. Повторное включение создаёт новую версию и не восстанавливает истёкший срок.</t>
  </si>
  <si>
    <t xml:space="preserve">Прошедшее время и уже разрешённые последствия не откатываются.</t>
  </si>
  <si>
    <t xml:space="preserve">Q-QA-010; финальный авторский ответ</t>
  </si>
  <si>
    <t xml:space="preserve">Реестр правил!B686:AH686</t>
  </si>
  <si>
    <t xml:space="preserve">cdc702af6dc567fcf91e0722bd7ba0c8f160319fff8c2a98934c8010c2ed8168</t>
  </si>
  <si>
    <t xml:space="preserve">SRCMAP-298</t>
  </si>
  <si>
    <t xml:space="preserve">CORE-182</t>
  </si>
  <si>
    <t xml:space="preserve">Порядок защит при переходе HP к нулю</t>
  </si>
  <si>
    <t xml:space="preserve">тяжёлое ранение / защитные эффекты</t>
  </si>
  <si>
    <t xml:space="preserve">Расходуется только первый применимый эффект; смерть разрешается последней.</t>
  </si>
  <si>
    <t xml:space="preserve">При HP→0 сначала разрешается уже подготовленное активное «Дублирование органов» SYM-030; если оно применимо, только оно расходуется и HP становится 1. Если оно отсутствует или неприменимо, разрешается одноразовая защита MON-008. Только если ни одна защита не предотвратила переход, устанавливается тяжёлое ранение и после этого может автоматически объявиться SYM-028. События окончательной смерти разрешаются лишь после исчерпания этой цепочки; невыбранный защитный эффект не расходуется.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</si>
  <si>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Прямое правило, явно меняющее порядок, имеет приоритет.</t>
  </si>
  <si>
    <t xml:space="preserve">Q-QA-011; финальный авторский ответ
Предразработочный QA и прямые ответы пользователя 2026-07-29</t>
  </si>
  <si>
    <t xml:space="preserve">Реестр правил!B687:AH687</t>
  </si>
  <si>
    <t xml:space="preserve">da66c37875e9bd4162ba7e8c0fa1d4978af66586f57a9d7d70222bd173523037</t>
  </si>
  <si>
    <t xml:space="preserve">SRCMAP-299</t>
  </si>
  <si>
    <t xml:space="preserve">CORE-198</t>
  </si>
  <si>
    <t xml:space="preserve">Состояние и управление врагом-мыслящим</t>
  </si>
  <si>
    <t xml:space="preserve">NPC / состояние / управление</t>
  </si>
  <si>
    <t xml:space="preserve">Создан обычный по механике персонаж-враг под управлением мастера.</t>
  </si>
  <si>
    <t xml:space="preserve">Максимум HP рассчитывается как у обычного персонажа: база 100 и штатные классовые/симбиотические изменения. Навыки, имущество, обычная анатомия и зоны тела работают по правилам персонажа. Экземпляр не занимает слот игрока и не получает управляющее устройство; им вручную управляет текущий мастер по AQA-040/AQA-043.
[v1.4] Конфигурация симбионтов SentientEnemy разрешается только по CORE-216: без XP-бюджета, с итоговым уровнем после межсимбионтных модификаторов, полным ОЭ и пустой специальной историей.
NPC, SentientEnemy, канонические и произвольные монстры имеют actorType≠PLAYER_CHARACTER и всегда маршрутизируются NEVER_PROGRESSION.</t>
  </si>
  <si>
    <t xml:space="preserve">Отдельного боевого ИИ и передачи управления игроку нет.
Не создавать symbiontXpProgressPoints, unallocatedSymbiontXp или XP симбионтов системному противнику.</t>
  </si>
  <si>
    <t xml:space="preserve">Прямое уточнение пользователя 2026-07-28 — шаблоны врагов v1.3
Предразработочный QA и прямые ответы пользователя 2026-07-29
Прямое авторское решение Q-SYMBIONT-XP-001 — опыт симбионтов за natural 20/1, 2026-07-30</t>
  </si>
  <si>
    <t xml:space="preserve">Реестр правил!B704:AH704</t>
  </si>
  <si>
    <t xml:space="preserve">1b6d0f8b692a47cc0f2c097542e0d6227c7b0048a2b2404f0ee072a46f74fba4</t>
  </si>
  <si>
    <t xml:space="preserve">SRCMAP-300</t>
  </si>
  <si>
    <t xml:space="preserve">CORE-202</t>
  </si>
  <si>
    <t xml:space="preserve">Физические параметры и начальное состояние монстра</t>
  </si>
  <si>
    <t xml:space="preserve">монстр / HP / состояние</t>
  </si>
  <si>
    <t xml:space="preserve">Получены валидные физические параметры и чистое стартовое состояние экземпляра.</t>
  </si>
  <si>
    <t xml:space="preserve">massKg — положительное число с точностью 0,1 кг; ageYears — положительное целое; baseMaxHP — положительное целое без игрового верхнего лимита. effectiveMaxHP рассчитывается после симбиотических модификаторов. Новый экземпляр жив, в сознании, currentHP=effectiveMaxHP, имеет полный текущий запас ОЭ выбранного симбионта, не имеет ран, эффектов, кулдаунов, инициативы и участия в сцене.</t>
  </si>
  <si>
    <t xml:space="preserve">baseMaxHP=100 персонажа к CustomMonster не применяется; увеличение/уменьшение симбионтом действует обычным порядком.</t>
  </si>
  <si>
    <t xml:space="preserve">Прямое уточнение пользователя 2026-07-28 — шаблоны врагов v1.3</t>
  </si>
  <si>
    <t xml:space="preserve">Реестр правил!B708:AH708</t>
  </si>
  <si>
    <t xml:space="preserve">6a8ec73c3729aae3712b6cc5f3a448a4053ad1e5c0d8cc7b922e197ee9e4b313</t>
  </si>
  <si>
    <t xml:space="preserve">SRCMAP-301</t>
  </si>
  <si>
    <t xml:space="preserve">CORE-217</t>
  </si>
  <si>
    <t xml:space="preserve">Отсутствие активной защиты</t>
  </si>
  <si>
    <t xml:space="preserve">атака / защита.</t>
  </si>
  <si>
    <t xml:space="preserve">resolutionMode=AUTO_SUCCESS|AUTO_FAILURE|NUMERIC_NONE; однозначный исход этапа точности.</t>
  </si>
  <si>
    <t xml:space="preserve">Создать DefenseChoice=NONE и defenseTotal=0. Не выполнять бросок защиты, не тратить реакцию и не запускать эффекты активной защиты. Затем применить CORE-229 только к критическому статусу атакующей проверки: подтверждённый критический успех автоматически проходит текущий этап попадания даже при accuracy≤0; подтверждённый критический провал автоматически проваливает его даже при accuracy&gt;0; при grade=0 попадание проходит только при accuracy&gt;0. Если защита доступна, её выбирает текущий effectiveController цели.</t>
  </si>
  <si>
    <t xml:space="preserve">Фиксированная сложность или прямой автоматический исход конкретной способности сильнее. Автоматическое попадание не отменяет следующие этапы.</t>
  </si>
  <si>
    <t xml:space="preserve">Предразработочный QA и прямые ответы пользователя 2026-07-29
Прямое уточнение пользователя 2026-07-29 — боевой приоритет критов</t>
  </si>
  <si>
    <t xml:space="preserve">Реестр правил!B723:AH723</t>
  </si>
  <si>
    <t xml:space="preserve">699ad21ee1eeebfd26fd74fe978d6244ddb6fae1a51329f1013e5df8df4875e0</t>
  </si>
  <si>
    <t xml:space="preserve">SRCMAP-302</t>
  </si>
  <si>
    <t xml:space="preserve">CORE-219</t>
  </si>
  <si>
    <t xml:space="preserve">Крысиная стая как SWARM</t>
  </si>
  <si>
    <t xml:space="preserve">порождённый актор / стая.</t>
  </si>
  <si>
    <t xml:space="preserve">Стая корректно участвует в бою без анатомических коллизий.</t>
  </si>
  <si>
    <t xml:space="preserve">EntityShape=SWARM; HP=N; zones=[], availableDefenses=[], injuries=[], severeWound=null, corpsePolicy=NONE. Обычный и площадной фактический урон уменьшают HP. Захват, проглатывание, сбивание с ног, кокон, паралич конечности и инъекция в отдельное тело отклоняются как несовместимые вторичные эффекты. При HP=N=0 стая удаляется без трупа.</t>
  </si>
  <si>
    <t xml:space="preserve">Прямое видовое правило площадного или ментального эффекта может задать отдельную совместимость.</t>
  </si>
  <si>
    <t xml:space="preserve">Предразработочный QA и прямые ответы пользователя 2026-07-29</t>
  </si>
  <si>
    <t xml:space="preserve">Реестр правил!B725:AH725</t>
  </si>
  <si>
    <t xml:space="preserve">ca71400d9279465c14bffe4f0c6ab02b783dc5f8b0f57b76248c16590232cca9</t>
  </si>
  <si>
    <t xml:space="preserve">SRCMAP-303</t>
  </si>
  <si>
    <t xml:space="preserve">CORE-221</t>
  </si>
  <si>
    <t xml:space="preserve">Временный внешний контроллер сущности</t>
  </si>
  <si>
    <t xml:space="preserve">управление / ментальный контроль.</t>
  </si>
  <si>
    <t xml:space="preserve">Управление передано и гарантированно возвращается без смены владельца.</t>
  </si>
  <si>
    <t xml:space="preserve">Не меняя owningController, создать временный ControlLease и назначить effectiveController=externalController. Lease имеет явный приоритет и срок. По окончании, снятии или инвалидировании эффекта атомарно восстановить previousEffectiveController, а если он недоступен — owningController. Все решения цели, включая выбор защиты, принимает текущий effectiveController.</t>
  </si>
  <si>
    <t xml:space="preserve">Одновременные lease разрешаются по явному приоритету/времени; молчаливое уничтожение владельца запрещено.</t>
  </si>
  <si>
    <t xml:space="preserve">Реестр правил!B727:AH727</t>
  </si>
  <si>
    <t xml:space="preserve">de7d54c4fff5d22518808a695d1b929cfc8b850f92afe863d2d4a7ea291600fb</t>
  </si>
  <si>
    <t xml:space="preserve">SRCMAP-304</t>
  </si>
  <si>
    <t xml:space="preserve">CORE-222</t>
  </si>
  <si>
    <t xml:space="preserve">Тяжёлое ранение монстров</t>
  </si>
  <si>
    <t xml:space="preserve">HP / тяжёлое ранение.</t>
  </si>
  <si>
    <t xml:space="preserve">Однозначный переход HP=0 без обращения к отсутствующим зонам органов.</t>
  </si>
  <si>
    <t xml:space="preserve">Обычный CANONICAL_MONSTER или CUSTOM_MONSTER получает unconscious=true, severeWound=true, abstractVitalSystemDamaged=true и общий таймер смерти. Видовые исключения сильнее: Вольмер немедленно умирает при headHP=0; уже запущенный самоподрыв Огненной блохи разрешается прежде обычного прекращения действий.</t>
  </si>
  <si>
    <t xml:space="preserve">SWARM не имеет тяжёлого ранения; прямой мгновенный исход вида сильнее.</t>
  </si>
  <si>
    <t xml:space="preserve">Реестр правил!B728:AH728</t>
  </si>
  <si>
    <t xml:space="preserve">90ad16592a92f27d7ca2c98547bb561d14cf0f30ac45f2ee721685548bf24240</t>
  </si>
  <si>
    <t xml:space="preserve">SRCMAP-305</t>
  </si>
  <si>
    <t xml:space="preserve">CORE-223</t>
  </si>
  <si>
    <t xml:space="preserve">Политика трупа и обыска врага</t>
  </si>
  <si>
    <t xml:space="preserve">труп / лут.</t>
  </si>
  <si>
    <t xml:space="preserve">Обыск безопасно отклонён либо передан обычной ветви персонажного лута.</t>
  </si>
  <si>
    <t xml:space="preserve">CANONICAL_MONSTER и CUSTOM_MONSTER: corpsePolicy=PERSIST, lootPolicy=NOT_LOOTABLE, inventoryContainerId=null. LOOT сначала проверяет corpse/lootPolicy и возвращает CORPSE_NOT_LOOTABLE до dereference контейнера. SentientEnemy использует обычный персонажный труп и его инвентарь. После взрыва Огненной блохи corpsePolicy=NONE и возвращается NO_CORPSE.</t>
  </si>
  <si>
    <t xml:space="preserve">SWARM не оставляет труп; будущая явная таблица добычи может локально переопределить политику.</t>
  </si>
  <si>
    <t xml:space="preserve">Реестр правил!B729:AH729</t>
  </si>
  <si>
    <t xml:space="preserve">03a4cbe623dcfa078858fddf6196280e529581e05f5df7aba2f86617d142c06c</t>
  </si>
  <si>
    <t xml:space="preserve">SRCMAP-306</t>
  </si>
  <si>
    <t xml:space="preserve">Типизация яда и абсолютный иммунитет</t>
  </si>
  <si>
    <t xml:space="preserve">эффект / яд.</t>
  </si>
  <si>
    <t xml:space="preserve">Симбиотический яд не обходит абсолютный иммунитет.</t>
  </si>
  <si>
    <t xml:space="preserve">Каждый яд обязан иметь effectFamily=POISON и poisonSourceKind=ORDINARY|NATURAL|ARTIFICIAL|SYMBIOTIC|CANONICAL. Ответ IMMUNE_BEFORE_ROLL с SourceScope=ANY полностью отклоняет прямой урон, состояние, счётчик и вторичные ядовитые эффекты до бросков. Крысюк и Гигантская жаба имеют такой ответ ко всем источникам.</t>
  </si>
  <si>
    <t xml:space="preserve">Болезнь с названием «Отравление» без effectFamily=POISON остаётся болезнью; облако Скунса не считается ядом без явного тега.</t>
  </si>
  <si>
    <t xml:space="preserve">Реестр правил!B734:AH734</t>
  </si>
  <si>
    <t xml:space="preserve">9cdf3f652540a435de8ba35d3dd5dc9a26e1c9ef97358ab7010b2ced23b1eed2</t>
  </si>
  <si>
    <t xml:space="preserve">Явные правила сочетаний состояний</t>
  </si>
  <si>
    <t xml:space="preserve">Частные разрешители сильнее общего coexistence. Все авторские ветви определены; исключённые механики имеют статус NOT_MODELED.</t>
  </si>
  <si>
    <t xml:space="preserve">CombinationRuleID</t>
  </si>
  <si>
    <t xml:space="preserve">Левый селектор</t>
  </si>
  <si>
    <t xml:space="preserve">Правый селектор</t>
  </si>
  <si>
    <t xml:space="preserve">Результат</t>
  </si>
  <si>
    <t xml:space="preserve">Приоритет</t>
  </si>
  <si>
    <t xml:space="preserve">Stack / timer</t>
  </si>
  <si>
    <t xml:space="preserve">Removal / transition / note</t>
  </si>
  <si>
    <t xml:space="preserve">Left family</t>
  </si>
  <si>
    <t xml:space="preserve">Right family</t>
  </si>
  <si>
    <t xml:space="preserve">COMB-001</t>
  </si>
  <si>
    <t xml:space="preserve">same effect name, numeric</t>
  </si>
  <si>
    <t xml:space="preserve">STRONGEST_MAGNITUDE_APPLIES; TIMERS_INDEPENDENT</t>
  </si>
  <si>
    <t xml:space="preserve">SPECIFIC_RULE_OVERRIDES_DEFAULT_COEXISTENCE</t>
  </si>
  <si>
    <t xml:space="preserve">После сильнейшего автоматически действует следующий активный</t>
  </si>
  <si>
    <t xml:space="preserve">COMB-002</t>
  </si>
  <si>
    <t xml:space="preserve">same pharmaceutical effect</t>
  </si>
  <si>
    <t xml:space="preserve">repeat dose</t>
  </si>
  <si>
    <t xml:space="preserve">REFRESH_DURATION; DO_NOT_INCREASE_VALUE</t>
  </si>
  <si>
    <t xml:space="preserve">Специальное правило сильнее общего стека</t>
  </si>
  <si>
    <t xml:space="preserve">COMB-003</t>
  </si>
  <si>
    <t xml:space="preserve">same diseaseId</t>
  </si>
  <si>
    <t xml:space="preserve">NO_DUPLICATE_PENALTIES</t>
  </si>
  <si>
    <t xml:space="preserve">Один экземпляр/один набор штрафов</t>
  </si>
  <si>
    <t xml:space="preserve">COMB-004</t>
  </si>
  <si>
    <t xml:space="preserve">different diseaseId</t>
  </si>
  <si>
    <t xml:space="preserve">COEXIST; MODIFIERS_ADD</t>
  </si>
  <si>
    <t xml:space="preserve">Периодика каждой болезни остаётся собственной</t>
  </si>
  <si>
    <t xml:space="preserve">COMB-005</t>
  </si>
  <si>
    <t xml:space="preserve">disease modifiers</t>
  </si>
  <si>
    <t xml:space="preserve">other stat modifiers</t>
  </si>
  <si>
    <t xml:space="preserve">APPLY_CORE_079_PIPELINE; RECALC_DERIVED_STATES</t>
  </si>
  <si>
    <t xml:space="preserve">Порог бессознательности проверяется после пересчёта</t>
  </si>
  <si>
    <t xml:space="preserve">CORE-079; MON-075</t>
  </si>
  <si>
    <t xml:space="preserve">COMB-006</t>
  </si>
  <si>
    <t xml:space="preserve">POISON immunity</t>
  </si>
  <si>
    <t xml:space="preserve">DISEASE_REMAINS; NOT_A_POISON_WITHOUT_TAG</t>
  </si>
  <si>
    <t xml:space="preserve">Совпадение бытового названия не меняет effectFamily</t>
  </si>
  <si>
    <t xml:space="preserve">CORE-228; MON-076</t>
  </si>
  <si>
    <t xml:space="preserve">COMB-007</t>
  </si>
  <si>
    <t xml:space="preserve">physical hit payload</t>
  </si>
  <si>
    <t xml:space="preserve">poison payload with absolute immunity</t>
  </si>
  <si>
    <t xml:space="preserve">KEEP_VALID_PHYSICAL_PAYLOAD; DROP_POISON_DAMAGE_STATE_COUNTER_SECONDARY</t>
  </si>
  <si>
    <t xml:space="preserve">Иммунитет обрабатывается до бросков яда</t>
  </si>
  <si>
    <t xml:space="preserve">COMB-008</t>
  </si>
  <si>
    <t xml:space="preserve">existing poison</t>
  </si>
  <si>
    <t xml:space="preserve">newly gained poison immunity</t>
  </si>
  <si>
    <t xml:space="preserve">NO_AUTOMATIC_CLEANSE_UNLESS_SOURCE_SAYS_SO</t>
  </si>
  <si>
    <t xml:space="preserve">Иммунитет по умолчанию предотвращает наложение</t>
  </si>
  <si>
    <t xml:space="preserve">CORE-228; CORE-080</t>
  </si>
  <si>
    <t xml:space="preserve">COMB-009</t>
  </si>
  <si>
    <t xml:space="preserve">Taipan deadly/weakening poison</t>
  </si>
  <si>
    <t xml:space="preserve">same poison again</t>
  </si>
  <si>
    <t xml:space="preserve">REPLACE_STRENGTH_AND_DURATION; RESTART_TIMER</t>
  </si>
  <si>
    <t xml:space="preserve">Не складывать два пакета одного профиля</t>
  </si>
  <si>
    <t xml:space="preserve">SYM-039; SYM-042</t>
  </si>
  <si>
    <t xml:space="preserve">COMB-010</t>
  </si>
  <si>
    <t xml:space="preserve">Taipan paralytic poison on limb A</t>
  </si>
  <si>
    <t xml:space="preserve">same profile on limb B</t>
  </si>
  <si>
    <t xml:space="preserve">COEXIST_PER_DISTINCT_LIMB</t>
  </si>
  <si>
    <t xml:space="preserve">Уже онемевшая конечность исключается из выбора</t>
  </si>
  <si>
    <t xml:space="preserve">COMB-011</t>
  </si>
  <si>
    <t xml:space="preserve">Taipan suppressed/disabled</t>
  </si>
  <si>
    <t xml:space="preserve">already injected poison</t>
  </si>
  <si>
    <t xml:space="preserve">POISON_CONTINUES_TO_EXPIRY</t>
  </si>
  <si>
    <t xml:space="preserve">Подавление прекращает производство, не автономный payload</t>
  </si>
  <si>
    <t xml:space="preserve">SYM-038; CQA-002</t>
  </si>
  <si>
    <t xml:space="preserve">COMB-012</t>
  </si>
  <si>
    <t xml:space="preserve">burning</t>
  </si>
  <si>
    <t xml:space="preserve">new burning</t>
  </si>
  <si>
    <t xml:space="preserve">ONE_BINARY_STATE; remaining=max(current,new); damagePerTick=max(current,new); NO_INSTANT_SECOND_TICK</t>
  </si>
  <si>
    <t xml:space="preserve">Повторное горение не создаёт немедленный тик</t>
  </si>
  <si>
    <t xml:space="preserve">COMB-013</t>
  </si>
  <si>
    <t xml:space="preserve">Fire Flea explosion damage</t>
  </si>
  <si>
    <t xml:space="preserve">fire/burn immunity</t>
  </si>
  <si>
    <t xml:space="preserve">KEEP_EXPLOSION_DAMAGE; BLOCK_STANDARD_BURN_ONLY</t>
  </si>
  <si>
    <t xml:space="preserve">Если иной источник прямо не даёт иммунитет самому взрыву</t>
  </si>
  <si>
    <t xml:space="preserve">COMB-014</t>
  </si>
  <si>
    <t xml:space="preserve">unconscious</t>
  </si>
  <si>
    <t xml:space="preserve">COEXIST; AUTONOMOUS_BURN_TICKS_CONTINUE</t>
  </si>
  <si>
    <t xml:space="preserve">Броня продолжает работать только там, где урон не игнорирует её</t>
  </si>
  <si>
    <t xml:space="preserve">CORE-103; CQA-002</t>
  </si>
  <si>
    <t xml:space="preserve">COMB-015</t>
  </si>
  <si>
    <t xml:space="preserve">stone statue</t>
  </si>
  <si>
    <t xml:space="preserve">BURNING_AND_DIRECT_DAMAGE_APPLY_NORMALLY</t>
  </si>
  <si>
    <t xml:space="preserve">Иная периодика в статуе приостанавливается без накопления</t>
  </si>
  <si>
    <t xml:space="preserve">COMB-016</t>
  </si>
  <si>
    <t xml:space="preserve">pharmaceutical sleep</t>
  </si>
  <si>
    <t xml:space="preserve">any actual damage</t>
  </si>
  <si>
    <t xml:space="preserve">REMOVE_SLEEP_ONLY</t>
  </si>
  <si>
    <t xml:space="preserve">Паралич и другие состояния не снимаются</t>
  </si>
  <si>
    <t xml:space="preserve">COMB-017</t>
  </si>
  <si>
    <t xml:space="preserve">pharmaceutical paralysis</t>
  </si>
  <si>
    <t xml:space="preserve">damage</t>
  </si>
  <si>
    <t xml:space="preserve">PARALYSIS_REMAINS</t>
  </si>
  <si>
    <t xml:space="preserve">Снимается CORE-060 либо истечением</t>
  </si>
  <si>
    <t xml:space="preserve">COMB-018</t>
  </si>
  <si>
    <t xml:space="preserve">sleep</t>
  </si>
  <si>
    <t xml:space="preserve">paralysis</t>
  </si>
  <si>
    <t xml:space="preserve">COEXIST; RESTRICTIONS_UNION</t>
  </si>
  <si>
    <t xml:space="preserve">Пробуждение не снимает паралич</t>
  </si>
  <si>
    <t xml:space="preserve">CORE-061–062; CORE-103</t>
  </si>
  <si>
    <t xml:space="preserve">COMB-019</t>
  </si>
  <si>
    <t xml:space="preserve">physical control</t>
  </si>
  <si>
    <t xml:space="preserve">COEXIST; RESTRICTIONS_UNION; ARMOR_REMAINS</t>
  </si>
  <si>
    <t xml:space="preserve">Снятие одного состояния не снимает другое</t>
  </si>
  <si>
    <t xml:space="preserve">COMB-020</t>
  </si>
  <si>
    <t xml:space="preserve">Advisor automatic control</t>
  </si>
  <si>
    <t xml:space="preserve">unconscious/stunned/sleeping body</t>
  </si>
  <si>
    <t xml:space="preserve">ALLOWED_IF_BODY_PHYSICALLY_CAPABLE</t>
  </si>
  <si>
    <t xml:space="preserve">Не действует при тяжёлом ранении, параличе, разрушении органов, полной иммобилизации</t>
  </si>
  <si>
    <t xml:space="preserve">SYM-100; CORE-181</t>
  </si>
  <si>
    <t xml:space="preserve">COMB-021</t>
  </si>
  <si>
    <t xml:space="preserve">severe wound</t>
  </si>
  <si>
    <t xml:space="preserve">ordinary healing</t>
  </si>
  <si>
    <t xml:space="preserve">NO_EXIT_FROM_SEVERE_WOUND</t>
  </si>
  <si>
    <t xml:space="preserve">Обычное лечение не реанимирует</t>
  </si>
  <si>
    <t xml:space="preserve">CORE-071; CORE-156</t>
  </si>
  <si>
    <t xml:space="preserve">COMB-022</t>
  </si>
  <si>
    <t xml:space="preserve">CORE-060 reanimation</t>
  </si>
  <si>
    <t xml:space="preserve">CLEAR_SEVERE_WOUND; HP=1; STOP_DEATH_TIMER</t>
  </si>
  <si>
    <t xml:space="preserve">Окончательную смерть не отменяет</t>
  </si>
  <si>
    <t xml:space="preserve">CORE-060; CORE-156</t>
  </si>
  <si>
    <t xml:space="preserve">COMB-023</t>
  </si>
  <si>
    <t xml:space="preserve">functional duplicate</t>
  </si>
  <si>
    <t xml:space="preserve">ALLOW_ACTIONS; MULTIPLY_ORIGINAL_TIMER_X4_ONCE</t>
  </si>
  <si>
    <t xml:space="preserve">Окончание дубля не пересчитывает таймер обратно</t>
  </si>
  <si>
    <t xml:space="preserve">COMB-024</t>
  </si>
  <si>
    <t xml:space="preserve">explosive power tablet capability</t>
  </si>
  <si>
    <t xml:space="preserve">ALLOW_ACTIONS_UNTIL_COMBAT_END</t>
  </si>
  <si>
    <t xml:space="preserve">Новый урон всё равно убивает</t>
  </si>
  <si>
    <t xml:space="preserve">COMB-025</t>
  </si>
  <si>
    <t xml:space="preserve">new actual HP loss &gt;0</t>
  </si>
  <si>
    <t xml:space="preserve">TRANSITION_TO_DEAD</t>
  </si>
  <si>
    <t xml:space="preserve">Защиты применяются до определения фактической потери</t>
  </si>
  <si>
    <t xml:space="preserve">COMB-026</t>
  </si>
  <si>
    <t xml:space="preserve">dead</t>
  </si>
  <si>
    <t xml:space="preserve">ordinary heal/remove effect</t>
  </si>
  <si>
    <t xml:space="preserve">DEAD_REMAINS_TERMINAL</t>
  </si>
  <si>
    <t xml:space="preserve">Только явное воскрешение может создать переход</t>
  </si>
  <si>
    <t xml:space="preserve">CORE-156; AQA-028</t>
  </si>
  <si>
    <t xml:space="preserve">COMB-027</t>
  </si>
  <si>
    <t xml:space="preserve">Fire Flea detonation primed</t>
  </si>
  <si>
    <t xml:space="preserve">unconscious/paralyzed/dead source</t>
  </si>
  <si>
    <t xml:space="preserve">DETONATION_CONTINUES</t>
  </si>
  <si>
    <t xml:space="preserve">Частное исключение сильнее обычного прекращения действий</t>
  </si>
  <si>
    <t xml:space="preserve">MON-114–115; CORE-222</t>
  </si>
  <si>
    <t xml:space="preserve">COMB-028</t>
  </si>
  <si>
    <t xml:space="preserve">pending personal ticks/recovery same mark</t>
  </si>
  <si>
    <t xml:space="preserve">CANCEL_REMAINING_PERSONAL_EVENTS; KEEP_DEATH_TRIGGERED_EVENTS</t>
  </si>
  <si>
    <t xml:space="preserve">Стабильная транзакционная очередь</t>
  </si>
  <si>
    <t xml:space="preserve">COMB-029</t>
  </si>
  <si>
    <t xml:space="preserve">limb trauma</t>
  </si>
  <si>
    <t xml:space="preserve">same limb trauma</t>
  </si>
  <si>
    <t xml:space="preserve">ADD_TRAUMA_VALUES; DISABLE_IF_TOTAL_GT_6</t>
  </si>
  <si>
    <t xml:space="preserve">Каждая отключённая конечность даёт один глобальный −5</t>
  </si>
  <si>
    <t xml:space="preserve">COMB-030</t>
  </si>
  <si>
    <t xml:space="preserve">limb trauma A</t>
  </si>
  <si>
    <t xml:space="preserve">limb trauma B</t>
  </si>
  <si>
    <t xml:space="preserve">INDEPENDENT_BY_LIMB</t>
  </si>
  <si>
    <t xml:space="preserve">Функциональные ограничения считаются для каждой зоны</t>
  </si>
  <si>
    <t xml:space="preserve">COMB-031</t>
  </si>
  <si>
    <t xml:space="preserve">temporary numbness same limb</t>
  </si>
  <si>
    <t xml:space="preserve">COEXIST; APPLY_MOST_SEVERE_NUMERIC_PENALTY; UNION_NON_NUMERIC_RESTRICTIONS</t>
  </si>
  <si>
    <t xml:space="preserve">PENALTIES_DO_NOT_ADD; TIMERS_AND_REMOVAL_INDEPENDENT</t>
  </si>
  <si>
    <t xml:space="preserve">Снятие онемения не устраняет травму; лечение/снятие травмы не завершает онемение</t>
  </si>
  <si>
    <t xml:space="preserve">COMB-032</t>
  </si>
  <si>
    <t xml:space="preserve">grapple</t>
  </si>
  <si>
    <t xml:space="preserve">choke hold</t>
  </si>
  <si>
    <t xml:space="preserve">CHAIN_REQUIRED; END_CHOKE_IF_GRAPPLE_ENDS</t>
  </si>
  <si>
    <t xml:space="preserve">Выгодная позиция также прекращается</t>
  </si>
  <si>
    <t xml:space="preserve">COMB-033</t>
  </si>
  <si>
    <t xml:space="preserve">multiple grapples/nets/threads</t>
  </si>
  <si>
    <t xml:space="preserve">same target</t>
  </si>
  <si>
    <t xml:space="preserve">KEEP_PER_SOURCE; APPLY_MAX_ACTION_PENALTY; UNION_NON_NUMERIC_RESTRICTIONS</t>
  </si>
  <si>
    <t xml:space="preserve">Освобождение требуется от каждого источника отдельно</t>
  </si>
  <si>
    <t xml:space="preserve">CORE-138; MON-136; MON-149</t>
  </si>
  <si>
    <t xml:space="preserve">COMB-034</t>
  </si>
  <si>
    <t xml:space="preserve">Swaddler restrained</t>
  </si>
  <si>
    <t xml:space="preserve">first poison fail</t>
  </si>
  <si>
    <t xml:space="preserve">COEXIST</t>
  </si>
  <si>
    <t xml:space="preserve">Физическая нить и poison counter независимы</t>
  </si>
  <si>
    <t xml:space="preserve">MON-149–150</t>
  </si>
  <si>
    <t xml:space="preserve">COMB-035</t>
  </si>
  <si>
    <t xml:space="preserve">first Swaddler poison fail penalty</t>
  </si>
  <si>
    <t xml:space="preserve">second consecutive fail</t>
  </si>
  <si>
    <t xml:space="preserve">REPLACE_PENDING_MINUS_2_WITH_PARALYSIS_5_TURNS</t>
  </si>
  <si>
    <t xml:space="preserve">Успех сбрасывает последовательность</t>
  </si>
  <si>
    <t xml:space="preserve">COMB-036</t>
  </si>
  <si>
    <t xml:space="preserve">restrained target</t>
  </si>
  <si>
    <t xml:space="preserve">cocoon progress</t>
  </si>
  <si>
    <t xml:space="preserve">PROGRESS_ALLOWED; RESET_IF_IMMOBILIZATION_OR_CONTACT_ENDS</t>
  </si>
  <si>
    <t xml:space="preserve">Два полных последовательных хода источника</t>
  </si>
  <si>
    <t xml:space="preserve">COMB-037</t>
  </si>
  <si>
    <t xml:space="preserve">full mental immunity</t>
  </si>
  <si>
    <t xml:space="preserve">mental effect without contest</t>
  </si>
  <si>
    <t xml:space="preserve">TARGET_INVALID_OR_EFFECT_CANCELLED</t>
  </si>
  <si>
    <t xml:space="preserve">Числовой бонус не создаёт отсутствующую проверку</t>
  </si>
  <si>
    <t xml:space="preserve">COMB-038</t>
  </si>
  <si>
    <t xml:space="preserve">Chimera Unstoppable success</t>
  </si>
  <si>
    <t xml:space="preserve">existing/new control</t>
  </si>
  <si>
    <t xml:space="preserve">REMOVE_EXISTING_CONTROL; BLOCK_NEW_CONTROL_DURING_TERM</t>
  </si>
  <si>
    <t xml:space="preserve">Не снимает раны, бессознательность, смерть, урон, травмы, отключение Химеры</t>
  </si>
  <si>
    <t xml:space="preserve">CQA-043; MON-020</t>
  </si>
  <si>
    <t xml:space="preserve">COMB-039</t>
  </si>
  <si>
    <t xml:space="preserve">control resistance +5</t>
  </si>
  <si>
    <t xml:space="preserve">damage/trauma/disease/poison/equipment penalty</t>
  </si>
  <si>
    <t xml:space="preserve">NO_MODIFIER</t>
  </si>
  <si>
    <t xml:space="preserve">Только существующая проверка сопротивления/освобождения от CONTROL</t>
  </si>
  <si>
    <t xml:space="preserve">COMB-040</t>
  </si>
  <si>
    <t xml:space="preserve">source-maintained aura/form/control</t>
  </si>
  <si>
    <t xml:space="preserve">source dies/incapacitated/disabled/off-map</t>
  </si>
  <si>
    <t xml:space="preserve">END_EFFECT</t>
  </si>
  <si>
    <t xml:space="preserve">Частное правило может сохранить эффект</t>
  </si>
  <si>
    <t xml:space="preserve">COMB-041</t>
  </si>
  <si>
    <t xml:space="preserve">autonomous poison/infection/mine/projectile</t>
  </si>
  <si>
    <t xml:space="preserve">source removed</t>
  </si>
  <si>
    <t xml:space="preserve">CONTINUE_WITH_SOURCE_SNAPSHOT</t>
  </si>
  <si>
    <t xml:space="preserve">Использовать текущий L, пока источник читаем, иначе последний снимок</t>
  </si>
  <si>
    <t xml:space="preserve">COMB-042</t>
  </si>
  <si>
    <t xml:space="preserve">symbiont disabled</t>
  </si>
  <si>
    <t xml:space="preserve">source-maintained own mechanics</t>
  </si>
  <si>
    <t xml:space="preserve">END_OR_DISABLE; AUTONOMOUS_ALREADY_APPLIED_EFFECTS_CONTINUE</t>
  </si>
  <si>
    <t xml:space="preserve">Локальные исключения имеют приоритет</t>
  </si>
  <si>
    <t xml:space="preserve">CORE-104; CQA-002</t>
  </si>
  <si>
    <t xml:space="preserve">COMB-043</t>
  </si>
  <si>
    <t xml:space="preserve">active mechanical effect</t>
  </si>
  <si>
    <t xml:space="preserve">GM changes value/duration/source/key</t>
  </si>
  <si>
    <t xml:space="preserve">END_OLD_VERSION; CREATE_NEW_ATOMICALLY; NO_ROLLBACK</t>
  </si>
  <si>
    <t xml:space="preserve">Повторное включение создаёт новую версию</t>
  </si>
  <si>
    <t xml:space="preserve">COMB-044</t>
  </si>
  <si>
    <t xml:space="preserve">multiple events at same timestamp</t>
  </si>
  <si>
    <t xml:space="preserve">periodic consequences</t>
  </si>
  <si>
    <t xml:space="preserve">STABLE_CREATED_AT_THEN_UUID; RECALC_AFTER_EACH_TICK</t>
  </si>
  <si>
    <t xml:space="preserve">Новые события не возвращают обработку в завершённую фазу</t>
  </si>
  <si>
    <t xml:space="preserve">COMB-045</t>
  </si>
  <si>
    <t xml:space="preserve">new timed effect</t>
  </si>
  <si>
    <t xml:space="preserve">same creation timestamp</t>
  </si>
  <si>
    <t xml:space="preserve">NO_SAME_MOMENT_TICK_OR_TIMER_DECREMENT</t>
  </si>
  <si>
    <t xml:space="preserve">Первое обслуживание — следующая подходящая метка</t>
  </si>
  <si>
    <t xml:space="preserve">COMB-046</t>
  </si>
  <si>
    <t xml:space="preserve">combat duration remainder</t>
  </si>
  <si>
    <t xml:space="preserve">peace-time conversion</t>
  </si>
  <si>
    <t xml:space="preserve">NORMAL_1_TURN=1_MINUTE; SEVERE_WOUND_1_TURN=5_MINUTES</t>
  </si>
  <si>
    <t xml:space="preserve">Хранить точный остаток; округлять вверх только отображение</t>
  </si>
  <si>
    <t xml:space="preserve">Q-CORE-063; CORE-153</t>
  </si>
  <si>
    <t xml:space="preserve">COMB-047</t>
  </si>
  <si>
    <t xml:space="preserve">two Chameleon camouflage effects</t>
  </si>
  <si>
    <t xml:space="preserve">same detection attempt</t>
  </si>
  <si>
    <t xml:space="preserve">ONLY_STRONGEST_APPLICABLE_MAGNITUDE; TIMERS_INDEPENDENT</t>
  </si>
  <si>
    <t xml:space="preserve">Специальное правило к CORE-080</t>
  </si>
  <si>
    <t xml:space="preserve">COMB-048</t>
  </si>
  <si>
    <t xml:space="preserve">multiple ControlLease</t>
  </si>
  <si>
    <t xml:space="preserve">same body</t>
  </si>
  <si>
    <t xml:space="preserve">ONE_EFFECTIVE_CONTROLLER_BY_EXPLICIT_PRIORITY_AND_TIME</t>
  </si>
  <si>
    <t xml:space="preserve">owningController не уничтожается</t>
  </si>
  <si>
    <t xml:space="preserve">CORE-181; CORE-221</t>
  </si>
  <si>
    <t xml:space="preserve">COMB-049</t>
  </si>
  <si>
    <t xml:space="preserve">hemostatic decoction</t>
  </si>
  <si>
    <t xml:space="preserve">all current bleedings</t>
  </si>
  <si>
    <t xml:space="preserve">REMOVE_ALL_BLEEDING_INSTANCES</t>
  </si>
  <si>
    <t xml:space="preserve">Не создаёт модель отсутствующих источников кровотечения</t>
  </si>
  <si>
    <t xml:space="preserve">COMB-050</t>
  </si>
  <si>
    <t xml:space="preserve">antiseptic on selected wound</t>
  </si>
  <si>
    <t xml:space="preserve">next disease attempt through that wound</t>
  </si>
  <si>
    <t xml:space="preserve">APPLY_MINUS_10_ONCE; CONSUME</t>
  </si>
  <si>
    <t xml:space="preserve">Требует идентификатора раны</t>
  </si>
  <si>
    <t xml:space="preserve">COMB-051</t>
  </si>
  <si>
    <t xml:space="preserve">Nait sealed</t>
  </si>
  <si>
    <t xml:space="preserve">inhaled fumes/pheromones/infected vapor</t>
  </si>
  <si>
    <t xml:space="preserve">BLOCK_BEFORE_APPLICATION</t>
  </si>
  <si>
    <t xml:space="preserve">Не блокирует проглоченный, введённый или уже внутренний яд</t>
  </si>
  <si>
    <t xml:space="preserve">COMB-052</t>
  </si>
  <si>
    <t xml:space="preserve">Nait seal breaks</t>
  </si>
  <si>
    <t xml:space="preserve">already active effect</t>
  </si>
  <si>
    <t xml:space="preserve">DO_NOT_CLEANSE; DISABLE_FUTURE_RESPONSE</t>
  </si>
  <si>
    <t xml:space="preserve">Ремонт не формализован</t>
  </si>
  <si>
    <t xml:space="preserve">COMB-053</t>
  </si>
  <si>
    <t xml:space="preserve">different pharmaceutical effects</t>
  </si>
  <si>
    <t xml:space="preserve">COEXIST; APPLICATION_LIMITS_REMAIN</t>
  </si>
  <si>
    <t xml:space="preserve">Одно применение препарата за личный боевой ход</t>
  </si>
  <si>
    <t xml:space="preserve">COMB-054</t>
  </si>
  <si>
    <t xml:space="preserve">shield shock pending</t>
  </si>
  <si>
    <t xml:space="preserve">another shield shock before next series</t>
  </si>
  <si>
    <t xml:space="preserve">KEEP_ONE_PENDING_EFFECT_WITH_MAX_PENALTY; CONSUME_ON_NEXT_SERIES</t>
  </si>
  <si>
    <t xml:space="preserve">Штрафы не складываются; повтор обновляет ожидающий эффект</t>
  </si>
  <si>
    <t xml:space="preserve">CORE-043–048</t>
  </si>
  <si>
    <t xml:space="preserve">COMB-055</t>
  </si>
  <si>
    <t xml:space="preserve">multiple activeCoatings</t>
  </si>
  <si>
    <t xml:space="preserve">same item</t>
  </si>
  <si>
    <t xml:space="preserve">ONE_CONSUMABLE_COATING_PER_SURFACE; REPLACE_AFTER_CONFIRMATION</t>
  </si>
  <si>
    <t xml:space="preserve">Обычные снаряды: один stackable item с quantity; только смазанные ядом снаряды — отдельные item instances</t>
  </si>
  <si>
    <t xml:space="preserve">Items 07_Модель_экземпляра; SYM-183</t>
  </si>
  <si>
    <t xml:space="preserve">COMB-056</t>
  </si>
  <si>
    <t xml:space="preserve">multiple Swaddler poison sources</t>
  </si>
  <si>
    <t xml:space="preserve">same target fail counter</t>
  </si>
  <si>
    <t xml:space="preserve">COUNTER_KEY=sourceId+targetId; SUCCESS_RESETS_MATCHING_SOURCE_ONLY</t>
  </si>
  <si>
    <t xml:space="preserve">Разные Пеленальщицы не ускоряют общий счётчик</t>
  </si>
  <si>
    <t xml:space="preserve">COMB-057</t>
  </si>
  <si>
    <t xml:space="preserve">periodic healing</t>
  </si>
  <si>
    <t xml:space="preserve">ORDINARY_HEAL_TICK_SKIPPED</t>
  </si>
  <si>
    <t xml:space="preserve">Эффект может оставаться активным до конца боя</t>
  </si>
  <si>
    <t xml:space="preserve">COMB-058</t>
  </si>
  <si>
    <t xml:space="preserve">SYM-144 poison immunity</t>
  </si>
  <si>
    <t xml:space="preserve">SYM-042 weakening debuff</t>
  </si>
  <si>
    <t xml:space="preserve">ALLOW_SYM_042_STAT_DEBUFF; BLOCK_POISON_DAMAGE_AND_CONTROL_ONLY</t>
  </si>
  <si>
    <t xml:space="preserve">Ослабление характеристик не является уроном или контролем</t>
  </si>
  <si>
    <t xml:space="preserve">SYM-144; SYM-042</t>
  </si>
  <si>
    <t xml:space="preserve">COMB-059</t>
  </si>
  <si>
    <t xml:space="preserve">manual disease assignment</t>
  </si>
  <si>
    <t xml:space="preserve">legacy infection/treatment rolls</t>
  </si>
  <si>
    <t xml:space="preserve">CQA-060_MANUAL_CONTRACT_WINS_FOR_APP</t>
  </si>
  <si>
    <t xml:space="preserve">Не выполнять автоматический выбор болезни/лечения</t>
  </si>
  <si>
    <t xml:space="preserve">CQA-060; MON-074; MON-086</t>
  </si>
  <si>
    <t xml:space="preserve">COMB-060</t>
  </si>
  <si>
    <t xml:space="preserve">standard monster HP=0</t>
  </si>
  <si>
    <t xml:space="preserve">consciousness</t>
  </si>
  <si>
    <t xml:space="preserve">SET_SEVERE_WOUND_AND_UNCONSCIOUS</t>
  </si>
  <si>
    <t xml:space="preserve">SWARM и видовые исключения сильнее</t>
  </si>
  <si>
    <t xml:space="preserve">COMB-061</t>
  </si>
  <si>
    <t xml:space="preserve">player character severe wound</t>
  </si>
  <si>
    <t xml:space="preserve">unconsciousness</t>
  </si>
  <si>
    <t xml:space="preserve">DO_NOT_INFER_EQUIVALENCE_BEYOND_SOURCE</t>
  </si>
  <si>
    <t xml:space="preserve">Тяжёлое ранение имеет собственный фильтр; источники дееспособности могут его изменить</t>
  </si>
  <si>
    <t xml:space="preserve">CORE-152; CORE-103</t>
  </si>
  <si>
    <t xml:space="preserve">COMB-062</t>
  </si>
  <si>
    <t xml:space="preserve">SWARM HP loss</t>
  </si>
  <si>
    <t xml:space="preserve">NO_SEVERE_WOUND</t>
  </si>
  <si>
    <t xml:space="preserve">SWARM не использует обычную модель ран</t>
  </si>
  <si>
    <t xml:space="preserve">CORE-219; CORE-222</t>
  </si>
  <si>
    <t xml:space="preserve">COMB-063</t>
  </si>
  <si>
    <t xml:space="preserve">clone mutable runtime graph</t>
  </si>
  <si>
    <t xml:space="preserve">effect/cooldown/capture IDs</t>
  </si>
  <si>
    <t xml:space="preserve">GENERATE_NEW_UUIDS</t>
  </si>
  <si>
    <t xml:space="preserve">Не делить mutable экземпляры между шаблоном и сценой</t>
  </si>
  <si>
    <t xml:space="preserve">Bestiary 09_Контракты</t>
  </si>
  <si>
    <t xml:space="preserve">COMB-064</t>
  </si>
  <si>
    <t xml:space="preserve">secondary control incompatible with anatomy</t>
  </si>
  <si>
    <t xml:space="preserve">valid attack damage</t>
  </si>
  <si>
    <t xml:space="preserve">NONHUMANOID: SKIP_PARALYSIS_SECONDARY; KEEP_HIT_DAMAGE_AND_OTHER_VALID_CONSEQUENCES</t>
  </si>
  <si>
    <t xml:space="preserve">Парализующий яд не действует на негуманоидов; основное попадание не отменяется</t>
  </si>
  <si>
    <t xml:space="preserve">SYM-045; Bestiary 05A/06A</t>
  </si>
  <si>
    <t xml:space="preserve">COMB-065</t>
  </si>
  <si>
    <t xml:space="preserve">dead actor</t>
  </si>
  <si>
    <t xml:space="preserve">stored effects on corpse/resurrection</t>
  </si>
  <si>
    <t xml:space="preserve">ON_FINAL_DEATH TERMINATE_TEMPORARY_AND_CONTROL; PRESERVE_TRAUMAS_WOUNDS_ITEM_STATE_INVENTORY_SYMBIONTS; NO_RESUME_ON_RESURRECTION</t>
  </si>
  <si>
    <t xml:space="preserve">Сохранённые состояния трупа не возобновляют завершённые временные эффекты</t>
  </si>
  <si>
    <t xml:space="preserve">CQA-001; AQA-024</t>
  </si>
  <si>
    <t xml:space="preserve">COMB-066</t>
  </si>
  <si>
    <t xml:space="preserve">multiple MON-159 psi-protection charges</t>
  </si>
  <si>
    <t xml:space="preserve">same defensive check</t>
  </si>
  <si>
    <t xml:space="preserve">CONSUME_ONE_EARLIEST_CHARGE; OTHER_SOURCE_CHARGES_REMAIN</t>
  </si>
  <si>
    <t xml:space="preserve">Бонусы не складываются на одной проверке</t>
  </si>
  <si>
    <t xml:space="preserve">COMB-067</t>
  </si>
  <si>
    <t xml:space="preserve">multiple Vivisector fumes</t>
  </si>
  <si>
    <t xml:space="preserve">same target at end of target turn</t>
  </si>
  <si>
    <t xml:space="preserve">ONE_CHECK_PER_SOURCE; STABLE_CREATED_AT_THEN_UUID; NO_ZONE_MERGE</t>
  </si>
  <si>
    <t xml:space="preserve">Урон и зоны каждого источника разрешаются отдельно</t>
  </si>
  <si>
    <t xml:space="preserve">MON-099; AQA-024</t>
  </si>
  <si>
    <t xml:space="preserve">Полная матрица сочетаний семейств</t>
  </si>
  <si>
    <t xml:space="preserve">24 семейств → 300 неупорядоченных пар с диагональю. Без override разные семейства сосуществуют и проходят обычные pipelines.</t>
  </si>
  <si>
    <t xml:space="preserve">PairID</t>
  </si>
  <si>
    <t xml:space="preserve">Default outcome</t>
  </si>
  <si>
    <t xml:space="preserve">Resolver</t>
  </si>
  <si>
    <t xml:space="preserve">CombinationRuleIDs</t>
  </si>
  <si>
    <t xml:space="preserve">Canonical basis</t>
  </si>
  <si>
    <t xml:space="preserve">Pair count</t>
  </si>
  <si>
    <t xml:space="preserve">PAIR-001</t>
  </si>
  <si>
    <t xml:space="preserve">TYPE_AND_SOURCE_SPECIFIC</t>
  </si>
  <si>
    <t xml:space="preserve">APPLY_LISTED_COMBINATION_RULES</t>
  </si>
  <si>
    <t xml:space="preserve">DEFAULT_OR_EXPLICIT</t>
  </si>
  <si>
    <t xml:space="preserve">PAIR-002</t>
  </si>
  <si>
    <t xml:space="preserve">COEXIST_AND_COMPOSE_BY_DEFAULT</t>
  </si>
  <si>
    <t xml:space="preserve">COMB-060; COMB-061</t>
  </si>
  <si>
    <t xml:space="preserve">CORE-222; CORE-152; CORE-103</t>
  </si>
  <si>
    <t xml:space="preserve">PAIR-003</t>
  </si>
  <si>
    <t xml:space="preserve">UNION_RESTRICTIONS_AND_RUN_NORMAL_PIPELINES</t>
  </si>
  <si>
    <t xml:space="preserve">CORE-079; CORE-080</t>
  </si>
  <si>
    <t xml:space="preserve">PAIR-004</t>
  </si>
  <si>
    <t xml:space="preserve">PAIR-005</t>
  </si>
  <si>
    <t xml:space="preserve">PAIR-006</t>
  </si>
  <si>
    <t xml:space="preserve">PAIR-007</t>
  </si>
  <si>
    <t xml:space="preserve">PAIR-008</t>
  </si>
  <si>
    <t xml:space="preserve">PAIR-009</t>
  </si>
  <si>
    <t xml:space="preserve">PAIR-010</t>
  </si>
  <si>
    <t xml:space="preserve">PAIR-011</t>
  </si>
  <si>
    <t xml:space="preserve">PAIR-012</t>
  </si>
  <si>
    <t xml:space="preserve">COMB-025; COMB-028</t>
  </si>
  <si>
    <t xml:space="preserve">CORE-155; AQA-024</t>
  </si>
  <si>
    <t xml:space="preserve">PAIR-013</t>
  </si>
  <si>
    <t xml:space="preserve">COMB-021; COMB-026; COMB-057</t>
  </si>
  <si>
    <t xml:space="preserve">CORE-071; CORE-156; CORE-156; AQA-028; CORE-071</t>
  </si>
  <si>
    <t xml:space="preserve">PAIR-014</t>
  </si>
  <si>
    <t xml:space="preserve">PAIR-015</t>
  </si>
  <si>
    <t xml:space="preserve">PAIR-016</t>
  </si>
  <si>
    <t xml:space="preserve">PAIR-017</t>
  </si>
  <si>
    <t xml:space="preserve">PAIR-018</t>
  </si>
  <si>
    <t xml:space="preserve">PAIR-019</t>
  </si>
  <si>
    <t xml:space="preserve">PAIR-020</t>
  </si>
  <si>
    <t xml:space="preserve">PAIR-021</t>
  </si>
  <si>
    <t xml:space="preserve">COMB-022; COMB-027; COMB-046</t>
  </si>
  <si>
    <t xml:space="preserve">CORE-060; CORE-156; MON-114–115; CORE-222; Q-CORE-063; CORE-153</t>
  </si>
  <si>
    <t xml:space="preserve">PAIR-022</t>
  </si>
  <si>
    <t xml:space="preserve">COMB-040; COMB-065</t>
  </si>
  <si>
    <t xml:space="preserve">CQA-002; AQ2-020; CQA-001; AQA-024</t>
  </si>
  <si>
    <t xml:space="preserve">PAIR-023</t>
  </si>
  <si>
    <t xml:space="preserve">PAIR-024</t>
  </si>
  <si>
    <t xml:space="preserve">PAIR-025</t>
  </si>
  <si>
    <t xml:space="preserve">APPLY_EFFECT_TYPE_STACK_POLICY</t>
  </si>
  <si>
    <t xml:space="preserve">PAIR-026</t>
  </si>
  <si>
    <t xml:space="preserve">COMB-018; COMB-019</t>
  </si>
  <si>
    <t xml:space="preserve">CORE-061–062; CORE-103; CORE-103</t>
  </si>
  <si>
    <t xml:space="preserve">PAIR-027</t>
  </si>
  <si>
    <t xml:space="preserve">PAIR-028</t>
  </si>
  <si>
    <t xml:space="preserve">PAIR-029</t>
  </si>
  <si>
    <t xml:space="preserve">PAIR-030</t>
  </si>
  <si>
    <t xml:space="preserve">PAIR-031</t>
  </si>
  <si>
    <t xml:space="preserve">PAIR-032</t>
  </si>
  <si>
    <t xml:space="preserve">PAIR-033</t>
  </si>
  <si>
    <t xml:space="preserve">PAIR-034</t>
  </si>
  <si>
    <t xml:space="preserve">PAIR-035</t>
  </si>
  <si>
    <t xml:space="preserve">PAIR-036</t>
  </si>
  <si>
    <t xml:space="preserve">PAIR-037</t>
  </si>
  <si>
    <t xml:space="preserve">PAIR-038</t>
  </si>
  <si>
    <t xml:space="preserve">PAIR-039</t>
  </si>
  <si>
    <t xml:space="preserve">PAIR-040</t>
  </si>
  <si>
    <t xml:space="preserve">PAIR-041</t>
  </si>
  <si>
    <t xml:space="preserve">PAIR-042</t>
  </si>
  <si>
    <t xml:space="preserve">PAIR-043</t>
  </si>
  <si>
    <t xml:space="preserve">PAIR-044</t>
  </si>
  <si>
    <t xml:space="preserve">PAIR-045</t>
  </si>
  <si>
    <t xml:space="preserve">PAIR-046</t>
  </si>
  <si>
    <t xml:space="preserve">PAIR-047</t>
  </si>
  <si>
    <t xml:space="preserve">PAIR-048</t>
  </si>
  <si>
    <t xml:space="preserve">COMB-032; COMB-033</t>
  </si>
  <si>
    <t xml:space="preserve">CORE-144; CORE-138; MON-136; MON-149</t>
  </si>
  <si>
    <t xml:space="preserve">PAIR-049</t>
  </si>
  <si>
    <t xml:space="preserve">PAIR-050</t>
  </si>
  <si>
    <t xml:space="preserve">PAIR-051</t>
  </si>
  <si>
    <t xml:space="preserve">PAIR-052</t>
  </si>
  <si>
    <t xml:space="preserve">Bestiary 05A/06A</t>
  </si>
  <si>
    <t xml:space="preserve">PAIR-053</t>
  </si>
  <si>
    <t xml:space="preserve">PAIR-054</t>
  </si>
  <si>
    <t xml:space="preserve">PAIR-055</t>
  </si>
  <si>
    <t xml:space="preserve">PAIR-056</t>
  </si>
  <si>
    <t xml:space="preserve">PAIR-057</t>
  </si>
  <si>
    <t xml:space="preserve">PAIR-058</t>
  </si>
  <si>
    <t xml:space="preserve">PAIR-059</t>
  </si>
  <si>
    <t xml:space="preserve">PAIR-060</t>
  </si>
  <si>
    <t xml:space="preserve">PAIR-061</t>
  </si>
  <si>
    <t xml:space="preserve">PAIR-062</t>
  </si>
  <si>
    <t xml:space="preserve">PAIR-063</t>
  </si>
  <si>
    <t xml:space="preserve">PAIR-064</t>
  </si>
  <si>
    <t xml:space="preserve">PAIR-065</t>
  </si>
  <si>
    <t xml:space="preserve">PAIR-066</t>
  </si>
  <si>
    <t xml:space="preserve">PAIR-067</t>
  </si>
  <si>
    <t xml:space="preserve">PAIR-068</t>
  </si>
  <si>
    <t xml:space="preserve">PAIR-069</t>
  </si>
  <si>
    <t xml:space="preserve">PAIR-070</t>
  </si>
  <si>
    <t xml:space="preserve">PAIR-071</t>
  </si>
  <si>
    <t xml:space="preserve">PAIR-072</t>
  </si>
  <si>
    <t xml:space="preserve">PAIR-073</t>
  </si>
  <si>
    <t xml:space="preserve">PAIR-074</t>
  </si>
  <si>
    <t xml:space="preserve">PAIR-075</t>
  </si>
  <si>
    <t xml:space="preserve">PAIR-076</t>
  </si>
  <si>
    <t xml:space="preserve">PAIR-077</t>
  </si>
  <si>
    <t xml:space="preserve">PAIR-078</t>
  </si>
  <si>
    <t xml:space="preserve">PAIR-079</t>
  </si>
  <si>
    <t xml:space="preserve">PAIR-080</t>
  </si>
  <si>
    <t xml:space="preserve">PAIR-081</t>
  </si>
  <si>
    <t xml:space="preserve">PAIR-082</t>
  </si>
  <si>
    <t xml:space="preserve">PAIR-083</t>
  </si>
  <si>
    <t xml:space="preserve">PAIR-084</t>
  </si>
  <si>
    <t xml:space="preserve">PAIR-085</t>
  </si>
  <si>
    <t xml:space="preserve">PAIR-086</t>
  </si>
  <si>
    <t xml:space="preserve">PAIR-087</t>
  </si>
  <si>
    <t xml:space="preserve">PAIR-088</t>
  </si>
  <si>
    <t xml:space="preserve">PAIR-089</t>
  </si>
  <si>
    <t xml:space="preserve">PAIR-090</t>
  </si>
  <si>
    <t xml:space="preserve">PAIR-091</t>
  </si>
  <si>
    <t xml:space="preserve">PAIR-092</t>
  </si>
  <si>
    <t xml:space="preserve">PAIR-093</t>
  </si>
  <si>
    <t xml:space="preserve">PAIR-094</t>
  </si>
  <si>
    <t xml:space="preserve">PAIR-095</t>
  </si>
  <si>
    <t xml:space="preserve">PAIR-096</t>
  </si>
  <si>
    <t xml:space="preserve">PAIR-097</t>
  </si>
  <si>
    <t xml:space="preserve">PAIR-098</t>
  </si>
  <si>
    <t xml:space="preserve">PAIR-099</t>
  </si>
  <si>
    <t xml:space="preserve">PAIR-100</t>
  </si>
  <si>
    <t xml:space="preserve">PAIR-101</t>
  </si>
  <si>
    <t xml:space="preserve">PAIR-102</t>
  </si>
  <si>
    <t xml:space="preserve">PAIR-103</t>
  </si>
  <si>
    <t xml:space="preserve">PAIR-104</t>
  </si>
  <si>
    <t xml:space="preserve">PAIR-105</t>
  </si>
  <si>
    <t xml:space="preserve">PAIR-106</t>
  </si>
  <si>
    <t xml:space="preserve">PAIR-107</t>
  </si>
  <si>
    <t xml:space="preserve">PAIR-108</t>
  </si>
  <si>
    <t xml:space="preserve">PAIR-109</t>
  </si>
  <si>
    <t xml:space="preserve">PAIR-110</t>
  </si>
  <si>
    <t xml:space="preserve">PAIR-111</t>
  </si>
  <si>
    <t xml:space="preserve">PAIR-112</t>
  </si>
  <si>
    <t xml:space="preserve">PAIR-113</t>
  </si>
  <si>
    <t xml:space="preserve">PAIR-114</t>
  </si>
  <si>
    <t xml:space="preserve">PAIR-115</t>
  </si>
  <si>
    <t xml:space="preserve">PAIR-116</t>
  </si>
  <si>
    <t xml:space="preserve">PAIR-117</t>
  </si>
  <si>
    <t xml:space="preserve">PAIR-118</t>
  </si>
  <si>
    <t xml:space="preserve">PAIR-119</t>
  </si>
  <si>
    <t xml:space="preserve">PAIR-120</t>
  </si>
  <si>
    <t xml:space="preserve">PAIR-121</t>
  </si>
  <si>
    <t xml:space="preserve">PAIR-122</t>
  </si>
  <si>
    <t xml:space="preserve">PAIR-123</t>
  </si>
  <si>
    <t xml:space="preserve">PAIR-124</t>
  </si>
  <si>
    <t xml:space="preserve">PAIR-125</t>
  </si>
  <si>
    <t xml:space="preserve">PAIR-126</t>
  </si>
  <si>
    <t xml:space="preserve">PAIR-127</t>
  </si>
  <si>
    <t xml:space="preserve">PAIR-128</t>
  </si>
  <si>
    <t xml:space="preserve">PAIR-129</t>
  </si>
  <si>
    <t xml:space="preserve">PAIR-130</t>
  </si>
  <si>
    <t xml:space="preserve">COMB-029; COMB-030</t>
  </si>
  <si>
    <t xml:space="preserve">PAIR-131</t>
  </si>
  <si>
    <t xml:space="preserve">PAIR-132</t>
  </si>
  <si>
    <t xml:space="preserve">PAIR-133</t>
  </si>
  <si>
    <t xml:space="preserve">COMB-010; COMB-031</t>
  </si>
  <si>
    <t xml:space="preserve">SYM-045; CORE-119; MON-169
Author decision 2026-07-31</t>
  </si>
  <si>
    <t xml:space="preserve">EXPLICIT_RESOLVERS</t>
  </si>
  <si>
    <t xml:space="preserve">PAIR-134</t>
  </si>
  <si>
    <t xml:space="preserve">PAIR-135</t>
  </si>
  <si>
    <t xml:space="preserve">PAIR-136</t>
  </si>
  <si>
    <t xml:space="preserve">PAIR-137</t>
  </si>
  <si>
    <t xml:space="preserve">PAIR-138</t>
  </si>
  <si>
    <t xml:space="preserve">PAIR-139</t>
  </si>
  <si>
    <t xml:space="preserve">PAIR-140</t>
  </si>
  <si>
    <t xml:space="preserve">PAIR-141</t>
  </si>
  <si>
    <t xml:space="preserve">PAIR-142</t>
  </si>
  <si>
    <t xml:space="preserve">PAIR-143</t>
  </si>
  <si>
    <t xml:space="preserve">PAIR-144</t>
  </si>
  <si>
    <t xml:space="preserve">PAIR-145</t>
  </si>
  <si>
    <t xml:space="preserve">PAIR-146</t>
  </si>
  <si>
    <t xml:space="preserve">PAIR-147</t>
  </si>
  <si>
    <t xml:space="preserve">PAIR-148</t>
  </si>
  <si>
    <t xml:space="preserve">PAIR-149</t>
  </si>
  <si>
    <t xml:space="preserve">PAIR-150</t>
  </si>
  <si>
    <t xml:space="preserve">PAIR-151</t>
  </si>
  <si>
    <t xml:space="preserve">PAIR-152</t>
  </si>
  <si>
    <t xml:space="preserve">PAIR-153</t>
  </si>
  <si>
    <t xml:space="preserve">PAIR-154</t>
  </si>
  <si>
    <t xml:space="preserve">PAIR-155</t>
  </si>
  <si>
    <t xml:space="preserve">PAIR-156</t>
  </si>
  <si>
    <t xml:space="preserve">PAIR-157</t>
  </si>
  <si>
    <t xml:space="preserve">PAIR-158</t>
  </si>
  <si>
    <t xml:space="preserve">PAIR-159</t>
  </si>
  <si>
    <t xml:space="preserve">PAIR-160</t>
  </si>
  <si>
    <t xml:space="preserve">PAIR-161</t>
  </si>
  <si>
    <t xml:space="preserve">PAIR-162</t>
  </si>
  <si>
    <t xml:space="preserve">PAIR-163</t>
  </si>
  <si>
    <t xml:space="preserve">PAIR-164</t>
  </si>
  <si>
    <t xml:space="preserve">PAIR-165</t>
  </si>
  <si>
    <t xml:space="preserve">COMB-003; COMB-004</t>
  </si>
  <si>
    <t xml:space="preserve">PAIR-166</t>
  </si>
  <si>
    <t xml:space="preserve">PAIR-167</t>
  </si>
  <si>
    <t xml:space="preserve">PAIR-168</t>
  </si>
  <si>
    <t xml:space="preserve">PAIR-169</t>
  </si>
  <si>
    <t xml:space="preserve">PAIR-170</t>
  </si>
  <si>
    <t xml:space="preserve">PAIR-171</t>
  </si>
  <si>
    <t xml:space="preserve">PAIR-172</t>
  </si>
  <si>
    <t xml:space="preserve">PAIR-173</t>
  </si>
  <si>
    <t xml:space="preserve">PAIR-174</t>
  </si>
  <si>
    <t xml:space="preserve">PAIR-175</t>
  </si>
  <si>
    <t xml:space="preserve">PAIR-176</t>
  </si>
  <si>
    <t xml:space="preserve">PAIR-177</t>
  </si>
  <si>
    <t xml:space="preserve">PAIR-178</t>
  </si>
  <si>
    <t xml:space="preserve">PAIR-179</t>
  </si>
  <si>
    <t xml:space="preserve">PAIR-180</t>
  </si>
  <si>
    <t xml:space="preserve">PAIR-181</t>
  </si>
  <si>
    <t xml:space="preserve">COMB-009; COMB-056; COMB-067</t>
  </si>
  <si>
    <t xml:space="preserve">SYM-039; SYM-042; MON-150; MON-099; AQA-024</t>
  </si>
  <si>
    <t xml:space="preserve">PAIR-182</t>
  </si>
  <si>
    <t xml:space="preserve">PAIR-183</t>
  </si>
  <si>
    <t xml:space="preserve">PAIR-184</t>
  </si>
  <si>
    <t xml:space="preserve">PAIR-185</t>
  </si>
  <si>
    <t xml:space="preserve">PAIR-186</t>
  </si>
  <si>
    <t xml:space="preserve">PAIR-187</t>
  </si>
  <si>
    <t xml:space="preserve">PAIR-188</t>
  </si>
  <si>
    <t xml:space="preserve">PAIR-189</t>
  </si>
  <si>
    <t xml:space="preserve">PAIR-190</t>
  </si>
  <si>
    <t xml:space="preserve">COMB-007; COMB-008; COMB-058</t>
  </si>
  <si>
    <t xml:space="preserve">CORE-228; CORE-228; CORE-080; SYM-144; SYM-042</t>
  </si>
  <si>
    <t xml:space="preserve">PAIR-191</t>
  </si>
  <si>
    <t xml:space="preserve">PAIR-192</t>
  </si>
  <si>
    <t xml:space="preserve">PAIR-193</t>
  </si>
  <si>
    <t xml:space="preserve">PAIR-194</t>
  </si>
  <si>
    <t xml:space="preserve">PAIR-195</t>
  </si>
  <si>
    <t xml:space="preserve">PAIR-196</t>
  </si>
  <si>
    <t xml:space="preserve">PAIR-197</t>
  </si>
  <si>
    <t xml:space="preserve">PAIR-198</t>
  </si>
  <si>
    <t xml:space="preserve">PAIR-199</t>
  </si>
  <si>
    <t xml:space="preserve">PAIR-200</t>
  </si>
  <si>
    <t xml:space="preserve">PAIR-201</t>
  </si>
  <si>
    <t xml:space="preserve">PAIR-202</t>
  </si>
  <si>
    <t xml:space="preserve">PAIR-203</t>
  </si>
  <si>
    <t xml:space="preserve">PAIR-204</t>
  </si>
  <si>
    <t xml:space="preserve">PAIR-205</t>
  </si>
  <si>
    <t xml:space="preserve">PAIR-206</t>
  </si>
  <si>
    <t xml:space="preserve">PAIR-207</t>
  </si>
  <si>
    <t xml:space="preserve">PAIR-208</t>
  </si>
  <si>
    <t xml:space="preserve">PAIR-209</t>
  </si>
  <si>
    <t xml:space="preserve">PAIR-210</t>
  </si>
  <si>
    <t xml:space="preserve">PAIR-211</t>
  </si>
  <si>
    <t xml:space="preserve">PAIR-212</t>
  </si>
  <si>
    <t xml:space="preserve">PAIR-213</t>
  </si>
  <si>
    <t xml:space="preserve">PAIR-214</t>
  </si>
  <si>
    <t xml:space="preserve">PAIR-215</t>
  </si>
  <si>
    <t xml:space="preserve">PAIR-216</t>
  </si>
  <si>
    <t xml:space="preserve">PAIR-217</t>
  </si>
  <si>
    <t xml:space="preserve">PAIR-218</t>
  </si>
  <si>
    <t xml:space="preserve">PAIR-219</t>
  </si>
  <si>
    <t xml:space="preserve">PAIR-220</t>
  </si>
  <si>
    <t xml:space="preserve">PAIR-221</t>
  </si>
  <si>
    <t xml:space="preserve">PAIR-222</t>
  </si>
  <si>
    <t xml:space="preserve">PAIR-223</t>
  </si>
  <si>
    <t xml:space="preserve">PAIR-224</t>
  </si>
  <si>
    <t xml:space="preserve">PAIR-225</t>
  </si>
  <si>
    <t xml:space="preserve">PAIR-226</t>
  </si>
  <si>
    <t xml:space="preserve">PAIR-227</t>
  </si>
  <si>
    <t xml:space="preserve">PAIR-228</t>
  </si>
  <si>
    <t xml:space="preserve">PAIR-229</t>
  </si>
  <si>
    <t xml:space="preserve">PAIR-230</t>
  </si>
  <si>
    <t xml:space="preserve">PAIR-231</t>
  </si>
  <si>
    <t xml:space="preserve">PAIR-232</t>
  </si>
  <si>
    <t xml:space="preserve">PAIR-233</t>
  </si>
  <si>
    <t xml:space="preserve">PAIR-234</t>
  </si>
  <si>
    <t xml:space="preserve">PAIR-235</t>
  </si>
  <si>
    <t xml:space="preserve">PAIR-236</t>
  </si>
  <si>
    <t xml:space="preserve">PAIR-237</t>
  </si>
  <si>
    <t xml:space="preserve">PAIR-238</t>
  </si>
  <si>
    <t xml:space="preserve">PAIR-239</t>
  </si>
  <si>
    <t xml:space="preserve">PAIR-240</t>
  </si>
  <si>
    <t xml:space="preserve">PAIR-241</t>
  </si>
  <si>
    <t xml:space="preserve">PAIR-242</t>
  </si>
  <si>
    <t xml:space="preserve">PAIR-243</t>
  </si>
  <si>
    <t xml:space="preserve">PAIR-244</t>
  </si>
  <si>
    <t xml:space="preserve">PAIR-245</t>
  </si>
  <si>
    <t xml:space="preserve">PAIR-246</t>
  </si>
  <si>
    <t xml:space="preserve">CORE-079; CORE-080; MON-159</t>
  </si>
  <si>
    <t xml:space="preserve">PAIR-247</t>
  </si>
  <si>
    <t xml:space="preserve">PAIR-248</t>
  </si>
  <si>
    <t xml:space="preserve">PAIR-249</t>
  </si>
  <si>
    <t xml:space="preserve">PAIR-250</t>
  </si>
  <si>
    <t xml:space="preserve">PAIR-251</t>
  </si>
  <si>
    <t xml:space="preserve">PAIR-252</t>
  </si>
  <si>
    <t xml:space="preserve">PAIR-253</t>
  </si>
  <si>
    <t xml:space="preserve">PAIR-254</t>
  </si>
  <si>
    <t xml:space="preserve">PAIR-255</t>
  </si>
  <si>
    <t xml:space="preserve">PAIR-256</t>
  </si>
  <si>
    <t xml:space="preserve">PAIR-257</t>
  </si>
  <si>
    <t xml:space="preserve">PAIR-258</t>
  </si>
  <si>
    <t xml:space="preserve">PAIR-259</t>
  </si>
  <si>
    <t xml:space="preserve">PAIR-260</t>
  </si>
  <si>
    <t xml:space="preserve">PAIR-261</t>
  </si>
  <si>
    <t xml:space="preserve">PAIR-262</t>
  </si>
  <si>
    <t xml:space="preserve">PAIR-263</t>
  </si>
  <si>
    <t xml:space="preserve">PAIR-264</t>
  </si>
  <si>
    <t xml:space="preserve">PAIR-265</t>
  </si>
  <si>
    <t xml:space="preserve">PAIR-266</t>
  </si>
  <si>
    <t xml:space="preserve">PAIR-267</t>
  </si>
  <si>
    <t xml:space="preserve">PAIR-268</t>
  </si>
  <si>
    <t xml:space="preserve">PAIR-269</t>
  </si>
  <si>
    <t xml:space="preserve">PAIR-270</t>
  </si>
  <si>
    <t xml:space="preserve">PAIR-271</t>
  </si>
  <si>
    <t xml:space="preserve">PAIR-272</t>
  </si>
  <si>
    <t xml:space="preserve">PAIR-273</t>
  </si>
  <si>
    <t xml:space="preserve">PAIR-274</t>
  </si>
  <si>
    <t xml:space="preserve">PAIR-275</t>
  </si>
  <si>
    <t xml:space="preserve">PAIR-276</t>
  </si>
  <si>
    <t xml:space="preserve">PAIR-277</t>
  </si>
  <si>
    <t xml:space="preserve">PAIR-278</t>
  </si>
  <si>
    <t xml:space="preserve">PAIR-279</t>
  </si>
  <si>
    <t xml:space="preserve">PAIR-280</t>
  </si>
  <si>
    <t xml:space="preserve">PAIR-281</t>
  </si>
  <si>
    <t xml:space="preserve">PAIR-282</t>
  </si>
  <si>
    <t xml:space="preserve">PAIR-283</t>
  </si>
  <si>
    <t xml:space="preserve">PAIR-284</t>
  </si>
  <si>
    <t xml:space="preserve">PAIR-285</t>
  </si>
  <si>
    <t xml:space="preserve">PAIR-286</t>
  </si>
  <si>
    <t xml:space="preserve">PAIR-287</t>
  </si>
  <si>
    <t xml:space="preserve">PAIR-288</t>
  </si>
  <si>
    <t xml:space="preserve">PAIR-289</t>
  </si>
  <si>
    <t xml:space="preserve">PAIR-290</t>
  </si>
  <si>
    <t xml:space="preserve">PAIR-291</t>
  </si>
  <si>
    <t xml:space="preserve">PAIR-292</t>
  </si>
  <si>
    <t xml:space="preserve">COMB-041; COMB-063</t>
  </si>
  <si>
    <t xml:space="preserve">CQA-002; AQ2-020; Bestiary 09_Контракты</t>
  </si>
  <si>
    <t xml:space="preserve">PAIR-293</t>
  </si>
  <si>
    <t xml:space="preserve">PAIR-294</t>
  </si>
  <si>
    <t xml:space="preserve">PAIR-295</t>
  </si>
  <si>
    <t xml:space="preserve">PAIR-296</t>
  </si>
  <si>
    <t xml:space="preserve">PAIR-297</t>
  </si>
  <si>
    <t xml:space="preserve">PAIR-298</t>
  </si>
  <si>
    <t xml:space="preserve">PAIR-299</t>
  </si>
  <si>
    <t xml:space="preserve">PAIR-300</t>
  </si>
  <si>
    <t xml:space="preserve">Проекции дееспособности для значимых сочетаний</t>
  </si>
  <si>
    <t xml:space="preserve">Это производные профили интерфейса и фильтра команд; активные исходные EffectInstance не удаляются.</t>
  </si>
  <si>
    <t xml:space="preserve">ProfileID</t>
  </si>
  <si>
    <t xml:space="preserve">Активные состояния</t>
  </si>
  <si>
    <t xml:space="preserve">Физические действия</t>
  </si>
  <si>
    <t xml:space="preserve">Ментальные действия</t>
  </si>
  <si>
    <t xml:space="preserve">Реакции</t>
  </si>
  <si>
    <t xml:space="preserve">Активная защита</t>
  </si>
  <si>
    <t xml:space="preserve">Перемещение</t>
  </si>
  <si>
    <t xml:space="preserve">Броня</t>
  </si>
  <si>
    <t xml:space="preserve">Таймеры / автономные эффекты</t>
  </si>
  <si>
    <t xml:space="preserve">Контроллер</t>
  </si>
  <si>
    <t xml:space="preserve">Выход</t>
  </si>
  <si>
    <t xml:space="preserve">PRF-CLEAN</t>
  </si>
  <si>
    <t xml:space="preserve">—</t>
  </si>
  <si>
    <t xml:space="preserve">YES</t>
  </si>
  <si>
    <t xml:space="preserve">Normal</t>
  </si>
  <si>
    <t xml:space="preserve">owningController</t>
  </si>
  <si>
    <t xml:space="preserve">PRF-UNCONSCIOUS</t>
  </si>
  <si>
    <t xml:space="preserve">NO</t>
  </si>
  <si>
    <t xml:space="preserve">Autonomous effects continue</t>
  </si>
  <si>
    <t xml:space="preserve">owningController unless specific override</t>
  </si>
  <si>
    <t xml:space="preserve">Remove source condition</t>
  </si>
  <si>
    <t xml:space="preserve">PRF-SLEEP</t>
  </si>
  <si>
    <t xml:space="preserve">Damage or CORE-060</t>
  </si>
  <si>
    <t xml:space="preserve">PRF-PARALYZED</t>
  </si>
  <si>
    <t xml:space="preserve">CONDITIONAL_NO_SPEECH_MOVEMENT_BODY</t>
  </si>
  <si>
    <t xml:space="preserve">NO_PHYSICAL</t>
  </si>
  <si>
    <t xml:space="preserve">NO_ACTIVE_PHYSICAL</t>
  </si>
  <si>
    <t xml:space="preserve">Expiry or source removal</t>
  </si>
  <si>
    <t xml:space="preserve">CORE-062; CORE-103</t>
  </si>
  <si>
    <t xml:space="preserve">PRF-STUNNED</t>
  </si>
  <si>
    <t xml:space="preserve">NO_NAMED_TURNS</t>
  </si>
  <si>
    <t xml:space="preserve">Consume named turns / cleanse</t>
  </si>
  <si>
    <t xml:space="preserve">PRF-GRAPPLED</t>
  </si>
  <si>
    <t xml:space="preserve">YES_WITH_MINUS_5</t>
  </si>
  <si>
    <t xml:space="preserve">YES_WITH_MODS</t>
  </si>
  <si>
    <t xml:space="preserve">NO_DODGE; OTHER_BY_RULE</t>
  </si>
  <si>
    <t xml:space="preserve">PAIR_MOVE_ONLY</t>
  </si>
  <si>
    <t xml:space="preserve">Release contest / source release</t>
  </si>
  <si>
    <t xml:space="preserve">PRF-RESTRAINED</t>
  </si>
  <si>
    <t xml:space="preserve">YES_WITH_SOURCE_PENALTY</t>
  </si>
  <si>
    <t xml:space="preserve">Source-specific check</t>
  </si>
  <si>
    <t xml:space="preserve">PRF-SEVERE-PC</t>
  </si>
  <si>
    <t xml:space="preserve">NO_BY_DEFAULT</t>
  </si>
  <si>
    <t xml:space="preserve">Death timer; heal blocked</t>
  </si>
  <si>
    <t xml:space="preserve">Explicit reanimation only</t>
  </si>
  <si>
    <t xml:space="preserve">CORE-152–156</t>
  </si>
  <si>
    <t xml:space="preserve">PRF-SEVERE-DUPLICATE</t>
  </si>
  <si>
    <t xml:space="preserve">EFF-LIFE-SEVERE_WOUND + EFF-CAPABILITY-SEVERE_WOUND</t>
  </si>
  <si>
    <t xml:space="preserve">Timer ×4 once; new damage kills</t>
  </si>
  <si>
    <t xml:space="preserve">Source completion/reanimation/death</t>
  </si>
  <si>
    <t xml:space="preserve">CORE-154; SYM-028</t>
  </si>
  <si>
    <t xml:space="preserve">PRF-SEVERE-TABLET</t>
  </si>
  <si>
    <t xml:space="preserve">EFF-LIFE-SEVERE_WOUND + CORE-069 capability</t>
  </si>
  <si>
    <t xml:space="preserve">YES_UNTIL_COMBAT_END</t>
  </si>
  <si>
    <t xml:space="preserve">Timer; periodic heal still blocked</t>
  </si>
  <si>
    <t xml:space="preserve">Combat end/reanimation/death</t>
  </si>
  <si>
    <t xml:space="preserve">PRF-DEAD</t>
  </si>
  <si>
    <t xml:space="preserve">N/A</t>
  </si>
  <si>
    <t xml:space="preserve">Cancel remaining personal events; death-triggered events may run</t>
  </si>
  <si>
    <t xml:space="preserve">Explicit resurrection only</t>
  </si>
  <si>
    <t xml:space="preserve">AQA-024; CORE-156</t>
  </si>
  <si>
    <t xml:space="preserve">PRF-SLEEP-PARALYSIS</t>
  </si>
  <si>
    <t xml:space="preserve">EFF-CONSCIOUS-SLEEP + EFF-CONTROL-PARALYSIS</t>
  </si>
  <si>
    <t xml:space="preserve">Both timers remain</t>
  </si>
  <si>
    <t xml:space="preserve">Damage removes sleep only</t>
  </si>
  <si>
    <t xml:space="preserve">CORE-061–063; CORE-103</t>
  </si>
  <si>
    <t xml:space="preserve">PRF-UNCONSCIOUS-BURNING</t>
  </si>
  <si>
    <t xml:space="preserve">EFF-CONSCIOUS-UNCONSCIOUS + EFF-FIRE-BURNING</t>
  </si>
  <si>
    <t xml:space="preserve">Burn ticks normally</t>
  </si>
  <si>
    <t xml:space="preserve">Independent removal</t>
  </si>
  <si>
    <t xml:space="preserve">CORE-103; CORE-112</t>
  </si>
  <si>
    <t xml:space="preserve">PRF-DISEASE-UNCONSCIOUS</t>
  </si>
  <si>
    <t xml:space="preserve">EFF-DISEASE-INSTANCE + derived unconscious</t>
  </si>
  <si>
    <t xml:space="preserve">Disease ticks remain</t>
  </si>
  <si>
    <t xml:space="preserve">Remove enough disease decrease</t>
  </si>
  <si>
    <t xml:space="preserve">MON-075; MON-085</t>
  </si>
  <si>
    <t xml:space="preserve">PRF-STONE-STATUE</t>
  </si>
  <si>
    <t xml:space="preserve">YES_IF_NO_BODY_SPEECH_MOVEMENT</t>
  </si>
  <si>
    <t xml:space="preserve">Burn/direct damage run; other periodic damage paused without accumulation</t>
  </si>
  <si>
    <t xml:space="preserve">Own turn, 1 action</t>
  </si>
  <si>
    <t xml:space="preserve">PRF-ADVISOR-UNCONSCIOUS</t>
  </si>
  <si>
    <t xml:space="preserve">EFF-CONSCIOUS-UNCONSCIOUS + Advisor automatic control</t>
  </si>
  <si>
    <t xml:space="preserve">YES_IF_BODY_CAPABLE</t>
  </si>
  <si>
    <t xml:space="preserve">Normal source timers</t>
  </si>
  <si>
    <t xml:space="preserve">Advisor</t>
  </si>
  <si>
    <t xml:space="preserve">Clarity returns / invalidation</t>
  </si>
  <si>
    <t xml:space="preserve">PRF-ADVISOR-PARALYZED</t>
  </si>
  <si>
    <t xml:space="preserve">EFF-CONTROL-PARALYSIS + Advisor</t>
  </si>
  <si>
    <t xml:space="preserve">CONDITIONAL</t>
  </si>
  <si>
    <t xml:space="preserve">Autonomous effects only</t>
  </si>
  <si>
    <t xml:space="preserve">Remove paralysis</t>
  </si>
  <si>
    <t xml:space="preserve">PRF-PUPPET</t>
  </si>
  <si>
    <t xml:space="preserve">BODY_CAPABILITY_FILTER</t>
  </si>
  <si>
    <t xml:space="preserve">No extra actions</t>
  </si>
  <si>
    <t xml:space="preserve">externalController</t>
  </si>
  <si>
    <t xml:space="preserve">Lease expiry/invalidation</t>
  </si>
  <si>
    <t xml:space="preserve">CORE-181; CORE-221; CQA-049</t>
  </si>
  <si>
    <t xml:space="preserve">PRF-SWADDLER-CHAIN</t>
  </si>
  <si>
    <t xml:space="preserve">RESTRAINED + poison counter + cocoon progress</t>
  </si>
  <si>
    <t xml:space="preserve">SOURCE_PENALTY</t>
  </si>
  <si>
    <t xml:space="preserve">NO_OR_SOURCE</t>
  </si>
  <si>
    <t xml:space="preserve">Poison and cocoon progress independent</t>
  </si>
  <si>
    <t xml:space="preserve">Release/reset/source interruption</t>
  </si>
  <si>
    <t xml:space="preserve">MON-149–151</t>
  </si>
  <si>
    <t xml:space="preserve">PRF-MONSTER-HP0</t>
  </si>
  <si>
    <t xml:space="preserve">severeWound + unconscious + death timer</t>
  </si>
  <si>
    <t xml:space="preserve">Species exceptions apply</t>
  </si>
  <si>
    <t xml:space="preserve">system controller</t>
  </si>
  <si>
    <t xml:space="preserve">Explicit reanimation/death</t>
  </si>
  <si>
    <t xml:space="preserve">PRF-FIRE-FLEA-DETONATING-DEAD</t>
  </si>
  <si>
    <t xml:space="preserve">dead + prepared detonation</t>
  </si>
  <si>
    <t xml:space="preserve">Detonation still resolves</t>
  </si>
  <si>
    <t xml:space="preserve">Special neutralization/trigger</t>
  </si>
  <si>
    <t xml:space="preserve">Профили ответов, иммунитетов и сопротивлений</t>
  </si>
  <si>
    <t xml:space="preserve">Ответ не создаёт отсутствующую проверку. IMMUNE_BEFORE_ROLL отбрасывает только соответствующий payload.</t>
  </si>
  <si>
    <t xml:space="preserve">ResponseProfileID</t>
  </si>
  <si>
    <t xml:space="preserve">Provider</t>
  </si>
  <si>
    <t xml:space="preserve">Source scope</t>
  </si>
  <si>
    <t xml:space="preserve">Response</t>
  </si>
  <si>
    <t xml:space="preserve">Modifier</t>
  </si>
  <si>
    <t xml:space="preserve">Existing effect policy / note</t>
  </si>
  <si>
    <t xml:space="preserve">RSP-KRYSYUK-POISON</t>
  </si>
  <si>
    <t xml:space="preserve">CBT-KRYSYUK</t>
  </si>
  <si>
    <t xml:space="preserve">ANY</t>
  </si>
  <si>
    <t xml:space="preserve">No automatic cleanse</t>
  </si>
  <si>
    <t xml:space="preserve">MON-104; CORE-228</t>
  </si>
  <si>
    <t xml:space="preserve">RSP-KRYSYUK-DISEASE</t>
  </si>
  <si>
    <t xml:space="preserve">CHECK_MODIFIER</t>
  </si>
  <si>
    <t xml:space="preserve">+5</t>
  </si>
  <si>
    <t xml:space="preserve">Only an existing check</t>
  </si>
  <si>
    <t xml:space="preserve">RSP-KRYSYUK-EXHAUSTION</t>
  </si>
  <si>
    <t xml:space="preserve">EXHAUSTION</t>
  </si>
  <si>
    <t xml:space="preserve">Mechanic otherwise orphaned</t>
  </si>
  <si>
    <t xml:space="preserve">RSP-GIANT-TOAD-POISON</t>
  </si>
  <si>
    <t xml:space="preserve">CBT-GIANT-TOAD</t>
  </si>
  <si>
    <t xml:space="preserve">MON-155; CORE-228</t>
  </si>
  <si>
    <t xml:space="preserve">RSP-GIANT-TOAD-DISEASE</t>
  </si>
  <si>
    <t xml:space="preserve">+10</t>
  </si>
  <si>
    <t xml:space="preserve">No exhaustion bonus</t>
  </si>
  <si>
    <t xml:space="preserve">RSP-VIVISECTOR-SELF</t>
  </si>
  <si>
    <t xml:space="preserve">CBT-VIVISECTOR</t>
  </si>
  <si>
    <t xml:space="preserve">OWN_SLIME_OR_FUMES</t>
  </si>
  <si>
    <t xml:space="preserve">IMMUNE</t>
  </si>
  <si>
    <t xml:space="preserve">own poison payload</t>
  </si>
  <si>
    <t xml:space="preserve">No own effect created</t>
  </si>
  <si>
    <t xml:space="preserve">RSP-VIVISECTOR-NATURAL</t>
  </si>
  <si>
    <t xml:space="preserve">NATURAL</t>
  </si>
  <si>
    <t xml:space="preserve">Artificial/symbiotic normal</t>
  </si>
  <si>
    <t xml:space="preserve">RSP-VIVISECTOR-FIRE</t>
  </si>
  <si>
    <t xml:space="preserve">FIRE</t>
  </si>
  <si>
    <t xml:space="preserve">DAMAGE_MULTIPLIER</t>
  </si>
  <si>
    <t xml:space="preserve">×0.5</t>
  </si>
  <si>
    <t xml:space="preserve">Burn may still apply</t>
  </si>
  <si>
    <t xml:space="preserve">RSP-FIRE-FLEA-FIRE</t>
  </si>
  <si>
    <t xml:space="preserve">CBT-FIRE-FLEA</t>
  </si>
  <si>
    <t xml:space="preserve">IMMUNE_STANDARD_FIRE</t>
  </si>
  <si>
    <t xml:space="preserve">standard fire damage/burn</t>
  </si>
  <si>
    <t xml:space="preserve">Specific explosion rules separate</t>
  </si>
  <si>
    <t xml:space="preserve">RSP-NAIT-INHALED</t>
  </si>
  <si>
    <t xml:space="preserve">ITEM:ITM-ARM-005 sealed</t>
  </si>
  <si>
    <t xml:space="preserve">INHALED_CHEMICAL_OR_INFECTION</t>
  </si>
  <si>
    <t xml:space="preserve">EXTERNAL</t>
  </si>
  <si>
    <t xml:space="preserve">BLOCK_APPLICATION</t>
  </si>
  <si>
    <t xml:space="preserve">fumes, pheromones, infected vapor</t>
  </si>
  <si>
    <t xml:space="preserve">Does not cleanse existing</t>
  </si>
  <si>
    <t xml:space="preserve">RSP-NAIT-CHECK</t>
  </si>
  <si>
    <t xml:space="preserve">DISEASE|SYMBIONT_INFECTION|EXTERNAL_CHEMICAL</t>
  </si>
  <si>
    <t xml:space="preserve">+20</t>
  </si>
  <si>
    <t xml:space="preserve">Only while sealed</t>
  </si>
  <si>
    <t xml:space="preserve">RSP-NAIT-DAMAGE</t>
  </si>
  <si>
    <t xml:space="preserve">ELECTRIC|MENTAL|CHEMICAL|POISON_FUMES</t>
  </si>
  <si>
    <t xml:space="preserve">DAMAGE_REDUCTION</t>
  </si>
  <si>
    <t xml:space="preserve">−20 per portion</t>
  </si>
  <si>
    <t xml:space="preserve">Internal/ingested/injected excluded</t>
  </si>
  <si>
    <t xml:space="preserve">RSP-KASTELCROSS-PSI</t>
  </si>
  <si>
    <t xml:space="preserve">ITEM:ITM-ARM-006</t>
  </si>
  <si>
    <t xml:space="preserve">MENTAL_PSI</t>
  </si>
  <si>
    <t xml:space="preserve">DAMAGE_REDUCTION_AND_CHECK</t>
  </si>
  <si>
    <t xml:space="preserve">−5 damage; +5 check</t>
  </si>
  <si>
    <t xml:space="preserve">Chemical pheromones not blocked</t>
  </si>
  <si>
    <t xml:space="preserve">CORE-054</t>
  </si>
  <si>
    <t xml:space="preserve">RSP-KASTELCROSS-CHOKE</t>
  </si>
  <si>
    <t xml:space="preserve">CHOKE_HOLD</t>
  </si>
  <si>
    <t xml:space="preserve">PHYSICAL</t>
  </si>
  <si>
    <t xml:space="preserve">choke control</t>
  </si>
  <si>
    <t xml:space="preserve">Armor condition per item</t>
  </si>
  <si>
    <t xml:space="preserve">RSP-BRIGANDINE-CHOKE</t>
  </si>
  <si>
    <t xml:space="preserve">ITEM:ITM-ARM-002 full set</t>
  </si>
  <si>
    <t xml:space="preserve">Requires head+torso</t>
  </si>
  <si>
    <t xml:space="preserve">CORE-050</t>
  </si>
  <si>
    <t xml:space="preserve">RSP-GLENHEIM-HOLDS</t>
  </si>
  <si>
    <t xml:space="preserve">ITEM:ITM-ARM-008</t>
  </si>
  <si>
    <t xml:space="preserve">TRAUMATIC_OR_CHOKE_HOLD</t>
  </si>
  <si>
    <t xml:space="preserve">IMMUNE_TO_HOLD</t>
  </si>
  <si>
    <t xml:space="preserve">hold consequence</t>
  </si>
  <si>
    <t xml:space="preserve">Normal trauma from penetrating attack remains</t>
  </si>
  <si>
    <t xml:space="preserve">CORE-056</t>
  </si>
  <si>
    <t xml:space="preserve">RSP-TOAD-SYMBIONT-POISON</t>
  </si>
  <si>
    <t xml:space="preserve">SYM:TOAD</t>
  </si>
  <si>
    <t xml:space="preserve">POISON_OR_DECOCTION</t>
  </si>
  <si>
    <t xml:space="preserve">IMMUNE_DAMAGE_AND_CONTROL</t>
  </si>
  <si>
    <t xml:space="preserve">poison damage and poison CONTROL-tagged effects</t>
  </si>
  <si>
    <t xml:space="preserve">SYM-042 stat debuff is not blocked</t>
  </si>
  <si>
    <t xml:space="preserve">RSP-CHIMERA-CONTROL</t>
  </si>
  <si>
    <t xml:space="preserve">MON:CHIMERA Unstoppable</t>
  </si>
  <si>
    <t xml:space="preserve">CONTROL</t>
  </si>
  <si>
    <t xml:space="preserve">REMOVE_AND_IMMUNE_TEMPORARILY</t>
  </si>
  <si>
    <t xml:space="preserve">physical and mental control</t>
  </si>
  <si>
    <t xml:space="preserve">Not wounds/unconscious/death/damage/trauma</t>
  </si>
  <si>
    <t xml:space="preserve">MON-020; CQA-043</t>
  </si>
  <si>
    <t xml:space="preserve">RSP-PURE-INFECTION</t>
  </si>
  <si>
    <t xml:space="preserve">RACE:PURE</t>
  </si>
  <si>
    <t xml:space="preserve">NATURAL_SYMBIONT_INFECTION</t>
  </si>
  <si>
    <t xml:space="preserve">infection</t>
  </si>
  <si>
    <t xml:space="preserve">Other infection routes source-specific</t>
  </si>
  <si>
    <t xml:space="preserve">RSP-BUBUI-ALCOHOL</t>
  </si>
  <si>
    <t xml:space="preserve">CBT-BUBUI</t>
  </si>
  <si>
    <t xml:space="preserve">ALCOHOL</t>
  </si>
  <si>
    <t xml:space="preserve">IGNORE_SELECTED_PENALTIES</t>
  </si>
  <si>
    <t xml:space="preserve">S/D/I penalties only</t>
  </si>
  <si>
    <t xml:space="preserve">Other alcohol effects remain</t>
  </si>
  <si>
    <t xml:space="preserve">Таймеры и транзакционный порядок</t>
  </si>
  <si>
    <t xml:space="preserve">AQA-024 используется как поздняя детальная семантика обработки одной временной метки.</t>
  </si>
  <si>
    <t xml:space="preserve">PolicyID</t>
  </si>
  <si>
    <t xml:space="preserve">Code</t>
  </si>
  <si>
    <t xml:space="preserve">Контекст</t>
  </si>
  <si>
    <t xml:space="preserve">Алгоритм / инвариант</t>
  </si>
  <si>
    <t xml:space="preserve">TIME-001</t>
  </si>
  <si>
    <t xml:space="preserve">Личный ход</t>
  </si>
  <si>
    <t xml:space="preserve">PERSONAL_TURN</t>
  </si>
  <si>
    <t xml:space="preserve">Источник или цель по карточке</t>
  </si>
  <si>
    <t xml:space="preserve">Срок N начинается немедленно и завершается в конце N-го последующего хода источника</t>
  </si>
  <si>
    <t xml:space="preserve">TIME-002</t>
  </si>
  <si>
    <t xml:space="preserve">Круг инициативы</t>
  </si>
  <si>
    <t xml:space="preserve">INITIATIVE_ROUND</t>
  </si>
  <si>
    <t xml:space="preserve">Глобальный боевой круг</t>
  </si>
  <si>
    <t xml:space="preserve">Используется, если нет личного источника либо карточка прямо говорит круг</t>
  </si>
  <si>
    <t xml:space="preserve">CORE-101; CORE-176</t>
  </si>
  <si>
    <t xml:space="preserve">TIME-003</t>
  </si>
  <si>
    <t xml:space="preserve">До конца боя</t>
  </si>
  <si>
    <t xml:space="preserve">COMBAT_BOUND</t>
  </si>
  <si>
    <t xml:space="preserve">Активная угроза</t>
  </si>
  <si>
    <t xml:space="preserve">Не сохраняется только ради формального состояния без угрозы</t>
  </si>
  <si>
    <t xml:space="preserve">CORE-086; CORE-101</t>
  </si>
  <si>
    <t xml:space="preserve">TIME-004</t>
  </si>
  <si>
    <t xml:space="preserve">Часы/минуты</t>
  </si>
  <si>
    <t xml:space="preserve">WORLD_TIME</t>
  </si>
  <si>
    <t xml:space="preserve">Календарь кампании</t>
  </si>
  <si>
    <t xml:space="preserve">Хранить точные отметки времени</t>
  </si>
  <si>
    <t xml:space="preserve">CORE-101; Q-CORE-063</t>
  </si>
  <si>
    <t xml:space="preserve">TIME-005</t>
  </si>
  <si>
    <t xml:space="preserve">Полные сутки</t>
  </si>
  <si>
    <t xml:space="preserve">FULL_DAY_TICK</t>
  </si>
  <si>
    <t xml:space="preserve">24 часа эффекта</t>
  </si>
  <si>
    <t xml:space="preserve">Пневмония тикает только за полные сутки</t>
  </si>
  <si>
    <t xml:space="preserve">TIME-006</t>
  </si>
  <si>
    <t xml:space="preserve">SEVERE_WOUND_TIMER</t>
  </si>
  <si>
    <t xml:space="preserve">Личная/мировая шкала</t>
  </si>
  <si>
    <t xml:space="preserve">1 боевой ход остатка = 5 минут вне боя</t>
  </si>
  <si>
    <t xml:space="preserve">CORE-153; Q-CORE-063</t>
  </si>
  <si>
    <t xml:space="preserve">TIME-007</t>
  </si>
  <si>
    <t xml:space="preserve">Обычный остаток</t>
  </si>
  <si>
    <t xml:space="preserve">NORMAL_CONVERSION</t>
  </si>
  <si>
    <t xml:space="preserve">Смена бой↔мир</t>
  </si>
  <si>
    <t xml:space="preserve">1 оставшийся ход = 1 минута</t>
  </si>
  <si>
    <t xml:space="preserve">Q-CORE-063</t>
  </si>
  <si>
    <t xml:space="preserve">TIME-008</t>
  </si>
  <si>
    <t xml:space="preserve">Точный остаток</t>
  </si>
  <si>
    <t xml:space="preserve">EXACT_REMAINDER</t>
  </si>
  <si>
    <t xml:space="preserve">Хранилище</t>
  </si>
  <si>
    <t xml:space="preserve">Округление вверх допустимо только для отображения</t>
  </si>
  <si>
    <t xml:space="preserve">TIME-009</t>
  </si>
  <si>
    <t xml:space="preserve">Список событий метки</t>
  </si>
  <si>
    <t xml:space="preserve">EVENT_SNAPSHOT</t>
  </si>
  <si>
    <t xml:space="preserve">Одна временная метка</t>
  </si>
  <si>
    <t xml:space="preserve">Сначала фиксируется неизменяемый список существовавших событий</t>
  </si>
  <si>
    <t xml:space="preserve">TIME-010</t>
  </si>
  <si>
    <t xml:space="preserve">Фаза 1</t>
  </si>
  <si>
    <t xml:space="preserve">COSTS_AND_TICKS</t>
  </si>
  <si>
    <t xml:space="preserve">Обязательные цены и периодические тики</t>
  </si>
  <si>
    <t xml:space="preserve">TIME-011</t>
  </si>
  <si>
    <t xml:space="preserve">Немедленный пересчёт</t>
  </si>
  <si>
    <t xml:space="preserve">RECALC_AFTER_EACH_TICK</t>
  </si>
  <si>
    <t xml:space="preserve">После каждого тика</t>
  </si>
  <si>
    <t xml:space="preserve">Тяжёлая рана, сознание, смерть и немедленные триггеры</t>
  </si>
  <si>
    <t xml:space="preserve">TIME-012</t>
  </si>
  <si>
    <t xml:space="preserve">Фаза 3</t>
  </si>
  <si>
    <t xml:space="preserve">RECOVERY</t>
  </si>
  <si>
    <t xml:space="preserve">После последствий тиков</t>
  </si>
  <si>
    <t xml:space="preserve">Завершения операций, восстановление и отдых</t>
  </si>
  <si>
    <t xml:space="preserve">TIME-013</t>
  </si>
  <si>
    <t xml:space="preserve">Фаза 4</t>
  </si>
  <si>
    <t xml:space="preserve">После восстановления</t>
  </si>
  <si>
    <t xml:space="preserve">Истекают эффекты, чей срок завершился</t>
  </si>
  <si>
    <t xml:space="preserve">TIME-014</t>
  </si>
  <si>
    <t xml:space="preserve">Фаза 5</t>
  </si>
  <si>
    <t xml:space="preserve">GM_REQUESTS</t>
  </si>
  <si>
    <t xml:space="preserve">После истечений</t>
  </si>
  <si>
    <t xml:space="preserve">Создаются запросы мастеру</t>
  </si>
  <si>
    <t xml:space="preserve">TIME-015</t>
  </si>
  <si>
    <t xml:space="preserve">Порядок в фазе</t>
  </si>
  <si>
    <t xml:space="preserve">STABLE_ORDER</t>
  </si>
  <si>
    <t xml:space="preserve">Одинаковая фаза</t>
  </si>
  <si>
    <t xml:space="preserve">createdAt, затем UUID</t>
  </si>
  <si>
    <t xml:space="preserve">TIME-016</t>
  </si>
  <si>
    <t xml:space="preserve">Новое событие на той же метке</t>
  </si>
  <si>
    <t xml:space="preserve">APPEND_CURRENT_OPEN_PHASE</t>
  </si>
  <si>
    <t xml:space="preserve">Текущая транзакция</t>
  </si>
  <si>
    <t xml:space="preserve">Добавить в конец ещё не завершённой фазы; не возвращаться назад</t>
  </si>
  <si>
    <t xml:space="preserve">TIME-017</t>
  </si>
  <si>
    <t xml:space="preserve">Новый таймер</t>
  </si>
  <si>
    <t xml:space="preserve">NO_SAME_MOMENT_SERVICE</t>
  </si>
  <si>
    <t xml:space="preserve">Момент создания</t>
  </si>
  <si>
    <t xml:space="preserve">Не тикать и не уменьшать в момент создания</t>
  </si>
  <si>
    <t xml:space="preserve">CORE-101; Q-CORE-062</t>
  </si>
  <si>
    <t xml:space="preserve">TIME-018</t>
  </si>
  <si>
    <t xml:space="preserve">Смерть в транзакции</t>
  </si>
  <si>
    <t xml:space="preserve">CANCEL_PERSONAL_EVENTS</t>
  </si>
  <si>
    <t xml:space="preserve">Отменить оставшиеся личные тики/восстановления; оставить только события, вызванные смертью</t>
  </si>
  <si>
    <t xml:space="preserve">TIME-019</t>
  </si>
  <si>
    <t xml:space="preserve">Поддерживаемый источник</t>
  </si>
  <si>
    <t xml:space="preserve">SOURCE_MAINTAINED</t>
  </si>
  <si>
    <t xml:space="preserve">Смерть/недееспособность/отключение/выход</t>
  </si>
  <si>
    <t xml:space="preserve">Прекратить, если карточка не говорит иное</t>
  </si>
  <si>
    <t xml:space="preserve">TIME-020</t>
  </si>
  <si>
    <t xml:space="preserve">Автономный эффект</t>
  </si>
  <si>
    <t xml:space="preserve">AUTONOMOUS_SNAPSHOT</t>
  </si>
  <si>
    <t xml:space="preserve">Источник недоступен</t>
  </si>
  <si>
    <t xml:space="preserve">Продолжить; заморозить последний читаемый sourceSnapshot</t>
  </si>
  <si>
    <t xml:space="preserve">TIME-021</t>
  </si>
  <si>
    <t xml:space="preserve">Дробная длительность R20/3</t>
  </si>
  <si>
    <t xml:space="preserve">ROUND_NEAREST_HALF_UP_MIN_ONE</t>
  </si>
  <si>
    <t xml:space="preserve">Фелида и иные явно совместимые источники</t>
  </si>
  <si>
    <t xml:space="preserve">Округлить до ближайшего целого; ровно 0,5 вверх; положительный результат минимум 1; результат ≤0 не создаёт эффект</t>
  </si>
  <si>
    <t xml:space="preserve">MON-169; авторское решение GAP-018</t>
  </si>
  <si>
    <t xml:space="preserve">Runtime-контракты эффектов и болезней</t>
  </si>
  <si>
    <t xml:space="preserve">Схема заполняет существующие currentEffects/currentTraumas/currentWounds без изменения согласованных файлов.</t>
  </si>
  <si>
    <t xml:space="preserve">Entity</t>
  </si>
  <si>
    <t xml:space="preserve">Field</t>
  </si>
  <si>
    <t xml:space="preserve">Type</t>
  </si>
  <si>
    <t xml:space="preserve">Required</t>
  </si>
  <si>
    <t xml:space="preserve">Семантика / инвариант</t>
  </si>
  <si>
    <t xml:space="preserve">Источник / статус</t>
  </si>
  <si>
    <t xml:space="preserve">EffectDefinition</t>
  </si>
  <si>
    <t xml:space="preserve">effectTypeId</t>
  </si>
  <si>
    <t xml:space="preserve">string</t>
  </si>
  <si>
    <t xml:space="preserve">Стабильный ID из 02_Типы_эффектов</t>
  </si>
  <si>
    <t xml:space="preserve">NEW_SUPPLEMENT_SCHEMA</t>
  </si>
  <si>
    <t xml:space="preserve">familyCode</t>
  </si>
  <si>
    <t xml:space="preserve">enum</t>
  </si>
  <si>
    <t xml:space="preserve">FK на 01_Семейства</t>
  </si>
  <si>
    <t xml:space="preserve">displayName</t>
  </si>
  <si>
    <t xml:space="preserve">Пользовательское имя</t>
  </si>
  <si>
    <t xml:space="preserve">stateBucket</t>
  </si>
  <si>
    <t xml:space="preserve">currentEffects/currentTraumas/currentWounds/actorFlags/item/source/narrative</t>
  </si>
  <si>
    <t xml:space="preserve">defaultStackPolicy</t>
  </si>
  <si>
    <t xml:space="preserve">Не заменяет частную карточку источника</t>
  </si>
  <si>
    <t xml:space="preserve">defaultSourceLifecycle</t>
  </si>
  <si>
    <t xml:space="preserve">SOURCE_MAINTAINED/AUTONOMOUS/SOURCE_SPECIFIC</t>
  </si>
  <si>
    <t xml:space="preserve">automationStatus</t>
  </si>
  <si>
    <t xml:space="preserve">AUTOMATED/PARTIAL/TRACE_ONLY/BLOCKED/NOT_MODELED</t>
  </si>
  <si>
    <t xml:space="preserve">EffectInstance</t>
  </si>
  <si>
    <t xml:space="preserve">effectInstanceId</t>
  </si>
  <si>
    <t xml:space="preserve">UUID</t>
  </si>
  <si>
    <t xml:space="preserve">Уникален в mutable graph; новый UUID при клонировании</t>
  </si>
  <si>
    <t xml:space="preserve">REQUIRED</t>
  </si>
  <si>
    <t xml:space="preserve">FK EffectDefinition</t>
  </si>
  <si>
    <t xml:space="preserve">Дублируется для быстрого ответа и валидируется по типу</t>
  </si>
  <si>
    <t xml:space="preserve">targetActorId</t>
  </si>
  <si>
    <t xml:space="preserve">Владелец состояния</t>
  </si>
  <si>
    <t xml:space="preserve">targetRegionId</t>
  </si>
  <si>
    <t xml:space="preserve">string|null</t>
  </si>
  <si>
    <t xml:space="preserve">Обязателен для конечности/зоны</t>
  </si>
  <si>
    <t xml:space="preserve">REQUIRED_IF_REGION</t>
  </si>
  <si>
    <t xml:space="preserve">sourceRuleIds</t>
  </si>
  <si>
    <t xml:space="preserve">string[]</t>
  </si>
  <si>
    <t xml:space="preserve">Нормативные Rule ID</t>
  </si>
  <si>
    <t xml:space="preserve">sourceEntityId</t>
  </si>
  <si>
    <t xml:space="preserve">UUID|null</t>
  </si>
  <si>
    <t xml:space="preserve">Актор/объект источника</t>
  </si>
  <si>
    <t xml:space="preserve">sourceInstanceId</t>
  </si>
  <si>
    <t xml:space="preserve">UUID|string|null</t>
  </si>
  <si>
    <t xml:space="preserve">Способность, предмет, зона, покрытие или связь</t>
  </si>
  <si>
    <t xml:space="preserve">sourceSnapshot</t>
  </si>
  <si>
    <t xml:space="preserve">object|null</t>
  </si>
  <si>
    <t xml:space="preserve">Последний читаемый уровень/параметры для автономного эффекта</t>
  </si>
  <si>
    <t xml:space="preserve">sourceLifecyclePolicy</t>
  </si>
  <si>
    <t xml:space="preserve">stackingKey</t>
  </si>
  <si>
    <t xml:space="preserve">Не выводить молча из displayName; брать из типа/источника</t>
  </si>
  <si>
    <t xml:space="preserve">payload</t>
  </si>
  <si>
    <t xml:space="preserve">object</t>
  </si>
  <si>
    <t xml:space="preserve">Типизированные значения конкретного эффекта</t>
  </si>
  <si>
    <t xml:space="preserve">magnitude</t>
  </si>
  <si>
    <t xml:space="preserve">number|object|null</t>
  </si>
  <si>
    <t xml:space="preserve">Число для CORE-080 либо структурированный пакет</t>
  </si>
  <si>
    <t xml:space="preserve">tags</t>
  </si>
  <si>
    <t xml:space="preserve">CONTROL/POISON/DISEASE и другие явно подтверждённые теги</t>
  </si>
  <si>
    <t xml:space="preserve">createdAt</t>
  </si>
  <si>
    <t xml:space="preserve">timestamp</t>
  </si>
  <si>
    <t xml:space="preserve">Для стабильного порядка</t>
  </si>
  <si>
    <t xml:space="preserve">startsAt</t>
  </si>
  <si>
    <t xml:space="preserve">timestamp|turnRef</t>
  </si>
  <si>
    <t xml:space="preserve">Момент начала</t>
  </si>
  <si>
    <t xml:space="preserve">expiresAt</t>
  </si>
  <si>
    <t xml:space="preserve">timestamp|turnRef|null</t>
  </si>
  <si>
    <t xml:space="preserve">NULL только для бессрочного/условного</t>
  </si>
  <si>
    <t xml:space="preserve">REQUIRED_IF_TIMED</t>
  </si>
  <si>
    <t xml:space="preserve">remainingExact</t>
  </si>
  <si>
    <t xml:space="preserve">decimal|null</t>
  </si>
  <si>
    <t xml:space="preserve">Точный остаток при конвертации</t>
  </si>
  <si>
    <t xml:space="preserve">durationUnit</t>
  </si>
  <si>
    <t xml:space="preserve">enum|null</t>
  </si>
  <si>
    <t xml:space="preserve">TURN/ROUND/MINUTE/HOUR/DAY/COMBAT/CONDITION</t>
  </si>
  <si>
    <t xml:space="preserve">Фаза, период и nextTickAt</t>
  </si>
  <si>
    <t xml:space="preserve">REQUIRED_IF_PERIODIC</t>
  </si>
  <si>
    <t xml:space="preserve">lastTickAt</t>
  </si>
  <si>
    <t xml:space="preserve">Аудит дедупликации тика</t>
  </si>
  <si>
    <t xml:space="preserve">PERIODIC</t>
  </si>
  <si>
    <t xml:space="preserve">status</t>
  </si>
  <si>
    <t xml:space="preserve">PENDING/ACTIVE/SUSPENDED/EXPIRED/REMOVED/REPLACED/BLOCKED</t>
  </si>
  <si>
    <t xml:space="preserve">revision</t>
  </si>
  <si>
    <t xml:space="preserve">integer&gt;=1</t>
  </si>
  <si>
    <t xml:space="preserve">Изменение мастером создаёт новую версию, старую завершает</t>
  </si>
  <si>
    <t xml:space="preserve">removalReason</t>
  </si>
  <si>
    <t xml:space="preserve">EXPIRY/CURE/CLEANSE/DAMAGE/SOURCE_INVALID/REPLACED/GM/DEATH</t>
  </si>
  <si>
    <t xml:space="preserve">AUDIT</t>
  </si>
  <si>
    <t xml:space="preserve">createdBy</t>
  </si>
  <si>
    <t xml:space="preserve">RULE/PLAYER_COMMAND/GM/SYSTEM</t>
  </si>
  <si>
    <t xml:space="preserve">DiseaseInstance</t>
  </si>
  <si>
    <t xml:space="preserve">diseaseId</t>
  </si>
  <si>
    <t xml:space="preserve">FK 03_Болезни; effectTypeId=EFF-DISEASE-INSTANCE</t>
  </si>
  <si>
    <t xml:space="preserve">assignedByGM</t>
  </si>
  <si>
    <t xml:space="preserve">boolean</t>
  </si>
  <si>
    <t xml:space="preserve">Для приложения true по CQA-060</t>
  </si>
  <si>
    <t xml:space="preserve">object[]</t>
  </si>
  <si>
    <t xml:space="preserve">Статовые и проверочные модификаторы</t>
  </si>
  <si>
    <t xml:space="preserve">MON-076–084</t>
  </si>
  <si>
    <t xml:space="preserve">dailyTick</t>
  </si>
  <si>
    <t xml:space="preserve">Только если прямо задано</t>
  </si>
  <si>
    <t xml:space="preserve">PoisonInstance</t>
  </si>
  <si>
    <t xml:space="preserve">poisonProfileId</t>
  </si>
  <si>
    <t xml:space="preserve">FK 04_Яды</t>
  </si>
  <si>
    <t xml:space="preserve">poisonSourceKind</t>
  </si>
  <si>
    <t xml:space="preserve">ORDINARY/NATURAL/ARTIFICIAL/SYMBIOTIC/CANONICAL</t>
  </si>
  <si>
    <t xml:space="preserve">deliveryKind</t>
  </si>
  <si>
    <t xml:space="preserve">CONTACT/INHALED/INGESTED/INJECTED/COATING/SOURCE_SPECIFIC</t>
  </si>
  <si>
    <t xml:space="preserve">TraumaInstance</t>
  </si>
  <si>
    <t xml:space="preserve">traumaInstanceId</t>
  </si>
  <si>
    <t xml:space="preserve">Элемент currentTraumas</t>
  </si>
  <si>
    <t xml:space="preserve">regionId</t>
  </si>
  <si>
    <t xml:space="preserve">Зона анатомии</t>
  </si>
  <si>
    <t xml:space="preserve">traumaValue</t>
  </si>
  <si>
    <t xml:space="preserve">number</t>
  </si>
  <si>
    <t xml:space="preserve">Суммируется по одной конечности по CORE-119</t>
  </si>
  <si>
    <t xml:space="preserve">WoundInstance</t>
  </si>
  <si>
    <t xml:space="preserve">woundInstanceId</t>
  </si>
  <si>
    <t xml:space="preserve">Элемент currentWounds</t>
  </si>
  <si>
    <t xml:space="preserve">woundType</t>
  </si>
  <si>
    <t xml:space="preserve">GENERIC/BLEEDING; создание только SOURCE_CREATES_WOUND_OR_GM</t>
  </si>
  <si>
    <t xml:space="preserve">responseProfileId</t>
  </si>
  <si>
    <t xml:space="preserve">Стабильный ID 10_Иммунитеты</t>
  </si>
  <si>
    <t xml:space="preserve">effectFamily</t>
  </si>
  <si>
    <t xml:space="preserve">Семейство входящего payload</t>
  </si>
  <si>
    <t xml:space="preserve">sourceScope</t>
  </si>
  <si>
    <t xml:space="preserve">ANY/NATURAL/EXTERNAL/OWN_SOURCE/...</t>
  </si>
  <si>
    <t xml:space="preserve">response</t>
  </si>
  <si>
    <t xml:space="preserve">IMMUNE_BEFORE_ROLL/CHECK_MODIFIER/DAMAGE_REDUCTION/...</t>
  </si>
  <si>
    <t xml:space="preserve">DerivedStateProjection</t>
  </si>
  <si>
    <t xml:space="preserve">canPhysicalAct</t>
  </si>
  <si>
    <t xml:space="preserve">Пересчитывается из активных состояний</t>
  </si>
  <si>
    <t xml:space="preserve">canMentalAct</t>
  </si>
  <si>
    <t xml:space="preserve">boolean|conditional</t>
  </si>
  <si>
    <t xml:space="preserve">С учётом речи/движения/контроля тела</t>
  </si>
  <si>
    <t xml:space="preserve">canReact</t>
  </si>
  <si>
    <t xml:space="preserve">Пересчитывается</t>
  </si>
  <si>
    <t xml:space="preserve">canActiveDefend</t>
  </si>
  <si>
    <t xml:space="preserve">Броня отдельно</t>
  </si>
  <si>
    <t xml:space="preserve">effectiveControllerId</t>
  </si>
  <si>
    <t xml:space="preserve">Результат CORE-181/221</t>
  </si>
  <si>
    <t xml:space="preserve">variantKey</t>
  </si>
  <si>
    <t xml:space="preserve">Явный вариант эффекта; пустая строка допустима для единственного варианта</t>
  </si>
  <si>
    <t xml:space="preserve">GAP-004</t>
  </si>
  <si>
    <t xml:space="preserve">aggregateKey</t>
  </si>
  <si>
    <t xml:space="preserve">Для бинарных эффектов: effectTypeId|variantKey|targetRegionId; источники и таймеры остаются отдельными</t>
  </si>
  <si>
    <t xml:space="preserve">deathDisposition</t>
  </si>
  <si>
    <t xml:space="preserve">TERMINATE_ON_DEATH/PRESERVE_ON_CORPSE/SOURCE_SPECIFIC</t>
  </si>
  <si>
    <t xml:space="preserve">GAP-006</t>
  </si>
  <si>
    <t xml:space="preserve">secondaryControlApplicable</t>
  </si>
  <si>
    <t xml:space="preserve">false для парализующего яда на негуманоиде; остальной payload сохраняется</t>
  </si>
  <si>
    <t xml:space="preserve">GAP-017</t>
  </si>
  <si>
    <t xml:space="preserve">Зона одной раны, созданной одним событием</t>
  </si>
  <si>
    <t xml:space="preserve">GAP-001</t>
  </si>
  <si>
    <t xml:space="preserve">creationPolicy</t>
  </si>
  <si>
    <t xml:space="preserve">SOURCE_CREATES_WOUND_OR_GM</t>
  </si>
  <si>
    <t xml:space="preserve">damagePerTick</t>
  </si>
  <si>
    <t xml:space="preserve">number|null</t>
  </si>
  <si>
    <t xml:space="preserve">Обязателен только для BLEEDING; значения по умолчанию нет</t>
  </si>
  <si>
    <t xml:space="preserve">GAP-002</t>
  </si>
  <si>
    <t xml:space="preserve">tickPhase</t>
  </si>
  <si>
    <t xml:space="preserve">END_OF_TARGET_TURN для BLEEDING</t>
  </si>
  <si>
    <t xml:space="preserve">healingPolicy</t>
  </si>
  <si>
    <t xml:space="preserve">GAP-001–003</t>
  </si>
  <si>
    <t xml:space="preserve">PreparedCoatingInstance</t>
  </si>
  <si>
    <t xml:space="preserve">coatingInstanceId</t>
  </si>
  <si>
    <t xml:space="preserve">Уникальный экземпляр расходуемого покрытия</t>
  </si>
  <si>
    <t xml:space="preserve">GAP-011</t>
  </si>
  <si>
    <t xml:space="preserve">hostItemInstanceId</t>
  </si>
  <si>
    <t xml:space="preserve">Экземпляр предмета либо отдельного отравленного снаряда</t>
  </si>
  <si>
    <t xml:space="preserve">surfaceKey</t>
  </si>
  <si>
    <t xml:space="preserve">Одна поражающая поверхность; одновременно одно расходуемое покрытие</t>
  </si>
  <si>
    <t xml:space="preserve">inventoryMode</t>
  </si>
  <si>
    <t xml:space="preserve">STACKABLE_UNCOATED_PROJECTILES/INDIVIDUAL_POISONED_PROJECTILE/INDIVIDUAL_ITEM_COATING</t>
  </si>
  <si>
    <t xml:space="preserve">consumptionState</t>
  </si>
  <si>
    <t xml:space="preserve">ACTIVE/CONSUMED/REPLACED</t>
  </si>
  <si>
    <t xml:space="preserve">replacesCoatingId</t>
  </si>
  <si>
    <t xml:space="preserve">Заполняется после подтверждённой замены покрытия</t>
  </si>
  <si>
    <t xml:space="preserve">regionPenaltyById</t>
  </si>
  <si>
    <t xml:space="preserve">map&lt;regionId,number&gt;</t>
  </si>
  <si>
    <t xml:space="preserve">Для одной зоны действует наиболее строгий числовой штраф из травмы/онемения; источники хранятся раздельно, самостоятельные ограничения объединяются, после снятия выполняется пересчёт</t>
  </si>
  <si>
    <t xml:space="preserve">CORE-119; MON-169; SYM-045; COMB-031; Author decision 2026-07-31</t>
  </si>
  <si>
    <t xml:space="preserve">Атомарные операции приложения</t>
  </si>
  <si>
    <t xml:space="preserve">Каждая операция валидирует источник, ответ, анатомию и stack policy до изменения mutable state.</t>
  </si>
  <si>
    <t xml:space="preserve">OperationID</t>
  </si>
  <si>
    <t xml:space="preserve">Inputs</t>
  </si>
  <si>
    <t xml:space="preserve">Алгоритм</t>
  </si>
  <si>
    <t xml:space="preserve">Idempotency / audit</t>
  </si>
  <si>
    <t xml:space="preserve">Failure policy</t>
  </si>
  <si>
    <t xml:space="preserve">APPLY_EFFECT</t>
  </si>
  <si>
    <t xml:space="preserve">EffectDefinition + source payload + target</t>
  </si>
  <si>
    <t xml:space="preserve">Validate response → anatomy → known EffectTypeID; reject BLOCKED/NOT_MODELED; then aggregateKey/stack policy → create or aggregate</t>
  </si>
  <si>
    <t xml:space="preserve">currentEffects/source bucket; audit</t>
  </si>
  <si>
    <t xml:space="preserve">IDEMPOTENCY_KEY</t>
  </si>
  <si>
    <t xml:space="preserve">REJECT_BLOCKED_OR_NOT_MODELED</t>
  </si>
  <si>
    <t xml:space="preserve">CORE-080; CORE-228</t>
  </si>
  <si>
    <t xml:space="preserve">REMOVE_EFFECT</t>
  </si>
  <si>
    <t xml:space="preserve">effectInstanceId + authorized reason</t>
  </si>
  <si>
    <t xml:space="preserve">Validate specific removal permission</t>
  </si>
  <si>
    <t xml:space="preserve">status=REMOVED; recalc</t>
  </si>
  <si>
    <t xml:space="preserve">effectInstanceId+revision</t>
  </si>
  <si>
    <t xml:space="preserve">REJECT_TERMINAL_DEAD_CLEAR</t>
  </si>
  <si>
    <t xml:space="preserve">AQA-028; AQA-045</t>
  </si>
  <si>
    <t xml:space="preserve">REPLACE_EFFECT</t>
  </si>
  <si>
    <t xml:space="preserve">old instance + new payload</t>
  </si>
  <si>
    <t xml:space="preserve">End old version and create new atomically</t>
  </si>
  <si>
    <t xml:space="preserve">old=REPLACED; new revision</t>
  </si>
  <si>
    <t xml:space="preserve">commandId</t>
  </si>
  <si>
    <t xml:space="preserve">NO_ROLLBACK</t>
  </si>
  <si>
    <t xml:space="preserve">REFRESH_EFFECT</t>
  </si>
  <si>
    <t xml:space="preserve">effectInstanceId + new duration</t>
  </si>
  <si>
    <t xml:space="preserve">Only if source profile says refresh</t>
  </si>
  <si>
    <t xml:space="preserve">Update through replacement/versioning</t>
  </si>
  <si>
    <t xml:space="preserve">REJECT_IF_STACK_POLICY_DIFFERS</t>
  </si>
  <si>
    <t xml:space="preserve">CORE-058; AQA-045</t>
  </si>
  <si>
    <t xml:space="preserve">ADVANCE_TIME</t>
  </si>
  <si>
    <t xml:space="preserve">target timestamp / combat boundary</t>
  </si>
  <si>
    <t xml:space="preserve">Build stable event snapshot and execute phases</t>
  </si>
  <si>
    <t xml:space="preserve">ticks, recalc, recovery, expiry, GM requests</t>
  </si>
  <si>
    <t xml:space="preserve">timeAdvanceId</t>
  </si>
  <si>
    <t xml:space="preserve">ROLLBACK_TRANSACTION_ON_ERROR</t>
  </si>
  <si>
    <t xml:space="preserve">RESOLVE_EFFECT_TICK</t>
  </si>
  <si>
    <t xml:space="preserve">effectInstanceId + tick occurrence</t>
  </si>
  <si>
    <t xml:space="preserve">Revalidate active/applicable; execute exactly once</t>
  </si>
  <si>
    <t xml:space="preserve">resource/state delta + nextTick</t>
  </si>
  <si>
    <t xml:space="preserve">effectInstanceId+tickAt</t>
  </si>
  <si>
    <t xml:space="preserve">SKIP_IF_DEAD_OR_INAPPLICABLE</t>
  </si>
  <si>
    <t xml:space="preserve">ASSIGN_DISEASE</t>
  </si>
  <si>
    <t xml:space="preserve">actorId + diseaseId + GM authority</t>
  </si>
  <si>
    <t xml:space="preserve">No automatic disease selection; apply if not same active disease</t>
  </si>
  <si>
    <t xml:space="preserve">actorId+diseaseId+commandId</t>
  </si>
  <si>
    <t xml:space="preserve">BLOCK_UNKNOWN_DISEASE</t>
  </si>
  <si>
    <t xml:space="preserve">CQA-060; MON-085</t>
  </si>
  <si>
    <t xml:space="preserve">REMOVE_DISEASE</t>
  </si>
  <si>
    <t xml:space="preserve">actorId + disease instance + GM authority</t>
  </si>
  <si>
    <t xml:space="preserve">Remove named disease and recalc</t>
  </si>
  <si>
    <t xml:space="preserve">status=REMOVED</t>
  </si>
  <si>
    <t xml:space="preserve">NO_AUTOMATIC_TREATMENT</t>
  </si>
  <si>
    <t xml:space="preserve">APPLY_POISON</t>
  </si>
  <si>
    <t xml:space="preserve">poison profile + delivery + source + target</t>
  </si>
  <si>
    <t xml:space="preserve">Run IMMUNE_BEFORE_ROLL; then profile algorithm</t>
  </si>
  <si>
    <t xml:space="preserve">PoisonInstance/counter/damage</t>
  </si>
  <si>
    <t xml:space="preserve">originEventId+profile</t>
  </si>
  <si>
    <t xml:space="preserve">DROP_POISON_PAYLOAD_ON_ABSOLUTE_IMMUNITY</t>
  </si>
  <si>
    <t xml:space="preserve">APPLY_BURNING</t>
  </si>
  <si>
    <t xml:space="preserve">target + duration + damagePerTick + source</t>
  </si>
  <si>
    <t xml:space="preserve">Create binary status or set max duration and max damagePerTick; no immediate second tick</t>
  </si>
  <si>
    <t xml:space="preserve">originEventId</t>
  </si>
  <si>
    <t xml:space="preserve">REJECT_MISSING_DAMAGE_PER_TICK</t>
  </si>
  <si>
    <t xml:space="preserve">EXTINGUISH_BURNING</t>
  </si>
  <si>
    <t xml:space="preserve">target + source/GM command</t>
  </si>
  <si>
    <t xml:space="preserve">Validate explicit extinguisher or GM scene resolution</t>
  </si>
  <si>
    <t xml:space="preserve">remove burn</t>
  </si>
  <si>
    <t xml:space="preserve">APPLY_TRAUMA</t>
  </si>
  <si>
    <t xml:space="preserve">damage event + anatomy zone</t>
  </si>
  <si>
    <t xml:space="preserve">Check R20+Z &lt; actualDamage; apply source zone algorithm</t>
  </si>
  <si>
    <t xml:space="preserve">currentTraumas; derived limb state</t>
  </si>
  <si>
    <t xml:space="preserve">damageEventId+zone</t>
  </si>
  <si>
    <t xml:space="preserve">CORE-117–121</t>
  </si>
  <si>
    <t xml:space="preserve">REMOVE_TRAUMA</t>
  </si>
  <si>
    <t xml:space="preserve">trauma instance + explicit healing source</t>
  </si>
  <si>
    <t xml:space="preserve">Только явная способность, описанная процедура или команда мастера</t>
  </si>
  <si>
    <t xml:space="preserve">BLOCK_EQUIPMENT_ONLY_OR_PASSIVE_RECOVERY</t>
  </si>
  <si>
    <t xml:space="preserve">SYM-027; SYM-029</t>
  </si>
  <si>
    <t xml:space="preserve">CREATE_WOUND</t>
  </si>
  <si>
    <t xml:space="preserve">wound payload + source trait or GM authority</t>
  </si>
  <si>
    <t xml:space="preserve">Require CREATES_WOUND or GM; create one wound per event with regionId</t>
  </si>
  <si>
    <t xml:space="preserve">originEventId+regionId</t>
  </si>
  <si>
    <t xml:space="preserve">REJECT_IMPLICIT_HP_LOSS_AS_WOUND</t>
  </si>
  <si>
    <t xml:space="preserve">STOP_ALL_BLEEDING</t>
  </si>
  <si>
    <t xml:space="preserve">target + CORE-063 item use</t>
  </si>
  <si>
    <t xml:space="preserve">Remove all existing bleeding instances</t>
  </si>
  <si>
    <t xml:space="preserve">DO_NOT_INVENT_BLEED_CREATION</t>
  </si>
  <si>
    <t xml:space="preserve">RESOLVE_EFFECT_RESPONSE</t>
  </si>
  <si>
    <t xml:space="preserve">incoming family/sourceScope + target profiles</t>
  </si>
  <si>
    <t xml:space="preserve">Most specific response; absolute immunity before roll</t>
  </si>
  <si>
    <t xml:space="preserve">allow/modify/block payload</t>
  </si>
  <si>
    <t xml:space="preserve">originEventId+response</t>
  </si>
  <si>
    <t xml:space="preserve">ONE_RESPONSE_DECISION_PER_STAGE</t>
  </si>
  <si>
    <t xml:space="preserve">RECALC_DERIVED_STATE</t>
  </si>
  <si>
    <t xml:space="preserve">actor state graph</t>
  </si>
  <si>
    <t xml:space="preserve">Recalculate from surviving sources: per region select the greatest penalty magnitude, union independent restrictions, then apply modifier pipeline and MON-075 consciousness projection</t>
  </si>
  <si>
    <t xml:space="preserve">stateRevision</t>
  </si>
  <si>
    <t xml:space="preserve">ATOMIC</t>
  </si>
  <si>
    <t xml:space="preserve">CORE-079; MON-075; CORE-181; CORE-119; MON-169; SYM-045; COMB-031</t>
  </si>
  <si>
    <t xml:space="preserve">SET_GM_FORMAL_STATE</t>
  </si>
  <si>
    <t xml:space="preserve">actor + known effectTypeId с automationStatus не BLOCKED/NOT_MODELED + structured fields</t>
  </si>
  <si>
    <t xml:space="preserve">Validate schema, authority and automation boundary</t>
  </si>
  <si>
    <t xml:space="preserve">new effect instance</t>
  </si>
  <si>
    <t xml:space="preserve">NO_FREE_TEXT_OR_NOT_MODELED_MECHANICS</t>
  </si>
  <si>
    <t xml:space="preserve">AQ2-009; AQA-028</t>
  </si>
  <si>
    <t xml:space="preserve">EDIT_GM_EFFECT</t>
  </si>
  <si>
    <t xml:space="preserve">effect instance + changed structured fields</t>
  </si>
  <si>
    <t xml:space="preserve">Replace version atomically</t>
  </si>
  <si>
    <t xml:space="preserve">old replaced; new active</t>
  </si>
  <si>
    <t xml:space="preserve">NO_RETROACTIVE_ROLLBACK</t>
  </si>
  <si>
    <t xml:space="preserve">CLONE_RUNTIME_STATE</t>
  </si>
  <si>
    <t xml:space="preserve">template mutable graph</t>
  </si>
  <si>
    <t xml:space="preserve">Deep clone and generate fresh UUIDs</t>
  </si>
  <si>
    <t xml:space="preserve">independent effects/cooldowns/captures</t>
  </si>
  <si>
    <t xml:space="preserve">cloneCommandId</t>
  </si>
  <si>
    <t xml:space="preserve">NO_SHARED_MUTABLE_IDS</t>
  </si>
  <si>
    <t xml:space="preserve">BREAK_NAIT_SEAL</t>
  </si>
  <si>
    <t xml:space="preserve">item instance + qualifying event</t>
  </si>
  <si>
    <t xml:space="preserve">Set sealed=false and stop future response</t>
  </si>
  <si>
    <t xml:space="preserve">item.sealed=false</t>
  </si>
  <si>
    <t xml:space="preserve">eventId+itemId</t>
  </si>
  <si>
    <t xml:space="preserve">DO_NOT_CLEANSE_EXISTING_EFFECTS</t>
  </si>
  <si>
    <t xml:space="preserve">APPLY_BLEEDING</t>
  </si>
  <si>
    <t xml:space="preserve">woundInstanceId + explicit damagePerTick + source</t>
  </si>
  <si>
    <t xml:space="preserve">Require explicit value; create one bleeding instance for the wound; schedule end of target turn</t>
  </si>
  <si>
    <t xml:space="preserve">currentWounds; tick schedule</t>
  </si>
  <si>
    <t xml:space="preserve">originEventId+woundInstanceId</t>
  </si>
  <si>
    <t xml:space="preserve">CORE-063; GAP-002</t>
  </si>
  <si>
    <t xml:space="preserve">APPLY_COATING</t>
  </si>
  <si>
    <t xml:space="preserve">item/projectile + surfaceKey + coating + confirmation</t>
  </si>
  <si>
    <t xml:space="preserve">One consumable coating per surface; replacement only after confirmation</t>
  </si>
  <si>
    <t xml:space="preserve">PreparedCoatingInstance; old=REPLACED</t>
  </si>
  <si>
    <t xml:space="preserve">commandId+surfaceKey</t>
  </si>
  <si>
    <t xml:space="preserve">CANCEL_WITHOUT_CONFIRMATION</t>
  </si>
  <si>
    <t xml:space="preserve">SYM-183; GAP-011</t>
  </si>
  <si>
    <t xml:space="preserve">RESTORE_NAIT_SEAL</t>
  </si>
  <si>
    <t xml:space="preserve">item instance + GM authority + repair confirmation</t>
  </si>
  <si>
    <t xml:space="preserve">Outside combat after narratively confirmed repair or replacement</t>
  </si>
  <si>
    <t xml:space="preserve">item.sealed=true</t>
  </si>
  <si>
    <t xml:space="preserve">commandId+itemId</t>
  </si>
  <si>
    <t xml:space="preserve">REJECT_IN_COMBAT_OR_WITHOUT_GM</t>
  </si>
  <si>
    <t xml:space="preserve">CORE-053; GAP-019</t>
  </si>
  <si>
    <t xml:space="preserve">FINALIZE_DEATH_STATE</t>
  </si>
  <si>
    <t xml:space="preserve">Terminate temporary/control effects; preserve traumas, wounds, item state, inventory and symbionts</t>
  </si>
  <si>
    <t xml:space="preserve">effect statuses; corpse state</t>
  </si>
  <si>
    <t xml:space="preserve">deathEventId</t>
  </si>
  <si>
    <t xml:space="preserve">NO_RESUME_ON_RESURRECTION</t>
  </si>
  <si>
    <t xml:space="preserve">CQA-001; AQA-024; GAP-006</t>
  </si>
  <si>
    <t xml:space="preserve">Неполные параметры, конфликты и безопасная граница</t>
  </si>
  <si>
    <t xml:space="preserve">Авторские решения v1.1 и v1.2 закрывают все развилки; неавтоматизируемые и исключённые механики имеют явную границу.</t>
  </si>
  <si>
    <t xml:space="preserve">GapID</t>
  </si>
  <si>
    <t xml:space="preserve">Severity</t>
  </si>
  <si>
    <t xml:space="preserve">Пробел / расхождение</t>
  </si>
  <si>
    <t xml:space="preserve">Действующая политика / решение</t>
  </si>
  <si>
    <t xml:space="preserve">BLOCKER</t>
  </si>
  <si>
    <t xml:space="preserve">Раны</t>
  </si>
  <si>
    <t xml:space="preserve">Нет создания, стека и естественного заживления formal wound</t>
  </si>
  <si>
    <t xml:space="preserve">Рану создаёт только CREATES_WOUND или мастер; одно событие = одна рана с зоной; лечение/снятие только явно</t>
  </si>
  <si>
    <t xml:space="preserve">RESOLVED_BY_AUTHOR_2026-07-30</t>
  </si>
  <si>
    <t xml:space="preserve">Есть снятие всех кровотечений, но нет источника, тика и стека</t>
  </si>
  <si>
    <t xml:space="preserve">Кровотечение создаёт только явный источник с damagePerTick; отдельно на рану; тик в конце хода цели; CORE-063 снимает все</t>
  </si>
  <si>
    <t xml:space="preserve">GAP-003</t>
  </si>
  <si>
    <t xml:space="preserve">HIGH</t>
  </si>
  <si>
    <t xml:space="preserve">Нет общей модели восстановления/лечения травм</t>
  </si>
  <si>
    <t xml:space="preserve">CORE-119–121</t>
  </si>
  <si>
    <t xml:space="preserve">Автоматического восстановления нет; только прямая способность, описанная процедура или команда мастера</t>
  </si>
  <si>
    <t xml:space="preserve">Бинарные эффекты</t>
  </si>
  <si>
    <t xml:space="preserve">CORE-080 описывает числовой strongest, но не identity одинакового бинарного эффекта</t>
  </si>
  <si>
    <t xml:space="preserve">Бинарная идентичность = EffectTypeID + variantKey + affectedRegion; источники/таймеры раздельны, механика действует один раз</t>
  </si>
  <si>
    <t xml:space="preserve">GAP-005</t>
  </si>
  <si>
    <t xml:space="preserve">Не задан выбор damagePerTick при повторном горении с разными значениями</t>
  </si>
  <si>
    <t xml:space="preserve">Повтор: remaining=max(current,new), damagePerTick=max(current,new), без мгновенного дополнительного тика</t>
  </si>
  <si>
    <t xml:space="preserve">Труп/воскрешение</t>
  </si>
  <si>
    <t xml:space="preserve">Не определено хранение/удаление/возврат эффектов трупа</t>
  </si>
  <si>
    <t xml:space="preserve">Смерть завершает временные эффекты и контроль; сохраняет травмы, раны, предметы, инвентарь и симбионтов; воскрешение не возобновляет</t>
  </si>
  <si>
    <t xml:space="preserve">GAP-007</t>
  </si>
  <si>
    <t xml:space="preserve">Яд Жабы</t>
  </si>
  <si>
    <t xml:space="preserve">SYM-144 не отвечает, блокирует ли ослабляющий stat debuff SYM-042</t>
  </si>
  <si>
    <t xml:space="preserve">SYM-144 не блокирует ослабление характеристик SYM-042; блокируются только урон и контроль от яда</t>
  </si>
  <si>
    <t xml:space="preserve">GAP-008</t>
  </si>
  <si>
    <t xml:space="preserve">MEDIUM</t>
  </si>
  <si>
    <t xml:space="preserve">Контроль</t>
  </si>
  <si>
    <t xml:space="preserve">Перечень CONTROL открыт</t>
  </si>
  <si>
    <t xml:space="preserve">CORE-072; MON-020</t>
  </si>
  <si>
    <t xml:space="preserve">CONTROL определяется только явным тегом CONTROL из закрытой карты; непомеченный эффект контролем не считается</t>
  </si>
  <si>
    <t xml:space="preserve">GAP-009</t>
  </si>
  <si>
    <t xml:space="preserve">KNOWN_NON_AUTOMATED</t>
  </si>
  <si>
    <t xml:space="preserve">GAP-010</t>
  </si>
  <si>
    <t xml:space="preserve">MON-104 имеет ответ, но базовой механики нет</t>
  </si>
  <si>
    <t xml:space="preserve">Хранить response profile; не создавать проверки</t>
  </si>
  <si>
    <t xml:space="preserve">Покрытия</t>
  </si>
  <si>
    <t xml:space="preserve">Не определены лимит, совместимость и порядок нескольких activeCoatings</t>
  </si>
  <si>
    <t xml:space="preserve">Одно расходуемое покрытие на поверхность/отдельный снаряд; замена после подтверждения. Обычные снаряды стакаются, отравленные хранятся отдельно</t>
  </si>
  <si>
    <t xml:space="preserve">GAP-012</t>
  </si>
  <si>
    <t xml:space="preserve">Захваты</t>
  </si>
  <si>
    <t xml:space="preserve">Стек нескольких захватов/сетей/нитей одной цели не задан</t>
  </si>
  <si>
    <t xml:space="preserve">Источники хранятся отдельно; действует наибольший штраф; нефункциональные ограничения объединяются; освобождение от каждого отдельно</t>
  </si>
  <si>
    <t xml:space="preserve">GAP-013</t>
  </si>
  <si>
    <t xml:space="preserve">Потрясение щитом</t>
  </si>
  <si>
    <t xml:space="preserve">Несколько попаданий до следующей серии: stack/replace не задан</t>
  </si>
  <si>
    <t xml:space="preserve">Потрясения щитом не складываются; сохраняется наибольший штраф и один раз расходуется на следующей серии</t>
  </si>
  <si>
    <t xml:space="preserve">GAP-014</t>
  </si>
  <si>
    <t xml:space="preserve">Не определён shared/per-source fail counter</t>
  </si>
  <si>
    <t xml:space="preserve">Счётчик отдельный для sourceId+targetId; успех сбрасывает только соответствующий счётчик</t>
  </si>
  <si>
    <t xml:space="preserve">GAP-015</t>
  </si>
  <si>
    <t xml:space="preserve">Пси-защита</t>
  </si>
  <si>
    <t xml:space="preserve">Несколько MON-159 от разных Жаб не имеют stack policy</t>
  </si>
  <si>
    <t xml:space="preserve">Заряды Жаб отдельны; на проверку расходуется один самый ранний, бонусы не складываются</t>
  </si>
  <si>
    <t xml:space="preserve">GAP-016</t>
  </si>
  <si>
    <t xml:space="preserve">Пары Вивисектора</t>
  </si>
  <si>
    <t xml:space="preserve">Несколько источников/зон не имеют общей policy</t>
  </si>
  <si>
    <t xml:space="preserve">Одна проверка на каждого Вивисектора; стабильный порядок; зоны и урон не объединяются</t>
  </si>
  <si>
    <t xml:space="preserve">Анатомия яда</t>
  </si>
  <si>
    <t xml:space="preserve">Парализующий яд не определяет выбор конечности негуманоида</t>
  </si>
  <si>
    <t xml:space="preserve">Негуманоид не получает паралич; попадание, урон и остальные валидные последствия сохраняются</t>
  </si>
  <si>
    <t xml:space="preserve">GAP-018</t>
  </si>
  <si>
    <t xml:space="preserve">Фелида</t>
  </si>
  <si>
    <t xml:space="preserve">R20/3 не имеет правила округления/минимума в карточке</t>
  </si>
  <si>
    <t xml:space="preserve">Округление к ближайшему; 0,5 вверх; положительная длительность минимум 1; ≤0 не создаёт эффект</t>
  </si>
  <si>
    <t xml:space="preserve">GAP-019</t>
  </si>
  <si>
    <t xml:space="preserve">Ремонт broken seal не формализован</t>
  </si>
  <si>
    <t xml:space="preserve">Только GM-команда RESTORE_NAIT_SEAL вне боя после подтверждённого ремонта/замены</t>
  </si>
  <si>
    <t xml:space="preserve">GAP-020</t>
  </si>
  <si>
    <t xml:space="preserve">Предметное горение</t>
  </si>
  <si>
    <t xml:space="preserve">flammability часто UNKNOWN; предметное горение не автоматизируется</t>
  </si>
  <si>
    <t xml:space="preserve">Items ISS-018; CORE-113</t>
  </si>
  <si>
    <t xml:space="preserve">Не создавать item burn</t>
  </si>
  <si>
    <t xml:space="preserve">GAP-021</t>
  </si>
  <si>
    <t xml:space="preserve">Пользовательские болезни</t>
  </si>
  <si>
    <t xml:space="preserve">Каталог содержит только девять именованных болезней и Поветрие TRACE_ONLY</t>
  </si>
  <si>
    <t xml:space="preserve">Отклонять неизвестный diseaseId</t>
  </si>
  <si>
    <t xml:space="preserve">CLOSED_CATALOG</t>
  </si>
  <si>
    <t xml:space="preserve">GAP-022</t>
  </si>
  <si>
    <t xml:space="preserve">Схема состояния</t>
  </si>
  <si>
    <t xml:space="preserve">Согласованные реестры имеют пустые currentEffects/currentTraumas/currentWounds без entry schema</t>
  </si>
  <si>
    <t xml:space="preserve">Sentient 12_Payload_JSON; Bestiary 09_Контракты</t>
  </si>
  <si>
    <t xml:space="preserve">Использовать новый supplemental schema без изменения входных файлов</t>
  </si>
  <si>
    <t xml:space="preserve">RESOLVED_BY_THIS_REGISTRY</t>
  </si>
  <si>
    <t xml:space="preserve">GAP-023</t>
  </si>
  <si>
    <t xml:space="preserve">Вивисектор</t>
  </si>
  <si>
    <t xml:space="preserve">MON-098 и MON-100 дублируют on-entry poison damage</t>
  </si>
  <si>
    <t xml:space="preserve">Дедуп по source-target-entry</t>
  </si>
  <si>
    <t xml:space="preserve">RESOLVED_BY_EXISTING_PRIORITY</t>
  </si>
  <si>
    <t xml:space="preserve">GAP-024</t>
  </si>
  <si>
    <t xml:space="preserve">Коррозия отсутствует в Bestiary stateWrites</t>
  </si>
  <si>
    <t xml:space="preserve">Bestiary 06A; MON-100</t>
  </si>
  <si>
    <t xml:space="preserve">Хранить supplemental counter; не менять Bestiary</t>
  </si>
  <si>
    <t xml:space="preserve">SUPPLEMENTAL_MAPPING</t>
  </si>
  <si>
    <t xml:space="preserve">GAP-025</t>
  </si>
  <si>
    <t xml:space="preserve">MON-074/086 legacy auto-roll конфликтуют с CQA-060 manual-only</t>
  </si>
  <si>
    <t xml:space="preserve">MON-074; MON-086; CQA-060</t>
  </si>
  <si>
    <t xml:space="preserve">CQA-060 имеет приоритет для приложения</t>
  </si>
  <si>
    <t xml:space="preserve">RESOLVED_BY_PRIORITY</t>
  </si>
  <si>
    <t xml:space="preserve">GAP-026</t>
  </si>
  <si>
    <t xml:space="preserve">Периодика</t>
  </si>
  <si>
    <t xml:space="preserve">CORE-101 старее и менее детален, чем AQA-024</t>
  </si>
  <si>
    <t xml:space="preserve">AQA-024: пересчёт после каждого тика и стабильный порядок</t>
  </si>
  <si>
    <t xml:space="preserve">GAP-027</t>
  </si>
  <si>
    <t xml:space="preserve">LOW</t>
  </si>
  <si>
    <t xml:space="preserve">Поле результата устарело относительно финального алгоритма</t>
  </si>
  <si>
    <t xml:space="preserve">Использовать финальный алгоритм, не старую неопределённость</t>
  </si>
  <si>
    <t xml:space="preserve">GAP-028</t>
  </si>
  <si>
    <t xml:space="preserve">Огненная блоха</t>
  </si>
  <si>
    <t xml:space="preserve">Старые предметные/укрытийные ветви заменены бинарным burn персонажа</t>
  </si>
  <si>
    <t xml:space="preserve">MON-115; Items ISS-018</t>
  </si>
  <si>
    <t xml:space="preserve">Использовать позднюю ветвь; предметное горение не создавать</t>
  </si>
  <si>
    <t xml:space="preserve">GAP-029</t>
  </si>
  <si>
    <t xml:space="preserve">Медицина</t>
  </si>
  <si>
    <t xml:space="preserve">Медоборудование требуется для устранения травмы, но операция/бонус не заданы</t>
  </si>
  <si>
    <t xml:space="preserve">Items RES-TOL-001</t>
  </si>
  <si>
    <t xml:space="preserve">Медоборудование само травму не снимает; это только предусловие конкретной процедуры/способности</t>
  </si>
  <si>
    <t xml:space="preserve">GAP-030</t>
  </si>
  <si>
    <t xml:space="preserve">Слепота</t>
  </si>
  <si>
    <t xml:space="preserve">Выдавливание глаз и иные причины слепоты не моделируются приложением</t>
  </si>
  <si>
    <t xml:space="preserve">NOT_MODELED: не создавать, не хранить и не отображать состояние слепоты; CORE-143 исполняется только в части болевого приёма</t>
  </si>
  <si>
    <t xml:space="preserve">CLOSED_NOT_MODELED_BY_AUTHOR_2026-07-31</t>
  </si>
  <si>
    <t xml:space="preserve">GAP-031</t>
  </si>
  <si>
    <t xml:space="preserve">Горение/действия</t>
  </si>
  <si>
    <t xml:space="preserve">Q-CORE-030 требует тратить действия на тушение, а Q-CORE-031 зеркалирует пропуск хода</t>
  </si>
  <si>
    <t xml:space="preserve">Q-CORE-030; Q-CORE-031</t>
  </si>
  <si>
    <t xml:space="preserve">По Q-CORE-031 провал тратит действия на уменьшение горения; один результат действия −1 ход, остаток действий сохраняется</t>
  </si>
  <si>
    <t xml:space="preserve">RESOLVED_BY_EXISTING_QA</t>
  </si>
  <si>
    <t xml:space="preserve">GAP-032</t>
  </si>
  <si>
    <t xml:space="preserve">Болезни/минимум</t>
  </si>
  <si>
    <t xml:space="preserve">Не подтверждено, обходят ли disease modifiers общий минимум характеристики 1</t>
  </si>
  <si>
    <t xml:space="preserve">MON-075; CORE-079</t>
  </si>
  <si>
    <t xml:space="preserve">Disease modifiers могут опускать effectiveStat до 0 и ниже; затем применяется MON-075 по effectiveStat+effectiveZ&lt;1</t>
  </si>
  <si>
    <t xml:space="preserve">GAP-033</t>
  </si>
  <si>
    <t xml:space="preserve">GM formal state</t>
  </si>
  <si>
    <t xml:space="preserve">Нет закрытого перечня состояний, которые мастер вправе назначить административной операцией</t>
  </si>
  <si>
    <t xml:space="preserve">Разрешать только известный EffectTypeID с automationStatus не BLOCKED/NOT_MODELED и обязательными структурированными полями</t>
  </si>
  <si>
    <t xml:space="preserve">GAP-034</t>
  </si>
  <si>
    <t xml:space="preserve">Коррозия Тайпана</t>
  </si>
  <si>
    <t xml:space="preserve">Для коррозии одежды/лёгкой брони SYM-041 нет величины, срока и снятия</t>
  </si>
  <si>
    <t xml:space="preserve">По Q-SYM-075 внешний элемент обычной одежды/лёгкой брони со спасброском ≤R6 уничтожается немедленно; не периодический эффект</t>
  </si>
  <si>
    <t xml:space="preserve">Трассировка ключевой семантики</t>
  </si>
  <si>
    <t xml:space="preserve">Точные артефакты и диапазоны; полный индекс релевантных Rule ID находится на листе 06.</t>
  </si>
  <si>
    <t xml:space="preserve">TraceID</t>
  </si>
  <si>
    <t xml:space="preserve">Rule / contract</t>
  </si>
  <si>
    <t xml:space="preserve">Артефакт</t>
  </si>
  <si>
    <t xml:space="preserve">Локатор</t>
  </si>
  <si>
    <t xml:space="preserve">Нормализованная семантика</t>
  </si>
  <si>
    <t xml:space="preserve">TRACE-001</t>
  </si>
  <si>
    <t xml:space="preserve">Initial clean state</t>
  </si>
  <si>
    <t xml:space="preserve">Rules v1.6</t>
  </si>
  <si>
    <t xml:space="preserve">Нет ран, травм, кровотечения, горения, болезней, ядов и временных эффектов</t>
  </si>
  <si>
    <t xml:space="preserve">TRACE-002</t>
  </si>
  <si>
    <t xml:space="preserve">Modifier pipeline</t>
  </si>
  <si>
    <t xml:space="preserve">Постоянное → временное ± → ×/÷ → exact/min/max</t>
  </si>
  <si>
    <t xml:space="preserve">TRACE-003</t>
  </si>
  <si>
    <t xml:space="preserve">Effect stacking</t>
  </si>
  <si>
    <t xml:space="preserve">Одноимённые числовые: сильнейший, таймеры независимы</t>
  </si>
  <si>
    <t xml:space="preserve">TRACE-004</t>
  </si>
  <si>
    <t xml:space="preserve">Timers</t>
  </si>
  <si>
    <t xml:space="preserve">TRACE-005</t>
  </si>
  <si>
    <t xml:space="preserve">Transaction order</t>
  </si>
  <si>
    <t xml:space="preserve">Стабильные фазы и пересчёт после каждого тика</t>
  </si>
  <si>
    <t xml:space="preserve">TRACE-006</t>
  </si>
  <si>
    <t xml:space="preserve">Source lifecycle</t>
  </si>
  <si>
    <t xml:space="preserve">Поддерживаемый vs автономный эффект</t>
  </si>
  <si>
    <t xml:space="preserve">TRACE-007</t>
  </si>
  <si>
    <t xml:space="preserve">Capabilities</t>
  </si>
  <si>
    <t xml:space="preserve">Сознание, паралич, оглушение, пропуск</t>
  </si>
  <si>
    <t xml:space="preserve">TRACE-008</t>
  </si>
  <si>
    <t xml:space="preserve">Symbiont disabled</t>
  </si>
  <si>
    <t xml:space="preserve">Механические эффекты и XP выключены</t>
  </si>
  <si>
    <t xml:space="preserve">TRACE-009</t>
  </si>
  <si>
    <t xml:space="preserve">Trauma trigger</t>
  </si>
  <si>
    <t xml:space="preserve">Строгое сравнение R20+Z &lt; actualDamage</t>
  </si>
  <si>
    <t xml:space="preserve">TRACE-010</t>
  </si>
  <si>
    <t xml:space="preserve">Limb trauma</t>
  </si>
  <si>
    <t xml:space="preserve">Сумма по конечности; disabled &gt;6</t>
  </si>
  <si>
    <t xml:space="preserve">TRACE-011</t>
  </si>
  <si>
    <t xml:space="preserve">Torso trauma</t>
  </si>
  <si>
    <t xml:space="preserve">Однократный extra HP, без рекурсии</t>
  </si>
  <si>
    <t xml:space="preserve">TRACE-012</t>
  </si>
  <si>
    <t xml:space="preserve">Burning</t>
  </si>
  <si>
    <t xml:space="preserve">Бинарный статус и max duration</t>
  </si>
  <si>
    <t xml:space="preserve">TRACE-013</t>
  </si>
  <si>
    <t xml:space="preserve">Severe wound</t>
  </si>
  <si>
    <t xml:space="preserve">Реестр правил!B514:AH516; B82:AH83</t>
  </si>
  <si>
    <t xml:space="preserve">Вход, таймер, добивание, реанимация</t>
  </si>
  <si>
    <t xml:space="preserve">TRACE-014</t>
  </si>
  <si>
    <t xml:space="preserve">Protection priority</t>
  </si>
  <si>
    <t xml:space="preserve">Первый применимый источник</t>
  </si>
  <si>
    <t xml:space="preserve">TRACE-015</t>
  </si>
  <si>
    <t xml:space="preserve">Monster severe wound</t>
  </si>
  <si>
    <t xml:space="preserve">Стандартный monster: severe + unconscious</t>
  </si>
  <si>
    <t xml:space="preserve">TRACE-016</t>
  </si>
  <si>
    <t xml:space="preserve">Poison typing</t>
  </si>
  <si>
    <t xml:space="preserve">POISON и IMMUNE_BEFORE_ROLL</t>
  </si>
  <si>
    <t xml:space="preserve">TRACE-017</t>
  </si>
  <si>
    <t xml:space="preserve">Diseases</t>
  </si>
  <si>
    <t xml:space="preserve">MON-076–085</t>
  </si>
  <si>
    <t xml:space="preserve">Реестр правил!B230:AH239</t>
  </si>
  <si>
    <t xml:space="preserve">Каталог и сложение</t>
  </si>
  <si>
    <t xml:space="preserve">TRACE-018</t>
  </si>
  <si>
    <t xml:space="preserve">Manual disease</t>
  </si>
  <si>
    <t xml:space="preserve">Назначение/снятие мастером</t>
  </si>
  <si>
    <t xml:space="preserve">TRACE-019</t>
  </si>
  <si>
    <t xml:space="preserve">Effect editing</t>
  </si>
  <si>
    <t xml:space="preserve">Версионирование без отката</t>
  </si>
  <si>
    <t xml:space="preserve">TRACE-020</t>
  </si>
  <si>
    <t xml:space="preserve">Sentient arrays</t>
  </si>
  <si>
    <t xml:space="preserve">currentEffects/currentTraumas/currentWounds</t>
  </si>
  <si>
    <t xml:space="preserve">Sentient v1.2</t>
  </si>
  <si>
    <t xml:space="preserve">12_Payload_JSON!C6:C49</t>
  </si>
  <si>
    <t xml:space="preserve">44 чистых payload; entry schema отсутствовала</t>
  </si>
  <si>
    <t xml:space="preserve">TRACE-021</t>
  </si>
  <si>
    <t xml:space="preserve">Bestiary responses</t>
  </si>
  <si>
    <t xml:space="preserve">Bestiary v1.3</t>
  </si>
  <si>
    <t xml:space="preserve">06B_Ответы_эффектов!A1:H6</t>
  </si>
  <si>
    <t xml:space="preserve">5 канонических response rows</t>
  </si>
  <si>
    <t xml:space="preserve">TRACE-022</t>
  </si>
  <si>
    <t xml:space="preserve">Pharmacy</t>
  </si>
  <si>
    <t xml:space="preserve">CORE-058–072</t>
  </si>
  <si>
    <t xml:space="preserve">Items v1.5</t>
  </si>
  <si>
    <t xml:space="preserve">04_Фармацевтика!A5:J18</t>
  </si>
  <si>
    <t xml:space="preserve">14 item profiles</t>
  </si>
  <si>
    <t xml:space="preserve">TRACE-023</t>
  </si>
  <si>
    <t xml:space="preserve">Coatings</t>
  </si>
  <si>
    <t xml:space="preserve">07_Модель_экземпляра!A36:G36</t>
  </si>
  <si>
    <t xml:space="preserve">Массив покрытий; взаимодействие открыто</t>
  </si>
  <si>
    <t xml:space="preserve">TRACE-024</t>
  </si>
  <si>
    <t xml:space="preserve">Nait seal</t>
  </si>
  <si>
    <t xml:space="preserve">sealed</t>
  </si>
  <si>
    <t xml:space="preserve">07_Модель_экземпляра!A33:G33</t>
  </si>
  <si>
    <t xml:space="preserve">Герметичность экземпляра предмета</t>
  </si>
  <si>
    <t xml:space="preserve">TRACE-025</t>
  </si>
  <si>
    <t xml:space="preserve">Symbiont abilities</t>
  </si>
  <si>
    <t xml:space="preserve">167 accepted abilities</t>
  </si>
  <si>
    <t xml:space="preserve">Character v1.1</t>
  </si>
  <si>
    <t xml:space="preserve">10_Способности!A6:Q172; 11_Контексты_способностей!A6:Y339</t>
  </si>
  <si>
    <t xml:space="preserve">Источник активных, пассивных, поддерживаемых и автономных состояний 23 видов</t>
  </si>
  <si>
    <t xml:space="preserve">TRACE-026</t>
  </si>
  <si>
    <t xml:space="preserve">Character runtime gap</t>
  </si>
  <si>
    <t xml:space="preserve">initialRuntimeState/stateWrites</t>
  </si>
  <si>
    <t xml:space="preserve">14_Контракты_Runtime; 18_Справочники</t>
  </si>
  <si>
    <t xml:space="preserve">Обобщённые object/object[] без каталога EffectType/Disease/response</t>
  </si>
  <si>
    <t xml:space="preserve">TRACE-027</t>
  </si>
  <si>
    <t xml:space="preserve">Same-region overlap</t>
  </si>
  <si>
    <t xml:space="preserve">Effects Registry v1.2</t>
  </si>
  <si>
    <t xml:space="preserve">02_Типы_эффектов; 04_Яды; 05_Травмы_и_раны; 07_Правила_сочетаний; 12_Runtime_контракты</t>
  </si>
  <si>
    <t xml:space="preserve">Для травмы и онемения одной конечности действует наиболее строгий числовой штраф; ограничения объединяются, снятие независимо</t>
  </si>
  <si>
    <t xml:space="preserve">TRACE-028</t>
  </si>
  <si>
    <t xml:space="preserve">Application boundary</t>
  </si>
  <si>
    <t xml:space="preserve">CORE-143; Q-CORE-045; GAP-030</t>
  </si>
  <si>
    <t xml:space="preserve">Rules v1.6; Q&amp;A v1.1; Effects Registry v1.2</t>
  </si>
  <si>
    <t xml:space="preserve">02_Типы_эффектов; 06_Карта_источников; 13_Операции; 14_Пробелы_и_решения</t>
  </si>
  <si>
    <t xml:space="preserve">Слепота, выдавливание глаз и физическая потеря зрения не создают runtime-состояние приложения</t>
  </si>
  <si>
    <t xml:space="preserve">QA сочетаний, схемы и совместимости</t>
  </si>
  <si>
    <t xml:space="preserve">98/98 PASS. Исходные сценарии и 38 проверок авторских решений; любой FAIL останавливает экспорт.</t>
  </si>
  <si>
    <t xml:space="preserve">ScenarioID</t>
  </si>
  <si>
    <t xml:space="preserve">Путь</t>
  </si>
  <si>
    <t xml:space="preserve">Given</t>
  </si>
  <si>
    <t xml:space="preserve">When</t>
  </si>
  <si>
    <t xml:space="preserve">Expected</t>
  </si>
  <si>
    <t xml:space="preserve">Actual</t>
  </si>
  <si>
    <t xml:space="preserve">Result</t>
  </si>
  <si>
    <t xml:space="preserve">EFF-QA-001</t>
  </si>
  <si>
    <t xml:space="preserve">Структура</t>
  </si>
  <si>
    <t xml:space="preserve">Семейства</t>
  </si>
  <si>
    <t xml:space="preserve">Проверка уникальности ID</t>
  </si>
  <si>
    <t xml:space="preserve">24</t>
  </si>
  <si>
    <t xml:space="preserve">Registry</t>
  </si>
  <si>
    <t xml:space="preserve">EFF-QA-002</t>
  </si>
  <si>
    <t xml:space="preserve">Типы эффектов</t>
  </si>
  <si>
    <t xml:space="preserve">67</t>
  </si>
  <si>
    <t xml:space="preserve">EFF-QA-003</t>
  </si>
  <si>
    <t xml:space="preserve">10</t>
  </si>
  <si>
    <t xml:space="preserve">EFF-QA-004</t>
  </si>
  <si>
    <t xml:space="preserve">8</t>
  </si>
  <si>
    <t xml:space="preserve">EFF-QA-005</t>
  </si>
  <si>
    <t xml:space="preserve">Матрица</t>
  </si>
  <si>
    <t xml:space="preserve">24 семейств</t>
  </si>
  <si>
    <t xml:space="preserve">Полная неупорядоченная матрица с диагональю</t>
  </si>
  <si>
    <t xml:space="preserve">300</t>
  </si>
  <si>
    <t xml:space="preserve">EFF-QA-006</t>
  </si>
  <si>
    <t xml:space="preserve">Пары</t>
  </si>
  <si>
    <t xml:space="preserve">Проверка уникальности</t>
  </si>
  <si>
    <t xml:space="preserve">EFF-QA-007</t>
  </si>
  <si>
    <t xml:space="preserve">Стек</t>
  </si>
  <si>
    <t xml:space="preserve">Одноимённые числовые 3, 5, 2</t>
  </si>
  <si>
    <t xml:space="preserve">Применить CORE-080</t>
  </si>
  <si>
    <t xml:space="preserve">5</t>
  </si>
  <si>
    <t xml:space="preserve">EFF-QA-008</t>
  </si>
  <si>
    <t xml:space="preserve">DIS-RHINITIS дважды</t>
  </si>
  <si>
    <t xml:space="preserve">Сложить активные болезни</t>
  </si>
  <si>
    <t xml:space="preserve">EFF-QA-009</t>
  </si>
  <si>
    <t xml:space="preserve">DIS-RHINITIS + DIS-FEVER</t>
  </si>
  <si>
    <t xml:space="preserve">{"M":-12}</t>
  </si>
  <si>
    <t xml:space="preserve">EFF-QA-010</t>
  </si>
  <si>
    <t xml:space="preserve">DIS-SCABIES + DIS-MIGRAINE</t>
  </si>
  <si>
    <t xml:space="preserve">{"C":-6,"D":-2,"I":-10}</t>
  </si>
  <si>
    <t xml:space="preserve">EFF-QA-011</t>
  </si>
  <si>
    <t xml:space="preserve">Проверить effectFamily</t>
  </si>
  <si>
    <t xml:space="preserve">EFF-QA-012</t>
  </si>
  <si>
    <t xml:space="preserve">Проверить poison tag</t>
  </si>
  <si>
    <t xml:space="preserve">EFF-QA-013</t>
  </si>
  <si>
    <t xml:space="preserve">{2 turns} + {5 turns}</t>
  </si>
  <si>
    <t xml:space="preserve">Повторное наложение</t>
  </si>
  <si>
    <t xml:space="preserve">{"immediateExtraTick":false,"remainingTurns":5}</t>
  </si>
  <si>
    <t xml:space="preserve">EFF-QA-014</t>
  </si>
  <si>
    <t xml:space="preserve">Таймер</t>
  </si>
  <si>
    <t xml:space="preserve">Обычный эффект 3 хода</t>
  </si>
  <si>
    <t xml:space="preserve">Конвертация в мир</t>
  </si>
  <si>
    <t xml:space="preserve">EFF-QA-015</t>
  </si>
  <si>
    <t xml:space="preserve">Тяжёлое ранение 3 хода</t>
  </si>
  <si>
    <t xml:space="preserve">15</t>
  </si>
  <si>
    <t xml:space="preserve">EFF-QA-016</t>
  </si>
  <si>
    <t xml:space="preserve">Порядок</t>
  </si>
  <si>
    <t xml:space="preserve">b@t0, a@t0, c@t1</t>
  </si>
  <si>
    <t xml:space="preserve">createdAt затем UUID</t>
  </si>
  <si>
    <t xml:space="preserve">a,b,c</t>
  </si>
  <si>
    <t xml:space="preserve">EFF-QA-017</t>
  </si>
  <si>
    <t xml:space="preserve">Krysuk POISON</t>
  </si>
  <si>
    <t xml:space="preserve">Response stage</t>
  </si>
  <si>
    <t xml:space="preserve">EFF-QA-018</t>
  </si>
  <si>
    <t xml:space="preserve">Giant Toad disease</t>
  </si>
  <si>
    <t xml:space="preserve">EFF-QA-019</t>
  </si>
  <si>
    <t xml:space="preserve">Giant Toad exhaustion</t>
  </si>
  <si>
    <t xml:space="preserve">Отсутствие профиля</t>
  </si>
  <si>
    <t xml:space="preserve">0</t>
  </si>
  <si>
    <t xml:space="preserve">EFF-QA-020</t>
  </si>
  <si>
    <t xml:space="preserve">Runtime</t>
  </si>
  <si>
    <t xml:space="preserve">UUID field</t>
  </si>
  <si>
    <t xml:space="preserve">true</t>
  </si>
  <si>
    <t xml:space="preserve">EFF-QA-021</t>
  </si>
  <si>
    <t xml:space="preserve">stackingKey field</t>
  </si>
  <si>
    <t xml:space="preserve">EFF-QA-022</t>
  </si>
  <si>
    <t xml:space="preserve">sourceSnapshot field</t>
  </si>
  <si>
    <t xml:space="preserve">EFF-QA-023</t>
  </si>
  <si>
    <t xml:space="preserve">diseaseId field</t>
  </si>
  <si>
    <t xml:space="preserve">EFF-QA-024</t>
  </si>
  <si>
    <t xml:space="preserve">regionId field</t>
  </si>
  <si>
    <t xml:space="preserve">EFF-QA-025</t>
  </si>
  <si>
    <t xml:space="preserve">Проверить обязательные regionId/creationPolicy/healingPolicy</t>
  </si>
  <si>
    <t xml:space="preserve">EFF-QA-026</t>
  </si>
  <si>
    <t xml:space="preserve">Сочетания</t>
  </si>
  <si>
    <t xml:space="preserve">Sleep + damage</t>
  </si>
  <si>
    <t xml:space="preserve">Resolver exists</t>
  </si>
  <si>
    <t xml:space="preserve">EFF-QA-027</t>
  </si>
  <si>
    <t xml:space="preserve">Paralysis + damage</t>
  </si>
  <si>
    <t xml:space="preserve">EFF-QA-028</t>
  </si>
  <si>
    <t xml:space="preserve">Severe wound + heal</t>
  </si>
  <si>
    <t xml:space="preserve">EFF-QA-029</t>
  </si>
  <si>
    <t xml:space="preserve">Severe wound + new damage</t>
  </si>
  <si>
    <t xml:space="preserve">EFF-QA-030</t>
  </si>
  <si>
    <t xml:space="preserve">Dead + heal</t>
  </si>
  <si>
    <t xml:space="preserve">Terminal resolver</t>
  </si>
  <si>
    <t xml:space="preserve">EFF-QA-031</t>
  </si>
  <si>
    <t xml:space="preserve">Same limb trauma</t>
  </si>
  <si>
    <t xml:space="preserve">Additive resolver</t>
  </si>
  <si>
    <t xml:space="preserve">EFF-QA-032</t>
  </si>
  <si>
    <t xml:space="preserve">Taipan suppression + injected poison</t>
  </si>
  <si>
    <t xml:space="preserve">Continues</t>
  </si>
  <si>
    <t xml:space="preserve">EFF-QA-033</t>
  </si>
  <si>
    <t xml:space="preserve">Mental immunity no-roll effect</t>
  </si>
  <si>
    <t xml:space="preserve">EFF-QA-034</t>
  </si>
  <si>
    <t xml:space="preserve">Nait + inhaled</t>
  </si>
  <si>
    <t xml:space="preserve">EFF-QA-035</t>
  </si>
  <si>
    <t xml:space="preserve">Swaddler second fail</t>
  </si>
  <si>
    <t xml:space="preserve">Replace penalty</t>
  </si>
  <si>
    <t xml:space="preserve">EFF-QA-036</t>
  </si>
  <si>
    <t xml:space="preserve">Fire Flea dead + detonation</t>
  </si>
  <si>
    <t xml:space="preserve">EFF-QA-037</t>
  </si>
  <si>
    <t xml:space="preserve">GM effect edit</t>
  </si>
  <si>
    <t xml:space="preserve">Version replace</t>
  </si>
  <si>
    <t xml:space="preserve">EFF-QA-038</t>
  </si>
  <si>
    <t xml:space="preserve">Источник без CREATES_WOUND</t>
  </si>
  <si>
    <t xml:space="preserve">Попытка создать рану</t>
  </si>
  <si>
    <t xml:space="preserve">REJECT</t>
  </si>
  <si>
    <t xml:space="preserve">EFF-QA-039</t>
  </si>
  <si>
    <t xml:space="preserve">Только медицинское оборудование</t>
  </si>
  <si>
    <t xml:space="preserve">Попытка снять травму</t>
  </si>
  <si>
    <t xml:space="preserve">GAP-003; GAP-029</t>
  </si>
  <si>
    <t xml:space="preserve">EFF-QA-040</t>
  </si>
  <si>
    <t xml:space="preserve">Поверхность уже покрыта</t>
  </si>
  <si>
    <t xml:space="preserve">Новое покрытие без подтверждения</t>
  </si>
  <si>
    <t xml:space="preserve">CANCEL</t>
  </si>
  <si>
    <t xml:space="preserve">EFF-QA-041</t>
  </si>
  <si>
    <t xml:space="preserve">SYM-144 + SYM-042 stat debuff</t>
  </si>
  <si>
    <t xml:space="preserve">Применить ответ</t>
  </si>
  <si>
    <t xml:space="preserve">ALLOW_STAT_DEBUFF</t>
  </si>
  <si>
    <t xml:space="preserve">EFF-QA-042</t>
  </si>
  <si>
    <t xml:space="preserve">Пробелы</t>
  </si>
  <si>
    <t xml:space="preserve">Legacy disease automation</t>
  </si>
  <si>
    <t xml:space="preserve">Resolved by priority</t>
  </si>
  <si>
    <t xml:space="preserve">EFF-QA-043</t>
  </si>
  <si>
    <t xml:space="preserve">Источники</t>
  </si>
  <si>
    <t xml:space="preserve">Rules state selection</t>
  </si>
  <si>
    <t xml:space="preserve">All 306 indexed</t>
  </si>
  <si>
    <t xml:space="preserve">306</t>
  </si>
  <si>
    <t xml:space="preserve">EFF-QA-044</t>
  </si>
  <si>
    <t xml:space="preserve">Rules source rows</t>
  </si>
  <si>
    <t xml:space="preserve">Every source has locator</t>
  </si>
  <si>
    <t xml:space="preserve">EFF-QA-045</t>
  </si>
  <si>
    <t xml:space="preserve">Зависимости</t>
  </si>
  <si>
    <t xml:space="preserve">Agreed artifacts</t>
  </si>
  <si>
    <t xml:space="preserve">Count dependencies</t>
  </si>
  <si>
    <t xml:space="preserve">9</t>
  </si>
  <si>
    <t xml:space="preserve">Baseline</t>
  </si>
  <si>
    <t xml:space="preserve">EFF-QA-046</t>
  </si>
  <si>
    <t xml:space="preserve">Canonical payload rows</t>
  </si>
  <si>
    <t xml:space="preserve">Validate SHA length</t>
  </si>
  <si>
    <t xml:space="preserve">EFF-QA-047</t>
  </si>
  <si>
    <t xml:space="preserve">Payload IDs</t>
  </si>
  <si>
    <t xml:space="preserve">Validate uniqueness</t>
  </si>
  <si>
    <t xml:space="preserve">EFF-QA-048</t>
  </si>
  <si>
    <t xml:space="preserve">Effect definitions</t>
  </si>
  <si>
    <t xml:space="preserve">Validate every family FK</t>
  </si>
  <si>
    <t xml:space="preserve">EFF-QA-049</t>
  </si>
  <si>
    <t xml:space="preserve">Combination rules</t>
  </si>
  <si>
    <t xml:space="preserve">Validate both family FK</t>
  </si>
  <si>
    <t xml:space="preserve">EFF-QA-050</t>
  </si>
  <si>
    <t xml:space="preserve">Validate explicit tick</t>
  </si>
  <si>
    <t xml:space="preserve">EFF-QA-051</t>
  </si>
  <si>
    <t xml:space="preserve">Other named active diseases</t>
  </si>
  <si>
    <t xml:space="preserve">Reject implicit ticks</t>
  </si>
  <si>
    <t xml:space="preserve">EFF-QA-052</t>
  </si>
  <si>
    <t xml:space="preserve">All poison profiles</t>
  </si>
  <si>
    <t xml:space="preserve">Validate family tag</t>
  </si>
  <si>
    <t xml:space="preserve">EFF-QA-053</t>
  </si>
  <si>
    <t xml:space="preserve">Профили</t>
  </si>
  <si>
    <t xml:space="preserve">Validate physical actions</t>
  </si>
  <si>
    <t xml:space="preserve">EFF-QA-054</t>
  </si>
  <si>
    <t xml:space="preserve">Validate armor</t>
  </si>
  <si>
    <t xml:space="preserve">EFF-QA-055</t>
  </si>
  <si>
    <t xml:space="preserve">Validate mental conditional</t>
  </si>
  <si>
    <t xml:space="preserve">EFF-QA-056</t>
  </si>
  <si>
    <t xml:space="preserve">Family pairs</t>
  </si>
  <si>
    <t xml:space="preserve">Surface blocked interactions</t>
  </si>
  <si>
    <t xml:space="preserve">EFF-QA-057</t>
  </si>
  <si>
    <t xml:space="preserve">Операции</t>
  </si>
  <si>
    <t xml:space="preserve">Reject unknown disease</t>
  </si>
  <si>
    <t xml:space="preserve">EFF-QA-058</t>
  </si>
  <si>
    <t xml:space="preserve">Block generic creation</t>
  </si>
  <si>
    <t xml:space="preserve">EFF-QA-059</t>
  </si>
  <si>
    <t xml:space="preserve">Generate new UUID</t>
  </si>
  <si>
    <t xml:space="preserve">EFF-QA-060</t>
  </si>
  <si>
    <t xml:space="preserve">Совместимость</t>
  </si>
  <si>
    <t xml:space="preserve">Validate mutation policy</t>
  </si>
  <si>
    <t xml:space="preserve">User instruction</t>
  </si>
  <si>
    <t xml:space="preserve">EFF-QA-061</t>
  </si>
  <si>
    <t xml:space="preserve">Источник CREATES_WOUND + зона</t>
  </si>
  <si>
    <t xml:space="preserve">Одно событие</t>
  </si>
  <si>
    <t xml:space="preserve">1 wound</t>
  </si>
  <si>
    <t xml:space="preserve">EFF-QA-062</t>
  </si>
  <si>
    <t xml:space="preserve">GM authority + зона</t>
  </si>
  <si>
    <t xml:space="preserve">Создать formal wound</t>
  </si>
  <si>
    <t xml:space="preserve">EFF-QA-063</t>
  </si>
  <si>
    <t xml:space="preserve">Два разных события в одной зоне</t>
  </si>
  <si>
    <t xml:space="preserve">Создать раны</t>
  </si>
  <si>
    <t xml:space="preserve">2 wound instances</t>
  </si>
  <si>
    <t xml:space="preserve">EFF-QA-064</t>
  </si>
  <si>
    <t xml:space="preserve">Явный damagePerTick=3</t>
  </si>
  <si>
    <t xml:space="preserve">Конец хода цели</t>
  </si>
  <si>
    <t xml:space="preserve">−3 HP</t>
  </si>
  <si>
    <t xml:space="preserve">EFF-QA-065</t>
  </si>
  <si>
    <t xml:space="preserve">Две кровоточащие раны</t>
  </si>
  <si>
    <t xml:space="preserve">Тик</t>
  </si>
  <si>
    <t xml:space="preserve">2 independent ticks</t>
  </si>
  <si>
    <t xml:space="preserve">EFF-QA-066</t>
  </si>
  <si>
    <t xml:space="preserve">Несколько bleeding instances</t>
  </si>
  <si>
    <t xml:space="preserve">remove all</t>
  </si>
  <si>
    <t xml:space="preserve">EFF-QA-067</t>
  </si>
  <si>
    <t xml:space="preserve">Отдых без явной процедуры</t>
  </si>
  <si>
    <t xml:space="preserve">no recovery</t>
  </si>
  <si>
    <t xml:space="preserve">EFF-QA-068</t>
  </si>
  <si>
    <t xml:space="preserve">Бинарный эффект</t>
  </si>
  <si>
    <t xml:space="preserve">Один type+variant+region, два источника</t>
  </si>
  <si>
    <t xml:space="preserve">Агрегация</t>
  </si>
  <si>
    <t xml:space="preserve">one mechanical effect</t>
  </si>
  <si>
    <t xml:space="preserve">EFF-QA-069</t>
  </si>
  <si>
    <t xml:space="preserve">Разные affectedRegion</t>
  </si>
  <si>
    <t xml:space="preserve">two mechanical effects</t>
  </si>
  <si>
    <t xml:space="preserve">EFF-QA-070</t>
  </si>
  <si>
    <t xml:space="preserve">{3 turns,dpt2}+{2 turns,dpt5}</t>
  </si>
  <si>
    <t xml:space="preserve">Повтор</t>
  </si>
  <si>
    <t xml:space="preserve">{turns:3,dpt:5,noExtraTick:true}</t>
  </si>
  <si>
    <t xml:space="preserve">EFF-QA-071</t>
  </si>
  <si>
    <t xml:space="preserve">Смерть</t>
  </si>
  <si>
    <t xml:space="preserve">Временный CONTROL активен</t>
  </si>
  <si>
    <t xml:space="preserve">TERMINATED</t>
  </si>
  <si>
    <t xml:space="preserve">EFF-QA-072</t>
  </si>
  <si>
    <t xml:space="preserve">Травмы, раны, item state, inventory, symbionts</t>
  </si>
  <si>
    <t xml:space="preserve">PRESERVED</t>
  </si>
  <si>
    <t xml:space="preserve">EFF-QA-073</t>
  </si>
  <si>
    <t xml:space="preserve">Воскрешение</t>
  </si>
  <si>
    <t xml:space="preserve">Ранее завершённый временный эффект</t>
  </si>
  <si>
    <t xml:space="preserve">not resumed</t>
  </si>
  <si>
    <t xml:space="preserve">EFF-QA-074</t>
  </si>
  <si>
    <t xml:space="preserve">Эффект с tag CONTROL</t>
  </si>
  <si>
    <t xml:space="preserve">Классификация</t>
  </si>
  <si>
    <t xml:space="preserve">EFF-QA-075</t>
  </si>
  <si>
    <t xml:space="preserve">Неизвестный эффект без CONTROL</t>
  </si>
  <si>
    <t xml:space="preserve">NOT_CONTROL</t>
  </si>
  <si>
    <t xml:space="preserve">EFF-QA-076</t>
  </si>
  <si>
    <t xml:space="preserve">Инвентарь</t>
  </si>
  <si>
    <t xml:space="preserve">20 обычных стрел</t>
  </si>
  <si>
    <t xml:space="preserve">Хранение</t>
  </si>
  <si>
    <t xml:space="preserve">1 slot quantity=20</t>
  </si>
  <si>
    <t xml:space="preserve">EFF-QA-077</t>
  </si>
  <si>
    <t xml:space="preserve">3 отравленные стрелы</t>
  </si>
  <si>
    <t xml:space="preserve">3 item instances</t>
  </si>
  <si>
    <t xml:space="preserve">EFF-QA-078</t>
  </si>
  <si>
    <t xml:space="preserve">Новое покрытие + подтверждение</t>
  </si>
  <si>
    <t xml:space="preserve">Замена</t>
  </si>
  <si>
    <t xml:space="preserve">old=REPLACED,new=ACTIVE</t>
  </si>
  <si>
    <t xml:space="preserve">EFF-QA-079</t>
  </si>
  <si>
    <t xml:space="preserve">Штрафы −2 и −5, два источника</t>
  </si>
  <si>
    <t xml:space="preserve">Проекция</t>
  </si>
  <si>
    <t xml:space="preserve">−5; two releases</t>
  </si>
  <si>
    <t xml:space="preserve">EFF-QA-080</t>
  </si>
  <si>
    <t xml:space="preserve">Щит</t>
  </si>
  <si>
    <t xml:space="preserve">Штрафы −1 и −3 до серии</t>
  </si>
  <si>
    <t xml:space="preserve">Следующая серия</t>
  </si>
  <si>
    <t xml:space="preserve">−3 once</t>
  </si>
  <si>
    <t xml:space="preserve">EFF-QA-081</t>
  </si>
  <si>
    <t xml:space="preserve">Пеленальщица</t>
  </si>
  <si>
    <t xml:space="preserve">Два sourceId на одной цели</t>
  </si>
  <si>
    <t xml:space="preserve">Провал одного</t>
  </si>
  <si>
    <t xml:space="preserve">one matching counter</t>
  </si>
  <si>
    <t xml:space="preserve">EFF-QA-082</t>
  </si>
  <si>
    <t xml:space="preserve">Два заряда MON-159</t>
  </si>
  <si>
    <t xml:space="preserve">Одна проверка</t>
  </si>
  <si>
    <t xml:space="preserve">consume earliest one</t>
  </si>
  <si>
    <t xml:space="preserve">EFF-QA-083</t>
  </si>
  <si>
    <t xml:space="preserve">Два источника паров</t>
  </si>
  <si>
    <t xml:space="preserve">two ordered checks</t>
  </si>
  <si>
    <t xml:space="preserve">EFF-QA-084</t>
  </si>
  <si>
    <t xml:space="preserve">Негуманоид, попадание успешно</t>
  </si>
  <si>
    <t xml:space="preserve">Разрешить payload</t>
  </si>
  <si>
    <t xml:space="preserve">no paralysis; hit/others kept</t>
  </si>
  <si>
    <t xml:space="preserve">EFF-QA-085</t>
  </si>
  <si>
    <t xml:space="preserve">Округление</t>
  </si>
  <si>
    <t xml:space="preserve">R20/3=2.5</t>
  </si>
  <si>
    <t xml:space="preserve">Длительность</t>
  </si>
  <si>
    <t xml:space="preserve">3 turns</t>
  </si>
  <si>
    <t xml:space="preserve">EFF-QA-086</t>
  </si>
  <si>
    <t xml:space="preserve">В бою либо без GM</t>
  </si>
  <si>
    <t xml:space="preserve">EFF-QA-087</t>
  </si>
  <si>
    <t xml:space="preserve">Оборудование без процедуры</t>
  </si>
  <si>
    <t xml:space="preserve">EFF-QA-088</t>
  </si>
  <si>
    <t xml:space="preserve">Болезнь</t>
  </si>
  <si>
    <t xml:space="preserve">effectiveStat=2, modifier=−5, Z=2</t>
  </si>
  <si>
    <t xml:space="preserve">Пересчёт</t>
  </si>
  <si>
    <t xml:space="preserve">effectiveStat=−3; unconscious</t>
  </si>
  <si>
    <t xml:space="preserve">GAP-032; MON-075</t>
  </si>
  <si>
    <t xml:space="preserve">EFF-QA-089</t>
  </si>
  <si>
    <t xml:space="preserve">Провал самообладания, 3 действия</t>
  </si>
  <si>
    <t xml:space="preserve">Тушение</t>
  </si>
  <si>
    <t xml:space="preserve">−3 turns; remaining actions allowed after extinguish</t>
  </si>
  <si>
    <t xml:space="preserve">Q-CORE-031</t>
  </si>
  <si>
    <t xml:space="preserve">EFF-QA-090</t>
  </si>
  <si>
    <t xml:space="preserve">Коррозия</t>
  </si>
  <si>
    <t xml:space="preserve">Одежда/лёгкая броня, save≤R6</t>
  </si>
  <si>
    <t xml:space="preserve">SYM-041/Q-SYM-075</t>
  </si>
  <si>
    <t xml:space="preserve">destroy outer item immediately</t>
  </si>
  <si>
    <t xml:space="preserve">EFF-QA-091</t>
  </si>
  <si>
    <t xml:space="preserve">Травма+онемение</t>
  </si>
  <si>
    <t xml:space="preserve">Одна конечность: штрафы −3 и −5</t>
  </si>
  <si>
    <t xml:space="preserve">Проекция зоны</t>
  </si>
  <si>
    <t xml:space="preserve">−5; restrictions union; two states retained</t>
  </si>
  <si>
    <t xml:space="preserve">EFF-QA-092</t>
  </si>
  <si>
    <t xml:space="preserve">Одна конечность: два штрафа −5</t>
  </si>
  <si>
    <t xml:space="preserve">−5 once; not −10</t>
  </si>
  <si>
    <t xml:space="preserve">EFF-QA-093</t>
  </si>
  <si>
    <t xml:space="preserve">Независимое снятие</t>
  </si>
  <si>
    <t xml:space="preserve">Травма −3 + онемение −5; онемение истекло</t>
  </si>
  <si>
    <t xml:space="preserve">Recalculate</t>
  </si>
  <si>
    <t xml:space="preserve">trauma −3 remains; numbness removed</t>
  </si>
  <si>
    <t xml:space="preserve">EFF-QA-094</t>
  </si>
  <si>
    <t xml:space="preserve">Травма вылечена; онемение ещё активно</t>
  </si>
  <si>
    <t xml:space="preserve">numbness remains; trauma removed</t>
  </si>
  <si>
    <t xml:space="preserve">EFF-QA-095</t>
  </si>
  <si>
    <t xml:space="preserve">CORE-143: порог выдавливания глаз достигнут</t>
  </si>
  <si>
    <t xml:space="preserve">Resolve application branch</t>
  </si>
  <si>
    <t xml:space="preserve">pain hold only; no blindness EffectInstance</t>
  </si>
  <si>
    <t xml:space="preserve">CORE-143; Q-CORE-045</t>
  </si>
  <si>
    <t xml:space="preserve">EFF-QA-096</t>
  </si>
  <si>
    <t xml:space="preserve">GM назначает EFF-SENSE-BLINDNESS</t>
  </si>
  <si>
    <t xml:space="preserve">REJECT_NOT_MODELED</t>
  </si>
  <si>
    <t xml:space="preserve">EFF-QA-097</t>
  </si>
  <si>
    <t xml:space="preserve">Нарративное повреждение глаз</t>
  </si>
  <si>
    <t xml:space="preserve">State/UI projection</t>
  </si>
  <si>
    <t xml:space="preserve">no stored effect; no vision modifiers</t>
  </si>
  <si>
    <t xml:space="preserve">EFF-QA-098</t>
  </si>
  <si>
    <t xml:space="preserve">Попытка универсального снятия слепоты</t>
  </si>
  <si>
    <t xml:space="preserve">Remove effect</t>
  </si>
  <si>
    <t xml:space="preserve">NOT_APPLICABLE; no modeled state</t>
  </si>
  <si>
    <t xml:space="preserve">Runtime-справочники</t>
  </si>
  <si>
    <t xml:space="preserve">Закрытые коды для сериализации; SOURCE_SPECIFIC не разрешает придумывать неизвестную механику.</t>
  </si>
  <si>
    <t xml:space="preserve">Dictionary</t>
  </si>
  <si>
    <t xml:space="preserve">Value</t>
  </si>
  <si>
    <t xml:space="preserve">Определение</t>
  </si>
  <si>
    <t xml:space="preserve">EFFECT_FAMILY</t>
  </si>
  <si>
    <t xml:space="preserve">STATE_BUCKET</t>
  </si>
  <si>
    <t xml:space="preserve">Временные/поддерживаемые/периодические экземпляры</t>
  </si>
  <si>
    <t xml:space="preserve">Sentient payload</t>
  </si>
  <si>
    <t xml:space="preserve">Травмы и их зональные значения</t>
  </si>
  <si>
    <t xml:space="preserve">Формализованные раны и кровотечения с явной политикой создания и лечения</t>
  </si>
  <si>
    <t xml:space="preserve">Терминальные и базовые флаги актора</t>
  </si>
  <si>
    <t xml:space="preserve">Герметичность и иные состояния экземпляра предмета</t>
  </si>
  <si>
    <t xml:space="preserve">Items</t>
  </si>
  <si>
    <t xml:space="preserve">Связи заражения, контроля, троса и ауры</t>
  </si>
  <si>
    <t xml:space="preserve">Немеханические пометки</t>
  </si>
  <si>
    <t xml:space="preserve">STACK_POLICY</t>
  </si>
  <si>
    <t xml:space="preserve">Численно действует сильнейший, таймеры источников сохраняются</t>
  </si>
  <si>
    <t xml:space="preserve">REFRESH_SAME_SOURCE</t>
  </si>
  <si>
    <t xml:space="preserve">Повтор обновляет срок без усиления</t>
  </si>
  <si>
    <t xml:space="preserve">Одна болезнь не дублирует штрафы</t>
  </si>
  <si>
    <t xml:space="preserve">Независимый экземпляр на источник</t>
  </si>
  <si>
    <t xml:space="preserve">Независимый экземпляр на пару источник–цель</t>
  </si>
  <si>
    <t xml:space="preserve">Source-specific</t>
  </si>
  <si>
    <t xml:space="preserve">Независимый экземпляр на конечность</t>
  </si>
  <si>
    <t xml:space="preserve">Значения травм одной конечности складываются</t>
  </si>
  <si>
    <t xml:space="preserve">Один effectiveController по явному приоритету</t>
  </si>
  <si>
    <t xml:space="preserve">Заканчивается при инвалидировании источника</t>
  </si>
  <si>
    <t xml:space="preserve">AUTONOMOUS</t>
  </si>
  <si>
    <t xml:space="preserve">Продолжается после источника</t>
  </si>
  <si>
    <t xml:space="preserve">Определяется частной карточкой</t>
  </si>
  <si>
    <t xml:space="preserve">EFFECT_STATUS</t>
  </si>
  <si>
    <t xml:space="preserve">PENDING</t>
  </si>
  <si>
    <t xml:space="preserve">Создан, но ещё не начался</t>
  </si>
  <si>
    <t xml:space="preserve">Активен</t>
  </si>
  <si>
    <t xml:space="preserve">SUSPENDED</t>
  </si>
  <si>
    <t xml:space="preserve">Временно приостановлен без накопления</t>
  </si>
  <si>
    <t xml:space="preserve">EXPIRED</t>
  </si>
  <si>
    <t xml:space="preserve">Завершён сроком</t>
  </si>
  <si>
    <t xml:space="preserve">REMOVED</t>
  </si>
  <si>
    <t xml:space="preserve">Снят валидным источником</t>
  </si>
  <si>
    <t xml:space="preserve">REPLACED</t>
  </si>
  <si>
    <t xml:space="preserve">Завершён изменением версии/повтором</t>
  </si>
  <si>
    <t xml:space="preserve">BLOCKED</t>
  </si>
  <si>
    <t xml:space="preserve">Не применён ответом/несовместимостью</t>
  </si>
  <si>
    <t xml:space="preserve">REMOVAL_REASON</t>
  </si>
  <si>
    <t xml:space="preserve">Истёк срок</t>
  </si>
  <si>
    <t xml:space="preserve">CURE</t>
  </si>
  <si>
    <t xml:space="preserve">Излечение болезни</t>
  </si>
  <si>
    <t xml:space="preserve">CLEANSE</t>
  </si>
  <si>
    <t xml:space="preserve">Специальное очищение</t>
  </si>
  <si>
    <t xml:space="preserve">DAMAGE</t>
  </si>
  <si>
    <t xml:space="preserve">Урон снимает эффект</t>
  </si>
  <si>
    <t xml:space="preserve">SOURCE_INVALID</t>
  </si>
  <si>
    <t xml:space="preserve">Источник перестал поддерживать</t>
  </si>
  <si>
    <t xml:space="preserve">Заменён новым пакетом/версией</t>
  </si>
  <si>
    <t xml:space="preserve">GM</t>
  </si>
  <si>
    <t xml:space="preserve">Структурированная команда мастера</t>
  </si>
  <si>
    <t xml:space="preserve">DEATH</t>
  </si>
  <si>
    <t xml:space="preserve">Завершение временного эффекта или контроля при окончательной смерти</t>
  </si>
  <si>
    <t xml:space="preserve">POISON_SOURCE_KIND</t>
  </si>
  <si>
    <t xml:space="preserve">Обычный яд</t>
  </si>
  <si>
    <t xml:space="preserve">Природный яд</t>
  </si>
  <si>
    <t xml:space="preserve">ARTIFICIAL</t>
  </si>
  <si>
    <t xml:space="preserve">Искусственный яд</t>
  </si>
  <si>
    <t xml:space="preserve">Симбиотический яд</t>
  </si>
  <si>
    <t xml:space="preserve">Канонический яд существа</t>
  </si>
  <si>
    <t xml:space="preserve">DURATION_UNIT</t>
  </si>
  <si>
    <t xml:space="preserve">TURN</t>
  </si>
  <si>
    <t xml:space="preserve">ROUND</t>
  </si>
  <si>
    <t xml:space="preserve">Боевой круг</t>
  </si>
  <si>
    <t xml:space="preserve">MINUTE</t>
  </si>
  <si>
    <t xml:space="preserve">Минута мира</t>
  </si>
  <si>
    <t xml:space="preserve">HOUR</t>
  </si>
  <si>
    <t xml:space="preserve">Час</t>
  </si>
  <si>
    <t xml:space="preserve">CORE-061–062</t>
  </si>
  <si>
    <t xml:space="preserve">DAY</t>
  </si>
  <si>
    <t xml:space="preserve">COMBAT</t>
  </si>
  <si>
    <t xml:space="preserve">CONDITION</t>
  </si>
  <si>
    <t xml:space="preserve">До выполнения условия</t>
  </si>
  <si>
    <t xml:space="preserve">AUTOMATION_STATUS</t>
  </si>
  <si>
    <t xml:space="preserve">Семантика достаточна для исполнения</t>
  </si>
  <si>
    <t xml:space="preserve">Исполняется только определённая ветвь</t>
  </si>
  <si>
    <t xml:space="preserve">Хранить/показывать, не исполнять</t>
  </si>
  <si>
    <t xml:space="preserve">Требуется авторское решение</t>
  </si>
  <si>
    <t xml:space="preserve">BINARY_AGGREGATE_KEY</t>
  </si>
  <si>
    <t xml:space="preserve">Один механический эффект на EffectTypeID+variantKey+affectedRegion; источники/таймеры независимы</t>
  </si>
  <si>
    <t xml:space="preserve">ONE_CONSUMABLE_PER_SURFACE</t>
  </si>
  <si>
    <t xml:space="preserve">Одно расходуемое покрытие на поражающую поверхность</t>
  </si>
  <si>
    <t xml:space="preserve">Отдельный экземпляр на каждую рану</t>
  </si>
  <si>
    <t xml:space="preserve">SOURCE_TARGET_COUNTER</t>
  </si>
  <si>
    <t xml:space="preserve">Счётчик принадлежит паре sourceId+targetId</t>
  </si>
  <si>
    <t xml:space="preserve">MAX_PENALTY_SOURCES_INDEPENDENT</t>
  </si>
  <si>
    <t xml:space="preserve">Действует наибольший штраф, источники снимаются раздельно</t>
  </si>
  <si>
    <t xml:space="preserve">GAP-012–013</t>
  </si>
  <si>
    <t xml:space="preserve">DEATH_DISPOSITION</t>
  </si>
  <si>
    <t xml:space="preserve">TERMINATE_ON_DEATH</t>
  </si>
  <si>
    <t xml:space="preserve">Временные эффекты и контроль завершаются</t>
  </si>
  <si>
    <t xml:space="preserve">PRESERVE_ON_CORPSE</t>
  </si>
  <si>
    <t xml:space="preserve">Травмы, раны, item state, inventory и symbionts сохраняются</t>
  </si>
  <si>
    <t xml:space="preserve">Частная карточка явно определяет исключение</t>
  </si>
  <si>
    <t xml:space="preserve">INVENTORY_MODE</t>
  </si>
  <si>
    <t xml:space="preserve">STACKABLE_UNCOATED_PROJECTILES</t>
  </si>
  <si>
    <t xml:space="preserve">Обычные снаряды занимают одну ячейку с quantity</t>
  </si>
  <si>
    <t xml:space="preserve">INDIVIDUAL_POISONED_PROJECTILE</t>
  </si>
  <si>
    <t xml:space="preserve">Каждый смазанный ядом снаряд хранится отдельным предметом</t>
  </si>
  <si>
    <t xml:space="preserve">INDIVIDUAL_ITEM_COATING</t>
  </si>
  <si>
    <t xml:space="preserve">Покрытие отдельного экземпляра оружия/предмета</t>
  </si>
  <si>
    <t xml:space="preserve">EFFECT_TAG</t>
  </si>
  <si>
    <t xml:space="preserve">Единственный машинный признак эффекта контроля; карта закрыта на версию</t>
  </si>
  <si>
    <t xml:space="preserve">WOUND_CREATION</t>
  </si>
  <si>
    <t xml:space="preserve">Формальная рана создаётся только явным признаком источника или мастером</t>
  </si>
  <si>
    <t xml:space="preserve">ROUNDING_POLICY</t>
  </si>
  <si>
    <t xml:space="preserve">Ближайшее целое; 0,5 вверх; положительный минимум 1</t>
  </si>
  <si>
    <t xml:space="preserve">Состояние или ветвь правила не создаётся, не хранится и не отображается приложением</t>
  </si>
  <si>
    <t xml:space="preserve">GAP-030; Q-CORE-045</t>
  </si>
  <si>
    <t xml:space="preserve">MAX_PENALTY_SAME_REGION_RESTRICTIONS_UNION</t>
  </si>
  <si>
    <t xml:space="preserve">Для одной зоны действует наиболее строгий числовой штраф; самостоятельные ограничения и сроки сохраняются</t>
  </si>
  <si>
    <t xml:space="preserve">Canonical payload JSON и SHA-256 — v1.2</t>
  </si>
  <si>
    <t xml:space="preserve">Стабильно отсортированный компактный JSON для семейств, типов, болезней, ядов, травм, сочетаний и runtime-схемы.</t>
  </si>
  <si>
    <t xml:space="preserve">PayloadID</t>
  </si>
  <si>
    <t xml:space="preserve">EntityType</t>
  </si>
  <si>
    <t xml:space="preserve">EntityID</t>
  </si>
  <si>
    <t xml:space="preserve">Canonical JSON</t>
  </si>
  <si>
    <t xml:space="preserve">SHA-256</t>
  </si>
  <si>
    <t xml:space="preserve">UTF-8 bytes</t>
  </si>
  <si>
    <t xml:space="preserve">PAY-001</t>
  </si>
  <si>
    <t xml:space="preserve">EffectFamily</t>
  </si>
  <si>
    <t xml:space="preserve">{"bucket":"actorFlags / currentEffects","defaultComposition":"TERMINAL_OR_SOURCE_SPECIFIC","id":"FAM-LIFECYCLE","name":"Жизненный цикл","refs":"CORE-152–156; CORE-182; CORE-222","responseStage":"AFTER_DAMAGE_RECALC","scope":"Тяжёлое ранение, таймер смерти, окончательная смерть"}</t>
  </si>
  <si>
    <t xml:space="preserve">87e6730a09779d98290311e9546040f08f7c859b8a929f36b53d81e0211ea1b1</t>
  </si>
  <si>
    <t xml:space="preserve">PAY-002</t>
  </si>
  <si>
    <t xml:space="preserve">{"bucket":"actorFlags / currentEffects","defaultComposition":"RESTRICTIONS_UNION","id":"FAM-CONSCIOUSNESS","name":"Сознание","refs":"CORE-061; CORE-103; MON-075","responseStage":"AFTER_EACH_CONSEQUENCE","scope":"Бессознательность и сон"}</t>
  </si>
  <si>
    <t xml:space="preserve">60513cbd9b72e8570574c9089a94564a3a162143b678b813b56833b1e24f850d</t>
  </si>
  <si>
    <t xml:space="preserve">PAY-003</t>
  </si>
  <si>
    <t xml:space="preserve">{"bucket":"currentEffects","defaultComposition":"RESTRICTIONS_UNION; MAX_ACTION_PENALTY; SOURCES_INDEPENDENT","id":"FAM-PHYSICAL_CONTROL","name":"Физический контроль","refs":"CORE-103; CORE-138; CORE-141; CORE-143–144","responseStage":"BEFORE_APPLY_CONTROL","scope":"Паралич, оглушение, захват, удержание, опутывание, кокон"}</t>
  </si>
  <si>
    <t xml:space="preserve">e9417a26409b0541bcc779b400d6b8f70e4b5d0673fc302ebde04b2f5f47ec12</t>
  </si>
  <si>
    <t xml:space="preserve">PAY-004</t>
  </si>
  <si>
    <t xml:space="preserve">{"bucket":"currentEffects / controlLease","defaultComposition":"ONE_EFFECTIVE_CONTROLLER_BY_PRIORITY","id":"FAM-MENTAL_CONTROL","name":"Ментальный контроль","refs":"CORE-178; CORE-181; CORE-221; MON-038","responseStage":"BEFORE_APPLY_CONTROL","scope":"Принуждение, бегство, внешний контроллер"}</t>
  </si>
  <si>
    <t xml:space="preserve">3a6eb4beda668d7ab33e68a0d04a573023c62f8bab47e7e67b197fa05615205a</t>
  </si>
  <si>
    <t xml:space="preserve">PAY-005</t>
  </si>
  <si>
    <t xml:space="preserve">{"bucket":"currentEffects","defaultComposition":"RESTRICTIONS_UNION","id":"FAM-MOBILITY_POSITION","name":"Положение и мобильность","refs":"CORE-138–144; MON-165","responseStage":"COMMAND_FILTER","scope":"Сбит с ног, выгодная позиция, вынужденное перемещение"}</t>
  </si>
  <si>
    <t xml:space="preserve">89ebb97e76ce0bb2134fafc5deb2263bc5e618c98e1b0d0ac4332cea75ca6a78</t>
  </si>
  <si>
    <t xml:space="preserve">PAY-006</t>
  </si>
  <si>
    <t xml:space="preserve">{"bucket":"currentEffects","defaultComposition":"SOURCE_SPECIFIC; MIN_ZERO","id":"FAM-ACTION_ECONOMY","name":"Действия и серия","refs":"CORE-031; CORE-043–048; CORE-070; MON-150; MON-160","responseStage":"TURN_START_OR_CONSUME","scope":"Бонусы и штрафы действий, пропуск хода, следующий ход/серия"}</t>
  </si>
  <si>
    <t xml:space="preserve">c63e28643d89b8a39e54895b9e482f343765ab253e34ad118b46df510ca46807</t>
  </si>
  <si>
    <t xml:space="preserve">PAY-007</t>
  </si>
  <si>
    <t xml:space="preserve">{"bucket":"currentTraumas / derivedProjection","defaultComposition":"SAME_ZONE_ADDITIVE; DIFFERENT_ZONE_INDEPENDENT","id":"FAM-TRAUMA","name":"Травмы","refs":"CORE-117; CORE-119–121","responseStage":"AFTER_ACTUAL_DAMAGE","scope":"Зональные травмы и отключение конечности"}</t>
  </si>
  <si>
    <t xml:space="preserve">3aa619f12a18b440af00273921ca88d6a27d301ee1b436556b165ec1a7fe3556</t>
  </si>
  <si>
    <t xml:space="preserve">PAY-008</t>
  </si>
  <si>
    <t xml:space="preserve">{"bucket":"currentWounds","defaultComposition":"PER_EVENT_PER_REGION; BLEEDING_PER_WOUND","id":"FAM-WOUND_BLEEDING","name":"Раны и кровотечения","refs":"CORE-059; CORE-063","responseStage":"SOURCE_SPECIFIC","scope":"Формализованная рана, кровотечение и профилактика через рану"}</t>
  </si>
  <si>
    <t xml:space="preserve">add69ea3de0cba1c434c3f74b0f4da4eea0314e7ce888157f35dc5ff6878155a</t>
  </si>
  <si>
    <t xml:space="preserve">PAY-009</t>
  </si>
  <si>
    <t xml:space="preserve">{"bucket":"currentEffects","defaultComposition":"SAME_DISEASE_NO_STACK; DIFFERENT_DISEASE_ADD","id":"FAM-DISEASE","name":"Болезни","refs":"MON-075–087; CQA-060","responseStage":"ASSIGN_REMOVE_RECALC","scope":"Назначенные мастером заболевания и их модификаторы"}</t>
  </si>
  <si>
    <t xml:space="preserve">a8ff8d9f9f7b4319da5e9960479076c8fd2de00ad2ea8170f9152ea71bcf7af3</t>
  </si>
  <si>
    <t xml:space="preserve">PAY-010</t>
  </si>
  <si>
    <t xml:space="preserve">{"bucket":"currentEffects / activeCoatings","defaultComposition":"PROFILE_SPECIFIC","id":"FAM-POISON","name":"Яды","refs":"CORE-109; CORE-228; SYM-039; SYM-042; SYM-045","responseStage":"IMMUNITY_BEFORE_ROLL","scope":"POISON payload, урон, дебафф, счётчик и зональный паралич"}</t>
  </si>
  <si>
    <t xml:space="preserve">6adde4468a9ac553519c6d283d0230f0a0c0a7dc3902ebd4e5ac6c411546676b</t>
  </si>
  <si>
    <t xml:space="preserve">PAY-011</t>
  </si>
  <si>
    <t xml:space="preserve">{"bucket":"currentEffects","defaultComposition":"ONE_BINARY_STATE; MAX_REMAINING_DURATION","id":"FAM-FIRE","name":"Огонь и горение","refs":"CORE-112; CORE-114","responseStage":"BEFORE_APPLY_BURN","scope":"Бинарное горение персонажа и огненные ответы"}</t>
  </si>
  <si>
    <t xml:space="preserve">c8a688f50669286e22b21bda17f50bf2117600cef5ff6d33144c410484b9f9e4</t>
  </si>
  <si>
    <t xml:space="preserve">PAY-012</t>
  </si>
  <si>
    <t xml:space="preserve">{"bucket":"currentEffects","defaultComposition":"PER_INSTANCE; ORDER_BY_CREATED_AT_UUID","id":"FAM-PERIODIC_DAMAGE","name":"Периодический урон","refs":"CORE-101; AQA-024","responseStage":"TIME_PHASE_1","scope":"Автономные и поддерживаемые тики урона"}</t>
  </si>
  <si>
    <t xml:space="preserve">343be1070d0f798b908f25641847920eb31fd458f9aa0eebb7d7f09b4abda79b</t>
  </si>
  <si>
    <t xml:space="preserve">PAY-013</t>
  </si>
  <si>
    <t xml:space="preserve">{"bucket":"currentEffects","defaultComposition":"PER_INSTANCE; SOURCE_STACK_RULE","id":"FAM-PERIODIC_HEAL","name":"Периодическое лечение","refs":"CORE-071; AQA-024","responseStage":"TIME_PHASE_3","scope":"Повторяющееся восстановление HP/ОЭ"}</t>
  </si>
  <si>
    <t xml:space="preserve">36a043e5e6690d6ff928f61a0492324afbbf8b464d3541b9526ee345d562966e</t>
  </si>
  <si>
    <t xml:space="preserve">PAY-014</t>
  </si>
  <si>
    <t xml:space="preserve">{"bucket":"currentEffects","defaultComposition":"CORE-079_PIPELINE; CORE-080_SAME_NAME","id":"FAM-STAT_MODIFIER","name":"Модификаторы характеристик","refs":"CORE-079–080","responseStage":"RECALC","scope":"Временные ±, ×/÷, exact/min/max"}</t>
  </si>
  <si>
    <t xml:space="preserve">354ac2e4b8511aa93776919b49e5f53fd34c96338370b287d7977026b5e68f60</t>
  </si>
  <si>
    <t xml:space="preserve">PAY-015</t>
  </si>
  <si>
    <t xml:space="preserve">{"bucket":"currentEffects","defaultComposition":"SOURCE_SPECIFIC; CONSUME_ON_MATCH","id":"FAM-CHECK_MODIFIER","name":"Модификаторы проверок","refs":"CORE-059; CORE-067–069; CORE-072","responseStage":"CHECK_BUILD","scope":"Временный, следующий или условный бонус/штраф проверки"}</t>
  </si>
  <si>
    <t xml:space="preserve">4a44351b8f0c6132ce13aa8fb619f626c7011b0cf3dac57949bb9b35dcf27db6</t>
  </si>
  <si>
    <t xml:space="preserve">PAY-016</t>
  </si>
  <si>
    <t xml:space="preserve">{"bucket":"currentEffects","defaultComposition":"PROFILE_SPECIFIC; CAMOUFLAGE_STRONGEST","id":"FAM-SENSE_VISIBILITY","name":"Чувства и видимость","refs":"CORE-066; SYM-124; SYM-127; SYM-184","responseStage":"TARGETING_OR_DETECTION","scope":"Ночное зрение, маскировка и раскрытие; слепота исключена из модели приложения"}</t>
  </si>
  <si>
    <t xml:space="preserve">84e37204897c768769052c02c8b1419aaf4963604a59e705a0e39319df6be5e0</t>
  </si>
  <si>
    <t xml:space="preserve">PAY-017</t>
  </si>
  <si>
    <t xml:space="preserve">{"bucket":"currentEffects / initialRuntimeState","defaultComposition":"SOURCE_SPECIFIC_COMPATIBILITY","id":"FAM-FORM_MODE","name":"Форма и режим","refs":"SYM-091; SYM-114; SYM-169","responseStage":"COMMAND_FILTER","scope":"Полёт, стойка, статуя и иные поддерживаемые формы"}</t>
  </si>
  <si>
    <t xml:space="preserve">ccbcb443271d0f7edef71cec83feebeb099943b3a53ccc4d1a0c4928518b4acc</t>
  </si>
  <si>
    <t xml:space="preserve">PAY-018</t>
  </si>
  <si>
    <t xml:space="preserve">{"bucket":"symbiontInstance / currentEffects","defaultComposition":"SPECIES_AND_SOURCE_PRIORITY","id":"FAM-SYMBIONT_STATE","name":"Состояние симбионта","refs":"CORE-104; SYM-038; SYM-075; SYM-181","responseStage":"BEFORE_ABILITY_OR_PASSIVE","scope":"Отключение, подавление, выбранный режим"}</t>
  </si>
  <si>
    <t xml:space="preserve">e2f1ed591f67b39d2037d3e0cf4418365492436be712638eed4b6e67c6844e1c</t>
  </si>
  <si>
    <t xml:space="preserve">PAY-019</t>
  </si>
  <si>
    <t xml:space="preserve">{"bucket":"responseProfiles / currentEffects","defaultComposition":"MOST_SPECIFIC_RESPONSE_FIRST","id":"FAM-IMMUNITY_RESISTANCE","name":"Иммунитеты и сопротивления","refs":"CORE-072; CORE-228; CQA-043; CQA-050","responseStage":"PRE_APPLICATION","scope":"До-бросковый иммунитет, числовая защита, очистка контроля"}</t>
  </si>
  <si>
    <t xml:space="preserve">0d98a465913e24bc01ddffaa47f7c06678e64d72d149131418aa08183d04c208</t>
  </si>
  <si>
    <t xml:space="preserve">PAY-020</t>
  </si>
  <si>
    <t xml:space="preserve">{"bucket":"currentEffects / source graph","defaultComposition":"SOURCE_SPECIFIC","id":"FAM-INFECTION","name":"Заражение","refs":"SYM-003–005; MON-042–063","responseStage":"APPLICATION_OR_GM_ASSIGN","scope":"Связи заражения симбионтом и инфекционные источники"}</t>
  </si>
  <si>
    <t xml:space="preserve">c0af2e7f2958d09c7d5a81b190caf0fef8173f61e1c3fa238698398f19f1e77f</t>
  </si>
  <si>
    <t xml:space="preserve">PAY-021</t>
  </si>
  <si>
    <t xml:space="preserve">{"bucket":"activeCoatings / currentEffects / source object","defaultComposition":"ONE_CONSUMABLE_COATING_PER_SURFACE; POISONED_PROJECTILES_INDIVIDUAL","id":"FAM-PREPARED_EFFECT","name":"Подготовленные эффекты","refs":"CORE-048; SYM-183; MON-114","responseStage":"CONSUME_OR_TRIGGER","scope":"Покрытия, реакции, детонации и заряды"}</t>
  </si>
  <si>
    <t xml:space="preserve">9470782abc2afa2e7a870faa874fa80e6e3e774775c2612742243f6583b536e8</t>
  </si>
  <si>
    <t xml:space="preserve">PAY-022</t>
  </si>
  <si>
    <t xml:space="preserve">{"bucket":"currentEffects / relation graph","defaultComposition":"SOURCE_MAINTAINED_OR_AUTONOMOUS","id":"FAM-SOURCE_LINK","name":"Связи с источником","refs":"CQA-002; AQ2-020","responseStage":"SOURCE_LIFECYCLE","scope":"Аура, трос, захват, поддерживаемый канал"}</t>
  </si>
  <si>
    <t xml:space="preserve">baec4455809d952414c72a1d55a832929efb9f2785d5d5ca95ada9dcd367ea4a</t>
  </si>
  <si>
    <t xml:space="preserve">PAY-023</t>
  </si>
  <si>
    <t xml:space="preserve">{"bucket":"itemInstance / currentEffects","defaultComposition":"ITEM_AND_SOURCE_SPECIFIC","id":"FAM-ITEM_STATE","name":"Состояние предмета","refs":"CORE-053; MON-100; MON-129","responseStage":"EQUIPMENT_OR_TICK","scope":"Герметичность, коррозионный счётчик, застрявшее оружие"}</t>
  </si>
  <si>
    <t xml:space="preserve">d472721e620267a67dab2559f02cfd163c3a94c28332c896912f8c688d326eae</t>
  </si>
  <si>
    <t xml:space="preserve">PAY-024</t>
  </si>
  <si>
    <t xml:space="preserve">{"bucket":"narrativeMarkers","defaultComposition":"NO_MECHANICAL_EFFECT","id":"FAM-NARRATIVE","name":"Нарративная пометка","refs":"AQ2-009; AQA-045","responseStage":"NONE","scope":"Текст без механического изменения"}</t>
  </si>
  <si>
    <t xml:space="preserve">0bd27512bed5a7ababde54e9b710155c17de9f66ed7d5e76cb8de62dc631b84d</t>
  </si>
  <si>
    <t xml:space="preserve">PAY-025</t>
  </si>
  <si>
    <t xml:space="preserve">{"automation":"AUTOMATED","bucket":"actorFlags","family":"FAM-LIFECYCLE","id":"EFF-LIFE-DEAD","name":"Окончательная смерть","refs":"CORE-155–156; CQA-001","removal":"NONE","schemaStatus":"DEFINED","semantics":"Терминальное состояние; обычное лечение и снятие эффекта не воскрешают","stacking":"TERMINAL_SINGLETON","stateWrites":"dead=true","timerPolicy":"SOURCE_SPECIFIC_OR_EXPLICIT"}</t>
  </si>
  <si>
    <t xml:space="preserve">ddd1415d5614e448db01352bd4f89177b38704c07cfb796865e56b687615976f</t>
  </si>
  <si>
    <t xml:space="preserve">PAY-026</t>
  </si>
  <si>
    <t xml:space="preserve">{"automation":"AUTOMATED","bucket":"actorFlags","family":"FAM-LIFECYCLE","id":"EFF-LIFE-SEVERE_WOUND","name":"Тяжёлое ранение","refs":"CORE-152; CORE-182; CORE-222","removal":"SOURCE_OR_REANIMATION","schemaStatus":"DEFINED","semantics":"HP=0; специальная дееспособность возможна только по прямому источнику","stacking":"SINGLETON","stateWrites":"severeWound=true","timerPolicy":"SOURCE_SPECIFIC_OR_EXPLICIT"}</t>
  </si>
  <si>
    <t xml:space="preserve">f9485e71c89d9e2e11f9e5decc3256783c2a40e9e0742c113073b67be01c37d3</t>
  </si>
  <si>
    <t xml:space="preserve">PAY-027</t>
  </si>
  <si>
    <t xml:space="preserve">{"automation":"AUTOMATED","bucket":"currentEffects","family":"FAM-LIFECYCLE","id":"EFF-LIFE-DEATH_TIMER","name":"Таймер смерти","refs":"CORE-153–156","removal":"EXPLICIT_REANIMATION_OR_EXPIRY","schemaStatus":"DEFINED","semantics":"Точный остаток хранится без округления интерфейсом","stacking":"SINGLETON_BY_ACTOR","stateWrites":"deathTimer","timerPolicy":"SOURCE_SPECIFIC_OR_EXPLICIT"}</t>
  </si>
  <si>
    <t xml:space="preserve">60818ced4612523dd87b4aba828d5491a58ed76bc8277cff3e28f43e9f8a1cb8</t>
  </si>
  <si>
    <t xml:space="preserve">PAY-028</t>
  </si>
  <si>
    <t xml:space="preserve">{"automation":"AUTOMATED","bucket":"actorFlags","family":"FAM-CONSCIOUSNESS","id":"EFF-CONSCIOUS-UNCONSCIOUS","name":"Без сознания","refs":"CORE-103; MON-075; CORE-222","removal":"SOURCE_SPECIFIC","schemaStatus":"DEFINED","semantics":"Нет действий, реакций и активной защиты; броня работает","stacking":"BINARY_SOURCE_TRACKED","stateWrites":"unconscious=true","timerPolicy":"SOURCE_SPECIFIC_OR_EXPLICIT"}</t>
  </si>
  <si>
    <t xml:space="preserve">2882f229c76336741bea2e8338c0e395bba078aa999994d3dc93204ed762d63d</t>
  </si>
  <si>
    <t xml:space="preserve">PAY-029</t>
  </si>
  <si>
    <t xml:space="preserve">{"automation":"AUTOMATED","bucket":"currentEffects","family":"FAM-CONSCIOUSNESS","id":"EFF-CONSCIOUS-SLEEP","name":"Сон","refs":"CORE-061; CORE-103","removal":"DAMAGE_OR_SPECIFIC_ANTIDOTE","schemaStatus":"DEFINED","semantics":"Фармацевтический сон снимается любым уроном либо CORE-060","stacking":"PER_SOURCE","stateWrites":"currentEffects[]","timerPolicy":"SOURCE_SPECIFIC_OR_EXPLICIT"}</t>
  </si>
  <si>
    <t xml:space="preserve">c6276135e5a2880a5ecdf9e3b346ea4c6763be8ffbc63d3abfc5c8434539b4c7</t>
  </si>
  <si>
    <t xml:space="preserve">PAY-030</t>
  </si>
  <si>
    <t xml:space="preserve">{"automation":"AUTOMATED","bucket":"currentEffects","family":"FAM-PHYSICAL_CONTROL","id":"EFF-CONTROL-PARALYSIS","name":"Паралич","refs":"CORE-062; CORE-103; MON-150","removal":"SOURCE_SPECIFIC","schemaStatus":"DEFINED","semantics":"Нет физических действий и активной защиты; чисто ментальные действия условно возможны","stacking":"PER_SOURCE","stateWrites":"currentEffects[]","timerPolicy":"SOURCE_SPECIFIC_OR_EXPLICIT"}</t>
  </si>
  <si>
    <t xml:space="preserve">6cdc7cc9d5fce52a94e0279f7dcfe0f1d0144360a79162624277c89aceaeb862</t>
  </si>
  <si>
    <t xml:space="preserve">PAY-031</t>
  </si>
  <si>
    <t xml:space="preserve">{"automation":"AUTOMATED","bucket":"currentEffects","family":"FAM-PHYSICAL_CONTROL","id":"EFF-CONTROL-STUN","name":"Оглушение","refs":"CORE-031; CORE-103","removal":"EXPIRY_OR_CONTROL_CLEANSE","schemaStatus":"DEFINED","semantics":"Пропуск указанных ходов и реакций; частное правило может сохранить защиты","stacking":"PER_SOURCE","stateWrites":"currentEffects[]","timerPolicy":"SOURCE_SPECIFIC_OR_EXPLICIT"}</t>
  </si>
  <si>
    <t xml:space="preserve">04376b7f5e790f4778e96438dec007f21e20134d3d4ee217df1f53812d8efd05</t>
  </si>
  <si>
    <t xml:space="preserve">PAY-032</t>
  </si>
  <si>
    <t xml:space="preserve">{"automation":"AUTOMATED","bucket":"currentEffects","family":"FAM-ACTION_ECONOMY","id":"EFF-CONTROL-TURN_SKIP","name":"Пропуск хода","refs":"CORE-103; MON-124","removal":"CONSUME_NAMED_TURNS","schemaStatus":"DEFINED","semantics":"Нет боевых и небоевых действий; защита вне хода только по прямому разрешению","stacking":"PER_SOURCE","stateWrites":"currentEffects[]","timerPolicy":"SOURCE_SPECIFIC_OR_EXPLICIT"}</t>
  </si>
  <si>
    <t xml:space="preserve">51795b9b489f8acf3420b141daf5e31978744e7881557eb1f1b1c6870baab178</t>
  </si>
  <si>
    <t xml:space="preserve">PAY-033</t>
  </si>
  <si>
    <t xml:space="preserve">{"automation":"AUTOMATED","bucket":"currentEffects","family":"FAM-PHYSICAL_CONTROL","id":"EFF-CONTROL-GRAPPLE","name":"Захват","refs":"CORE-138; MON-117; MON-127; MON-133","removal":"RELEASE_OR_SOURCE_BREAK","schemaStatus":"DEFINED","semantics":"Модификаторы CORE-138; число параллельных захватов ограничено свободными хватательными конечностями","stacking":"PER_SOURCE_TARGET","stateWrites":"CaptureState","timerPolicy":"SOURCE_SPECIFIC_OR_EXPLICIT"}</t>
  </si>
  <si>
    <t xml:space="preserve">7aa934cc2735b4ffefb3b2d10294bc71042004d5cd102a396dd98269f6eae77d</t>
  </si>
  <si>
    <t xml:space="preserve">PAY-034</t>
  </si>
  <si>
    <t xml:space="preserve">{"automation":"AUTOMATED","bucket":"currentEffects","family":"FAM-PHYSICAL_CONTROL","id":"EFF-CONTROL-LIMB_HOLD","name":"Удержание конечности","refs":"CORE-141","removal":"CONTESTED_RELEASE","schemaStatus":"DEFINED","semantics":"Предусловие для травмирующего/болевого приёма","stacking":"PER_SOURCE_LIMB","stateWrites":"currentEffects[]","timerPolicy":"SOURCE_SPECIFIC_OR_EXPLICIT"}</t>
  </si>
  <si>
    <t xml:space="preserve">8329614ae56ff288f849b41e5788c71ab4ed19450e915856b5c2d0fbef9dd2ea</t>
  </si>
  <si>
    <t xml:space="preserve">PAY-035</t>
  </si>
  <si>
    <t xml:space="preserve">{"automation":"AUTOMATED","bucket":"currentEffects","family":"FAM-PHYSICAL_CONTROL","id":"EFF-CONTROL-PAIN_HOLD","name":"Болевой приём","refs":"CORE-143","removal":"CONTESTED_RELEASE","schemaStatus":"DEFINED","semantics":"При неуспешном самообладании доступны только защитные действия борьбы","stacking":"PER_SOURCE","stateWrites":"currentEffects[]","timerPolicy":"SOURCE_SPECIFIC_OR_EXPLICIT"}</t>
  </si>
  <si>
    <t xml:space="preserve">b81146343f20b91f853c62b2db80a12f298fafa6f09e716971c562862f4dbc09</t>
  </si>
  <si>
    <t xml:space="preserve">PAY-036</t>
  </si>
  <si>
    <t xml:space="preserve">{"automation":"AUTOMATED","bucket":"currentEffects","family":"FAM-PHYSICAL_CONTROL","id":"EFF-CONTROL-CHOKE_HOLD","name":"Удушающий приём","refs":"CORE-144","removal":"BREAK_GRAPPLE_OR_RELEASE","schemaStatus":"DEFINED","semantics":"Требует цепочки захват → выгодная позиция → удушение","stacking":"PER_SOURCE","stateWrites":"currentEffects[]","timerPolicy":"SOURCE_SPECIFIC_OR_EXPLICIT"}</t>
  </si>
  <si>
    <t xml:space="preserve">b6169551e37fbc680098bf5a24cb2eb368847aaa2eae34e8b9c4f43202e3606d</t>
  </si>
  <si>
    <t xml:space="preserve">PAY-037</t>
  </si>
  <si>
    <t xml:space="preserve">{"automation":"AUTOMATED","bucket":"currentEffects","family":"FAM-PHYSICAL_CONTROL","id":"EFF-CONTROL-RESTRAINED","name":"Опутан / связан","refs":"MON-136; MON-149","removal":"SOURCE_SPECIFIC_RELEASE","schemaStatus":"DEFINED","semantics":"Сеть и нить имеют собственные штрафы и проверки освобождения","stacking":"PER_SOURCE","stateWrites":"currentEffects[]","timerPolicy":"SOURCE_SPECIFIC_OR_EXPLICIT"}</t>
  </si>
  <si>
    <t xml:space="preserve">153e1a443f958aee872db51ebd3ef65c2c13a1a643f9179fb6d0ac87c46dd77c</t>
  </si>
  <si>
    <t xml:space="preserve">PAY-038</t>
  </si>
  <si>
    <t xml:space="preserve">{"automation":"AUTOMATED","bucket":"currentEffects","family":"FAM-PHYSICAL_CONTROL","id":"EFF-CONTROL-COCOONED","name":"В коконе / вне боя","refs":"MON-151","removal":"ALLY_RELEASE","schemaStatus":"DEFINED","semantics":"Завершённое пеленание выводит цель из боя до освобождения","stacking":"PER_SOURCE","stateWrites":"currentEffects[]","timerPolicy":"SOURCE_SPECIFIC_OR_EXPLICIT"}</t>
  </si>
  <si>
    <t xml:space="preserve">7ef5c597a0be89cea2a83d20993d6229c12db78cd6840a6987a2f87b744b75bf</t>
  </si>
  <si>
    <t xml:space="preserve">PAY-039</t>
  </si>
  <si>
    <t xml:space="preserve">{"automation":"MIXED_TRACE","bucket":"currentEffects","family":"FAM-MENTAL_CONTROL","id":"EFF-CONTROL-FORCED_MOVEMENT","name":"Принудительное движение","refs":"CORE-072; MON-119","removal":"SOURCE_SPECIFIC","schemaStatus":"DEFINED","semantics":"Контроль; полная соответствующая неуязвимость блокирует","stacking":"PER_SOURCE","stateWrites":"currentEffects[]","timerPolicy":"SOURCE_SPECIFIC_OR_EXPLICIT"}</t>
  </si>
  <si>
    <t xml:space="preserve">ca87c424f45bf844544ffb6f7df00786e3899f4d8722725fa30cc3c546615315</t>
  </si>
  <si>
    <t xml:space="preserve">PAY-040</t>
  </si>
  <si>
    <t xml:space="preserve">{"automation":"AUTOMATED","bucket":"currentEffects","family":"FAM-MENTAL_CONTROL","id":"EFF-CONTROL-FLEEING","name":"Бегство","refs":"CORE-178","removal":"EXIT_CONDITION","schemaStatus":"DEFINED","semantics":"Автомат поведения и выход из боя по источнику","stacking":"PER_SOURCE","stateWrites":"currentEffects[]","timerPolicy":"SOURCE_SPECIFIC_OR_EXPLICIT"}</t>
  </si>
  <si>
    <t xml:space="preserve">967312029d52b2b5b6edfba383d08cf51b5f28d4c07bbf26048ddd9c5ba5e589</t>
  </si>
  <si>
    <t xml:space="preserve">PAY-041</t>
  </si>
  <si>
    <t xml:space="preserve">{"automation":"AUTOMATED","bucket":"controlLease","family":"FAM-MENTAL_CONTROL","id":"EFF-CONTROL-MENTAL_LEASE","name":"Внешний контроллер","refs":"CORE-181; CORE-221; MON-038","removal":"EXPIRY_OR_INVALIDATION","schemaStatus":"DEFINED","semantics":"owningController не меняется; effectiveController временно переопределяется","stacking":"PRIORITY_LEASE","stateWrites":"ControlLease","timerPolicy":"SOURCE_SPECIFIC_OR_EXPLICIT"}</t>
  </si>
  <si>
    <t xml:space="preserve">580b95c1ae4611a622f0e519b94a6ca9be007f5349acadb05a12dce4a2def35d</t>
  </si>
  <si>
    <t xml:space="preserve">PAY-042</t>
  </si>
  <si>
    <t xml:space="preserve">{"automation":"SOURCE_SPECIFIC","bucket":"currentEffects","family":"FAM-MOBILITY_POSITION","id":"EFF-POSITION-PRONE","name":"Сбит с ног","refs":"MON-165","removal":"SOURCE_SPECIFIC","schemaStatus":"DEFINED","semantics":"Позиционный статус; точные общие штрафы не нормализованы","stacking":"PER_SOURCE_OR_DERIVED","stateWrites":"currentEffects[]","timerPolicy":"SOURCE_SPECIFIC_OR_EXPLICIT"}</t>
  </si>
  <si>
    <t xml:space="preserve">b30c01b8a545c010d20d8ad14ea637d916c443ebbaecb5996e5e0153c8592ecb</t>
  </si>
  <si>
    <t xml:space="preserve">PAY-043</t>
  </si>
  <si>
    <t xml:space="preserve">{"automation":"AUTOMATED","bucket":"currentEffects","family":"FAM-MOBILITY_POSITION","id":"EFF-POSITION-ADVANTAGE","name":"Выгодная позиция","refs":"CORE-144","removal":"BREAK_GRAPPLE","schemaStatus":"DEFINED","semantics":"Промежуточное состояние цепочки удушения","stacking":"PER_GRAPPLE","stateWrites":"currentEffects[]","timerPolicy":"SOURCE_SPECIFIC_OR_EXPLICIT"}</t>
  </si>
  <si>
    <t xml:space="preserve">dc95b07c55172b84e1ed25830d745d249f066244c4e0501cb6a2cadd653cc5cb</t>
  </si>
  <si>
    <t xml:space="preserve">PAY-044</t>
  </si>
  <si>
    <t xml:space="preserve">{"automation":"AUTOMATED","bucket":"currentEffects","family":"FAM-ACTION_ECONOMY","id":"EFF-ACTION-SERIES_MOD","name":"Модификатор серии/действий","refs":"CORE-070; MON-160","removal":"EXPIRY","schemaStatus":"DEFINED","semantics":"Минимум действий 0, если частное правило не сообщает иное","stacking":"SAME_NAME_SOURCE_SPECIFIC","stateWrites":"actionModifier","timerPolicy":"SOURCE_SPECIFIC_OR_EXPLICIT"}</t>
  </si>
  <si>
    <t xml:space="preserve">c2f22fc840761aa63058c90dfa8ee8fbe16035de2ec89a3b613107a5a6fe9b44</t>
  </si>
  <si>
    <t xml:space="preserve">PAY-045</t>
  </si>
  <si>
    <t xml:space="preserve">{"automation":"AUTOMATED","bucket":"currentEffects","family":"FAM-ACTION_ECONOMY","id":"EFF-ACTION-NEXT_SERIES_PENALTY","name":"Штраф следующей серии","refs":"CORE-043–048; MON-150","removal":"CONSUME_OR_REPLACE","schemaStatus":"DEFINED","semantics":"Потрясение щитом не складывается: действует наибольший штраф; один ожидающий эффект расходуется на следующей серии","stacking":"SAME_VARIANT_MAX_PENALTY; CONSUME_NEXT_SERIES","stateWrites":"currentEffects[]","timerPolicy":"SOURCE_SPECIFIC_OR_EXPLICIT"}</t>
  </si>
  <si>
    <t xml:space="preserve">8b899742db516d15b00df1cbc98dde21e272576ce42688c8c5538fab40086488</t>
  </si>
  <si>
    <t xml:space="preserve">PAY-046</t>
  </si>
  <si>
    <t xml:space="preserve">{"automation":"AUTOMATED","bucket":"currentEffects","family":"FAM-ACTION_ECONOMY","id":"EFF-ACTION-SKIP_NEXT","name":"Пропуск следующего хода/кругов","refs":"CORE-031; MON-124","removal":"CONSUME_TURNS","schemaStatus":"DEFINED","semantics":"Число и единица определяются источником","stacking":"PER_SOURCE","stateWrites":"currentEffects[]","timerPolicy":"SOURCE_SPECIFIC_OR_EXPLICIT"}</t>
  </si>
  <si>
    <t xml:space="preserve">323fc68eae00733e5d6ee4e2ee4bf6fd50dba99b229ca48944bff7e26ed543b9</t>
  </si>
  <si>
    <t xml:space="preserve">PAY-047</t>
  </si>
  <si>
    <t xml:space="preserve">{"automation":"AUTOMATED_NO_RECOVERY","bucket":"currentTraumas","family":"FAM-TRAUMA","id":"EFF-TRAUMA-LIMB","name":"Травма конечности","refs":"CORE-117; CORE-119","removal":"SOURCE_SPECIFIC_RECOVERY","schemaStatus":"DEFINED","semantics":"Травматические значения одной конечности складываются","stacking":"ADDITIVE_SAME_LIMB","stateWrites":"currentTraumas[]","timerPolicy":"SOURCE_SPECIFIC_OR_EXPLICIT"}</t>
  </si>
  <si>
    <t xml:space="preserve">b0be91bfb83333608366cd694425d79029653ce06843d4e9e3f93febf73a4918</t>
  </si>
  <si>
    <t xml:space="preserve">PAY-048</t>
  </si>
  <si>
    <t xml:space="preserve">{"automation":"AUTOMATED_NO_RECOVERY","bucket":"currentTraumas","family":"FAM-TRAUMA","id":"EFF-TRAUMA-HEAD","name":"Травма головы","refs":"CORE-120","removal":"SOURCE_SPECIFIC_RECOVERY","schemaStatus":"DEFINED","semantics":"Семантика по CORE-120; автоматического восстановления нет, снятие только явной способностью, процедурой или командой мастера","stacking":"PER_TRAUMA","stateWrites":"currentTraumas[]","timerPolicy":"SOURCE_SPECIFIC_OR_EXPLICIT"}</t>
  </si>
  <si>
    <t xml:space="preserve">a5defe632e85e9bece86f2036aa5b3577ca5f796aed79ebd39bd12feeadd37c6</t>
  </si>
  <si>
    <t xml:space="preserve">PAY-049</t>
  </si>
  <si>
    <t xml:space="preserve">{"automation":"AUTOMATED_NO_RECOVERY","bucket":"currentTraumas","family":"FAM-TRAUMA","id":"EFF-TRAUMA-TORSO","name":"Травма корпуса","refs":"CORE-121","removal":"SOURCE_SPECIFIC_RECOVERY","schemaStatus":"DEFINED","semantics":"Однократная дополнительная потеря HP, без рекурсивной травмы","stacking":"PER_EVENT","stateWrites":"currentTraumas[]","timerPolicy":"SOURCE_SPECIFIC_OR_EXPLICIT"}</t>
  </si>
  <si>
    <t xml:space="preserve">dae9f2e8563b09c507a8963c04bf184e9b9d56515e0f8ee8b2a83985058f8a69</t>
  </si>
  <si>
    <t xml:space="preserve">PAY-050</t>
  </si>
  <si>
    <t xml:space="preserve">{"automation":"DERIVED","bucket":"derivedProjection","family":"FAM-TRAUMA","id":"EFF-TRAUMA-LIMB_DISABLED","name":"Отключённая конечность","refs":"CORE-119; MON-169","removal":"RECALC_FROM_TRAUMAS","schemaStatus":"DEFINED","semantics":"Порог суммарной травмы конечности &gt;6; при временном онемении той же зоны действует наиболее строгий числовой штраф, а самостоятельные ограничения объединяются","stacking":"DERIVED_PER_LIMB","stateWrites":"derived.disabledLimbs; DerivedStateProjection.regionPenaltyById","timerPolicy":"SOURCE_SPECIFIC_OR_EXPLICIT"}</t>
  </si>
  <si>
    <t xml:space="preserve">7166b8d2afe62f1a2aa1723082790ac8a817cd6218efbd7040ec81057b1e6753</t>
  </si>
  <si>
    <t xml:space="preserve">PAY-051</t>
  </si>
  <si>
    <t xml:space="preserve">{"automation":"AUTOMATED","bucket":"currentWounds","family":"FAM-WOUND_BLEEDING","id":"EFF-WOUND-GENERIC","name":"Формализованная рана","refs":"CORE-059","removal":"EXPLICIT_TREATMENT_OR_GM_ONLY","schemaStatus":"DEFINED","semantics":"Создаётся только источником с CREATES_WOUND либо мастером; одно событие создаёт одну рану с зоной","stacking":"PER_EVENT_AND_REGION","stateWrites":"currentWounds[]","timerPolicy":"SOURCE_SPECIFIC_OR_EXPLICIT"}</t>
  </si>
  <si>
    <t xml:space="preserve">2913b4e277f3120d6edeb5fe3922df53e8cea4e8a2204e2231d5176efb12f72f</t>
  </si>
  <si>
    <t xml:space="preserve">PAY-052</t>
  </si>
  <si>
    <t xml:space="preserve">{"automation":"AUTOMATED","bucket":"currentWounds","family":"FAM-WOUND_BLEEDING","id":"EFF-WOUND-BLEEDING","name":"Кровотечение","refs":"CORE-063","removal":"CORE-063_REMOVES_ALL_OR_EXPLICIT_TREATMENT","schemaStatus":"DEFINED","semantics":"Только явный источник с damagePerTick; отдельный экземпляр на рану; тик в конце личного хода цели","stacking":"PER_WOUND_INSTANCE","stateWrites":"currentWounds[]","timerPolicy":"SOURCE_SPECIFIC_OR_EXPLICIT"}</t>
  </si>
  <si>
    <t xml:space="preserve">79a25dee4fdb679249425ad90d5c0f266828a9d8bec9a959c02a8cfd54874ec8</t>
  </si>
  <si>
    <t xml:space="preserve">PAY-053</t>
  </si>
  <si>
    <t xml:space="preserve">{"automation":"AUTOMATED","bucket":"currentEffects","family":"FAM-FIRE","id":"EFF-FIRE-BURNING","name":"Горение","refs":"CORE-112; CORE-114","removal":"EXTINGUISH_OR_EXPIRY","schemaStatus":"DEFINED","semantics":"Один статус; повтор задаёт max(remaining,new) и max(damagePerTick); мгновенного дополнительного тика нет; тушение по Q-CORE-031","stacking":"ONE_BINARY_MAX_DURATION_MAX_DAMAGE","stateWrites":"remainingTurns; damagePerTick","timerPolicy":"SOURCE_SPECIFIC_OR_EXPLICIT"}</t>
  </si>
  <si>
    <t xml:space="preserve">9556dfb8309c0dd441a3a6fcd9219281d4b0ad0e93fb0ee1b8c86e82e628f798</t>
  </si>
  <si>
    <t xml:space="preserve">PAY-054</t>
  </si>
  <si>
    <t xml:space="preserve">{"automation":"AUTOMATED","bucket":"currentEffects","family":"FAM-PERIODIC_DAMAGE","id":"EFF-DAMAGE-PERIODIC","name":"Периодический урон","refs":"CORE-101; AQA-024","removal":"EXPIRY_OR_SOURCE_RULE","schemaStatus":"DEFINED","semantics":"Тик обрабатывается в фазе 1; после каждого тика пересчёт смертельных последствий","stacking":"PER_INSTANCE","stateWrites":"tickSchedule","timerPolicy":"SOURCE_SPECIFIC_OR_EXPLICIT"}</t>
  </si>
  <si>
    <t xml:space="preserve">f7845026b6d2e03c2138f3c3f4d8f51d1459fe8c0d788b211203b34a27aaf263</t>
  </si>
  <si>
    <t xml:space="preserve">PAY-055</t>
  </si>
  <si>
    <t xml:space="preserve">{"automation":"AUTOMATED","bucket":"currentEffects","family":"FAM-PERIODIC_HEAL","id":"EFF-HEAL-PERIODIC","name":"Периодическое лечение","refs":"CORE-071; AQA-024","removal":"EXPIRY","schemaStatus":"DEFINED","semantics":"Фаза восстановления; обычное лечение не действует в тяжёлом ранении","stacking":"PER_INSTANCE_SOURCE_RULE","stateWrites":"tickSchedule","timerPolicy":"SOURCE_SPECIFIC_OR_EXPLICIT"}</t>
  </si>
  <si>
    <t xml:space="preserve">d46417d8ddc631c014bcba1676db269aa15dcf7b8b97d881adee54ac4542e9c7</t>
  </si>
  <si>
    <t xml:space="preserve">PAY-056</t>
  </si>
  <si>
    <t xml:space="preserve">{"automation":"AUTOMATED","bucket":"currentEffects","family":"FAM-STAT_MODIFIER","id":"EFF-STAT-TEMP_MOD","name":"Временный модификатор характеристики","refs":"CORE-079–080","removal":"EXPIRY_OR_REMOVE","schemaStatus":"DEFINED","semantics":"Порядок применения по CORE-079","stacking":"SAME_NAME_STRONGEST_TIMERS_INDEPENDENT","stateWrites":"modifierComponents","timerPolicy":"SOURCE_SPECIFIC_OR_EXPLICIT"}</t>
  </si>
  <si>
    <t xml:space="preserve">672ea05f4f1f0a6468bfdb2f782a6d98eb00d509240a93a28f94bc823e583e53</t>
  </si>
  <si>
    <t xml:space="preserve">PAY-057</t>
  </si>
  <si>
    <t xml:space="preserve">{"automation":"AUTOMATED","bucket":"currentEffects","family":"FAM-STAT_MODIFIER","id":"EFF-STAT-EXACT_SET","name":"Точная установка/min/max","refs":"CORE-079","removal":"EXPIRY_OR_REMOVE","schemaStatus":"DEFINED","semantics":"Применяется после ± и ×/÷","stacking":"SPECIFICITY_THEN_RESTRICTIVE","stateWrites":"modifierComponents","timerPolicy":"SOURCE_SPECIFIC_OR_EXPLICIT"}</t>
  </si>
  <si>
    <t xml:space="preserve">0aad123bc009c694e543415d68b69132d2eb4458da357fdcd66145dbeb0807ea</t>
  </si>
  <si>
    <t xml:space="preserve">PAY-058</t>
  </si>
  <si>
    <t xml:space="preserve">{"automation":"AUTOMATED","bucket":"currentEffects","family":"FAM-CHECK_MODIFIER","id":"EFF-CHECK-TEMP_MOD","name":"Временный модификатор проверки","refs":"CORE-067–072","removal":"EXPIRY","schemaStatus":"DEFINED","semantics":"Применяется только к явно подходящим проверкам","stacking":"SOURCE_SPECIFIC","stateWrites":"checkModifier","timerPolicy":"SOURCE_SPECIFIC_OR_EXPLICIT"}</t>
  </si>
  <si>
    <t xml:space="preserve">03b9b7645d08776e74c56f70bb0632cc22c629af15c7dd91a9fda2a78da7fb2a</t>
  </si>
  <si>
    <t xml:space="preserve">PAY-059</t>
  </si>
  <si>
    <t xml:space="preserve">{"automation":"AUTOMATED","bucket":"currentEffects","family":"FAM-CHECK_MODIFIER","id":"EFF-CHECK-NEXT","name":"Модификатор следующей проверки","refs":"CORE-059; CORE-069; MON-159","removal":"MATCHING_CHECK_OR_EXPIRY","schemaStatus":"DEFINED","semantics":"Не расходуется неподходящей проверкой","stacking":"CONSUME_ON_MATCH","stateWrites":"consumeCondition","timerPolicy":"SOURCE_SPECIFIC_OR_EXPLICIT"}</t>
  </si>
  <si>
    <t xml:space="preserve">4d3df6db9e867f6d1dd93cd6de26aadd09c06f51a01408e554d32ba16672ec61</t>
  </si>
  <si>
    <t xml:space="preserve">PAY-060</t>
  </si>
  <si>
    <t xml:space="preserve">{"automation":"AUTOMATED","bucket":"currentEffects","family":"FAM-SENSE_VISIBILITY","id":"EFF-SENSE-NIGHT_VISION","name":"Ночное зрение","refs":"CORE-066","removal":"EXPIRY","schemaStatus":"DEFINED","semantics":"Видеть в темноте как днём; повтор обновляет срок","stacking":"REFRESH_SAME_DRUG","stateWrites":"currentEffects[]","timerPolicy":"SOURCE_SPECIFIC_OR_EXPLICIT"}</t>
  </si>
  <si>
    <t xml:space="preserve">b7bce8e4abb031911d1bda369b2c4d1bc513351169217bc334b9ce66fdef5870</t>
  </si>
  <si>
    <t xml:space="preserve">PAY-061</t>
  </si>
  <si>
    <t xml:space="preserve">{"automation":"AUTOMATED","bucket":"currentEffects","family":"FAM-SENSE_VISIBILITY","id":"EFF-SENSE-CAMOUFLAGE","name":"Маскировка","refs":"SYM-124; SYM-127; SYM-184","removal":"SOURCE_CONDITION_OR_EXPIRY","schemaStatus":"DEFINED","semantics":"Хамелеон: численно действует наибольший по модулю штраф","stacking":"STRONGEST_MAGNITUDE_TIMERS_INDEPENDENT","stateWrites":"currentEffects[]","timerPolicy":"SOURCE_SPECIFIC_OR_EXPLICIT"}</t>
  </si>
  <si>
    <t xml:space="preserve">a6cc144224e2297c1bc6e35985b105bfffd050b6c3addc01f361851672fe88f3</t>
  </si>
  <si>
    <t xml:space="preserve">PAY-062</t>
  </si>
  <si>
    <t xml:space="preserve">{"automation":"SOURCE_SPECIFIC","bucket":"currentEffects","family":"FAM-SENSE_VISIBILITY","id":"EFF-SENSE-REVEALED","name":"Раскрыт / обнаружен","refs":"SYM-113; SYM-127","removal":"SOURCE_SPECIFIC","schemaStatus":"DEFINED","semantics":"Не универсальный антимодификатор; задаётся конкретным источником","stacking":"SOURCE_SPECIFIC","stateWrites":"currentEffects[]","timerPolicy":"SOURCE_SPECIFIC_OR_EXPLICIT"}</t>
  </si>
  <si>
    <t xml:space="preserve">4d60ad1b06fe776f538917844d93156b067cdff93a76f17a2534f5df3205af9b</t>
  </si>
  <si>
    <t xml:space="preserve">PAY-063</t>
  </si>
  <si>
    <t xml:space="preserve">{"automation":"NOT_MODELED","bucket":"none","family":"FAM-SENSE_VISIBILITY","id":"EFF-SENSE-BLINDNESS","name":"Слепота (не моделируется приложением)","refs":"CORE-143; Q-CORE-045; Author decision 2026-07-31","removal":"NOT_APPLICABLE","schemaStatus":"EXCLUDED_FROM_RUNTIME","semantics":"Приложение не создаёт, не хранит и не отображает слепоту; выдавливание глаз и иные причины потери зрения не моделируются","stacking":"NONE","stateWrites":"NONE","timerPolicy":"NOT_APPLICABLE"}</t>
  </si>
  <si>
    <t xml:space="preserve">b8c2a429886b9c33bda205a1a6da5c9ad6b5c32c0b8a7cd5cc00f80a2b5c98c4</t>
  </si>
  <si>
    <t xml:space="preserve">PAY-064</t>
  </si>
  <si>
    <t xml:space="preserve">{"automation":"AUTOMATED","bucket":"currentEffects","family":"FAM-FORM_MODE","id":"EFF-FORM-FLIGHT","name":"Полёт","refs":"SYM-091; SYM-114; CQA-002","removal":"SOURCE_INVALIDATION_OR_COMMAND","schemaStatus":"DEFINED","semantics":"Поддерживаемая форма заканчивается при недееспособности/источнике по частной карточке","stacking":"PER_SOURCE","stateWrites":"currentEffects[]","timerPolicy":"SOURCE_SPECIFIC_OR_EXPLICIT"}</t>
  </si>
  <si>
    <t xml:space="preserve">ba464561815ecec86afb33f764e9d4084b2bbd89e2545939676baf09f00d2299</t>
  </si>
  <si>
    <t xml:space="preserve">PAY-065</t>
  </si>
  <si>
    <t xml:space="preserve">{"automation":"AUTOMATED","bucket":"currentEffects","family":"FAM-FORM_MODE","id":"EFF-FORM-STONE_STATUE","name":"Каменная статуя","refs":"SYM-169","removal":"COMMAND","schemaStatus":"DEFINED","semantics":"Телесные действия запрещены; броня и горение работают; иные периодические эффекты приостановлены без накопления","stacking":"SINGLETON_SOURCE","stateWrites":"currentEffects[]","timerPolicy":"SOURCE_SPECIFIC_OR_EXPLICIT"}</t>
  </si>
  <si>
    <t xml:space="preserve">98e76ac54393ee17244093aa9e0300d71afdd98859e7ee9b8c5d749b2d997952</t>
  </si>
  <si>
    <t xml:space="preserve">PAY-066</t>
  </si>
  <si>
    <t xml:space="preserve">{"automation":"SOURCE_SPECIFIC","bucket":"currentEffects","family":"FAM-FORM_MODE","id":"EFF-FORM-STANCE","name":"Стойка/режим","refs":"SYM-173; MON-023","removal":"COMMAND_OR_SOURCE","schemaStatus":"DEFINED","semantics":"Условия совместимости определяет источник","stacking":"SOURCE_SPECIFIC_EXCLUSIVE","stateWrites":"currentEffects[]","timerPolicy":"SOURCE_SPECIFIC_OR_EXPLICIT"}</t>
  </si>
  <si>
    <t xml:space="preserve">3b670c537fcd9b37626fd191ca8b4a1636ea7ee5556042dfd18723f721b59422</t>
  </si>
  <si>
    <t xml:space="preserve">PAY-067</t>
  </si>
  <si>
    <t xml:space="preserve">{"automation":"AUTOMATED","bucket":"symbiontInstance","family":"FAM-SYMBIONT_STATE","id":"EFF-SYMBIONT-DISABLED","name":"Симбионт отключён","refs":"CORE-104","removal":"SOURCE_SPECIFIC","schemaStatus":"DEFINED","semantics":"Нет активных/пассивных механик и XP; анатомия физически остаётся","stacking":"PER_SYMBIONT","stateWrites":"symbiont.disabled","timerPolicy":"SOURCE_SPECIFIC_OR_EXPLICIT"}</t>
  </si>
  <si>
    <t xml:space="preserve">7bc5053053d462a99ad24206ac15e08325600496fa4dc6230a7623052604e152</t>
  </si>
  <si>
    <t xml:space="preserve">PAY-068</t>
  </si>
  <si>
    <t xml:space="preserve">{"automation":"AUTOMATED","bucket":"symbiontInstance","family":"FAM-SYMBIONT_STATE","id":"EFF-SYMBIONT-SUPPRESSED","name":"Симбионт подавлен","refs":"SYM-038; SYM-047; SYM-075","removal":"RELATION_END","schemaStatus":"DEFINED","semantics":"Локальные исключения Тайпана, Пингвина и Хамелеона имеют приоритет","stacking":"PER_RELATION","stateWrites":"symbiont.effectsEnabled","timerPolicy":"SOURCE_SPECIFIC_OR_EXPLICIT"}</t>
  </si>
  <si>
    <t xml:space="preserve">0b012e0a10f143833095b4a938dcd044c87808918ac0a2b12966d5532b375acc</t>
  </si>
  <si>
    <t xml:space="preserve">PAY-069</t>
  </si>
  <si>
    <t xml:space="preserve">{"automation":"AUTOMATED","bucket":"initialRuntimeState","family":"FAM-SYMBIONT_STATE","id":"EFF-SYMBIONT-POISON_MODE","name":"Активный тип яда","refs":"SYM-181","removal":"SWITCH_COMPLETE","schemaStatus":"DEFINED","semantics":"Старый тип остаётся до завершения переключения","stacking":"ONE_ACTIVE_MODE","stateWrites":"activePoisonType","timerPolicy":"SOURCE_SPECIFIC_OR_EXPLICIT"}</t>
  </si>
  <si>
    <t xml:space="preserve">dfced8a9898113920f1ac99bab11aee754323efa610768082e78e499dbf84589</t>
  </si>
  <si>
    <t xml:space="preserve">PAY-070</t>
  </si>
  <si>
    <t xml:space="preserve">{"automation":"AUTOMATED","bucket":"responseProfiles","family":"FAM-IMMUNITY_RESISTANCE","id":"EFF-RESPONSE-IMMUNITY","name":"Иммунитет","refs":"CORE-228; CQA-050","removal":"SOURCE_INVALIDATION","schemaStatus":"DEFINED","semantics":"Полная неуязвимость может отклонить цель или payload до броска","stacking":"MOST_SPECIFIC","stateWrites":"EffectResponse","timerPolicy":"SOURCE_SPECIFIC_OR_EXPLICIT"}</t>
  </si>
  <si>
    <t xml:space="preserve">b23eb85d15eebcd202f2c73d284da49b30121c857d1e60f67ed2f87be579b494</t>
  </si>
  <si>
    <t xml:space="preserve">PAY-071</t>
  </si>
  <si>
    <t xml:space="preserve">{"automation":"AUTOMATED","bucket":"responseProfiles","family":"FAM-IMMUNITY_RESISTANCE","id":"EFF-RESPONSE-RESISTANCE","name":"Числовое сопротивление","refs":"CORE-072; CQA-050","removal":"SOURCE_INVALIDATION","schemaStatus":"DEFINED","semantics":"Модифицирует существующую проверку; не создаёт новую","stacking":"SOURCE_SPECIFIC_SUM","stateWrites":"EffectResponse","timerPolicy":"SOURCE_SPECIFIC_OR_EXPLICIT"}</t>
  </si>
  <si>
    <t xml:space="preserve">90a6742b86c7939276eef1779cdd702ac0af8dbd2664abd74e82302a1680df6d</t>
  </si>
  <si>
    <t xml:space="preserve">PAY-072</t>
  </si>
  <si>
    <t xml:space="preserve">{"automation":"AUTOMATED","bucket":"currentEffects","family":"FAM-LIFECYCLE","id":"EFF-PROTECTION-SEVERE_WOUND","name":"Предотвращение тяжёлого ранения","refs":"SYM-030; MON-008; CORE-182","removal":"CONSUME_ON_TRIGGER","schemaStatus":"DEFINED","semantics":"Исполняется по порядку CORE-182; только первый применимый источник расходуется","stacking":"PRIORITY_CONSUMABLE","stateWrites":"preparedProtection","timerPolicy":"SOURCE_SPECIFIC_OR_EXPLICIT"}</t>
  </si>
  <si>
    <t xml:space="preserve">f9abaf987ab2458317df82883015b9e33d08f365d5de89c6289f414cc4268161</t>
  </si>
  <si>
    <t xml:space="preserve">PAY-073</t>
  </si>
  <si>
    <t xml:space="preserve">{"automation":"AUTOMATED","bucket":"currentEffects","family":"FAM-LIFECYCLE","id":"EFF-CAPABILITY-SEVERE_WOUND","name":"Дееспособность в тяжёлом ранении","refs":"CORE-154; SYM-028; CORE-069","removal":"SOURCE_END","schemaStatus":"DEFINED","semantics":"Не отменяет добивание новым уроном","stacking":"BOOLEAN_BY_ANY_ACTIVE_SOURCE","stateWrites":"capabilityOverride","timerPolicy":"SOURCE_SPECIFIC_OR_EXPLICIT"}</t>
  </si>
  <si>
    <t xml:space="preserve">59a4cc7f0c2dc7ad7482f9e516dd06e551389c7b6a4499dfbc805e6475692ca5</t>
  </si>
  <si>
    <t xml:space="preserve">PAY-074</t>
  </si>
  <si>
    <t xml:space="preserve">{"automation":"MIXED","bucket":"sourceGraph","family":"FAM-INFECTION","id":"EFF-INFECTION-LINK","name":"Связь заражения","refs":"MON-042–063","removal":"CURE_OR_SOURCE_RULE","schemaStatus":"DEFINED","semantics":"Отдельна от болезни и яда","stacking":"SOURCE_SPECIFIC_LIMIT","stateWrites":"infectedTargets","timerPolicy":"SOURCE_SPECIFIC_OR_EXPLICIT"}</t>
  </si>
  <si>
    <t xml:space="preserve">2b272af1d12cb09dfed893687038c985e2ee381b9cd00d04ab8c1a4a2024c3a3</t>
  </si>
  <si>
    <t xml:space="preserve">PAY-075</t>
  </si>
  <si>
    <t xml:space="preserve">{"automation":"AUTOMATED_WITH_GAP","bucket":"activeCoatings","family":"FAM-PREPARED_EFFECT","id":"EFF-PREPARED-COATING","name":"Покрытие предмета","refs":"SYM-068; SYM-183","removal":"CONSUME_OR_EXPIRY","schemaStatus":"PARTIAL","semantics":"Промах не расходует яд Тайпана; слюна имеет собственный срок","stacking":"MULTIPLE_POLICY_UNRESOLVED","stateWrites":"activeCoatings[]","timerPolicy":"SOURCE_SPECIFIC_OR_EXPLICIT"}</t>
  </si>
  <si>
    <t xml:space="preserve">7fc1aa2b786576132c11e799b7ac52ba247dcfc8d919249f6c065b40f5be299d</t>
  </si>
  <si>
    <t xml:space="preserve">PAY-076</t>
  </si>
  <si>
    <t xml:space="preserve">{"automation":"AUTOMATED","bucket":"currentEffects","family":"FAM-PREPARED_EFFECT","id":"EFF-PREPARED-REACTION","name":"Подготовленная реакция","refs":"CORE-048; MON-036","removal":"TRIGGER_OR_EXPIRY","schemaStatus":"DEFINED","semantics":"Одноразовое окно и потребление определяет источник","stacking":"PER_SOURCE","stateWrites":"preparedReaction","timerPolicy":"SOURCE_SPECIFIC_OR_EXPLICIT"}</t>
  </si>
  <si>
    <t xml:space="preserve">b98e11b060f83947a653d0174d475cf575fb2235061553af13d36ec01e5bbdb7</t>
  </si>
  <si>
    <t xml:space="preserve">PAY-077</t>
  </si>
  <si>
    <t xml:space="preserve">{"automation":"AUTOMATED","bucket":"currentEffects","family":"FAM-PREPARED_EFFECT","id":"EFF-PREPARED-DETONATION","name":"Запущенная детонация","refs":"MON-114–115","removal":"SPECIAL_NEUTRALIZATION_OR_TRIGGER","schemaStatus":"DEFINED","semantics":"Бессознательность, паралич и смерть Огненной блохи не отменяют","stacking":"SINGLETON_SOURCE","stateWrites":"detonationState","timerPolicy":"SOURCE_SPECIFIC_OR_EXPLICIT"}</t>
  </si>
  <si>
    <t xml:space="preserve">e470b9a51e0a1f0ee61060774edb601faa21af383a3e700ac850c3bf8e07fc15</t>
  </si>
  <si>
    <t xml:space="preserve">PAY-078</t>
  </si>
  <si>
    <t xml:space="preserve">{"automation":"SOURCE_SPECIFIC","bucket":"relationGraph","family":"FAM-SOURCE_LINK","id":"EFF-SOURCE-AURA","name":"Аура/область источника","refs":"CQA-002","removal":"SOURCE_INVALIDATION","schemaStatus":"DEFINED","semantics":"Поддерживаемая область заканчивается при потере источника, если не стала автономной","stacking":"PER_SOURCE","stateWrites":"sourceLink","timerPolicy":"SOURCE_SPECIFIC_OR_EXPLICIT"}</t>
  </si>
  <si>
    <t xml:space="preserve">d6c3479d310fc1ee18721cbe9338a28d6924289dd84b86ce25d5d5d0368e8cde</t>
  </si>
  <si>
    <t xml:space="preserve">PAY-079</t>
  </si>
  <si>
    <t xml:space="preserve">{"automation":"AUTOMATED","bucket":"relationGraph","family":"FAM-SOURCE_LINK","id":"EFF-SOURCE-TETHER","name":"Трос/связь","refs":"CQA-023; SYM-107","removal":"BREAK_OR_SOURCE_INVALIDATION","schemaStatus":"DEFINED","semantics":"Позиционные ограничения и жизненный цикл задаёт конкретная связь","stacking":"PER_SOURCE_TARGET","stateWrites":"sourceLink","timerPolicy":"SOURCE_SPECIFIC_OR_EXPLICIT"}</t>
  </si>
  <si>
    <t xml:space="preserve">5f2b5b0ee7713051c74e82fb0b4c9a59b19388fe42224ad97397b87ddb04dc9d</t>
  </si>
  <si>
    <t xml:space="preserve">PAY-080</t>
  </si>
  <si>
    <t xml:space="preserve">{"automation":"AUTOMATED","bucket":"itemInstance","family":"FAM-ITEM_STATE","id":"EFF-ITEM-SEALED","name":"Герметичность Нэйта","refs":"CORE-053","removal":"BREAK_SEAL","schemaStatus":"DEFINED","semantics":"Блокирует только определённые внешние/вдыхаемые воздействия; уже активные не очищает","stacking":"PER_ITEM","stateWrites":"item.sealed","timerPolicy":"SOURCE_SPECIFIC_OR_EXPLICIT"}</t>
  </si>
  <si>
    <t xml:space="preserve">e003360041d08cd936c1a9bf8fcad1ec0b2be3a0bbd33e76a0877c008c8ba93d</t>
  </si>
  <si>
    <t xml:space="preserve">PAY-081</t>
  </si>
  <si>
    <t xml:space="preserve">{"automation":"AUTOMATED_WITH_SCHEMA_GAP","bucket":"currentEffects","family":"FAM-ITEM_STATE","id":"EFF-ITEM-CORROSION_COUNTER","name":"Счётчик коррозии","refs":"MON-100","removal":"EXIT_SOURCE_AREA","schemaStatus":"PARTIAL","semantics":"В слизи Вивисектора: +1 в конце хода; при первом достижении 2 уничтожается допустимый предмет","stacking":"PER_SOURCE_TARGET","stateWrites":"corrosionCounter","timerPolicy":"SOURCE_SPECIFIC_OR_EXPLICIT"}</t>
  </si>
  <si>
    <t xml:space="preserve">08529b1e31d50903c0100ebdc538f29910e97b3e633b75410dd10576811a2c48</t>
  </si>
  <si>
    <t xml:space="preserve">PAY-082</t>
  </si>
  <si>
    <t xml:space="preserve">{"automation":"AUTOMATED","bucket":"currentEffects","family":"FAM-POISON","id":"EFF-POISON-FAIL_COUNTER","name":"Счётчик провалов яда","refs":"MON-150","removal":"SUCCESS_RESET","schemaStatus":"DEFINED","semantics":"Счётчик отдельный для пары sourceId+targetId; успех сбрасывает только счётчик этого источника","stacking":"PER_SOURCE_TARGET","stateWrites":"poisonFailCounter","timerPolicy":"SOURCE_SPECIFIC_OR_EXPLICIT"}</t>
  </si>
  <si>
    <t xml:space="preserve">b84650543832ae6ccd782a7dfe01dc754184ef25edcfc01d113f95d5c2c79af9</t>
  </si>
  <si>
    <t xml:space="preserve">PAY-083</t>
  </si>
  <si>
    <t xml:space="preserve">{"automation":"AUTOMATED","bucket":"currentWounds","family":"FAM-CHECK_MODIFIER","id":"EFF-PREVENT-DISEASE-NEXT_WOUND","name":"Профилактика болезни через рану","refs":"CORE-059","removal":"CONSUME_NEXT_ATTEMPT","schemaStatus":"DEFINED","semantics":"−10 к следующей попытке болезни через выбранную формализованную рану; затем расходуется","stacking":"PER_WOUND_SINGLE_USE","stateWrites":"wound.prevention","timerPolicy":"SOURCE_SPECIFIC_OR_EXPLICIT"}</t>
  </si>
  <si>
    <t xml:space="preserve">e6c28b5cbbdf7d5843305770e4518d0621df40acd0e627416481f74076936594</t>
  </si>
  <si>
    <t xml:space="preserve">PAY-084</t>
  </si>
  <si>
    <t xml:space="preserve">{"automation":"AUTOMATED","bucket":"consumptionHistory","family":"FAM-PREPARED_EFFECT","id":"EFF-DOSE-COOLDOWN","name":"Скользящий лимит доз","refs":"CORE-058","removal":"SLIDING_24H","schemaStatus":"DEFINED","semantics":"Одна фармацевтика за личный боевой ход; лимиты по препарату","stacking":"PER_ITEM_TYPE","stateWrites":"consumptionHistory","timerPolicy":"SOURCE_SPECIFIC_OR_EXPLICIT"}</t>
  </si>
  <si>
    <t xml:space="preserve">96fac457770060e4c666db7128aae33402efbc185354b8928658723de0ce1c5d</t>
  </si>
  <si>
    <t xml:space="preserve">PAY-085</t>
  </si>
  <si>
    <t xml:space="preserve">{"automation":"TRACE_ONLY","bucket":"currentEffects","family":"FAM-STAT_MODIFIER","id":"EFF-FATIGUE","name":"Усталость","refs":"CORE-002–003","removal":"UNDEFINED","schemaStatus":"DEFINED","semantics":"CORE-002/003 не автоматизируются","stacking":"UNDEFINED","stateWrites":"currentEffects[]","timerPolicy":"SOURCE_SPECIFIC_OR_EXPLICIT"}</t>
  </si>
  <si>
    <t xml:space="preserve">733163fb7be5181fbe444cd7a21078a58aeb8006190c63c16b73bab00649e9fc</t>
  </si>
  <si>
    <t xml:space="preserve">PAY-086</t>
  </si>
  <si>
    <t xml:space="preserve">{"automation":"ORPHANED","bucket":"currentEffects","family":"FAM-STAT_MODIFIER","id":"EFF-EXHAUSTION","name":"Истощение","refs":"MON-104","removal":"UNDEFINED","schemaStatus":"DEFINED","semantics":"Существует ответ MON-104, но активной общей механики нет","stacking":"UNDEFINED","stateWrites":"currentEffects[]","timerPolicy":"SOURCE_SPECIFIC_OR_EXPLICIT"}</t>
  </si>
  <si>
    <t xml:space="preserve">ca13cad635a2ad08a8b565e3d827eff1d9f3fb9744173baebbbfe2bfdd693446</t>
  </si>
  <si>
    <t xml:space="preserve">PAY-087</t>
  </si>
  <si>
    <t xml:space="preserve">{"automation":"NARRATIVE_ONLY","bucket":"narrativeMarkers","family":"FAM-NARRATIVE","id":"EFF-NARRATIVE-MARKER","name":"Сюжетная пометка","refs":"AQ2-009; AQA-045","removal":"GM_EDIT_OR_DELETE","schemaStatus":"DEFINED","semantics":"Никогда не меняет механику","stacking":"PER_MARKER","stateWrites":"narrativeMarkers[]","timerPolicy":"SOURCE_SPECIFIC_OR_EXPLICIT"}</t>
  </si>
  <si>
    <t xml:space="preserve">d7e0c3e64fdccb17c294c395c61d781f6cc3f0c811739627b80a162656aaed97</t>
  </si>
  <si>
    <t xml:space="preserve">PAY-088</t>
  </si>
  <si>
    <t xml:space="preserve">{"automation":"REGISTRY_SCHEMA","bucket":"currentEffects","family":"FAM-DISEASE","id":"EFF-DISEASE-INSTANCE","name":"Экземпляр болезни","refs":"MON-085; CQA-060","removal":"GM_REMOVE","schemaStatus":"DEFINED","semantics":"Модификаторы болезни изменяют effectiveStat без нижней границы; при effectiveStat+effectiveZ&lt;1 применяется MON-075","stacking":"NO_STACK_BY_DISEASE_ID","stateWrites":"EffectInstance.payload.diseaseId","timerPolicy":"SOURCE_SPECIFIC_OR_EXPLICIT"}</t>
  </si>
  <si>
    <t xml:space="preserve">52d84b004e8407a73ba5ffe1ee80ce014cdfe73d41a4c780eac7f5ed60623a9e</t>
  </si>
  <si>
    <t xml:space="preserve">PAY-089</t>
  </si>
  <si>
    <t xml:space="preserve">{"automation":"REGISTRY_SCHEMA","bucket":"currentEffects","family":"FAM-POISON","id":"EFF-POISON-INSTANCE","name":"Экземпляр яда","refs":"CORE-228","removal":"PROFILE_SPECIFIC","schemaStatus":"DEFINED","semantics":"Нормализованный контейнер poison payload","stacking":"POISON_PROFILE_SPECIFIC","stateWrites":"EffectInstance.payload.poisonProfileId","timerPolicy":"SOURCE_SPECIFIC_OR_EXPLICIT"}</t>
  </si>
  <si>
    <t xml:space="preserve">085c5248933fa23da604ca126c1701daf9a49ee8c701e474bfb27aa36536baa2</t>
  </si>
  <si>
    <t xml:space="preserve">PAY-090</t>
  </si>
  <si>
    <t xml:space="preserve">{"automation":"AUTOMATED_WITH_TARGET_FILTER","bucket":"currentEffects","family":"FAM-TRAUMA","id":"EFF-REGION-NUMBNESS","name":"Временное онемение конечности","refs":"MON-169; SYM-045","removal":"EXPIRY","schemaStatus":"DEFINED","semantics":"Гуманоид: случайная действующая конечность; негуманоид: вторичный паралич не создаётся, попадание и остальные последствия сохраняются. При травме той же зоны действует наиболее строгий числовой штраф; ограничения, сроки и снятие источников независимы","stacking":"PER_LIMB","stateWrites":"disabledRegion; DerivedStateProjection.regionPenaltyById","timerPolicy":"SOURCE_SPECIFIC_OR_EXPLICIT"}</t>
  </si>
  <si>
    <t xml:space="preserve">a0c6edf9f9d1f60a5249750061273f632f0d1bb50a0d8e9040061cd8f25673b3</t>
  </si>
  <si>
    <t xml:space="preserve">PAY-091</t>
  </si>
  <si>
    <t xml:space="preserve">{"automation":"AUTOMATED","bucket":"currentEffects","family":"FAM-ITEM_STATE","id":"EFF-EQUIPMENT-STUCK","name":"Застрявшее оружие","refs":"MON-129","removal":"ACTION_AND_CHECK","schemaStatus":"DEFINED","semantics":"Освобождение по конкретной карточке","stacking":"PER_ITEM_TARGET","stateWrites":"itemLink","timerPolicy":"SOURCE_SPECIFIC_OR_EXPLICIT"}</t>
  </si>
  <si>
    <t xml:space="preserve">8c7dbc05a26425aa769d20143f85a510e94b92a95f62718d3c501c1edd8d6e3d</t>
  </si>
  <si>
    <t xml:space="preserve">PAY-092</t>
  </si>
  <si>
    <t xml:space="preserve">DiseaseDefinition</t>
  </si>
  <si>
    <t xml:space="preserve">{"assignment":"GM_ASSIGN_REMOVE","checkModifiers":"{}","diseaseId":"DIS-POISONING","duration":"UNTIL_GM_REMOVE_OR_SPECIFIC_CURE","effectFamily":"DISEASE","isPoison":"false","name":"Отравление","notes":"Название не делает болезнь POISON","periodic":"NONE","refs":"MON-076","stacking":"NO_STACK_SAME_ID","statModifiers":"{\"S\":-2,\"M\":-2}","status":"ACTIVE","unconsciousProjection":"FOR_EACH_REDUCED_STAT_IF_EFFECTIVE_X_PLUS_EFFECTIVE_Z_LT_1"}</t>
  </si>
  <si>
    <t xml:space="preserve">076427825304f23dcd44f12b2193b371953426d5863467a2d708e8ac07c9382b</t>
  </si>
  <si>
    <t xml:space="preserve">PAY-093</t>
  </si>
  <si>
    <t xml:space="preserve">{"assignment":"GM_ASSIGN_REMOVE","checkModifiers":"{}","diseaseId":"DIS-RHINITIS","duration":"UNTIL_GM_REMOVE_OR_SPECIFIC_CURE","effectFamily":"DISEASE","isPoison":"false","name":"Насморк","notes":null,"periodic":"NONE","refs":"MON-077","stacking":"NO_STACK_SAME_ID","statModifiers":"{\"M\":-2}","status":"ACTIVE","unconsciousProjection":"FOR_EACH_REDUCED_STAT_IF_EFFECTIVE_X_PLUS_EFFECTIVE_Z_LT_1"}</t>
  </si>
  <si>
    <t xml:space="preserve">8ec142246636d903dd39621ac167e735702a478e0e9ccaec03a1438aed8f0989</t>
  </si>
  <si>
    <t xml:space="preserve">PAY-094</t>
  </si>
  <si>
    <t xml:space="preserve">{"assignment":"GM_ASSIGN_REMOVE","checkModifiers":"{}","diseaseId":"DIS-FEVER","duration":"UNTIL_GM_REMOVE_OR_SPECIFIC_CURE","effectFamily":"DISEASE","isPoison":"false","name":"Жар","notes":null,"periodic":"NONE","refs":"MON-078","stacking":"NO_STACK_SAME_ID","statModifiers":"{\"M\":-10}","status":"ACTIVE","unconsciousProjection":"FOR_EACH_REDUCED_STAT_IF_EFFECTIVE_X_PLUS_EFFECTIVE_Z_LT_1"}</t>
  </si>
  <si>
    <t xml:space="preserve">c1ba18f7c2dfc7645e96605e2e9959250a6764a41f898d27585870d29d1920f8</t>
  </si>
  <si>
    <t xml:space="preserve">PAY-095</t>
  </si>
  <si>
    <t xml:space="preserve">{"assignment":"GM_ASSIGN_REMOVE","checkModifiers":"{}","diseaseId":"DIS-SCABIES","duration":"UNTIL_GM_REMOVE_OR_SPECIFIC_CURE","effectFamily":"DISEASE","isPoison":"false","name":"Чесотка","notes":null,"periodic":"NONE","refs":"MON-079","stacking":"NO_STACK_SAME_ID","statModifiers":"{\"I\":-4,\"C\":-4,\"D\":-2}","status":"ACTIVE","unconsciousProjection":"FOR_EACH_REDUCED_STAT_IF_EFFECTIVE_X_PLUS_EFFECTIVE_Z_LT_1"}</t>
  </si>
  <si>
    <t xml:space="preserve">4083fdf8145bf601879c42530df0afc936e334dcdfb8d9c79571bd8107cc7f2a</t>
  </si>
  <si>
    <t xml:space="preserve">PAY-096</t>
  </si>
  <si>
    <t xml:space="preserve">{"assignment":"GM_ASSIGN_REMOVE","checkModifiers":"{}","diseaseId":"DIS-PNEUMONIA","duration":"UNTIL_GM_REMOVE_OR_SPECIFIC_CURE","effectFamily":"DISEASE","isPoison":"false","name":"Пневмония","notes":"Периодический урон явно разрешён","periodic":"HP_MINUS_10_EACH_FULL_DAY","refs":"MON-080; MON-087","stacking":"NO_STACK_SAME_ID","statModifiers":"{\"M\":-14,\"S\":-12,\"D\":-12}","status":"ACTIVE","unconsciousProjection":"FOR_EACH_REDUCED_STAT_IF_EFFECTIVE_X_PLUS_EFFECTIVE_Z_LT_1"}</t>
  </si>
  <si>
    <t xml:space="preserve">0e405376d5bec3ba9ca60558720d093ac424b58feb88a03ac3748c9e5ad7e5d1</t>
  </si>
  <si>
    <t xml:space="preserve">PAY-097</t>
  </si>
  <si>
    <t xml:space="preserve">{"assignment":"GM_ASSIGN_REMOVE","checkModifiers":"{}","diseaseId":"DIS-MIGRAINE","duration":"UNTIL_GM_REMOVE_OR_SPECIFIC_CURE","effectFamily":"DISEASE","isPoison":"false","name":"Мигрень","notes":null,"periodic":"NONE","refs":"MON-081","stacking":"NO_STACK_SAME_ID","statModifiers":"{\"I\":-6,\"C\":-2}","status":"ACTIVE","unconsciousProjection":"FOR_EACH_REDUCED_STAT_IF_EFFECTIVE_X_PLUS_EFFECTIVE_Z_LT_1"}</t>
  </si>
  <si>
    <t xml:space="preserve">62a888da211f1c5f25cdca253629eef0fda09ac17e11d7844aa4fd3c5d8cc5c0</t>
  </si>
  <si>
    <t xml:space="preserve">PAY-098</t>
  </si>
  <si>
    <t xml:space="preserve">{"assignment":"GM_ASSIGN_REMOVE","checkModifiers":"{\"STEALTH\":-5}","diseaseId":"DIS-FLATULENCE","duration":"UNTIL_GM_REMOVE_OR_SPECIFIC_CURE","effectFamily":"DISEASE","isPoison":"false","name":"Метеоризм","notes":null,"periodic":"NONE","refs":"MON-082","stacking":"NO_STACK_SAME_ID","statModifiers":"{\"C\":-5}","status":"ACTIVE","unconsciousProjection":"FOR_EACH_REDUCED_STAT_IF_EFFECTIVE_X_PLUS_EFFECTIVE_Z_LT_1"}</t>
  </si>
  <si>
    <t xml:space="preserve">947e7849c2c8e08935f0180e4ec943485fefadf51893319f76ecb6f80527829a</t>
  </si>
  <si>
    <t xml:space="preserve">PAY-099</t>
  </si>
  <si>
    <t xml:space="preserve">{"assignment":"GM_ASSIGN_REMOVE","checkModifiers":"{}","diseaseId":"DIS-SKIN_GROWTHS","duration":"UNTIL_GM_REMOVE_OR_SPECIFIC_CURE","effectFamily":"DISEASE","isPoison":"false","name":"Образования на коже","notes":null,"periodic":"NONE","refs":"MON-083","stacking":"NO_STACK_SAME_ID","statModifiers":"{\"C\":-6}","status":"ACTIVE","unconsciousProjection":"FOR_EACH_REDUCED_STAT_IF_EFFECTIVE_X_PLUS_EFFECTIVE_Z_LT_1"}</t>
  </si>
  <si>
    <t xml:space="preserve">17f7cea7a56fd70ddbfb9abd1908b436470f44180c9c528e757e82976102f340</t>
  </si>
  <si>
    <t xml:space="preserve">PAY-100</t>
  </si>
  <si>
    <t xml:space="preserve">{"assignment":"GM_ASSIGN_REMOVE","checkModifiers":"{}","diseaseId":"DIS-ITCHY_SKIN_GROWTHS","duration":"UNTIL_GM_REMOVE_OR_SPECIFIC_CURE","effectFamily":"DISEASE","isPoison":"false","name":"Чешущиеся образования на коже","notes":null,"periodic":"NONE","refs":"MON-084","stacking":"NO_STACK_SAME_ID","statModifiers":"{\"D\":-3,\"C\":-6}","status":"ACTIVE","unconsciousProjection":"FOR_EACH_REDUCED_STAT_IF_EFFECTIVE_X_PLUS_EFFECTIVE_Z_LT_1"}</t>
  </si>
  <si>
    <t xml:space="preserve">aba9a5d81b30b59379d17862e9d8c5e00d2b45d8954fa6a2cd0df3d008386ca2</t>
  </si>
  <si>
    <t xml:space="preserve">PAY-101</t>
  </si>
  <si>
    <t xml:space="preserve">{"assignment":"SOURCE_SPECIFIC_TREATMENT","checkModifiers":"{}","diseaseId":"DIS-PESTILENCE","duration":"SOURCE_RULE","effectFamily":"DISEASE","isPoison":"false","name":"Поветрие","notes":"Не автоматизируется; при любом S/D/M&lt;1 тяжёлая рана","periodic":"DAILY_DEGRADATION; FLOWER_ON_DEATH","refs":"MON-058–060","stacking":"SOURCE_SPECIFIC","statModifiers":"{\"S\":-3,\"D\":-3,\"M\":-3}","status":"TRACE_ONLY","unconsciousProjection":"FOR_EACH_REDUCED_STAT_IF_EFFECTIVE_X_PLUS_EFFECTIVE_Z_LT_1"}</t>
  </si>
  <si>
    <t xml:space="preserve">a64db20ccf58d7eb390bf15ba325382c44f01351c789693f794185b322f236c1</t>
  </si>
  <si>
    <t xml:space="preserve">PAY-102</t>
  </si>
  <si>
    <t xml:space="preserve">PoisonProfile</t>
  </si>
  <si>
    <t xml:space="preserve">{"blockedPayload":"damage,state,counter,secondary effects","effectFamily":"POISON","id":"POI-TAIPAN-DEADLY","immunityStage":"IMMUNE_BEFORE_ROLL","name":"Смертельный яд Тайпана","notes":"Первый тик в конце следующего хода цели; оружие даёт половину урона за тик","payload":"R20/5+L per turn; duration R20/2","payloadKind":"PERIODIC_DAMAGE","refs":"SYM-039","repeatPolicy":"REPLACE_STRENGTH_AND_DURATION_RESTART","sourceKind":"SYMBIOTIC","stackingKey":"TARGET"}</t>
  </si>
  <si>
    <t xml:space="preserve">b3b4a8382e2ac3161d250e88d557ab176e39501c5eeaafaac6983c7fae38c0df</t>
  </si>
  <si>
    <t xml:space="preserve">PAY-103</t>
  </si>
  <si>
    <t xml:space="preserve">{"blockedPayload":"absolute immunity: all; SYM-144: poison damage/control only","effectFamily":"POISON","id":"POI-TAIPAN-WEAKENING","immunityStage":"IMMUNE_BEFORE_ROLL","name":"Ослабляющий яд Тайпана","notes":"Ослабление характеристик SYM-042 не является уроном или контролем и проходит через SYM-144","payload":"K=max(0,R20+L−Z); S/D/M decrease, each not below 1; duration R20/2","payloadKind":"STAT_DEBUFF","refs":"SYM-042","repeatPolicy":"REPLACE_STRENGTH_AND_DURATION","sourceKind":"SYMBIOTIC","stackingKey":"TARGET"}</t>
  </si>
  <si>
    <t xml:space="preserve">5ecc2256c85744b28ad21d633155372964b7ad742e7b4537d0795042c3eae94d</t>
  </si>
  <si>
    <t xml:space="preserve">PAY-104</t>
  </si>
  <si>
    <t xml:space="preserve">{"blockedPayload":"damage,state,counter,secondary effects","effectFamily":"POISON","id":"POI-TAIPAN-PARALYTIC","immunityStage":"IMMUNE_BEFORE_ROLL","name":"Парализующий яд Тайпана","notes":"На негуманоида паралич не действует; попадание и остальные последствия сохраняются. При травме той же конечности применяется наиболее строгий числовой штраф; ограничения и снятие источников независимы","payload":"if R20+L&gt;Z: humanoid active limb; duration R20/3; nonhumanoid secondary paralysis skipped","payloadKind":"LIMB_DISABLE","refs":"SYM-045","repeatPolicy":"PER_DISTINCT_LIMB","sourceKind":"SYMBIOTIC","stackingKey":"TARGET_LIMB"}</t>
  </si>
  <si>
    <t xml:space="preserve">8fff05efa119c93b7f0af592e29ad59fedaa62a9a34e3d6970c161c28a73d9cc</t>
  </si>
  <si>
    <t xml:space="preserve">PAY-105</t>
  </si>
  <si>
    <t xml:space="preserve">{"blockedPayload":"damage,state,counter,secondary effects","effectFamily":"POISON","id":"POI-VIVISECTOR-ENTRY","immunityStage":"IMMUNE_BEFORE_ROLL","name":"Слизь Вивисектора при входе","notes":"Дублирующие описания не должны дать двойной урон","payload":"R12+8 once on entry","payloadKind":"DIRECT_POISON_DAMAGE","refs":"MON-098; MON-100","repeatPolicy":"ONE_EVENT_DEDUP","sourceKind":"CANONICAL","stackingKey":"SOURCE_TARGET_ENTRY"}</t>
  </si>
  <si>
    <t xml:space="preserve">7e3e6bd785a6edf103f95501dd2b0574f29ea47a665db6cf23f49ac390096788</t>
  </si>
  <si>
    <t xml:space="preserve">PAY-106</t>
  </si>
  <si>
    <t xml:space="preserve">{"blockedPayload":"damage,state,counter,secondary effects","effectFamily":"POISON","id":"POI-VIVISECTOR-FUMES","immunityStage":"IMMUNE_BEFORE_ROLL","name":"Ядовитые пары Вивисектора","notes":"По одной проверке на каждого Вивисектора в конце хода цели; источники разрешаются отдельно в стабильном порядке","payload":"end target turn in 6m; R20+Z vs R20+12; fail R12 damage","payloadKind":"POISON_DAMAGE_CHECK","refs":"MON-099","repeatPolicy":"PER_SOURCE_TARGET_TURN","sourceKind":"CANONICAL","stackingKey":"SOURCE_TARGET"}</t>
  </si>
  <si>
    <t xml:space="preserve">21a862ec380d34c0d098e11256ba74be4c6d0ed45bac834bcfeb0b569079f811</t>
  </si>
  <si>
    <t xml:space="preserve">PAY-107</t>
  </si>
  <si>
    <t xml:space="preserve">{"blockedPayload":"damage,state,counter,secondary effects","effectFamily":"POISON","id":"POI-SWADDLER-SEQUENCE","immunityStage":"IMMUNE_BEFORE_ROLL","name":"Яд Пеленальщицы","notes":"Счётчик отдельный для пары sourceId+targetId; успех сбрасывает только этот счётчик","payload":"first fail −2 next series; second consecutive fail paralysis 5 own turns","payloadKind":"FAIL_COUNTER_CONTROL","refs":"MON-150","repeatPolicy":"SUCCESS_RESETS; SECOND_REPLACES_FIRST","sourceKind":"CANONICAL","stackingKey":"SOURCE_TARGET"}</t>
  </si>
  <si>
    <t xml:space="preserve">0bf15c04306e7748103b1efa1d2631f0db3b5b330fd1a314128a0f759331ddb5</t>
  </si>
  <si>
    <t xml:space="preserve">PAY-108</t>
  </si>
  <si>
    <t xml:space="preserve">{"blockedPayload":"damage,state,counter,secondary effects","effectFamily":"POISON","id":"POI-FELIDA-NUMBING","immunityStage":"IMMUNE_BEFORE_ROLL","name":"Плевок Фелиды-Тайпана","notes":"Округление до ближайшего целого, ровно 0,5 вверх; положительная длительность минимум 1 ход. При травме той же конечности применяется наиболее строгий числовой штраф; ограничения и снятие источников независимы","payload":"R20+7&gt;Z; random active limb; duration round_half_up(R20/3), min 1","payloadKind":"LIMB_DISABLE","refs":"MON-169","repeatPolicy":"PER_LIMB","sourceKind":"CANONICAL","stackingKey":"TARGET_LIMB"}</t>
  </si>
  <si>
    <t xml:space="preserve">d01174f0bde8dc4eafbc722c3432e1e0fe151a022f3f713de3572c625c513b65</t>
  </si>
  <si>
    <t xml:space="preserve">PAY-109</t>
  </si>
  <si>
    <t xml:space="preserve">{"blockedPayload":"damage,state,counter,secondary effects","effectFamily":"POISON","id":"POI-FOOD_ALCOHOL","immunityStage":"IMMUNE_BEFORE_ROLL","name":"Пищевое/алкогольное отравление","notes":"Не смешивать с болезнью DIS-POISONING","payload":"By CORE-110","payloadKind":"SOURCE_SPECIFIC","refs":"CORE-110","repeatPolicy":"SOURCE_SPECIFIC","sourceKind":"ORDINARY","stackingKey":"TARGET"}</t>
  </si>
  <si>
    <t xml:space="preserve">cb96066b0da7b1eae5923cb3cccf11a6a167be725e5a8a948a148017522d0b2b</t>
  </si>
  <si>
    <t xml:space="preserve">PAY-110</t>
  </si>
  <si>
    <t xml:space="preserve">InjuryDefinition</t>
  </si>
  <si>
    <t xml:space="preserve">{"bucket":"currentTraumas","consequence":"DISABLED_IF_TOTAL_GT_6; SAME_REGION_APPLY_MOST_SEVERE_PENALTY","id":"TRM-LIMB","kind":"TRAUMA","name":"Травма конечности","notes":"Автоматического восстановления нет. При временном онемении той же конечности применяется наиболее строгий числовой штраф; ограничения объединяются, снятие одного состояния не снимает другое","payload":"injury=max(0,round_math(R12−Z/3))","recovery":"EXPLICIT_ABILITY_PROCEDURE_OR_GM","refs":"CORE-117; CORE-119","stacking":"ADDITIVE_SAME_LIMB","trigger":"R20+Z &lt; actualDamage"}</t>
  </si>
  <si>
    <t xml:space="preserve">ec8c556b11af333e51c18290f2d58115692c70197e2b9b54de729236f493a9d7</t>
  </si>
  <si>
    <t xml:space="preserve">PAY-111</t>
  </si>
  <si>
    <t xml:space="preserve">{"bucket":"currentTraumas","consequence":"SOURCE_SPECIFIC","id":"TRM-HEAD","kind":"TRAUMA","name":"Травма головы","notes":"Травма головы не создаёт слепоту: потеря зрения исключена из модели приложения","payload":"CORE-120","recovery":"EXPLICIT_ABILITY_PROCEDURE_OR_GM","refs":"CORE-117; CORE-120","stacking":"PER_EVENT","trigger":"R20+Z &lt; actualDamage"}</t>
  </si>
  <si>
    <t xml:space="preserve">cd9713c9b52df331980e953ee700e3c7ad315797a93e60a68e26da3e65027660</t>
  </si>
  <si>
    <t xml:space="preserve">PAY-112</t>
  </si>
  <si>
    <t xml:space="preserve">{"bucket":"currentTraumas","consequence":"NO_RECURSIVE_TRAUMA","id":"TRM-TORSO","kind":"TRAUMA","name":"Травма корпуса","notes":null,"payload":"one-time extra HP loss","recovery":"EXPLICIT_ABILITY_PROCEDURE_OR_GM","refs":"CORE-117; CORE-121","stacking":"PER_EVENT","trigger":"R20+Z &lt; actualDamage"}</t>
  </si>
  <si>
    <t xml:space="preserve">759ad7323ff382e49637e8de908ea122d7d225e94bd5fa447df244391777e2bd</t>
  </si>
  <si>
    <t xml:space="preserve">PAY-113</t>
  </si>
  <si>
    <t xml:space="preserve">{"bucket":"currentTraumas","consequence":"UNSUPPORTED_ANATOMY_POLICY","id":"TRM-MULTILIMB","kind":"TRAUMA","name":"Травма многоконечного существа","notes":"Не автоматизируется","payload":"not automated","recovery":"EXPLICIT_ABILITY_PROCEDURE_OR_GM","refs":"CORE-122–124","stacking":"TRACE_ONLY","trigger":"SOURCE_SPECIFIC"}</t>
  </si>
  <si>
    <t xml:space="preserve">3d3891ec1f2855d28e6cf681a94caff503719357abb9d2d4ce907a86b4315ba0</t>
  </si>
  <si>
    <t xml:space="preserve">PAY-114</t>
  </si>
  <si>
    <t xml:space="preserve">{"bucket":"actorFlags","consequence":"NEW_HP_LOSS_GT_0_CAUSES_DEATH","id":"WND-SEVERE","kind":"WOUND","name":"Тяжёлое ранение","notes":"Для обычных монстров одновременно unconscious","payload":"severeWound=true; death timer","recovery":"SOURCE_SPECIFIC","refs":"CORE-152–156; CORE-182","stacking":"SINGLETON","trigger":"HP reaches 0 after protections"}</t>
  </si>
  <si>
    <t xml:space="preserve">8debbf6448b7fca3c28a5b5e08d9b263fbca1bc5f894962d78006ee08c5be1a8</t>
  </si>
  <si>
    <t xml:space="preserve">PAY-115</t>
  </si>
  <si>
    <t xml:space="preserve">{"bucket":"currentEffects","consequence":"EXPIRE_TO_DEAD_OR_REANIMATE","id":"WND-DEATH_TIMER","kind":"WOUND_TIMER","name":"Таймер смерти","notes":"Дубль ×4 применяется один раз","payload":"D6 turns or D6×5m; exact remainder","recovery":"SOURCE_SPECIFIC","refs":"CORE-153","stacking":"SINGLETON","trigger":"severe wound created"}</t>
  </si>
  <si>
    <t xml:space="preserve">267b64db51b505252e4da4f675ccbde8c1e461f1d41756e1cc7609c3763d07c4</t>
  </si>
  <si>
    <t xml:space="preserve">PAY-116</t>
  </si>
  <si>
    <t xml:space="preserve">{"bucket":"currentWounds","consequence":"FORMAL_WOUND_FOR_TARGETED_TREATMENT","id":"WND-GENERIC","kind":"WOUND","name":"Рана","notes":"Автоматического заживления нет","payload":"one wound per event with regionId","recovery":"EXPLICIT_TREATMENT_OR_GM_ONLY","refs":"CORE-059","stacking":"PER_EVENT_AND_REGION","trigger":"SOURCE_HAS_CREATES_WOUND_OR_GM"}</t>
  </si>
  <si>
    <t xml:space="preserve">07d0f4e8d84d7cd1498b1ef10d87fc32339d5213b1bead6d62e961795b0eca27</t>
  </si>
  <si>
    <t xml:space="preserve">PAY-117</t>
  </si>
  <si>
    <t xml:space="preserve">{"bucket":"currentWounds","consequence":"CORE-063_REMOVES_ALL","id":"WND-BLEEDING","kind":"WOUND","name":"Кровотечение","notes":"Значение урона по умолчанию не вводится","payload":"damagePerTick; tick=end_of_target_turn","recovery":"CORE-063_OR_EXPLICIT_TREATMENT_OR_GM","refs":"CORE-063","stacking":"PER_WOUND_INSTANCE","trigger":"SOURCE_EXPLICIT_DAMAGE_PER_TICK"}</t>
  </si>
  <si>
    <t xml:space="preserve">48d2b505ffc973e4de1f319a2214c2f82d31d8bdce083ba65d1c8b8835458619</t>
  </si>
  <si>
    <t xml:space="preserve">PAY-118</t>
  </si>
  <si>
    <t xml:space="preserve">CombinationRule</t>
  </si>
  <si>
    <t xml:space="preserve">{"automation":"AUTOMATED","id":"COMB-001","left":"same effect name, numeric","leftFamily":"FAM-STAT_MODIFIER","outcome":"STRONGEST_MAGNITUDE_APPLIES; TIMERS_INDEPENDENT","precedence":"SPECIFIC_RULE_OVERRIDES_DEFAULT_COEXISTENCE","refs":"CORE-080","removalTransition":"После сильнейшего автоматически действует следующий активный","right":"same effect name, numeric","rightFamily":"FAM-STAT_MODIFIER","status":"DEFINED","timerStack":"STRONGEST_MAGNITUDE_APPLIES; TIMERS_INDEPENDENT"}</t>
  </si>
  <si>
    <t xml:space="preserve">d6857a93cda0924a0bef3df29796db27554f39da6710cd247d0561e80e2bb39f</t>
  </si>
  <si>
    <t xml:space="preserve">PAY-119</t>
  </si>
  <si>
    <t xml:space="preserve">{"automation":"AUTOMATED","id":"COMB-002","left":"same pharmaceutical effect","leftFamily":"FAM-PREPARED_EFFECT","outcome":"REFRESH_DURATION; DO_NOT_INCREASE_VALUE","precedence":"SPECIFIC_RULE_OVERRIDES_DEFAULT_COEXISTENCE","refs":"CORE-058","removalTransition":"Специальное правило сильнее общего стека","right":"repeat dose","rightFamily":"FAM-STAT_MODIFIER","status":"DEFINED","timerStack":"REFRESH_DURATION; DO_NOT_INCREASE_VALUE"}</t>
  </si>
  <si>
    <t xml:space="preserve">980bb1ee43ca47e3c9bc1dc903f8495f46ee023ad31386f904788819a262f369</t>
  </si>
  <si>
    <t xml:space="preserve">PAY-120</t>
  </si>
  <si>
    <t xml:space="preserve">{"automation":"AUTOMATED","id":"COMB-003","left":"same diseaseId","leftFamily":"FAM-DISEASE","outcome":"NO_DUPLICATE_PENALTIES","precedence":"SPECIFIC_RULE_OVERRIDES_DEFAULT_COEXISTENCE","refs":"MON-085","removalTransition":"Один экземпляр/один набор штрафов","right":"same diseaseId","rightFamily":"FAM-DISEASE","status":"DEFINED","timerStack":"NO_DUPLICATE_PENALTIES"}</t>
  </si>
  <si>
    <t xml:space="preserve">b1803577a3a3ed3698ecc0068760591fa9f388f37955c24adc70909292031dcb</t>
  </si>
  <si>
    <t xml:space="preserve">PAY-121</t>
  </si>
  <si>
    <t xml:space="preserve">{"automation":"AUTOMATED","id":"COMB-004","left":"different diseaseId","leftFamily":"FAM-DISEASE","outcome":"COEXIST; MODIFIERS_ADD","precedence":"SPECIFIC_RULE_OVERRIDES_DEFAULT_COEXISTENCE","refs":"MON-085","removalTransition":"Периодика каждой болезни остаётся собственной","right":"different diseaseId","rightFamily":"FAM-DISEASE","status":"DEFINED","timerStack":"COEXIST; MODIFIERS_ADD"}</t>
  </si>
  <si>
    <t xml:space="preserve">e48460cf041a9eb0cd649a2e8a42922c7aee201ac6a09e5b8bb192cea6e1937f</t>
  </si>
  <si>
    <t xml:space="preserve">PAY-122</t>
  </si>
  <si>
    <t xml:space="preserve">{"automation":"AUTOMATED","id":"COMB-005","left":"disease modifiers","leftFamily":"FAM-DISEASE","outcome":"APPLY_CORE_079_PIPELINE; RECALC_DERIVED_STATES","precedence":"SPECIFIC_RULE_OVERRIDES_DEFAULT_COEXISTENCE","refs":"CORE-079; MON-075","removalTransition":"Порог бессознательности проверяется после пересчёта","right":"other stat modifiers","rightFamily":"FAM-STAT_MODIFIER","status":"DEFINED","timerStack":"APPLY_CORE_079_PIPELINE; RECALC_DERIVED_STATES"}</t>
  </si>
  <si>
    <t xml:space="preserve">1e85de4cc02fa7da25422294710d403246684d26c950005db7bf838200413ee1</t>
  </si>
  <si>
    <t xml:space="preserve">PAY-123</t>
  </si>
  <si>
    <t xml:space="preserve">{"automation":"AUTOMATED","id":"COMB-006","left":"DIS-POISONING","leftFamily":"FAM-DISEASE","outcome":"DISEASE_REMAINS; NOT_A_POISON_WITHOUT_TAG","precedence":"SPECIFIC_RULE_OVERRIDES_DEFAULT_COEXISTENCE","refs":"CORE-228; MON-076","removalTransition":"Совпадение бытового названия не меняет effectFamily","right":"POISON immunity","rightFamily":"FAM-IMMUNITY_RESISTANCE","status":"DEFINED","timerStack":"DISEASE_REMAINS; NOT_A_POISON_WITHOUT_TAG"}</t>
  </si>
  <si>
    <t xml:space="preserve">6f95337426c8b2bcff6a7f93b5341e96c783b9522cc6d70657e4f68e8e7a563e</t>
  </si>
  <si>
    <t xml:space="preserve">PAY-124</t>
  </si>
  <si>
    <t xml:space="preserve">{"automation":"AUTOMATED","id":"COMB-007","left":"physical hit payload","leftFamily":"FAM-POISON","outcome":"KEEP_VALID_PHYSICAL_PAYLOAD; DROP_POISON_DAMAGE_STATE_COUNTER_SECONDARY","precedence":"SPECIFIC_RULE_OVERRIDES_DEFAULT_COEXISTENCE","refs":"CORE-228","removalTransition":"Иммунитет обрабатывается до бросков яда","right":"poison payload with absolute immunity","rightFamily":"FAM-IMMUNITY_RESISTANCE","status":"DEFINED","timerStack":"KEEP_VALID_PHYSICAL_PAYLOAD; DROP_POISON_DAMAGE_STATE_COUNTER_SECONDARY"}</t>
  </si>
  <si>
    <t xml:space="preserve">ee366b98d8874df70ce56aafdc1989c8ddd4445f553a9b334e0b6f9a787f0474</t>
  </si>
  <si>
    <t xml:space="preserve">PAY-125</t>
  </si>
  <si>
    <t xml:space="preserve">{"automation":"AUTOMATED","id":"COMB-008","left":"existing poison","leftFamily":"FAM-POISON","outcome":"NO_AUTOMATIC_CLEANSE_UNLESS_SOURCE_SAYS_SO","precedence":"SPECIFIC_RULE_OVERRIDES_DEFAULT_COEXISTENCE","refs":"CORE-228; CORE-080","removalTransition":"Иммунитет по умолчанию предотвращает наложение","right":"newly gained poison immunity","rightFamily":"FAM-IMMUNITY_RESISTANCE","status":"DEFINED","timerStack":"NO_AUTOMATIC_CLEANSE_UNLESS_SOURCE_SAYS_SO"}</t>
  </si>
  <si>
    <t xml:space="preserve">bf556baae4b4111f0ded2878bf696ed92c825698d51e2884740600685335c8bd</t>
  </si>
  <si>
    <t xml:space="preserve">PAY-126</t>
  </si>
  <si>
    <t xml:space="preserve">{"automation":"AUTOMATED","id":"COMB-009","left":"Taipan deadly/weakening poison","leftFamily":"FAM-POISON","outcome":"REPLACE_STRENGTH_AND_DURATION; RESTART_TIMER","precedence":"SPECIFIC_RULE_OVERRIDES_DEFAULT_COEXISTENCE","refs":"SYM-039; SYM-042","removalTransition":"Не складывать два пакета одного профиля","right":"same poison again","rightFamily":"FAM-POISON","status":"DEFINED","timerStack":"REPLACE_STRENGTH_AND_DURATION; RESTART_TIMER"}</t>
  </si>
  <si>
    <t xml:space="preserve">1c71ab96a1483ca865766899d7b386c2ef4d63a6ccd15a90c6f1f93d73f7ddbb</t>
  </si>
  <si>
    <t xml:space="preserve">PAY-127</t>
  </si>
  <si>
    <t xml:space="preserve">{"automation":"AUTOMATED","id":"COMB-010","left":"Taipan paralytic poison on limb A","leftFamily":"FAM-POISON","outcome":"COEXIST_PER_DISTINCT_LIMB","precedence":"SPECIFIC_RULE_OVERRIDES_DEFAULT_COEXISTENCE","refs":"SYM-045","removalTransition":"Уже онемевшая конечность исключается из выбора","right":"same profile on limb B","rightFamily":"FAM-TRAUMA","status":"DEFINED","timerStack":"COEXIST_PER_DISTINCT_LIMB"}</t>
  </si>
  <si>
    <t xml:space="preserve">3c76d721c77537322de5760f861c3912ca51aff04b3fcd57b896f4a1836ee6b5</t>
  </si>
  <si>
    <t xml:space="preserve">PAY-128</t>
  </si>
  <si>
    <t xml:space="preserve">{"automation":"AUTOMATED","id":"COMB-011","left":"Taipan suppressed/disabled","leftFamily":"FAM-SYMBIONT_STATE","outcome":"POISON_CONTINUES_TO_EXPIRY","precedence":"SPECIFIC_RULE_OVERRIDES_DEFAULT_COEXISTENCE","refs":"SYM-038; CQA-002","removalTransition":"Подавление прекращает производство, не автономный payload","right":"already injected poison","rightFamily":"FAM-POISON","status":"DEFINED","timerStack":"POISON_CONTINUES_TO_EXPIRY"}</t>
  </si>
  <si>
    <t xml:space="preserve">ea1b67d0b5986ab8d0327bf5eb9f3fefda2efb2988508e79215d72614c830ed3</t>
  </si>
  <si>
    <t xml:space="preserve">PAY-129</t>
  </si>
  <si>
    <t xml:space="preserve">{"automation":"AUTOMATED","id":"COMB-012","left":"burning","leftFamily":"FAM-FIRE","outcome":"ONE_BINARY_STATE; remaining=max(current,new); damagePerTick=max(current,new); NO_INSTANT_SECOND_TICK","precedence":"SPECIFIC_RULE_OVERRIDES_DEFAULT_COEXISTENCE","refs":"CORE-112","removalTransition":"Повторное горение не создаёт немедленный тик","right":"new burning","rightFamily":"FAM-FIRE","status":"DEFINED","timerStack":"ONE_BINARY_STATE; remaining=max(current,new); damagePerTick=max(current,new); NO_INSTANT_SECOND_TICK"}</t>
  </si>
  <si>
    <t xml:space="preserve">bf249b8881c21286ac6139706fce2018d2d542ff60c8f348899ac44f3731f2da</t>
  </si>
  <si>
    <t xml:space="preserve">PAY-130</t>
  </si>
  <si>
    <t xml:space="preserve">{"automation":"AUTOMATED","id":"COMB-013","left":"Fire Flea explosion damage","leftFamily":"FAM-FIRE","outcome":"KEEP_EXPLOSION_DAMAGE; BLOCK_STANDARD_BURN_ONLY","precedence":"SPECIFIC_RULE_OVERRIDES_DEFAULT_COEXISTENCE","refs":"MON-115","removalTransition":"Если иной источник прямо не даёт иммунитет самому взрыву","right":"fire/burn immunity","rightFamily":"FAM-IMMUNITY_RESISTANCE","status":"DEFINED","timerStack":"KEEP_EXPLOSION_DAMAGE; BLOCK_STANDARD_BURN_ONLY"}</t>
  </si>
  <si>
    <t xml:space="preserve">06f0b6e1674c97a4fd4ec41272e7c25bf9c4617545e14e2e971670605d791af1</t>
  </si>
  <si>
    <t xml:space="preserve">PAY-131</t>
  </si>
  <si>
    <t xml:space="preserve">{"automation":"AUTOMATED","id":"COMB-014","left":"burning","leftFamily":"FAM-FIRE","outcome":"COEXIST; AUTONOMOUS_BURN_TICKS_CONTINUE","precedence":"SPECIFIC_RULE_OVERRIDES_DEFAULT_COEXISTENCE","refs":"CORE-103; CQA-002","removalTransition":"Броня продолжает работать только там, где урон не игнорирует её","right":"unconscious","rightFamily":"FAM-CONSCIOUSNESS","status":"DEFINED","timerStack":"COEXIST; AUTONOMOUS_BURN_TICKS_CONTINUE"}</t>
  </si>
  <si>
    <t xml:space="preserve">34f616f7e87ddea8907be8478b0f9000f34a12208da278291f2d12f5a6227de3</t>
  </si>
  <si>
    <t xml:space="preserve">PAY-132</t>
  </si>
  <si>
    <t xml:space="preserve">{"automation":"AUTOMATED","id":"COMB-015","left":"burning","leftFamily":"FAM-FIRE","outcome":"BURNING_AND_DIRECT_DAMAGE_APPLY_NORMALLY","precedence":"SPECIFIC_RULE_OVERRIDES_DEFAULT_COEXISTENCE","refs":"SYM-169","removalTransition":"Иная периодика в статуе приостанавливается без накопления","right":"stone statue","rightFamily":"FAM-FORM_MODE","status":"DEFINED","timerStack":"BURNING_AND_DIRECT_DAMAGE_APPLY_NORMALLY"}</t>
  </si>
  <si>
    <t xml:space="preserve">08a3a6c1dec9fb02c72ee0f4ce4606de4389666407660367b497071e0c2f649b</t>
  </si>
  <si>
    <t xml:space="preserve">PAY-133</t>
  </si>
  <si>
    <t xml:space="preserve">{"automation":"AUTOMATED","id":"COMB-016","left":"pharmaceutical sleep","leftFamily":"FAM-CONSCIOUSNESS","outcome":"REMOVE_SLEEP_ONLY","precedence":"SPECIFIC_RULE_OVERRIDES_DEFAULT_COEXISTENCE","refs":"CORE-061","removalTransition":"Паралич и другие состояния не снимаются","right":"any actual damage","rightFamily":"FAM-PERIODIC_DAMAGE","status":"DEFINED","timerStack":"REMOVE_SLEEP_ONLY"}</t>
  </si>
  <si>
    <t xml:space="preserve">7d5e4a67eb6dd816f995f86b175fd46fa02a2ce29d4a389a6f5f8d708f7ca869</t>
  </si>
  <si>
    <t xml:space="preserve">PAY-134</t>
  </si>
  <si>
    <t xml:space="preserve">{"automation":"AUTOMATED","id":"COMB-017","left":"pharmaceutical paralysis","leftFamily":"FAM-PHYSICAL_CONTROL","outcome":"PARALYSIS_REMAINS","precedence":"SPECIFIC_RULE_OVERRIDES_DEFAULT_COEXISTENCE","refs":"CORE-062","removalTransition":"Снимается CORE-060 либо истечением","right":"damage","rightFamily":"FAM-PERIODIC_DAMAGE","status":"DEFINED","timerStack":"PARALYSIS_REMAINS"}</t>
  </si>
  <si>
    <t xml:space="preserve">a58d643f6dbfb11cf9823b766c6822f6726765a4c7dc9752155c795f2e7ea236</t>
  </si>
  <si>
    <t xml:space="preserve">PAY-135</t>
  </si>
  <si>
    <t xml:space="preserve">{"automation":"AUTOMATED","id":"COMB-018","left":"sleep","leftFamily":"FAM-CONSCIOUSNESS","outcome":"COEXIST; RESTRICTIONS_UNION","precedence":"SPECIFIC_RULE_OVERRIDES_DEFAULT_COEXISTENCE","refs":"CORE-061–062; CORE-103","removalTransition":"Пробуждение не снимает паралич","right":"paralysis","rightFamily":"FAM-PHYSICAL_CONTROL","status":"DEFINED","timerStack":"COEXIST; RESTRICTIONS_UNION"}</t>
  </si>
  <si>
    <t xml:space="preserve">6110746a0174e1a7250d732de88bd0fb0139f762379a35522b25b296a18cebc3</t>
  </si>
  <si>
    <t xml:space="preserve">PAY-136</t>
  </si>
  <si>
    <t xml:space="preserve">{"automation":"AUTOMATED","id":"COMB-019","left":"unconscious","leftFamily":"FAM-CONSCIOUSNESS","outcome":"COEXIST; RESTRICTIONS_UNION; ARMOR_REMAINS","precedence":"SPECIFIC_RULE_OVERRIDES_DEFAULT_COEXISTENCE","refs":"CORE-103","removalTransition":"Снятие одного состояния не снимает другое","right":"physical control","rightFamily":"FAM-PHYSICAL_CONTROL","status":"DEFINED","timerStack":"COEXIST; RESTRICTIONS_UNION; ARMOR_REMAINS"}</t>
  </si>
  <si>
    <t xml:space="preserve">b0564f5ba78ee7dbe14b45878ba8d1aa6644addb322ca4aabc66cc2db44e1bec</t>
  </si>
  <si>
    <t xml:space="preserve">PAY-137</t>
  </si>
  <si>
    <t xml:space="preserve">{"automation":"AUTOMATED","id":"COMB-020","left":"Advisor automatic control","leftFamily":"FAM-CONSCIOUSNESS","outcome":"ALLOWED_IF_BODY_PHYSICALLY_CAPABLE","precedence":"SPECIFIC_RULE_OVERRIDES_DEFAULT_COEXISTENCE","refs":"SYM-100; CORE-181","removalTransition":"Не действует при тяжёлом ранении, параличе, разрушении органов, полной иммобилизации","right":"unconscious/stunned/sleeping body","rightFamily":"FAM-MENTAL_CONTROL","status":"DEFINED","timerStack":"ALLOWED_IF_BODY_PHYSICALLY_CAPABLE"}</t>
  </si>
  <si>
    <t xml:space="preserve">e99424b6c3501e35bbbec1afe8fb54af6ed5b37b055dece0d38dae3da7acddc5</t>
  </si>
  <si>
    <t xml:space="preserve">PAY-138</t>
  </si>
  <si>
    <t xml:space="preserve">{"automation":"AUTOMATED","id":"COMB-021","left":"severe wound","leftFamily":"FAM-LIFECYCLE","outcome":"NO_EXIT_FROM_SEVERE_WOUND","precedence":"SPECIFIC_RULE_OVERRIDES_DEFAULT_COEXISTENCE","refs":"CORE-071; CORE-156","removalTransition":"Обычное лечение не реанимирует","right":"ordinary healing","rightFamily":"FAM-PERIODIC_HEAL","status":"DEFINED","timerStack":"NO_EXIT_FROM_SEVERE_WOUND"}</t>
  </si>
  <si>
    <t xml:space="preserve">18a4c53524c9ea5fcf2872f40f7a08d4c2c4182f3fe2fe64b2096ef71860ce6a</t>
  </si>
  <si>
    <t xml:space="preserve">PAY-139</t>
  </si>
  <si>
    <t xml:space="preserve">{"automation":"AUTOMATED","id":"COMB-022","left":"severe wound","leftFamily":"FAM-LIFECYCLE","outcome":"CLEAR_SEVERE_WOUND; HP=1; STOP_DEATH_TIMER","precedence":"SPECIFIC_RULE_OVERRIDES_DEFAULT_COEXISTENCE","refs":"CORE-060; CORE-156","removalTransition":"Окончательную смерть не отменяет","right":"CORE-060 reanimation","rightFamily":"FAM-PREPARED_EFFECT","status":"DEFINED","timerStack":"CLEAR_SEVERE_WOUND; HP=1; STOP_DEATH_TIMER"}</t>
  </si>
  <si>
    <t xml:space="preserve">0d9bf18e188cd4d3396028d8aed859b54babff7f3c1f82bf7763829e28c664cd</t>
  </si>
  <si>
    <t xml:space="preserve">PAY-140</t>
  </si>
  <si>
    <t xml:space="preserve">{"automation":"AUTOMATED","id":"COMB-023","left":"severe wound","leftFamily":"FAM-LIFECYCLE","outcome":"ALLOW_ACTIONS; MULTIPLY_ORIGINAL_TIMER_X4_ONCE","precedence":"SPECIFIC_RULE_OVERRIDES_DEFAULT_COEXISTENCE","refs":"CORE-154","removalTransition":"Окончание дубля не пересчитывает таймер обратно","right":"functional duplicate","rightFamily":"FAM-LIFECYCLE","status":"DEFINED","timerStack":"ALLOW_ACTIONS; MULTIPLY_ORIGINAL_TIMER_X4_ONCE"}</t>
  </si>
  <si>
    <t xml:space="preserve">953aa25eeb292927288f05ad9b548db50f64208f5f7ff56fbe2412505343384f</t>
  </si>
  <si>
    <t xml:space="preserve">PAY-141</t>
  </si>
  <si>
    <t xml:space="preserve">{"automation":"AUTOMATED","id":"COMB-024","left":"severe wound","leftFamily":"FAM-LIFECYCLE","outcome":"ALLOW_ACTIONS_UNTIL_COMBAT_END","precedence":"SPECIFIC_RULE_OVERRIDES_DEFAULT_COEXISTENCE","refs":"CORE-069","removalTransition":"Новый урон всё равно убивает","right":"explosive power tablet capability","rightFamily":"FAM-CHECK_MODIFIER","status":"DEFINED","timerStack":"ALLOW_ACTIONS_UNTIL_COMBAT_END"}</t>
  </si>
  <si>
    <t xml:space="preserve">bb2eefbc0076cec2adf2c113a6cf2b2597180b705cb3023acf9bb80a3954fa64</t>
  </si>
  <si>
    <t xml:space="preserve">PAY-142</t>
  </si>
  <si>
    <t xml:space="preserve">{"automation":"AUTOMATED","id":"COMB-025","left":"severe wound","leftFamily":"FAM-LIFECYCLE","outcome":"TRANSITION_TO_DEAD","precedence":"SPECIFIC_RULE_OVERRIDES_DEFAULT_COEXISTENCE","refs":"CORE-155","removalTransition":"Защиты применяются до определения фактической потери","right":"new actual HP loss &gt;0","rightFamily":"FAM-PERIODIC_DAMAGE","status":"DEFINED","timerStack":"TRANSITION_TO_DEAD"}</t>
  </si>
  <si>
    <t xml:space="preserve">9cf5077fa15a1bd5bbfb3edcf5970731a1b093db6bfa8a025cce313dbd2ed3df</t>
  </si>
  <si>
    <t xml:space="preserve">PAY-143</t>
  </si>
  <si>
    <t xml:space="preserve">{"automation":"AUTOMATED","id":"COMB-026","left":"dead","leftFamily":"FAM-LIFECYCLE","outcome":"DEAD_REMAINS_TERMINAL","precedence":"SPECIFIC_RULE_OVERRIDES_DEFAULT_COEXISTENCE","refs":"CORE-156; AQA-028","removalTransition":"Только явное воскрешение может создать переход","right":"ordinary heal/remove effect","rightFamily":"FAM-PERIODIC_HEAL","status":"DEFINED","timerStack":"DEAD_REMAINS_TERMINAL"}</t>
  </si>
  <si>
    <t xml:space="preserve">ce1bff0960f3c520c0281eaa219f36e71479a37f29a54259d5d84550dcc23c5b</t>
  </si>
  <si>
    <t xml:space="preserve">PAY-144</t>
  </si>
  <si>
    <t xml:space="preserve">{"automation":"AUTOMATED","id":"COMB-027","left":"Fire Flea detonation primed","leftFamily":"FAM-PREPARED_EFFECT","outcome":"DETONATION_CONTINUES","precedence":"SPECIFIC_RULE_OVERRIDES_DEFAULT_COEXISTENCE","refs":"MON-114–115; CORE-222","removalTransition":"Частное исключение сильнее обычного прекращения действий","right":"unconscious/paralyzed/dead source","rightFamily":"FAM-LIFECYCLE","status":"DEFINED","timerStack":"DETONATION_CONTINUES"}</t>
  </si>
  <si>
    <t xml:space="preserve">aab853c13726c98bdd97ceefa342ac29412f4e9e577a6638741bee2368506a41</t>
  </si>
  <si>
    <t xml:space="preserve">PAY-145</t>
  </si>
  <si>
    <t xml:space="preserve">{"automation":"AUTOMATED","id":"COMB-028","left":"dead","leftFamily":"FAM-LIFECYCLE","outcome":"CANCEL_REMAINING_PERSONAL_EVENTS; KEEP_DEATH_TRIGGERED_EVENTS","precedence":"SPECIFIC_RULE_OVERRIDES_DEFAULT_COEXISTENCE","refs":"AQA-024","removalTransition":"Стабильная транзакционная очередь","right":"pending personal ticks/recovery same mark","rightFamily":"FAM-PERIODIC_DAMAGE","status":"DEFINED","timerStack":"CANCEL_REMAINING_PERSONAL_EVENTS; KEEP_DEATH_TRIGGERED_EVENTS"}</t>
  </si>
  <si>
    <t xml:space="preserve">986d50024f9874966168b2f3a86b112a9930892cc9811380fb0b5d27fbd9502a</t>
  </si>
  <si>
    <t xml:space="preserve">PAY-146</t>
  </si>
  <si>
    <t xml:space="preserve">{"automation":"AUTOMATED","id":"COMB-029","left":"limb trauma","leftFamily":"FAM-TRAUMA","outcome":"ADD_TRAUMA_VALUES; DISABLE_IF_TOTAL_GT_6","precedence":"SPECIFIC_RULE_OVERRIDES_DEFAULT_COEXISTENCE","refs":"CORE-119","removalTransition":"Каждая отключённая конечность даёт один глобальный −5","right":"same limb trauma","rightFamily":"FAM-TRAUMA","status":"DEFINED","timerStack":"ADD_TRAUMA_VALUES; DISABLE_IF_TOTAL_GT_6"}</t>
  </si>
  <si>
    <t xml:space="preserve">c6e0ec987c7fab0a710b5657f4e66883df79a08a48639feaaa83309909c4b68a</t>
  </si>
  <si>
    <t xml:space="preserve">PAY-147</t>
  </si>
  <si>
    <t xml:space="preserve">{"automation":"AUTOMATED","id":"COMB-030","left":"limb trauma A","leftFamily":"FAM-TRAUMA","outcome":"INDEPENDENT_BY_LIMB","precedence":"SPECIFIC_RULE_OVERRIDES_DEFAULT_COEXISTENCE","refs":"CORE-119","removalTransition":"Функциональные ограничения считаются для каждой зоны","right":"limb trauma B","rightFamily":"FAM-TRAUMA","status":"DEFINED","timerStack":"INDEPENDENT_BY_LIMB"}</t>
  </si>
  <si>
    <t xml:space="preserve">7f4e130054e19ffefeaf5384ce96b08d37d916df4344f6c081bc9c0179fdaaa5</t>
  </si>
  <si>
    <t xml:space="preserve">PAY-148</t>
  </si>
  <si>
    <t xml:space="preserve">{"automation":"AUTOMATED","id":"COMB-031","left":"limb trauma","leftFamily":"FAM-TRAUMA","outcome":"COEXIST; APPLY_MOST_SEVERE_NUMERIC_PENALTY; UNION_NON_NUMERIC_RESTRICTIONS","precedence":"SPECIFIC_RULE_OVERRIDES_DEFAULT_COEXISTENCE","refs":"CORE-119; MON-169","removalTransition":"Снятие онемения не устраняет травму; лечение/снятие травмы не завершает онемение","right":"temporary numbness same limb","rightFamily":"FAM-POISON","status":"DEFINED","timerStack":"PENALTIES_DO_NOT_ADD; TIMERS_AND_REMOVAL_INDEPENDENT"}</t>
  </si>
  <si>
    <t xml:space="preserve">8719f559b6c2bd70f5e49e8df4b6775a640c64852b859a425774b969c5cb1dc1</t>
  </si>
  <si>
    <t xml:space="preserve">PAY-149</t>
  </si>
  <si>
    <t xml:space="preserve">{"automation":"AUTOMATED","id":"COMB-032","left":"grapple","leftFamily":"FAM-PHYSICAL_CONTROL","outcome":"CHAIN_REQUIRED; END_CHOKE_IF_GRAPPLE_ENDS","precedence":"SPECIFIC_RULE_OVERRIDES_DEFAULT_COEXISTENCE","refs":"CORE-144","removalTransition":"Выгодная позиция также прекращается","right":"choke hold","rightFamily":"FAM-PHYSICAL_CONTROL","status":"DEFINED","timerStack":"CHAIN_REQUIRED; END_CHOKE_IF_GRAPPLE_ENDS"}</t>
  </si>
  <si>
    <t xml:space="preserve">eaa78d5b2bbef50d10883a4777bc3e1a096a5f30345329c8574545e047c1cc47</t>
  </si>
  <si>
    <t xml:space="preserve">PAY-150</t>
  </si>
  <si>
    <t xml:space="preserve">{"automation":"AUTOMATED","id":"COMB-033","left":"multiple grapples/nets/threads","leftFamily":"FAM-PHYSICAL_CONTROL","outcome":"KEEP_PER_SOURCE; APPLY_MAX_ACTION_PENALTY; UNION_NON_NUMERIC_RESTRICTIONS","precedence":"SPECIFIC_RULE_OVERRIDES_DEFAULT_COEXISTENCE","refs":"CORE-138; MON-136; MON-149","removalTransition":"Освобождение требуется от каждого источника отдельно","right":"same target","rightFamily":"FAM-PHYSICAL_CONTROL","status":"DEFINED","timerStack":"KEEP_PER_SOURCE; APPLY_MAX_ACTION_PENALTY; UNION_NON_NUMERIC_RESTRICTIONS"}</t>
  </si>
  <si>
    <t xml:space="preserve">50c643df9387b970be3555b70fb1d7e31c22bb7e50cc17cce6a4b3fb3d1035ac</t>
  </si>
  <si>
    <t xml:space="preserve">PAY-151</t>
  </si>
  <si>
    <t xml:space="preserve">{"automation":"AUTOMATED","id":"COMB-034","left":"Swaddler restrained","leftFamily":"FAM-PHYSICAL_CONTROL","outcome":"COEXIST","precedence":"SPECIFIC_RULE_OVERRIDES_DEFAULT_COEXISTENCE","refs":"MON-149–150","removalTransition":"Физическая нить и poison counter независимы","right":"first poison fail","rightFamily":"FAM-POISON","status":"DEFINED","timerStack":"COEXIST"}</t>
  </si>
  <si>
    <t xml:space="preserve">7c89da505ba8c310b22c9fcf2d4d546d5bb89afec0716c3930c827355a80adf6</t>
  </si>
  <si>
    <t xml:space="preserve">PAY-152</t>
  </si>
  <si>
    <t xml:space="preserve">{"automation":"AUTOMATED","id":"COMB-035","left":"first Swaddler poison fail penalty","leftFamily":"FAM-ACTION_ECONOMY","outcome":"REPLACE_PENDING_MINUS_2_WITH_PARALYSIS_5_TURNS","precedence":"SPECIFIC_RULE_OVERRIDES_DEFAULT_COEXISTENCE","refs":"MON-150","removalTransition":"Успех сбрасывает последовательность","right":"second consecutive fail","rightFamily":"FAM-POISON","status":"DEFINED","timerStack":"REPLACE_PENDING_MINUS_2_WITH_PARALYSIS_5_TURNS"}</t>
  </si>
  <si>
    <t xml:space="preserve">13825f77eb7e69eace5c25dd12eda5d29f2001a6910d65cfa5b06e276c370d15</t>
  </si>
  <si>
    <t xml:space="preserve">PAY-153</t>
  </si>
  <si>
    <t xml:space="preserve">{"automation":"AUTOMATED","id":"COMB-036","left":"restrained target","leftFamily":"FAM-PHYSICAL_CONTROL","outcome":"PROGRESS_ALLOWED; RESET_IF_IMMOBILIZATION_OR_CONTACT_ENDS","precedence":"SPECIFIC_RULE_OVERRIDES_DEFAULT_COEXISTENCE","refs":"MON-151","removalTransition":"Два полных последовательных хода источника","right":"cocoon progress","rightFamily":"FAM-PREPARED_EFFECT","status":"DEFINED","timerStack":"PROGRESS_ALLOWED; RESET_IF_IMMOBILIZATION_OR_CONTACT_ENDS"}</t>
  </si>
  <si>
    <t xml:space="preserve">e0afbaf58a1240bee99ab1877901ecee21042c471a1cc3595e8a0cfa0abc79cf</t>
  </si>
  <si>
    <t xml:space="preserve">PAY-154</t>
  </si>
  <si>
    <t xml:space="preserve">{"automation":"AUTOMATED","id":"COMB-037","left":"full mental immunity","leftFamily":"FAM-MENTAL_CONTROL","outcome":"TARGET_INVALID_OR_EFFECT_CANCELLED","precedence":"SPECIFIC_RULE_OVERRIDES_DEFAULT_COEXISTENCE","refs":"CQA-050","removalTransition":"Числовой бонус не создаёт отсутствующую проверку","right":"mental effect without contest","rightFamily":"FAM-IMMUNITY_RESISTANCE","status":"DEFINED","timerStack":"TARGET_INVALID_OR_EFFECT_CANCELLED"}</t>
  </si>
  <si>
    <t xml:space="preserve">f98ea93d46beb5e4bd09e37f569c588e7e12249a138d9f2f39810f4db362ab3d</t>
  </si>
  <si>
    <t xml:space="preserve">PAY-155</t>
  </si>
  <si>
    <t xml:space="preserve">{"automation":"AUTOMATED","id":"COMB-038","left":"Chimera Unstoppable success","leftFamily":"FAM-PHYSICAL_CONTROL","outcome":"REMOVE_EXISTING_CONTROL; BLOCK_NEW_CONTROL_DURING_TERM","precedence":"SPECIFIC_RULE_OVERRIDES_DEFAULT_COEXISTENCE","refs":"CQA-043; MON-020","removalTransition":"Не снимает раны, бессознательность, смерть, урон, травмы, отключение Химеры","right":"existing/new control","rightFamily":"FAM-IMMUNITY_RESISTANCE","status":"DEFINED","timerStack":"REMOVE_EXISTING_CONTROL; BLOCK_NEW_CONTROL_DURING_TERM"}</t>
  </si>
  <si>
    <t xml:space="preserve">9dc2656d0b3c0187269754590ec07fe042debfe98bf93bef83143e15f3f850dd</t>
  </si>
  <si>
    <t xml:space="preserve">PAY-156</t>
  </si>
  <si>
    <t xml:space="preserve">{"automation":"AUTOMATED","id":"COMB-039","left":"control resistance +5","leftFamily":"FAM-CHECK_MODIFIER","outcome":"NO_MODIFIER","precedence":"SPECIFIC_RULE_OVERRIDES_DEFAULT_COEXISTENCE","refs":"CORE-072","removalTransition":"Только существующая проверка сопротивления/освобождения от CONTROL","right":"damage/trauma/disease/poison/equipment penalty","rightFamily":"FAM-IMMUNITY_RESISTANCE","status":"DEFINED","timerStack":"NO_MODIFIER"}</t>
  </si>
  <si>
    <t xml:space="preserve">57d3b95171e0fc42cce6db7165466c87ca35728eaa4e3b59e5cf510c48e487c9</t>
  </si>
  <si>
    <t xml:space="preserve">PAY-157</t>
  </si>
  <si>
    <t xml:space="preserve">{"automation":"AUTOMATED","id":"COMB-040","left":"source-maintained aura/form/control","leftFamily":"FAM-SOURCE_LINK","outcome":"END_EFFECT","precedence":"SPECIFIC_RULE_OVERRIDES_DEFAULT_COEXISTENCE","refs":"CQA-002; AQ2-020","removalTransition":"Частное правило может сохранить эффект","right":"source dies/incapacitated/disabled/off-map","rightFamily":"FAM-LIFECYCLE","status":"DEFINED","timerStack":"END_EFFECT"}</t>
  </si>
  <si>
    <t xml:space="preserve">2a864a7cd44191880c6e2fdae35249d693e962c94b4b7b34863b1d46078522c0</t>
  </si>
  <si>
    <t xml:space="preserve">PAY-158</t>
  </si>
  <si>
    <t xml:space="preserve">{"automation":"AUTOMATED","id":"COMB-041","left":"autonomous poison/infection/mine/projectile","leftFamily":"FAM-SOURCE_LINK","outcome":"CONTINUE_WITH_SOURCE_SNAPSHOT","precedence":"SPECIFIC_RULE_OVERRIDES_DEFAULT_COEXISTENCE","refs":"CQA-002; AQ2-020","removalTransition":"Использовать текущий L, пока источник читаем, иначе последний снимок","right":"source removed","rightFamily":"FAM-PREPARED_EFFECT","status":"DEFINED","timerStack":"CONTINUE_WITH_SOURCE_SNAPSHOT"}</t>
  </si>
  <si>
    <t xml:space="preserve">bf46dcea006abe76f6e3e124fd9fe2cd3946f2ffbd974385f380e43ff47dfa59</t>
  </si>
  <si>
    <t xml:space="preserve">PAY-159</t>
  </si>
  <si>
    <t xml:space="preserve">{"automation":"AUTOMATED","id":"COMB-042","left":"symbiont disabled","leftFamily":"FAM-SYMBIONT_STATE","outcome":"END_OR_DISABLE; AUTONOMOUS_ALREADY_APPLIED_EFFECTS_CONTINUE","precedence":"SPECIFIC_RULE_OVERRIDES_DEFAULT_COEXISTENCE","refs":"CORE-104; CQA-002","removalTransition":"Локальные исключения имеют приоритет","right":"source-maintained own mechanics","rightFamily":"FAM-SOURCE_LINK","status":"DEFINED","timerStack":"END_OR_DISABLE; AUTONOMOUS_ALREADY_APPLIED_EFFECTS_CONTINUE"}</t>
  </si>
  <si>
    <t xml:space="preserve">e25ca4100757c5aba41fe226330e072ea3857c8d23e62de6e7439cffe2504a2a</t>
  </si>
  <si>
    <t xml:space="preserve">PAY-160</t>
  </si>
  <si>
    <t xml:space="preserve">{"automation":"AUTOMATED","id":"COMB-043","left":"active mechanical effect","leftFamily":"FAM-NARRATIVE","outcome":"END_OLD_VERSION; CREATE_NEW_ATOMICALLY; NO_ROLLBACK","precedence":"SPECIFIC_RULE_OVERRIDES_DEFAULT_COEXISTENCE","refs":"AQA-045","removalTransition":"Повторное включение создаёт новую версию","right":"GM changes value/duration/source/key","rightFamily":"FAM-SOURCE_LINK","status":"DEFINED","timerStack":"END_OLD_VERSION; CREATE_NEW_ATOMICALLY; NO_ROLLBACK"}</t>
  </si>
  <si>
    <t xml:space="preserve">45a28c5a42f8dd81e6f5dca4feff4460fdca1e9f97c34b22966dc895e06509aa</t>
  </si>
  <si>
    <t xml:space="preserve">PAY-161</t>
  </si>
  <si>
    <t xml:space="preserve">{"automation":"AUTOMATED","id":"COMB-044","left":"multiple events at same timestamp","leftFamily":"FAM-PERIODIC_DAMAGE","outcome":"STABLE_CREATED_AT_THEN_UUID; RECALC_AFTER_EACH_TICK","precedence":"SPECIFIC_RULE_OVERRIDES_DEFAULT_COEXISTENCE","refs":"AQA-024","removalTransition":"Новые события не возвращают обработку в завершённую фазу","right":"periodic consequences","rightFamily":"FAM-PERIODIC_HEAL","status":"DEFINED","timerStack":"STABLE_CREATED_AT_THEN_UUID; RECALC_AFTER_EACH_TICK"}</t>
  </si>
  <si>
    <t xml:space="preserve">91dec739567257c2610034b902b391c87153897903751986e49188d534c1aee8</t>
  </si>
  <si>
    <t xml:space="preserve">PAY-162</t>
  </si>
  <si>
    <t xml:space="preserve">{"automation":"AUTOMATED","id":"COMB-045","left":"new timed effect","leftFamily":"FAM-PREPARED_EFFECT","outcome":"NO_SAME_MOMENT_TICK_OR_TIMER_DECREMENT","precedence":"SPECIFIC_RULE_OVERRIDES_DEFAULT_COEXISTENCE","refs":"CORE-101; AQA-024","removalTransition":"Первое обслуживание — следующая подходящая метка","right":"same creation timestamp","rightFamily":"FAM-PERIODIC_DAMAGE","status":"DEFINED","timerStack":"NO_SAME_MOMENT_TICK_OR_TIMER_DECREMENT"}</t>
  </si>
  <si>
    <t xml:space="preserve">cb7a81111ec98f0dee38f10abdf40d7c142be95a3af4426855b51eb7cdb79b8e</t>
  </si>
  <si>
    <t xml:space="preserve">PAY-163</t>
  </si>
  <si>
    <t xml:space="preserve">{"automation":"AUTOMATED","id":"COMB-046","left":"combat duration remainder","leftFamily":"FAM-LIFECYCLE","outcome":"NORMAL_1_TURN=1_MINUTE; SEVERE_WOUND_1_TURN=5_MINUTES","precedence":"SPECIFIC_RULE_OVERRIDES_DEFAULT_COEXISTENCE","refs":"Q-CORE-063; CORE-153","removalTransition":"Хранить точный остаток; округлять вверх только отображение","right":"peace-time conversion","rightFamily":"FAM-PREPARED_EFFECT","status":"DEFINED","timerStack":"NORMAL_1_TURN=1_MINUTE; SEVERE_WOUND_1_TURN=5_MINUTES"}</t>
  </si>
  <si>
    <t xml:space="preserve">893a8b51eeb6ef90929445bc14712796720a91efbe584f879f8d4bfdc8cd15f4</t>
  </si>
  <si>
    <t xml:space="preserve">PAY-164</t>
  </si>
  <si>
    <t xml:space="preserve">{"automation":"AUTOMATED","id":"COMB-047","left":"two Chameleon camouflage effects","leftFamily":"FAM-SENSE_VISIBILITY","outcome":"ONLY_STRONGEST_APPLICABLE_MAGNITUDE; TIMERS_INDEPENDENT","precedence":"SPECIFIC_RULE_OVERRIDES_DEFAULT_COEXISTENCE","refs":"SYM-184","removalTransition":"Специальное правило к CORE-080","right":"same detection attempt","rightFamily":"FAM-SENSE_VISIBILITY","status":"DEFINED","timerStack":"ONLY_STRONGEST_APPLICABLE_MAGNITUDE; TIMERS_INDEPENDENT"}</t>
  </si>
  <si>
    <t xml:space="preserve">3959b5ac41e1f394a0713c142e73b7252ba7a88f04c3be8c9514a8cd07fca9db</t>
  </si>
  <si>
    <t xml:space="preserve">PAY-165</t>
  </si>
  <si>
    <t xml:space="preserve">{"automation":"AUTOMATED","id":"COMB-048","left":"multiple ControlLease","leftFamily":"FAM-MENTAL_CONTROL","outcome":"ONE_EFFECTIVE_CONTROLLER_BY_EXPLICIT_PRIORITY_AND_TIME","precedence":"SPECIFIC_RULE_OVERRIDES_DEFAULT_COEXISTENCE","refs":"CORE-181; CORE-221","removalTransition":"owningController не уничтожается","right":"same body","rightFamily":"FAM-MENTAL_CONTROL","status":"DEFINED","timerStack":"ONE_EFFECTIVE_CONTROLLER_BY_EXPLICIT_PRIORITY_AND_TIME"}</t>
  </si>
  <si>
    <t xml:space="preserve">f70082c8fdb92c21c5ffa87faa174148862f7f4b736a22116ee123f83a6f2996</t>
  </si>
  <si>
    <t xml:space="preserve">PAY-166</t>
  </si>
  <si>
    <t xml:space="preserve">{"automation":"AUTOMATED","id":"COMB-049","left":"hemostatic decoction","leftFamily":"FAM-WOUND_BLEEDING","outcome":"REMOVE_ALL_BLEEDING_INSTANCES","precedence":"SPECIFIC_RULE_OVERRIDES_DEFAULT_COEXISTENCE","refs":"CORE-063","removalTransition":"Не создаёт модель отсутствующих источников кровотечения","right":"all current bleedings","rightFamily":"FAM-PREPARED_EFFECT","status":"DEFINED","timerStack":"REMOVE_ALL_BLEEDING_INSTANCES"}</t>
  </si>
  <si>
    <t xml:space="preserve">affe0f04cc9995abe83ecd7d60ab835037d2a794689843afbe252ebdd27c9842</t>
  </si>
  <si>
    <t xml:space="preserve">PAY-167</t>
  </si>
  <si>
    <t xml:space="preserve">{"automation":"PARTIAL","id":"COMB-050","left":"antiseptic on selected wound","leftFamily":"FAM-WOUND_BLEEDING","outcome":"APPLY_MINUS_10_ONCE; CONSUME","precedence":"SPECIFIC_RULE_OVERRIDES_DEFAULT_COEXISTENCE","refs":"CORE-059","removalTransition":"Требует идентификатора раны","right":"next disease attempt through that wound","rightFamily":"FAM-DISEASE","status":"DEFINED","timerStack":"APPLY_MINUS_10_ONCE; CONSUME"}</t>
  </si>
  <si>
    <t xml:space="preserve">a013d5eab0706deb9ea182a306d51f36db63bd4f67c33b4665c44e17bcbd44bc</t>
  </si>
  <si>
    <t xml:space="preserve">PAY-168</t>
  </si>
  <si>
    <t xml:space="preserve">{"automation":"AUTOMATED","id":"COMB-051","left":"Nait sealed","leftFamily":"FAM-ITEM_STATE","outcome":"BLOCK_BEFORE_APPLICATION","precedence":"SPECIFIC_RULE_OVERRIDES_DEFAULT_COEXISTENCE","refs":"CORE-053","removalTransition":"Не блокирует проглоченный, введённый или уже внутренний яд","right":"inhaled fumes/pheromones/infected vapor","rightFamily":"FAM-IMMUNITY_RESISTANCE","status":"DEFINED","timerStack":"BLOCK_BEFORE_APPLICATION"}</t>
  </si>
  <si>
    <t xml:space="preserve">f74b527f9d579a029e6d90e6db02cbd7c8cf5c71974b73a5621b07706986f7f9</t>
  </si>
  <si>
    <t xml:space="preserve">PAY-169</t>
  </si>
  <si>
    <t xml:space="preserve">{"automation":"AUTOMATED","id":"COMB-052","left":"Nait seal breaks","leftFamily":"FAM-ITEM_STATE","outcome":"DO_NOT_CLEANSE; DISABLE_FUTURE_RESPONSE","precedence":"SPECIFIC_RULE_OVERRIDES_DEFAULT_COEXISTENCE","refs":"CORE-053","removalTransition":"Ремонт не формализован","right":"already active effect","rightFamily":"FAM-SOURCE_LINK","status":"DEFINED","timerStack":"DO_NOT_CLEANSE; DISABLE_FUTURE_RESPONSE"}</t>
  </si>
  <si>
    <t xml:space="preserve">4a6f90f702a7278db92c0152ba5e5586c9383435f2a9541bc701713f3cb6b9b6</t>
  </si>
  <si>
    <t xml:space="preserve">PAY-170</t>
  </si>
  <si>
    <t xml:space="preserve">{"automation":"AUTOMATED","id":"COMB-053","left":"different pharmaceutical effects","leftFamily":"FAM-PREPARED_EFFECT","outcome":"COEXIST; APPLICATION_LIMITS_REMAIN","precedence":"SPECIFIC_RULE_OVERRIDES_DEFAULT_COEXISTENCE","refs":"CORE-058","removalTransition":"Одно применение препарата за личный боевой ход","right":"same target","rightFamily":"FAM-CHECK_MODIFIER","status":"DEFINED","timerStack":"COEXIST; APPLICATION_LIMITS_REMAIN"}</t>
  </si>
  <si>
    <t xml:space="preserve">bc978240f39621a970677388efbcdf01c737b20e943d4fe5153da3461e93ce8b</t>
  </si>
  <si>
    <t xml:space="preserve">PAY-171</t>
  </si>
  <si>
    <t xml:space="preserve">{"automation":"AUTOMATED","id":"COMB-054","left":"shield shock pending","leftFamily":"FAM-ACTION_ECONOMY","outcome":"KEEP_ONE_PENDING_EFFECT_WITH_MAX_PENALTY; CONSUME_ON_NEXT_SERIES","precedence":"SPECIFIC_RULE_OVERRIDES_DEFAULT_COEXISTENCE","refs":"CORE-043–048","removalTransition":"Штрафы не складываются; повтор обновляет ожидающий эффект","right":"another shield shock before next series","rightFamily":"FAM-ACTION_ECONOMY","status":"DEFINED","timerStack":"KEEP_ONE_PENDING_EFFECT_WITH_MAX_PENALTY; CONSUME_ON_NEXT_SERIES"}</t>
  </si>
  <si>
    <t xml:space="preserve">e0d53416514178f7d489bcd15d034dbd556d676786dd71f54c5948529186d884</t>
  </si>
  <si>
    <t xml:space="preserve">PAY-172</t>
  </si>
  <si>
    <t xml:space="preserve">{"automation":"AUTOMATED","id":"COMB-055","left":"multiple activeCoatings","leftFamily":"FAM-PREPARED_EFFECT","outcome":"ONE_CONSUMABLE_COATING_PER_SURFACE; REPLACE_AFTER_CONFIRMATION","precedence":"SPECIFIC_RULE_OVERRIDES_DEFAULT_COEXISTENCE","refs":"Items 07_Модель_экземпляра; SYM-183","removalTransition":"Обычные снаряды: один stackable item с quantity; только смазанные ядом снаряды — отдельные item instances","right":"same item","rightFamily":"FAM-ITEM_STATE","status":"DEFINED","timerStack":"ONE_CONSUMABLE_COATING_PER_SURFACE; REPLACE_AFTER_CONFIRMATION"}</t>
  </si>
  <si>
    <t xml:space="preserve">49ba4c9e4e9f509b9e30bf5bbdba8303611a66718ca5dd4190b10701397f4fdd</t>
  </si>
  <si>
    <t xml:space="preserve">PAY-173</t>
  </si>
  <si>
    <t xml:space="preserve">{"automation":"AUTOMATED","id":"COMB-056","left":"multiple Swaddler poison sources","leftFamily":"FAM-POISON","outcome":"COUNTER_KEY=sourceId+targetId; SUCCESS_RESETS_MATCHING_SOURCE_ONLY","precedence":"SPECIFIC_RULE_OVERRIDES_DEFAULT_COEXISTENCE","refs":"MON-150","removalTransition":"Разные Пеленальщицы не ускоряют общий счётчик","right":"same target fail counter","rightFamily":"FAM-POISON","status":"DEFINED","timerStack":"COUNTER_KEY=sourceId+targetId; SUCCESS_RESETS_MATCHING_SOURCE_ONLY"}</t>
  </si>
  <si>
    <t xml:space="preserve">688aaeb7b0f4bb44d20a68bbd7e3b05125d76bd2699136330f0b1bdf9d45a66c</t>
  </si>
  <si>
    <t xml:space="preserve">PAY-174</t>
  </si>
  <si>
    <t xml:space="preserve">{"automation":"AUTOMATED","id":"COMB-057","left":"periodic healing","leftFamily":"FAM-PERIODIC_HEAL","outcome":"ORDINARY_HEAL_TICK_SKIPPED","precedence":"SPECIFIC_RULE_OVERRIDES_DEFAULT_COEXISTENCE","refs":"CORE-071","removalTransition":"Эффект может оставаться активным до конца боя","right":"severe wound","rightFamily":"FAM-LIFECYCLE","status":"DEFINED","timerStack":"ORDINARY_HEAL_TICK_SKIPPED"}</t>
  </si>
  <si>
    <t xml:space="preserve">39efabd26e0c9e819057a89d3eb26c563a1080aa84015794a12837c02ff22bb4</t>
  </si>
  <si>
    <t xml:space="preserve">PAY-175</t>
  </si>
  <si>
    <t xml:space="preserve">{"automation":"AUTOMATED","id":"COMB-058","left":"SYM-144 poison immunity","leftFamily":"FAM-POISON","outcome":"ALLOW_SYM_042_STAT_DEBUFF; BLOCK_POISON_DAMAGE_AND_CONTROL_ONLY","precedence":"SPECIFIC_RULE_OVERRIDES_DEFAULT_COEXISTENCE","refs":"SYM-144; SYM-042","removalTransition":"Ослабление характеристик не является уроном или контролем","right":"SYM-042 weakening debuff","rightFamily":"FAM-IMMUNITY_RESISTANCE","status":"DEFINED","timerStack":"ALLOW_SYM_042_STAT_DEBUFF; BLOCK_POISON_DAMAGE_AND_CONTROL_ONLY"}</t>
  </si>
  <si>
    <t xml:space="preserve">4502a065f6c578ea0cb3efd70fd64856f407eac156acd6a1fcd01dbe0e75bd1c</t>
  </si>
  <si>
    <t xml:space="preserve">PAY-176</t>
  </si>
  <si>
    <t xml:space="preserve">{"automation":"AUTOMATED","id":"COMB-059","left":"manual disease assignment","leftFamily":"FAM-DISEASE","outcome":"CQA-060_MANUAL_CONTRACT_WINS_FOR_APP","precedence":"SPECIFIC_RULE_OVERRIDES_DEFAULT_COEXISTENCE","refs":"CQA-060; MON-074; MON-086","removalTransition":"Не выполнять автоматический выбор болезни/лечения","right":"legacy infection/treatment rolls","rightFamily":"FAM-INFECTION","status":"DEFINED","timerStack":"CQA-060_MANUAL_CONTRACT_WINS_FOR_APP"}</t>
  </si>
  <si>
    <t xml:space="preserve">1ea28ec13e0c619c21bd6ffaf109b5254eaa8a8440ab3bbf250ee6b924de313f</t>
  </si>
  <si>
    <t xml:space="preserve">PAY-177</t>
  </si>
  <si>
    <t xml:space="preserve">{"automation":"AUTOMATED","id":"COMB-060","left":"standard monster HP=0","leftFamily":"FAM-LIFECYCLE","outcome":"SET_SEVERE_WOUND_AND_UNCONSCIOUS","precedence":"SPECIFIC_RULE_OVERRIDES_DEFAULT_COEXISTENCE","refs":"CORE-222","removalTransition":"SWARM и видовые исключения сильнее","right":"consciousness","rightFamily":"FAM-CONSCIOUSNESS","status":"DEFINED","timerStack":"SET_SEVERE_WOUND_AND_UNCONSCIOUS"}</t>
  </si>
  <si>
    <t xml:space="preserve">3e078f7ecfe86f922b2d8905216869cb71662b84e3a146f882089906411525e4</t>
  </si>
  <si>
    <t xml:space="preserve">PAY-178</t>
  </si>
  <si>
    <t xml:space="preserve">{"automation":"AUTOMATED","id":"COMB-061","left":"player character severe wound","leftFamily":"FAM-LIFECYCLE","outcome":"DO_NOT_INFER_EQUIVALENCE_BEYOND_SOURCE","precedence":"SPECIFIC_RULE_OVERRIDES_DEFAULT_COEXISTENCE","refs":"CORE-152; CORE-103","removalTransition":"Тяжёлое ранение имеет собственный фильтр; источники дееспособности могут его изменить","right":"unconsciousness","rightFamily":"FAM-CONSCIOUSNESS","status":"DEFINED","timerStack":"DO_NOT_INFER_EQUIVALENCE_BEYOND_SOURCE"}</t>
  </si>
  <si>
    <t xml:space="preserve">2b1d80a54969801ef5c337ca3e1d1e6e76bc9e7ccf4c1550a5d86bf2ab69b6b6</t>
  </si>
  <si>
    <t xml:space="preserve">PAY-179</t>
  </si>
  <si>
    <t xml:space="preserve">{"automation":"AUTOMATED","id":"COMB-062","left":"SWARM HP loss","leftFamily":"FAM-LIFECYCLE","outcome":"NO_SEVERE_WOUND","precedence":"SPECIFIC_RULE_OVERRIDES_DEFAULT_COEXISTENCE","refs":"CORE-219; CORE-222","removalTransition":"SWARM не использует обычную модель ран","right":"severe wound","rightFamily":"FAM-TRAUMA","status":"DEFINED","timerStack":"NO_SEVERE_WOUND"}</t>
  </si>
  <si>
    <t xml:space="preserve">e996d68f706284ee8499d379d89b2a3607aec98956c60f54810482b2d546099c</t>
  </si>
  <si>
    <t xml:space="preserve">PAY-180</t>
  </si>
  <si>
    <t xml:space="preserve">{"automation":"AUTOMATED","id":"COMB-063","left":"clone mutable runtime graph","leftFamily":"FAM-SOURCE_LINK","outcome":"GENERATE_NEW_UUIDS","precedence":"SPECIFIC_RULE_OVERRIDES_DEFAULT_COEXISTENCE","refs":"Bestiary 09_Контракты","removalTransition":"Не делить mutable экземпляры между шаблоном и сценой","right":"effect/cooldown/capture IDs","rightFamily":"FAM-PREPARED_EFFECT","status":"DEFINED","timerStack":"GENERATE_NEW_UUIDS"}</t>
  </si>
  <si>
    <t xml:space="preserve">c04a91b20aa94e54d72605097f171306c3b00078819ab076dd3e92462fc352b5</t>
  </si>
  <si>
    <t xml:space="preserve">PAY-181</t>
  </si>
  <si>
    <t xml:space="preserve">{"automation":"AUTOMATED","id":"COMB-064","left":"secondary control incompatible with anatomy","leftFamily":"FAM-PHYSICAL_CONTROL","outcome":"NONHUMANOID: SKIP_PARALYSIS_SECONDARY; KEEP_HIT_DAMAGE_AND_OTHER_VALID_CONSEQUENCES","precedence":"SPECIFIC_RULE_OVERRIDES_DEFAULT_COEXISTENCE","refs":"SYM-045; Bestiary 05A/06A","removalTransition":"Парализующий яд не действует на негуманоидов; основное попадание не отменяется","right":"valid attack damage","rightFamily":"FAM-TRAUMA","status":"DEFINED","timerStack":"NONHUMANOID: SKIP_PARALYSIS_SECONDARY; KEEP_HIT_DAMAGE_AND_OTHER_VALID_CONSEQUENCES"}</t>
  </si>
  <si>
    <t xml:space="preserve">dcdba77ccce4816614dff6602f173a80d22b748bf8c578ccca5dc1c1b1cab31d</t>
  </si>
  <si>
    <t xml:space="preserve">PAY-182</t>
  </si>
  <si>
    <t xml:space="preserve">{"automation":"AUTOMATED","id":"COMB-065","left":"dead actor","leftFamily":"FAM-LIFECYCLE","outcome":"ON_FINAL_DEATH TERMINATE_TEMPORARY_AND_CONTROL; PRESERVE_TRAUMAS_WOUNDS_ITEM_STATE_INVENTORY_SYMBIONTS; NO_RESUME_ON_RESURRECTION","precedence":"SPECIFIC_RULE_OVERRIDES_DEFAULT_COEXISTENCE","refs":"CQA-001; AQA-024","removalTransition":"Сохранённые состояния трупа не возобновляют завершённые временные эффекты","right":"stored effects on corpse/resurrection","rightFamily":"FAM-SOURCE_LINK","status":"DEFINED","timerStack":"ON_FINAL_DEATH TERMINATE_TEMPORARY_AND_CONTROL; PRESERVE_TRAUMAS_WOUNDS_ITEM_STATE_INVENTORY_SYMBIONTS; NO_RESUME_ON_RESURRECTION"}</t>
  </si>
  <si>
    <t xml:space="preserve">5d3198e2b492f810b63198065fce92fbfc2bb876cf235e0386e8a33e020c3c66</t>
  </si>
  <si>
    <t xml:space="preserve">PAY-183</t>
  </si>
  <si>
    <t xml:space="preserve">{"automation":"AUTOMATED","id":"COMB-066","left":"multiple MON-159 psi-protection charges","leftFamily":"FAM-CHECK_MODIFIER","outcome":"CONSUME_ONE_EARLIEST_CHARGE; OTHER_SOURCE_CHARGES_REMAIN","precedence":"SPECIFIC_RULE_OVERRIDES_DEFAULT_COEXISTENCE","refs":"MON-159","removalTransition":"Бонусы не складываются на одной проверке","right":"same defensive check","rightFamily":"FAM-CHECK_MODIFIER","status":"DEFINED","timerStack":"CONSUME_ONE_EARLIEST_CHARGE; OTHER_SOURCE_CHARGES_REMAIN"}</t>
  </si>
  <si>
    <t xml:space="preserve">fe8af421d911b031bf4138189e83789beff7e38b3b4c26062b67d17e70e61ce4</t>
  </si>
  <si>
    <t xml:space="preserve">PAY-184</t>
  </si>
  <si>
    <t xml:space="preserve">{"automation":"AUTOMATED","id":"COMB-067","left":"multiple Vivisector fumes","leftFamily":"FAM-POISON","outcome":"ONE_CHECK_PER_SOURCE; STABLE_CREATED_AT_THEN_UUID; NO_ZONE_MERGE","precedence":"SPECIFIC_RULE_OVERRIDES_DEFAULT_COEXISTENCE","refs":"MON-099; AQA-024","removalTransition":"Урон и зоны каждого источника разрешаются отдельно","right":"same target at end of target turn","rightFamily":"FAM-POISON","status":"DEFINED","timerStack":"ONE_CHECK_PER_SOURCE; STABLE_CREATED_AT_THEN_UUID; NO_ZONE_MERGE"}</t>
  </si>
  <si>
    <t xml:space="preserve">babaccd168e952953d1ce6c7fc9c11ca4a363fdb430c2e25edfb3fdc378485e2</t>
  </si>
  <si>
    <t xml:space="preserve">PAY-185</t>
  </si>
  <si>
    <t xml:space="preserve">RuntimeSchema</t>
  </si>
  <si>
    <t xml:space="preserve">EFFECT_RUNTIME_SCHEMA_V1_2</t>
  </si>
  <si>
    <t xml:space="preserve">{"contracts":[["EffectDefinition","effectTypeId","string","YES","Стабильный ID из 02_Типы_эффектов","NEW_SUPPLEMENT_SCHEMA"],["EffectDefinition","familyCode","enum","YES","FK на 01_Семейства","NEW_SUPPLEMENT_SCHEMA"],["EffectDefinition","displayName","string","YES","Пользовательское имя","NEW_SUPPLEMENT_SCHEMA"],["EffectDefinition","stateBucket","enum","YES","currentEffects/currentTraumas/currentWounds/actorFlags/item/source/narrative","NEW_SUPPLEMENT_SCHEMA"],["EffectDefinition","defaultStackPolicy","enum","YES","Не заменяет частную карточку источника","NEW_SUPPLEMENT_SCHEMA"],["EffectDefinition","defaultSourceLifecycle","enum","YES","SOURCE_MAINTAINED/AUTONOMOUS/SOURCE_SPECIFIC","NEW_SUPPLEMENT_SCHEMA"],["EffectDefinition","automationStatus","enum","YES","AUTOMATED/PARTIAL/TRACE_ONLY/BLOCKED/NOT_MODELED","NEW_SUPPLEMENT_SCHEMA"],["EffectInstance","effectInstanceId","UUID","YES","Уникален в mutable graph; новый UUID при клонировании","REQUIRED"],["EffectInstance","effectTypeId","string","YES","FK EffectDefinition","REQUIRED"],["EffectInstance","familyCode","enum","YES","Дублируется для быстрого ответа и валидируется по типу","REQUIRED"],["EffectInstance","targetActorId","UUID","YES","Владелец состояния","REQUIRED"],["EffectInstance","targetRegionId","string|null","CONDITIONAL","Обязателен для конечности/зоны","REQUIRED_IF_REGION"],["EffectInstance","sourceRuleIds","string[]","YES","Нормативные Rule ID","REQUIRED"],["EffectInstance","sourceEntityId","UUID|null","CONDITIONAL","Актор/объект источника","SOURCE_SPECIFIC"],["EffectInstance","sourceInstanceId","UUID|string|null","CONDITIONAL","Способность, предмет, зона, покрытие или связь","SOURCE_SPECIFIC"],["EffectInstance","sourceSnapshot","object|null","CONDITIONAL","Последний читаемый уровень/параметры для автономного эффекта","CQA-002"],["EffectInstance","sourceLifecyclePolicy","enum","YES","SOURCE_MAINTAINED/AUTONOMOUS/SOURCE_SPECIFIC","REQUIRED"],["EffectInstance","stackingKey","string","YES","Не выводить молча из displayName; брать из типа/источника","REQUIRED"],["EffectInstance","payload","object","YES","Типизированные значения конкретного эффекта","REQUIRED"],["EffectInstance","magnitude","number|object|null","CONDITIONAL","Число для CORE-080 либо структурированный пакет","SOURCE_SPECIFIC"],["EffectInstance","tags","string[]","YES","CONTROL/POISON/DISEASE и другие явно подтверждённые теги","REQUIRED"],["EffectInstance","createdAt","timestamp","YES","Для стабильного порядка","AQA-024"],["EffectInstance","startsAt","timestamp|turnRef","YES","Момент начала","REQUIRED"],["EffectInstance","expiresAt","timestamp|turnRef|null","CONDITIONAL","NULL только для бессрочного/условного","REQUIRED_IF_TIMED"],["EffectInstance","remainingExact","decimal|null","CONDITIONAL","Точный остаток при конвертации","Q-CORE-063"],["EffectInstance","durationUnit","enum|null","CONDITIONAL","TURN/ROUND/MINUTE/HOUR/DAY/COMBAT/CONDITION","REQUIRED_IF_TIMED"],["EffectInstance","tickSchedule","object|null","CONDITIONAL","Фаза, период и nextTickAt","REQUIRED_IF_PERIODIC"],["EffectInstance","lastTickAt","timestamp|turnRef|null","NO","Аудит дедупликации тика","PERIODIC"],["EffectInstance","status","enum","YES","PENDING/ACTIVE/SUSPENDED/EXPIRED/REMOVED/REPLACED/BLOCKED","REQUIRED"],["EffectInstance","revision","integer&gt;=1","YES","Изменение мастером создаёт новую версию, старую завершает","AQA-045"],["EffectInstance","removalReason","enum|null","NO","EXPIRY/CURE/CLEANSE/DAMAGE/SOURCE_INVALID/REPLACED/GM/DEATH","AUDIT"],["EffectInstance","createdBy","enum","YES","RULE/PLAYER_COMMAND/GM/SYSTEM","AUDIT"],["DiseaseInstance","diseaseId","string","YES","FK 03_Болезни; effectTypeId=EFF-DISEASE-INSTANCE","REQUIRED"],["DiseaseInstance","assignedByGM","boolean","YES","Для приложения true по CQA-060","CQA-060"],["DiseaseInstance","modifierComponents","object[]","YES","Статовые и проверочные модификаторы","MON-076–084"],["DiseaseInstance","dailyTick","object|null","CONDITIONAL","Только если прямо задано","MON-080; MON-087"],["PoisonInstance","poisonProfileId","string","YES","FK 04_Яды","REQUIRED"],["PoisonInstance","poisonSourceKind","enum","YES","ORDINARY/NATURAL/ARTIFICIAL/SYMBIOTIC/CANONICAL","CORE-228"],["PoisonInstance","deliveryKind","enum","YES","CONTACT/INHALED/INGESTED/INJECTED/COATING/SOURCE_SPECIFIC","REQUIRED"],["TraumaInstance","traumaInstanceId","UUID","YES","Элемент currentTraumas","REQUIRED"],["TraumaInstance","regionId","string","YES","Зона анатомии","REQUIRED"],["TraumaInstance","traumaValue","number","YES","Суммируется по одной конечности по CORE-119","CORE-119"],["WoundInstance","woundInstanceId","UUID","YES","Элемент currentWounds","REQUIRED"],["WoundInstance","woundType","enum","YES","GENERIC/BLEEDING; создание только SOURCE_CREATES_WOUND_OR_GM","REQUIRED"],["EffectResponse","responseProfileId","string","YES","Стабильный ID 10_Иммунитеты","REQUIRED"],["EffectResponse","effectFamily","enum","YES","Семейство входящего payload","REQUIRED"],["EffectResponse","sourceScope","enum","YES","ANY/NATURAL/EXTERNAL/OWN_SOURCE/...","REQUIRED"],["EffectResponse","response","enum","YES","IMMUNE_BEFORE_ROLL/CHECK_MODIFIER/DAMAGE_REDUCTION/...","REQUIRED"],["DerivedStateProjection","canPhysicalAct","boolean","YES","Пересчитывается из активных состояний","DERIVED"],["DerivedStateProjection","canMentalAct","boolean|conditional","YES","С учётом речи/движения/контроля тела","DERIVED"],["DerivedStateProjection","canReact","boolean","YES","Пересчитывается","DERIVED"],["DerivedStateProjection","canActiveDefend","boolean","YES","Броня отдельно","DERIVED"],["DerivedStateProjection","effectiveControllerId","UUID|string|null","YES","Результат CORE-181/221","DERIVED"],["DerivedStateProjection","regionPenaltyById","map&lt;regionId,number&gt;","YES","Для одной зоны действует наиболее строгий числовой штраф из травмы/онемения; штрафы не складываются, самостоятельные ограничения объединяются","COMB-031"],["EffectInstance","variantKey","string","YES","Явный вариант эффекта; пустая строка допустима для единственного варианта","GAP-004"],["EffectInstance","aggregateKey","string","YES","Для бинарных эффектов: effectTypeId|variantKey|targetRegionId; источники и таймеры остаются отдельными","GAP-004"],["EffectInstance","deathDisposition","enum","YES","TERMINATE_ON_DEATH/PRESERVE_ON_CORPSE/SOURCE_SPECIFIC","GAP-006"],["PoisonInstance","secondaryControlApplicable","boolean","YES","false для парализующего яда на негуманоиде; остальной payload сохраняется","GAP-017"],["WoundInstance","regionId","string","YES","Зона одной раны, созданной одним событием","GAP-001"],["WoundInstance","creationPolicy","enum","YES","SOURCE_CREATES_WOUND_OR_GM","GAP-001"],["WoundInstance","damagePerTick","number|null","CONDITIONAL","Обязателен только для BLEEDING; значения по умолчанию нет","GAP-002"],["WoundInstance","tickPhase","enum|null","CONDITIONAL","END_OF_TARGET_TURN для BLEEDING","GAP-002"],["WoundInstance","healingPolicy","enum","YES","EXPLICIT_TREATMENT_OR_GM_ONLY","GAP-001–003"],["PreparedCoatingInstance","coatingInstanceId","UUID","YES","Уникальный экземпляр расходуемого покрытия","GAP-011"],["PreparedCoatingInstance","hostItemInstanceId","UUID","YES","Экземпляр предмета либо отдельного отравленного снаряда","GAP-011"],["PreparedCoatingInstance","surfaceKey","string","YES","Одна поражающая поверхность; одновременно одно расходуемое покрытие","GAP-011"],["PreparedCoatingInstance","inventoryMode","enum","YES","STACKABLE_UNCOATED_PROJECTILES/INDIVIDUAL_POISONED_PROJECTILE/INDIVIDUAL_ITEM_COATING","GAP-011"],["PreparedCoatingInstance","consumptionState","enum","YES","ACTIVE/CONSUMED/REPLACED","GAP-011"],["PreparedCoatingInstance","replacesCoatingId","UUID|null","NO","Заполняется после подтверждённой замены покрытия","GAP-011"]]}</t>
  </si>
  <si>
    <t xml:space="preserve">1620fcec05d3e0e82e57f84b68b6790fd8f275d7b7ff2bd03a9a797ceba36eb3</t>
  </si>
  <si>
    <t xml:space="preserve">Неизменяемые зависимости</t>
  </si>
  <si>
    <t xml:space="preserve">Контрольные суммы вычислены непосредственно перед сборкой. Реестр является новым дополнением и не меняет Manifest v1.1.</t>
  </si>
  <si>
    <t xml:space="preserve">Файл</t>
  </si>
  <si>
    <t xml:space="preserve">Размер, байт</t>
  </si>
  <si>
    <t xml:space="preserve">Mutation policy</t>
  </si>
  <si>
    <t xml:space="preserve">Dependency tuple</t>
  </si>
  <si>
    <t xml:space="preserve">Symbiosis_V7_Executable_Rules_Registry_v1.6.xlsx</t>
  </si>
  <si>
    <t xml:space="preserve">v1.6</t>
  </si>
  <si>
    <t xml:space="preserve">NORMATIVE_RULES</t>
  </si>
  <si>
    <t xml:space="preserve">7fe8939403bced0436a009c80fd97830b96a3b2dbf58c9271970e2a8869c3c35</t>
  </si>
  <si>
    <t xml:space="preserve">IMMUTABLE_AGREED_INPUT</t>
  </si>
  <si>
    <t xml:space="preserve">Symbiosis_V7_Character_Skills_Symbionts_Registry_v1.1.xlsx</t>
  </si>
  <si>
    <t xml:space="preserve">v1.1</t>
  </si>
  <si>
    <t xml:space="preserve">NORMATIVE_CHARACTER</t>
  </si>
  <si>
    <t xml:space="preserve">cdc31421568695e9d88c794179918567c551576756b8a2252b1de74c32245dba</t>
  </si>
  <si>
    <t xml:space="preserve">Symbiosis_V7_Item_Registry_v1.5_with_icons.xlsx</t>
  </si>
  <si>
    <t xml:space="preserve">v1.5_with_icons</t>
  </si>
  <si>
    <t xml:space="preserve">NORMATIVE_ITEMS</t>
  </si>
  <si>
    <t xml:space="preserve">09d5e2a5386e318eeb87d4f7b81b3aebb6f9e1669638042f8c58dc9fd92ac19d</t>
  </si>
  <si>
    <t xml:space="preserve">Symbiosis_V7_Canonical_Bestiary_Registry_v1.3.xlsx</t>
  </si>
  <si>
    <t xml:space="preserve">v1.3</t>
  </si>
  <si>
    <t xml:space="preserve">NORMATIVE_BESTIARY</t>
  </si>
  <si>
    <t xml:space="preserve">53253a350673932367812a4f221297a1d6bdbd979a82585df1ab37709be77ae3</t>
  </si>
  <si>
    <t xml:space="preserve">Symbiosis_V7_Default_Sentient_Enemy_Registry_v1.2.xlsx</t>
  </si>
  <si>
    <t xml:space="preserve">NORMATIVE_SENTIENT</t>
  </si>
  <si>
    <t xml:space="preserve">b4c8ff7199e8a9798e5e4928599ee63c9efba3b4244b9c412666a70111ad175f</t>
  </si>
  <si>
    <t xml:space="preserve">Symbiosis_V7_Default_Sentient_Enemy_Runtime_Pack_v1.2.zip</t>
  </si>
  <si>
    <t xml:space="preserve">DERIVED_RUNTIME_PACK</t>
  </si>
  <si>
    <t xml:space="preserve">614f0da1c3128aebbb28d67a68a89ccd189a067c57d407c92536425e46072cdc</t>
  </si>
  <si>
    <t xml:space="preserve">Symbiosis_V7_All_Questions_and_Answers_Registry_v1.1.xlsx</t>
  </si>
  <si>
    <t xml:space="preserve">AUTHORITATIVE_QA</t>
  </si>
  <si>
    <t xml:space="preserve">cc780d920d3f2c08626b66e2f32e2a0b7f3012513b0c84563c2ed3c72387d1c1</t>
  </si>
  <si>
    <t xml:space="preserve">Symbiosis_V7_Cross_Registry_Audit_Report_v1.1.xlsx</t>
  </si>
  <si>
    <t xml:space="preserve">4704a9d8a1af5d8d9b60e3fd26e21334ab484b5fcedc8f8e25674023882b1ae2</t>
  </si>
  <si>
    <t xml:space="preserve">Symbiosis_V7_Development_Baseline_Manifest_v1.1.xlsx</t>
  </si>
  <si>
    <t xml:space="preserve">BASELINE_MANIFEST</t>
  </si>
  <si>
    <t xml:space="preserve">e813b5b3beac184708345489c24e472f73e069765a69a291898de96fef529787</t>
  </si>
  <si>
    <t xml:space="preserve">Формульный контроль выпуска</t>
  </si>
  <si>
    <t xml:space="preserve">Actual и Result вычисляются формулами по таблицам реестра. Любой FAIL является блокером.</t>
  </si>
  <si>
    <t xml:space="preserve">ControlID</t>
  </si>
  <si>
    <t xml:space="preserve">Проверка</t>
  </si>
  <si>
    <t xml:space="preserve">Источник</t>
  </si>
  <si>
    <t xml:space="preserve">CTRL-001</t>
  </si>
  <si>
    <t xml:space="preserve">Family count</t>
  </si>
  <si>
    <t xml:space="preserve">01_Семейства</t>
  </si>
  <si>
    <t xml:space="preserve">CTRL-002</t>
  </si>
  <si>
    <t xml:space="preserve">Effect type count</t>
  </si>
  <si>
    <t xml:space="preserve">02_Типы_эффектов</t>
  </si>
  <si>
    <t xml:space="preserve">CTRL-003</t>
  </si>
  <si>
    <t xml:space="preserve">Disease count</t>
  </si>
  <si>
    <t xml:space="preserve">03_Болезни</t>
  </si>
  <si>
    <t xml:space="preserve">CTRL-004</t>
  </si>
  <si>
    <t xml:space="preserve">Poison profile count</t>
  </si>
  <si>
    <t xml:space="preserve">04_Яды</t>
  </si>
  <si>
    <t xml:space="preserve">CTRL-005</t>
  </si>
  <si>
    <t xml:space="preserve">Injury/wound count</t>
  </si>
  <si>
    <t xml:space="preserve">05_Травмы_и_раны</t>
  </si>
  <si>
    <t xml:space="preserve">CTRL-006</t>
  </si>
  <si>
    <t xml:space="preserve">06_Карта_источников</t>
  </si>
  <si>
    <t xml:space="preserve">CTRL-007</t>
  </si>
  <si>
    <t xml:space="preserve">Combination rule count</t>
  </si>
  <si>
    <t xml:space="preserve">07_Правила_сочетаний</t>
  </si>
  <si>
    <t xml:space="preserve">CTRL-008</t>
  </si>
  <si>
    <t xml:space="preserve">Family matrix expected</t>
  </si>
  <si>
    <t xml:space="preserve">08_Матрица_семейств</t>
  </si>
  <si>
    <t xml:space="preserve">CTRL-009</t>
  </si>
  <si>
    <t xml:space="preserve">Capability profile count</t>
  </si>
  <si>
    <t xml:space="preserve">09_Профили_дееспособности</t>
  </si>
  <si>
    <t xml:space="preserve">CTRL-010</t>
  </si>
  <si>
    <t xml:space="preserve">Response profile count</t>
  </si>
  <si>
    <t xml:space="preserve">10_Иммунитеты</t>
  </si>
  <si>
    <t xml:space="preserve">CTRL-011</t>
  </si>
  <si>
    <t xml:space="preserve">Time policy count</t>
  </si>
  <si>
    <t xml:space="preserve">11_Таймеры_порядок</t>
  </si>
  <si>
    <t xml:space="preserve">CTRL-012</t>
  </si>
  <si>
    <t xml:space="preserve">Runtime field count</t>
  </si>
  <si>
    <t xml:space="preserve">12_Runtime_контракты</t>
  </si>
  <si>
    <t xml:space="preserve">CTRL-013</t>
  </si>
  <si>
    <t xml:space="preserve">Operation count</t>
  </si>
  <si>
    <t xml:space="preserve">13_Операции</t>
  </si>
  <si>
    <t xml:space="preserve">CTRL-014</t>
  </si>
  <si>
    <t xml:space="preserve">Gap count</t>
  </si>
  <si>
    <t xml:space="preserve">14_Пробелы_и_решения</t>
  </si>
  <si>
    <t xml:space="preserve">CTRL-015</t>
  </si>
  <si>
    <t xml:space="preserve">Trace count</t>
  </si>
  <si>
    <t xml:space="preserve">15_Трассировка</t>
  </si>
  <si>
    <t xml:space="preserve">CTRL-016</t>
  </si>
  <si>
    <t xml:space="preserve">QA total</t>
  </si>
  <si>
    <t xml:space="preserve">16_QA</t>
  </si>
  <si>
    <t xml:space="preserve">CTRL-017</t>
  </si>
  <si>
    <t xml:space="preserve">QA PASS</t>
  </si>
  <si>
    <t xml:space="preserve">CTRL-018</t>
  </si>
  <si>
    <t xml:space="preserve">Dictionary count</t>
  </si>
  <si>
    <t xml:space="preserve">17_Справочники</t>
  </si>
  <si>
    <t xml:space="preserve">CTRL-019</t>
  </si>
  <si>
    <t xml:space="preserve">Payload count</t>
  </si>
  <si>
    <t xml:space="preserve">18_Payload_JSON</t>
  </si>
  <si>
    <t xml:space="preserve">CTRL-020</t>
  </si>
  <si>
    <t xml:space="preserve">Dependency count</t>
  </si>
  <si>
    <t xml:space="preserve">19_Зависимости</t>
  </si>
  <si>
    <t xml:space="preserve">CTRL-021</t>
  </si>
  <si>
    <t xml:space="preserve">Open GAP decisions</t>
  </si>
  <si>
    <t xml:space="preserve">CTRL-022</t>
  </si>
  <si>
    <t xml:space="preserve">Unresolved combination branches</t>
  </si>
  <si>
    <t xml:space="preserve">CTRL-023</t>
  </si>
  <si>
    <t xml:space="preserve">Explicitly excluded blindness definitions</t>
  </si>
  <si>
    <t xml:space="preserve">CTRL-024</t>
  </si>
  <si>
    <t xml:space="preserve">Payload SHA rows PASS</t>
  </si>
  <si>
    <t xml:space="preserve">Журнал выпуска v1.0</t>
  </si>
  <si>
    <t xml:space="preserve">Новый самостоятельный артефакт; согласованные входы и их манифест не редактировались.</t>
  </si>
  <si>
    <t xml:space="preserve">№</t>
  </si>
  <si>
    <t xml:space="preserve">Изменение</t>
  </si>
  <si>
    <t xml:space="preserve">Основание</t>
  </si>
  <si>
    <t xml:space="preserve">Схема</t>
  </si>
  <si>
    <t xml:space="preserve">Введены 24 семейства и стабильные EffectTypeID</t>
  </si>
  <si>
    <t xml:space="preserve">Отсутствие общего словаря состояний</t>
  </si>
  <si>
    <t xml:space="preserve">67 типов</t>
  </si>
  <si>
    <t xml:space="preserve">Нормализованы девять активных болезней и Поветрие TRACE_ONLY</t>
  </si>
  <si>
    <t xml:space="preserve">MON-076–085; MON-058–060</t>
  </si>
  <si>
    <t xml:space="preserve">10 DiseaseID</t>
  </si>
  <si>
    <t xml:space="preserve">Разделены poison profiles и болезнь «Отравление»</t>
  </si>
  <si>
    <t xml:space="preserve">8 профилей</t>
  </si>
  <si>
    <t xml:space="preserve">Добавлены явные resolvers и полная матрица семейств</t>
  </si>
  <si>
    <t xml:space="preserve">CORE-079–080 + частные правила</t>
  </si>
  <si>
    <t xml:space="preserve">65 правил / 300 пар</t>
  </si>
  <si>
    <t xml:space="preserve">Дееспособность</t>
  </si>
  <si>
    <t xml:space="preserve">Добавлены производные профили сложных состояний</t>
  </si>
  <si>
    <t xml:space="preserve">CORE-103; CORE-181</t>
  </si>
  <si>
    <t xml:space="preserve">21 профилей</t>
  </si>
  <si>
    <t xml:space="preserve">Определена entry schema существующих state arrays</t>
  </si>
  <si>
    <t xml:space="preserve">Sentient/Bestiary gaps</t>
  </si>
  <si>
    <t xml:space="preserve">53 полей</t>
  </si>
  <si>
    <t xml:space="preserve">Безопасность</t>
  </si>
  <si>
    <t xml:space="preserve">Неопределённые ветви помечены и локально блокируются</t>
  </si>
  <si>
    <t xml:space="preserve">Запрет авторских допущений</t>
  </si>
  <si>
    <t xml:space="preserve">34 записей</t>
  </si>
  <si>
    <t xml:space="preserve">Трассировка</t>
  </si>
  <si>
    <t xml:space="preserve">Проиндексированы релевантные карточки Rules</t>
  </si>
  <si>
    <t xml:space="preserve">Rules v1.6 read-only extraction</t>
  </si>
  <si>
    <t xml:space="preserve">306 строк</t>
  </si>
  <si>
    <t xml:space="preserve">Сформированы canonical JSON и SHA-256</t>
  </si>
  <si>
    <t xml:space="preserve">Runtime delivery</t>
  </si>
  <si>
    <t xml:space="preserve">183 payload</t>
  </si>
  <si>
    <t xml:space="preserve">Проверены структура, стек, болезни, таймеры, ответы и сочетания</t>
  </si>
  <si>
    <t xml:space="preserve">Release gate</t>
  </si>
  <si>
    <t xml:space="preserve">60/60 PASS</t>
  </si>
  <si>
    <t xml:space="preserve">Зафиксированы SHA-256 девяти неизменяемых входов</t>
  </si>
  <si>
    <t xml:space="preserve">Прямой запрос пользователя</t>
  </si>
  <si>
    <t xml:space="preserve">9 артефактов</t>
  </si>
  <si>
    <t xml:space="preserve">Manifest</t>
  </si>
  <si>
    <t xml:space="preserve">Development Baseline Manifest v1.1 не изменён</t>
  </si>
  <si>
    <t xml:space="preserve">Запрет менять согласованные артефакты</t>
  </si>
  <si>
    <t xml:space="preserve">Supplement only</t>
  </si>
  <si>
    <t xml:space="preserve">Журнал выпуска v1.1</t>
  </si>
  <si>
    <t xml:space="preserve">Авторские ответы закрывают 21 GAP; согласованная базовая линия остаётся неизменной.</t>
  </si>
  <si>
    <t xml:space="preserve">Формализовано создание, зона и явное снятие ран</t>
  </si>
  <si>
    <t xml:space="preserve">Введены явный damagePerTick, per-wound экземпляры и end-of-turn tick</t>
  </si>
  <si>
    <t xml:space="preserve">Зафиксировано отсутствие автоматического восстановления</t>
  </si>
  <si>
    <t xml:space="preserve">Определены binary aggregate key, горение, контроль и щит</t>
  </si>
  <si>
    <t xml:space="preserve">GAP-004–005; GAP-012–013</t>
  </si>
  <si>
    <t xml:space="preserve">Определено завершение и сохранение состояний трупа</t>
  </si>
  <si>
    <t xml:space="preserve">SYM-144 пропускает stat debuff SYM-042</t>
  </si>
  <si>
    <t xml:space="preserve">Явный закрытый тег стал единственным классификатором</t>
  </si>
  <si>
    <t xml:space="preserve">Один coating на поверхность; обычные снаряды stackable, отравленные individual</t>
  </si>
  <si>
    <t xml:space="preserve">Мульти-источник</t>
  </si>
  <si>
    <t xml:space="preserve">Пеленальщица, Жаба и Вивисектор получили per-source правила</t>
  </si>
  <si>
    <t xml:space="preserve">GAP-014–016</t>
  </si>
  <si>
    <t xml:space="preserve">Негуманоиды</t>
  </si>
  <si>
    <t xml:space="preserve">Парализующий яд не создаёт paralysis secondary, остальные последствия сохраняются</t>
  </si>
  <si>
    <t xml:space="preserve">Введена half-up/min-one политика R20/3</t>
  </si>
  <si>
    <t xml:space="preserve">Добавлена GM-операция восстановления герметичности вне боя</t>
  </si>
  <si>
    <t xml:space="preserve">Разрешён effectiveStat ниже 1 с последующим MON-075</t>
  </si>
  <si>
    <t xml:space="preserve">Поздние Q&amp;A</t>
  </si>
  <si>
    <t xml:space="preserve">Горение и коррозия закрыты действующими ответами</t>
  </si>
  <si>
    <t xml:space="preserve">GAP-031; GAP-034</t>
  </si>
  <si>
    <t xml:space="preserve">Добавлены 15 полей для агрегации, смерти, ран и покрытий</t>
  </si>
  <si>
    <t xml:space="preserve">Авторские ответы</t>
  </si>
  <si>
    <t xml:space="preserve">68 fields</t>
  </si>
  <si>
    <t xml:space="preserve">Добавлены 30 обязательных сценариев решений</t>
  </si>
  <si>
    <t xml:space="preserve">90/90 PASS</t>
  </si>
  <si>
    <t xml:space="preserve">Пересобраны canonical JSON и SHA-256</t>
  </si>
  <si>
    <t xml:space="preserve">185 payload</t>
  </si>
  <si>
    <t xml:space="preserve">Девять согласованных артефактов не изменялись</t>
  </si>
  <si>
    <t xml:space="preserve">Ограничения</t>
  </si>
  <si>
    <t xml:space="preserve">Сохранены две неотвеченные локальные ветви</t>
  </si>
  <si>
    <t xml:space="preserve">COMB-031; EFF-SENSE-BLINDNESS</t>
  </si>
  <si>
    <t xml:space="preserve">DECLARED</t>
  </si>
  <si>
    <t xml:space="preserve">Выпущен самостоятельный Effects &amp; Diseases Registry v1.1</t>
  </si>
  <si>
    <t xml:space="preserve">Author answers 2026-07-30</t>
  </si>
  <si>
    <t xml:space="preserve">READY</t>
  </si>
  <si>
    <t xml:space="preserve">Дата выпуска зафиксирована</t>
  </si>
  <si>
    <t xml:space="preserve">2026-07-30</t>
  </si>
  <si>
    <t xml:space="preserve">Журнал выпуска v1.2</t>
  </si>
  <si>
    <t xml:space="preserve">Закрыты две последние локальные развилки; согласованная базовая линия остаётся неизменной.</t>
  </si>
  <si>
    <t xml:space="preserve">Для одной конечности числовые штрафы не складываются; действует наиболее строгий</t>
  </si>
  <si>
    <t xml:space="preserve">Прямой ответ пользователя 2026-07-31</t>
  </si>
  <si>
    <t xml:space="preserve">Самостоятельные нефункциональные ограничения объединяются</t>
  </si>
  <si>
    <t xml:space="preserve">Снятие</t>
  </si>
  <si>
    <t xml:space="preserve">Снятие онемения не устраняет травму; снятие травмы не завершает онемение</t>
  </si>
  <si>
    <t xml:space="preserve">Выдавливание глаз и иная потеря зрения исключены из модели приложения</t>
  </si>
  <si>
    <t xml:space="preserve">Q-CORE-045; прямой ответ пользователя 2026-07-31</t>
  </si>
  <si>
    <t xml:space="preserve">В приложении сохраняется только исполнимая ветвь болевого приёма</t>
  </si>
  <si>
    <t xml:space="preserve">Добавлены NOT_MODELED и DerivedStateProjection.regionPenaltyById</t>
  </si>
  <si>
    <t xml:space="preserve">COMB-031; GAP-030</t>
  </si>
  <si>
    <t xml:space="preserve">69 fields</t>
  </si>
  <si>
    <t xml:space="preserve">GM-операции</t>
  </si>
  <si>
    <t xml:space="preserve">SET_GM_FORMAL_STATE отклоняет BLOCKED и NOT_MODELED</t>
  </si>
  <si>
    <t xml:space="preserve">Automation boundary</t>
  </si>
  <si>
    <t xml:space="preserve">Добавлены 8 обязательных сценариев окончательных решений</t>
  </si>
  <si>
    <t xml:space="preserve">Пересобраны canonical JSON и SHA-256; счётчики исправлены до фактических UTF-8 bytes</t>
  </si>
  <si>
    <t xml:space="preserve">185/185 PASS</t>
  </si>
  <si>
    <t xml:space="preserve">Все формульные проверки переведены на окончательные границы</t>
  </si>
  <si>
    <t xml:space="preserve">24/24 PASS</t>
  </si>
  <si>
    <t xml:space="preserve">Девять согласованных входов и Manifest v1.1 не изменялись</t>
  </si>
  <si>
    <t xml:space="preserve">Выпущен самостоятельный Effects &amp; Diseases Registry v1.2</t>
  </si>
  <si>
    <t xml:space="preserve">Author answers 2026-07-31</t>
  </si>
</sst>
</file>

<file path=xl/styles.xml><?xml version="1.0" encoding="utf-8"?>
<styleSheet xmlns="http://schemas.openxmlformats.org/spreadsheetml/2006/main">
  <numFmts count="10">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s>
  <fonts count="17">
    <font>
      <sz val="10"/>
      <name val="Arial"/>
      <family val="2"/>
    </font>
    <font>
      <sz val="10"/>
      <name val="Arial"/>
      <family val="0"/>
    </font>
    <font>
      <sz val="10"/>
      <name val="Arial"/>
      <family val="0"/>
    </font>
    <font>
      <sz val="10"/>
      <name val="Arial"/>
      <family val="0"/>
    </font>
    <font>
      <sz val="10"/>
      <name val="Arial"/>
      <family val="0"/>
      <charset val="1"/>
    </font>
    <font>
      <sz val="11"/>
      <name val="Calibri"/>
      <family val="0"/>
      <charset val="1"/>
    </font>
    <font>
      <b val="true"/>
      <sz val="17"/>
      <color rgb="FFFFFFFF"/>
      <name val="Aptos Display"/>
      <family val="0"/>
      <charset val="1"/>
    </font>
    <font>
      <i val="true"/>
      <sz val="10"/>
      <color rgb="FF17365D"/>
      <name val="Aptos"/>
      <family val="0"/>
      <charset val="1"/>
    </font>
    <font>
      <b val="true"/>
      <sz val="11"/>
      <color rgb="FFFFFFFF"/>
      <name val="Calibri"/>
      <family val="0"/>
      <charset val="1"/>
    </font>
    <font>
      <b val="true"/>
      <sz val="10"/>
      <color rgb="FFFFFFFF"/>
      <name val="Aptos"/>
      <family val="0"/>
      <charset val="1"/>
    </font>
    <font>
      <sz val="9"/>
      <color rgb="FF1F1F1F"/>
      <name val="Aptos"/>
      <family val="0"/>
      <charset val="1"/>
    </font>
    <font>
      <sz val="9"/>
      <color rgb="FF1F1F1F"/>
      <name val="Arial"/>
      <family val="0"/>
      <charset val="1"/>
    </font>
    <font>
      <b val="true"/>
      <sz val="9"/>
      <color rgb="FF17365D"/>
      <name val="Aptos"/>
      <family val="0"/>
      <charset val="1"/>
    </font>
    <font>
      <b val="true"/>
      <sz val="10"/>
      <color rgb="FF375623"/>
      <name val="Arial"/>
      <family val="0"/>
      <charset val="1"/>
    </font>
    <font>
      <b val="true"/>
      <sz val="16"/>
      <color rgb="FFFFFFFF"/>
      <name val="Arial"/>
      <family val="0"/>
      <charset val="1"/>
    </font>
    <font>
      <i val="true"/>
      <sz val="10"/>
      <color rgb="FF1F4E78"/>
      <name val="Arial"/>
      <family val="0"/>
      <charset val="1"/>
    </font>
    <font>
      <b val="true"/>
      <sz val="10"/>
      <color rgb="FFFFFFFF"/>
      <name val="Arial"/>
      <family val="0"/>
      <charset val="1"/>
    </font>
  </fonts>
  <fills count="10">
    <fill>
      <patternFill patternType="none"/>
    </fill>
    <fill>
      <patternFill patternType="gray125"/>
    </fill>
    <fill>
      <patternFill patternType="solid">
        <fgColor rgb="FF17365D"/>
        <bgColor rgb="FF1F4E78"/>
      </patternFill>
    </fill>
    <fill>
      <patternFill patternType="solid">
        <fgColor rgb="FFD9EAF7"/>
        <bgColor rgb="FFD9E2F3"/>
      </patternFill>
    </fill>
    <fill>
      <patternFill patternType="solid">
        <fgColor rgb="FF4472C4"/>
        <bgColor rgb="FF2F75B5"/>
      </patternFill>
    </fill>
    <fill>
      <patternFill patternType="solid">
        <fgColor rgb="FF2F75B5"/>
        <bgColor rgb="FF4472C4"/>
      </patternFill>
    </fill>
    <fill>
      <patternFill patternType="solid">
        <fgColor rgb="FFFFFFFF"/>
        <bgColor rgb="FFFFFFCC"/>
      </patternFill>
    </fill>
    <fill>
      <patternFill patternType="solid">
        <fgColor rgb="FFC6EAF8"/>
        <bgColor rgb="FFD9EAF7"/>
      </patternFill>
    </fill>
    <fill>
      <patternFill patternType="solid">
        <fgColor rgb="FFE2F0D9"/>
        <bgColor rgb="FFD9EAF7"/>
      </patternFill>
    </fill>
    <fill>
      <patternFill patternType="solid">
        <fgColor rgb="FF0F6A7D"/>
        <bgColor rgb="FF156082"/>
      </patternFill>
    </fill>
  </fills>
  <borders count="4">
    <border diagonalUp="false" diagonalDown="false">
      <left/>
      <right/>
      <top/>
      <bottom/>
      <diagonal/>
    </border>
    <border diagonalUp="false" diagonalDown="false">
      <left style="thin">
        <color rgb="FF9FBAD0"/>
      </left>
      <right style="thin">
        <color rgb="FF9FBAD0"/>
      </right>
      <top style="thin">
        <color rgb="FF9FBAD0"/>
      </top>
      <bottom style="thin">
        <color rgb="FF9FBAD0"/>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5B9BD5"/>
      </left>
      <right style="thin">
        <color rgb="FF5B9BD5"/>
      </right>
      <top style="thin">
        <color rgb="FF5B9BD5"/>
      </top>
      <bottom style="thin">
        <color rgb="FF5B9BD5"/>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29" applyFont="true" applyBorder="true" applyAlignment="true" applyProtection="false">
      <alignment horizontal="general" vertical="center" textRotation="0" wrapText="false" indent="0" shrinkToFit="false"/>
      <protection locked="true" hidden="false"/>
    </xf>
    <xf numFmtId="164" fontId="7" fillId="3" borderId="0" xfId="29" applyFont="true" applyBorder="true" applyAlignment="true" applyProtection="false">
      <alignment horizontal="general" vertical="center" textRotation="0" wrapText="true" indent="0" shrinkToFit="false"/>
      <protection locked="true" hidden="false"/>
    </xf>
    <xf numFmtId="164" fontId="8" fillId="4" borderId="1" xfId="29" applyFont="true" applyBorder="true" applyAlignment="true" applyProtection="false">
      <alignment horizontal="center" vertical="bottom" textRotation="0" wrapText="true" indent="0" shrinkToFit="false"/>
      <protection locked="true" hidden="false"/>
    </xf>
    <xf numFmtId="164" fontId="5" fillId="0" borderId="2" xfId="29" applyFont="true" applyBorder="true" applyAlignment="true" applyProtection="false">
      <alignment horizontal="general" vertical="top" textRotation="0" wrapText="true" indent="0" shrinkToFit="false"/>
      <protection locked="true" hidden="false"/>
    </xf>
    <xf numFmtId="164" fontId="8" fillId="5" borderId="0" xfId="29" applyFont="true" applyBorder="true" applyAlignment="true" applyProtection="false">
      <alignment horizontal="general" vertical="bottom" textRotation="0" wrapText="false" indent="0" shrinkToFit="false"/>
      <protection locked="true" hidden="false"/>
    </xf>
    <xf numFmtId="164" fontId="5" fillId="3" borderId="2" xfId="29" applyFont="true" applyBorder="true" applyAlignment="true" applyProtection="false">
      <alignment horizontal="general" vertical="bottom" textRotation="0" wrapText="true" indent="0" shrinkToFit="false"/>
      <protection locked="true" hidden="false"/>
    </xf>
    <xf numFmtId="164" fontId="5" fillId="6" borderId="2" xfId="29" applyFont="true" applyBorder="true" applyAlignment="true" applyProtection="false">
      <alignment horizontal="general" vertical="bottom" textRotation="0" wrapText="true" indent="0" shrinkToFit="false"/>
      <protection locked="true" hidden="false"/>
    </xf>
    <xf numFmtId="164" fontId="9" fillId="4" borderId="1" xfId="29" applyFont="true" applyBorder="true" applyAlignment="true" applyProtection="false">
      <alignment horizontal="center" vertical="center" textRotation="0" wrapText="true" indent="0" shrinkToFit="false"/>
      <protection locked="true" hidden="false"/>
    </xf>
    <xf numFmtId="164" fontId="10" fillId="0" borderId="2" xfId="29" applyFont="true" applyBorder="true" applyAlignment="true" applyProtection="false">
      <alignment horizontal="general" vertical="top" textRotation="0" wrapText="true" indent="0" shrinkToFit="false"/>
      <protection locked="true" hidden="false"/>
    </xf>
    <xf numFmtId="164" fontId="11" fillId="7" borderId="3" xfId="28" applyFont="true" applyBorder="true" applyAlignment="true" applyProtection="false">
      <alignment horizontal="general" vertical="center" textRotation="0" wrapText="true" indent="0" shrinkToFit="false"/>
      <protection locked="true" hidden="false"/>
    </xf>
    <xf numFmtId="164" fontId="11" fillId="6" borderId="3" xfId="28" applyFont="true" applyBorder="true" applyAlignment="true" applyProtection="false">
      <alignment horizontal="general" vertical="center" textRotation="0" wrapText="true" indent="0" shrinkToFit="false"/>
      <protection locked="true" hidden="false"/>
    </xf>
    <xf numFmtId="164" fontId="12" fillId="8" borderId="2" xfId="29" applyFont="true" applyBorder="true" applyAlignment="true" applyProtection="false">
      <alignment horizontal="center" vertical="top" textRotation="0" wrapText="true" indent="0" shrinkToFit="false"/>
      <protection locked="true" hidden="false"/>
    </xf>
    <xf numFmtId="164" fontId="13" fillId="8" borderId="0" xfId="30" applyFont="true" applyBorder="true" applyAlignment="true" applyProtection="false">
      <alignment horizontal="center" vertical="bottom" textRotation="0" wrapText="false" indent="0" shrinkToFit="false"/>
      <protection locked="true" hidden="false"/>
    </xf>
    <xf numFmtId="164" fontId="4" fillId="0" borderId="0" xfId="30" applyFont="true" applyBorder="true" applyAlignment="true" applyProtection="false">
      <alignment horizontal="general" vertical="bottom" textRotation="0" wrapText="true" indent="0" shrinkToFit="false"/>
      <protection locked="true" hidden="false"/>
    </xf>
    <xf numFmtId="164" fontId="14" fillId="2" borderId="0" xfId="28" applyFont="true" applyBorder="true" applyAlignment="true" applyProtection="false">
      <alignment horizontal="general" vertical="center" textRotation="0" wrapText="false" indent="0" shrinkToFit="false"/>
      <protection locked="true" hidden="false"/>
    </xf>
    <xf numFmtId="164" fontId="15" fillId="3" borderId="0" xfId="28" applyFont="true" applyBorder="true" applyAlignment="true" applyProtection="false">
      <alignment horizontal="general" vertical="center" textRotation="0" wrapText="true" indent="0" shrinkToFit="false"/>
      <protection locked="true" hidden="false"/>
    </xf>
    <xf numFmtId="164" fontId="16" fillId="9" borderId="3" xfId="28" applyFont="true" applyBorder="true" applyAlignment="true" applyProtection="false">
      <alignment horizontal="center" vertical="center" textRotation="0" wrapText="true" indent="0" shrinkToFit="false"/>
      <protection locked="true" hidden="false"/>
    </xf>
    <xf numFmtId="164" fontId="11" fillId="7" borderId="3" xfId="28" applyFont="true" applyBorder="true" applyAlignment="true" applyProtection="false">
      <alignment horizontal="center" vertical="center" textRotation="0" wrapText="true" indent="0" shrinkToFit="false"/>
      <protection locked="true" hidden="false"/>
    </xf>
    <xf numFmtId="164" fontId="11" fillId="6" borderId="3" xfId="28" applyFont="true" applyBorder="true" applyAlignment="true" applyProtection="false">
      <alignment horizontal="center" vertical="center"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0]" xfId="22"/>
    <cellStyle name="Comma [0] 2" xfId="23"/>
    <cellStyle name="Currency" xfId="24"/>
    <cellStyle name="Currency 3" xfId="25"/>
    <cellStyle name="Currency [0]" xfId="26"/>
    <cellStyle name="Currency [0] 4" xfId="27"/>
    <cellStyle name="Normal" xfId="28"/>
    <cellStyle name="Normal 1" xfId="29"/>
    <cellStyle name="Normal 5" xfId="30"/>
    <cellStyle name="Percent" xfId="31"/>
    <cellStyle name="Percent 6" xfId="32"/>
  </cellStyles>
  <dxfs count="16">
    <dxf>
      <fill>
        <patternFill patternType="solid">
          <fgColor rgb="FF4472C4"/>
          <bgColor rgb="FF000000"/>
        </patternFill>
      </fill>
    </dxf>
    <dxf>
      <fill>
        <patternFill patternType="solid">
          <bgColor rgb="FF000000"/>
        </patternFill>
      </fill>
    </dxf>
    <dxf>
      <fill>
        <patternFill patternType="solid">
          <fgColor rgb="FF1F1F1F"/>
          <bgColor rgb="FF000000"/>
        </patternFill>
      </fill>
    </dxf>
    <dxf>
      <fill>
        <patternFill patternType="solid">
          <fgColor rgb="FFFFFFFF"/>
          <bgColor rgb="FF000000"/>
        </patternFill>
      </fill>
    </dxf>
    <dxf>
      <fill>
        <patternFill patternType="solid">
          <fgColor rgb="FFC6EAF8"/>
          <bgColor rgb="FF000000"/>
        </patternFill>
      </fill>
    </dxf>
    <dxf>
      <fill>
        <patternFill patternType="solid">
          <fgColor rgb="FFE2F0D9"/>
          <bgColor rgb="FF000000"/>
        </patternFill>
      </fill>
    </dxf>
    <dxf>
      <fill>
        <patternFill patternType="solid">
          <fgColor rgb="FF17365D"/>
          <bgColor rgb="FF000000"/>
        </patternFill>
      </fill>
    </dxf>
    <dxf>
      <fill>
        <patternFill patternType="solid">
          <fgColor rgb="FF375623"/>
          <bgColor rgb="FF000000"/>
        </patternFill>
      </fill>
    </dxf>
    <dxf>
      <fill>
        <patternFill patternType="solid">
          <fgColor rgb="FF0F6A7D"/>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9" type="wholeTable"/>
      <tableStyleElement dxfId="10" type="firstColumnStripe"/>
      <tableStyleElement dxfId="11" type="firstRowStripe"/>
      <tableStyleElement dxfId="12" type="lastColumn"/>
      <tableStyleElement dxfId="13" type="firstColumn"/>
      <tableStyleElement dxfId="14" type="headerRow"/>
      <tableStyleElement dxfId="15"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A7D"/>
      <rgbColor rgb="FF9FBAD0"/>
      <rgbColor rgb="FF808080"/>
      <rgbColor rgb="FF5B9BD5"/>
      <rgbColor rgb="FF993366"/>
      <rgbColor rgb="FFFFFFCC"/>
      <rgbColor rgb="FFC6EAF8"/>
      <rgbColor rgb="FF660066"/>
      <rgbColor rgb="FFFF8080"/>
      <rgbColor rgb="FF2F75B5"/>
      <rgbColor rgb="FFD9E2F3"/>
      <rgbColor rgb="FF000080"/>
      <rgbColor rgb="FFFF00FF"/>
      <rgbColor rgb="FFFFFF00"/>
      <rgbColor rgb="FF00FFFF"/>
      <rgbColor rgb="FF800080"/>
      <rgbColor rgb="FF800000"/>
      <rgbColor rgb="FF156082"/>
      <rgbColor rgb="FF0000FF"/>
      <rgbColor rgb="FF00CCFF"/>
      <rgbColor rgb="FFD9EAF7"/>
      <rgbColor rgb="FFE2F0D9"/>
      <rgbColor rgb="FFFFFF99"/>
      <rgbColor rgb="FF99CCFF"/>
      <rgbColor rgb="FFFF99CC"/>
      <rgbColor rgb="FFCC99FF"/>
      <rgbColor rgb="FFFFCC99"/>
      <rgbColor rgb="FF4472C4"/>
      <rgbColor rgb="FF46B1E1"/>
      <rgbColor rgb="FF99CC00"/>
      <rgbColor rgb="FFFFCC00"/>
      <rgbColor rgb="FFFF9900"/>
      <rgbColor rgb="FFFF6600"/>
      <rgbColor rgb="FF666699"/>
      <rgbColor rgb="FF969696"/>
      <rgbColor rgb="FF17365D"/>
      <rgbColor rgb="FF339966"/>
      <rgbColor rgb="FF003300"/>
      <rgbColor rgb="FF375623"/>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ables/table1.xml><?xml version="1.0" encoding="utf-8"?>
<table xmlns="http://schemas.openxmlformats.org/spreadsheetml/2006/main" id="1" name="CapabilityProfilesV10" displayName="CapabilityProfilesV10" ref="A4:M25" headerRowCount="1" totalsRowCount="0" totalsRowShown="0">
  <tableColumns count="13">
    <tableColumn id="1" name="ProfileID"/>
    <tableColumn id="2" name="Активные состояния"/>
    <tableColumn id="3" name="Физические действия"/>
    <tableColumn id="4" name="Ментальные действия"/>
    <tableColumn id="5" name="Реакции"/>
    <tableColumn id="6" name="Активная защита"/>
    <tableColumn id="7" name="Перемещение"/>
    <tableColumn id="8" name="Броня"/>
    <tableColumn id="9" name="Таймеры / автономные эффекты"/>
    <tableColumn id="10" name="Контроллер"/>
    <tableColumn id="11" name="Выход"/>
    <tableColumn id="12" name="Rule refs"/>
    <tableColumn id="13" name="Status"/>
  </tableColumns>
  <tableStyleInfo name="TableStyleMedium2" showFirstColumn="0" showLastColumn="0" showRowStripes="1" showColumnStripes="0"/>
</table>
</file>

<file path=xl/tables/table2.xml><?xml version="1.0" encoding="utf-8"?>
<table xmlns="http://schemas.openxmlformats.org/spreadsheetml/2006/main" id="2" name="ChangesV11" displayName="ChangesV11" ref="A4:F26" headerRowCount="1" totalsRowCount="0" totalsRowShown="0">
  <tableColumns count="6">
    <tableColumn id="1" name="№"/>
    <tableColumn id="2" name="Область"/>
    <tableColumn id="3" name="Изменение"/>
    <tableColumn id="4" name="Основание"/>
    <tableColumn id="5" name="Результат"/>
    <tableColumn id="6" name="Совместимость"/>
  </tableColumns>
  <tableStyleInfo name="TableStyleMedium2" showFirstColumn="0" showLastColumn="0" showRowStripes="1" showColumnStripes="0"/>
</table>
</file>

<file path=xl/tables/table3.xml><?xml version="1.0" encoding="utf-8"?>
<table xmlns="http://schemas.openxmlformats.org/spreadsheetml/2006/main" id="3" name="ChangesV12" displayName="ChangesV12" ref="A4:F17" headerRowCount="1" totalsRowCount="0" totalsRowShown="0">
  <tableColumns count="6">
    <tableColumn id="1" name="№"/>
    <tableColumn id="2" name="Область"/>
    <tableColumn id="3" name="Изменение"/>
    <tableColumn id="4" name="Основание"/>
    <tableColumn id="5" name="Результат"/>
    <tableColumn id="6" name="Совместимость"/>
  </tableColumns>
  <tableStyleInfo name="TableStyleMedium2" showFirstColumn="0" showLastColumn="0" showRowStripes="1" showColumnStripes="0"/>
</table>
</file>

<file path=xl/tables/table4.xml><?xml version="1.0" encoding="utf-8"?>
<table xmlns="http://schemas.openxmlformats.org/spreadsheetml/2006/main" id="4" name="CombinationRulesV10" displayName="CombinationRulesV10" ref="A4:M71" headerRowCount="1" totalsRowCount="0" totalsRowShown="0">
  <tableColumns count="13">
    <tableColumn id="1" name="CombinationRuleID"/>
    <tableColumn id="2" name="Левый селектор"/>
    <tableColumn id="3" name="Правый селектор"/>
    <tableColumn id="4" name="Результат"/>
    <tableColumn id="5" name="Приоритет"/>
    <tableColumn id="6" name="Stack / timer"/>
    <tableColumn id="7" name="Removal / transition / note"/>
    <tableColumn id="8" name="Rule refs"/>
    <tableColumn id="9" name="Left family"/>
    <tableColumn id="10" name="Right family"/>
    <tableColumn id="11" name="Automation"/>
    <tableColumn id="12" name="Status"/>
    <tableColumn id="13" name="ID count"/>
  </tableColumns>
  <tableStyleInfo name="TableStyleMedium2" showFirstColumn="0" showLastColumn="0" showRowStripes="1" showColumnStripes="0"/>
</table>
</file>

<file path=xl/tables/table5.xml><?xml version="1.0" encoding="utf-8"?>
<table xmlns="http://schemas.openxmlformats.org/spreadsheetml/2006/main" id="5" name="DiseasesV10" displayName="DiseasesV10" ref="A4:P14" headerRowCount="1" totalsRowCount="0" totalsRowShown="0">
  <tableColumns count="16">
    <tableColumn id="1" name="DiseaseID"/>
    <tableColumn id="2" name="Название"/>
    <tableColumn id="3" name="Status"/>
    <tableColumn id="4" name="Assignment"/>
    <tableColumn id="5" name="Duration"/>
    <tableColumn id="6" name="Stat modifiers JSON"/>
    <tableColumn id="7" name="Check modifiers JSON"/>
    <tableColumn id="8" name="Periodic"/>
    <tableColumn id="9" name="Stacking"/>
    <tableColumn id="10" name="Unconscious projection"/>
    <tableColumn id="11" name="Effect family"/>
    <tableColumn id="12" name="Is poison"/>
    <tableColumn id="13" name="Rule refs"/>
    <tableColumn id="14" name="Locator"/>
    <tableColumn id="15" name="Примечание"/>
    <tableColumn id="16" name="ID count"/>
  </tableColumns>
  <tableStyleInfo name="TableStyleMedium2" showFirstColumn="0" showLastColumn="0" showRowStripes="1" showColumnStripes="0"/>
</table>
</file>

<file path=xl/tables/table6.xml><?xml version="1.0" encoding="utf-8"?>
<table xmlns="http://schemas.openxmlformats.org/spreadsheetml/2006/main" id="6" name="EffectOperationsV10" displayName="EffectOperationsV10" ref="A4:G29" headerRowCount="1" totalsRowCount="0" totalsRowShown="0">
  <tableColumns count="7">
    <tableColumn id="1" name="OperationID"/>
    <tableColumn id="2" name="Inputs"/>
    <tableColumn id="3" name="Алгоритм"/>
    <tableColumn id="4" name="State writes"/>
    <tableColumn id="5" name="Idempotency / audit"/>
    <tableColumn id="6" name="Failure policy"/>
    <tableColumn id="7" name="Rule refs"/>
  </tableColumns>
  <tableStyleInfo name="TableStyleMedium2" showFirstColumn="0" showLastColumn="0" showRowStripes="1" showColumnStripes="0"/>
</table>
</file>

<file path=xl/tables/table7.xml><?xml version="1.0" encoding="utf-8"?>
<table xmlns="http://schemas.openxmlformats.org/spreadsheetml/2006/main" id="7" name="EffectsChangesV10" displayName="EffectsChangesV10" ref="A4:F16" headerRowCount="1" totalsRowCount="0" totalsRowShown="0">
  <tableColumns count="6">
    <tableColumn id="1" name="№"/>
    <tableColumn id="2" name="Область"/>
    <tableColumn id="3" name="Изменение"/>
    <tableColumn id="4" name="Основание"/>
    <tableColumn id="5" name="Результат"/>
    <tableColumn id="6" name="Совместимость"/>
  </tableColumns>
  <tableStyleInfo name="TableStyleMedium2" showFirstColumn="0" showLastColumn="0" showRowStripes="1" showColumnStripes="0"/>
</table>
</file>

<file path=xl/tables/table8.xml><?xml version="1.0" encoding="utf-8"?>
<table xmlns="http://schemas.openxmlformats.org/spreadsheetml/2006/main" id="8" name="EffectsControlV10" displayName="EffectsControlV10" ref="A4:F28" headerRowCount="1" totalsRowCount="0" totalsRowShown="0">
  <tableColumns count="6">
    <tableColumn id="1" name="ControlID"/>
    <tableColumn id="2" name="Проверка"/>
    <tableColumn id="3" name="Expected"/>
    <tableColumn id="4" name="Actual"/>
    <tableColumn id="5" name="Result"/>
    <tableColumn id="6" name="Источник"/>
  </tableColumns>
  <tableStyleInfo name="TableStyleMedium2" showFirstColumn="0" showLastColumn="0" showRowStripes="1" showColumnStripes="0"/>
</table>
</file>

<file path=xl/tables/table9.xml><?xml version="1.0" encoding="utf-8"?>
<table xmlns="http://schemas.openxmlformats.org/spreadsheetml/2006/main" id="9" name="EffectsDependenciesV10" displayName="EffectsDependenciesV10" ref="A4:H13" headerRowCount="1" totalsRowCount="0" totalsRowShown="0">
  <tableColumns count="8">
    <tableColumn id="1" name="Файл"/>
    <tableColumn id="2" name="Версия"/>
    <tableColumn id="3" name="Роль"/>
    <tableColumn id="4" name="Размер, байт"/>
    <tableColumn id="5" name="SHA-256"/>
    <tableColumn id="6" name="Mutation policy"/>
    <tableColumn id="7" name="Dependency tuple"/>
    <tableColumn id="8" name="Status"/>
  </tableColumns>
  <tableStyleInfo name="TableStyleMedium2" showFirstColumn="0" showLastColumn="0" showRowStripes="1" showColumnStripes="0"/>
</table>
</file>

<file path=xl/tables/table10.xml><?xml version="1.0" encoding="utf-8"?>
<table xmlns="http://schemas.openxmlformats.org/spreadsheetml/2006/main" id="10" name="EffectsDictionariesV10" displayName="EffectsDictionariesV10" ref="A4:D93" headerRowCount="1" totalsRowCount="0" totalsRowShown="0">
  <tableColumns count="4">
    <tableColumn id="1" name="Dictionary"/>
    <tableColumn id="2" name="Value"/>
    <tableColumn id="3" name="Определение"/>
    <tableColumn id="4" name="Rule refs"/>
  </tableColumns>
  <tableStyleInfo name="TableStyleMedium2" showFirstColumn="0" showLastColumn="0" showRowStripes="1" showColumnStripes="0"/>
</table>
</file>

<file path=xl/tables/table11.xml><?xml version="1.0" encoding="utf-8"?>
<table xmlns="http://schemas.openxmlformats.org/spreadsheetml/2006/main" id="11" name="EffectsFamiliesV10" displayName="EffectsFamiliesV10" ref="A4:H28" headerRowCount="1" totalsRowCount="0" totalsRowShown="0">
  <tableColumns count="8">
    <tableColumn id="1" name="FamilyCode"/>
    <tableColumn id="2" name="Название"/>
    <tableColumn id="3" name="Область"/>
    <tableColumn id="4" name="State bucket"/>
    <tableColumn id="5" name="Композиция по умолчанию"/>
    <tableColumn id="6" name="Стадия ответа"/>
    <tableColumn id="7" name="Rule refs"/>
    <tableColumn id="8" name="ID count"/>
  </tableColumns>
  <tableStyleInfo name="TableStyleMedium2" showFirstColumn="0" showLastColumn="0" showRowStripes="1" showColumnStripes="0"/>
</table>
</file>

<file path=xl/tables/table12.xml><?xml version="1.0" encoding="utf-8"?>
<table xmlns="http://schemas.openxmlformats.org/spreadsheetml/2006/main" id="12" name="EffectsGapsV10" displayName="EffectsGapsV10" ref="A4:G38" headerRowCount="1" totalsRowCount="0" totalsRowShown="0">
  <tableColumns count="7">
    <tableColumn id="1" name="GapID"/>
    <tableColumn id="2" name="Severity"/>
    <tableColumn id="3" name="Область"/>
    <tableColumn id="4" name="Пробел / расхождение"/>
    <tableColumn id="5" name="Rule refs"/>
    <tableColumn id="6" name="Действующая политика / решение"/>
    <tableColumn id="7" name="Статус"/>
  </tableColumns>
  <tableStyleInfo name="TableStyleMedium2" showFirstColumn="0" showLastColumn="0" showRowStripes="1" showColumnStripes="0"/>
</table>
</file>

<file path=xl/tables/table13.xml><?xml version="1.0" encoding="utf-8"?>
<table xmlns="http://schemas.openxmlformats.org/spreadsheetml/2006/main" id="13" name="EffectsPayloadsV10" displayName="EffectsPayloadsV10" ref="A4:G189" headerRowCount="1" totalsRowCount="0" totalsRowShown="0">
  <tableColumns count="7">
    <tableColumn id="1" name="PayloadID"/>
    <tableColumn id="2" name="EntityType"/>
    <tableColumn id="3" name="EntityID"/>
    <tableColumn id="4" name="Canonical JSON"/>
    <tableColumn id="5" name="SHA-256"/>
    <tableColumn id="6" name="UTF-8 bytes"/>
    <tableColumn id="7" name="Status"/>
  </tableColumns>
  <tableStyleInfo name="TableStyleMedium2" showFirstColumn="0" showLastColumn="0" showRowStripes="1" showColumnStripes="0"/>
</table>
</file>

<file path=xl/tables/table14.xml><?xml version="1.0" encoding="utf-8"?>
<table xmlns="http://schemas.openxmlformats.org/spreadsheetml/2006/main" id="14" name="EffectsQAV10" displayName="EffectsQAV10" ref="A4:H102" headerRowCount="1" totalsRowCount="0" totalsRowShown="0">
  <tableColumns count="8">
    <tableColumn id="1" name="ScenarioID"/>
    <tableColumn id="2" name="Путь"/>
    <tableColumn id="3" name="Given"/>
    <tableColumn id="4" name="When"/>
    <tableColumn id="5" name="Expected"/>
    <tableColumn id="6" name="Actual"/>
    <tableColumn id="7" name="Rule / contract"/>
    <tableColumn id="8" name="Result"/>
  </tableColumns>
  <tableStyleInfo name="TableStyleMedium2" showFirstColumn="0" showLastColumn="0" showRowStripes="1" showColumnStripes="0"/>
</table>
</file>

<file path=xl/tables/table15.xml><?xml version="1.0" encoding="utf-8"?>
<table xmlns="http://schemas.openxmlformats.org/spreadsheetml/2006/main" id="15" name="EffectsTraceV10" displayName="EffectsTraceV10" ref="A4:G32" headerRowCount="1" totalsRowCount="0" totalsRowShown="0">
  <tableColumns count="7">
    <tableColumn id="1" name="TraceID"/>
    <tableColumn id="2" name="Область"/>
    <tableColumn id="3" name="Rule / contract"/>
    <tableColumn id="4" name="Артефакт"/>
    <tableColumn id="5" name="Локатор"/>
    <tableColumn id="6" name="Нормализованная семантика"/>
    <tableColumn id="7" name="Status"/>
  </tableColumns>
  <tableStyleInfo name="TableStyleMedium2" showFirstColumn="0" showLastColumn="0" showRowStripes="1" showColumnStripes="0"/>
</table>
</file>

<file path=xl/tables/table16.xml><?xml version="1.0" encoding="utf-8"?>
<table xmlns="http://schemas.openxmlformats.org/spreadsheetml/2006/main" id="16" name="EffectsTypesV10" displayName="EffectsTypesV10" ref="A4:M71" headerRowCount="1" totalsRowCount="0" totalsRowShown="0">
  <tableColumns count="13">
    <tableColumn id="1" name="EffectTypeID"/>
    <tableColumn id="2" name="Название"/>
    <tableColumn id="3" name="FamilyCode"/>
    <tableColumn id="4" name="State bucket"/>
    <tableColumn id="5" name="Stack policy"/>
    <tableColumn id="6" name="Timer policy"/>
    <tableColumn id="7" name="Removal policy"/>
    <tableColumn id="8" name="Семантика"/>
    <tableColumn id="9" name="State writes"/>
    <tableColumn id="10" name="Rule refs"/>
    <tableColumn id="11" name="Automation"/>
    <tableColumn id="12" name="Schema status"/>
    <tableColumn id="13" name="ID count"/>
  </tableColumns>
  <tableStyleInfo name="TableStyleMedium2" showFirstColumn="0" showLastColumn="0" showRowStripes="1" showColumnStripes="0"/>
</table>
</file>

<file path=xl/tables/table17.xml><?xml version="1.0" encoding="utf-8"?>
<table xmlns="http://schemas.openxmlformats.org/spreadsheetml/2006/main" id="17" name="FamilyMatrixV10" displayName="FamilyMatrixV10" ref="A4:J304" headerRowCount="1" totalsRowCount="0" totalsRowShown="0">
  <tableColumns count="10">
    <tableColumn id="1" name="PairID"/>
    <tableColumn id="2" name="Left family"/>
    <tableColumn id="3" name="Right family"/>
    <tableColumn id="4" name="Default outcome"/>
    <tableColumn id="5" name="Resolver"/>
    <tableColumn id="6" name="CombinationRuleIDs"/>
    <tableColumn id="7" name="Canonical basis"/>
    <tableColumn id="8" name="Automation"/>
    <tableColumn id="9" name="Status"/>
    <tableColumn id="10" name="Pair count"/>
  </tableColumns>
  <tableStyleInfo name="TableStyleMedium2" showFirstColumn="0" showLastColumn="0" showRowStripes="1" showColumnStripes="0"/>
</table>
</file>

<file path=xl/tables/table18.xml><?xml version="1.0" encoding="utf-8"?>
<table xmlns="http://schemas.openxmlformats.org/spreadsheetml/2006/main" id="18" name="InjuriesV10" displayName="InjuriesV10" ref="A4:L12" headerRowCount="1" totalsRowCount="0" totalsRowShown="0">
  <tableColumns count="12">
    <tableColumn id="1" name="InjuryID"/>
    <tableColumn id="2" name="Название"/>
    <tableColumn id="3" name="Kind"/>
    <tableColumn id="4" name="State bucket"/>
    <tableColumn id="5" name="Trigger"/>
    <tableColumn id="6" name="Payload"/>
    <tableColumn id="7" name="Stacking"/>
    <tableColumn id="8" name="Consequence"/>
    <tableColumn id="9" name="Recovery"/>
    <tableColumn id="10" name="Rule refs"/>
    <tableColumn id="11" name="Примечание"/>
    <tableColumn id="12" name="ID count"/>
  </tableColumns>
  <tableStyleInfo name="TableStyleMedium2" showFirstColumn="0" showLastColumn="0" showRowStripes="1" showColumnStripes="0"/>
</table>
</file>

<file path=xl/tables/table19.xml><?xml version="1.0" encoding="utf-8"?>
<table xmlns="http://schemas.openxmlformats.org/spreadsheetml/2006/main" id="19" name="PoisonsV10" displayName="PoisonsV10" ref="A4:M12" headerRowCount="1" totalsRowCount="0" totalsRowShown="0">
  <tableColumns count="13">
    <tableColumn id="1" name="PoisonProfileID"/>
    <tableColumn id="2" name="Название"/>
    <tableColumn id="3" name="Effect family"/>
    <tableColumn id="4" name="Source kind"/>
    <tableColumn id="5" name="Payload kind"/>
    <tableColumn id="6" name="Payload"/>
    <tableColumn id="7" name="Repeat policy"/>
    <tableColumn id="8" name="Stacking key"/>
    <tableColumn id="9" name="Immunity stage"/>
    <tableColumn id="10" name="Blocked payload"/>
    <tableColumn id="11" name="Rule refs"/>
    <tableColumn id="12" name="Примечание"/>
    <tableColumn id="13" name="ID count"/>
  </tableColumns>
  <tableStyleInfo name="TableStyleMedium2" showFirstColumn="0" showLastColumn="0" showRowStripes="1" showColumnStripes="0"/>
</table>
</file>

<file path=xl/tables/table20.xml><?xml version="1.0" encoding="utf-8"?>
<table xmlns="http://schemas.openxmlformats.org/spreadsheetml/2006/main" id="20" name="ResponseProfilesV10" displayName="ResponseProfilesV10" ref="A4:I24" headerRowCount="1" totalsRowCount="0" totalsRowShown="0">
  <tableColumns count="9">
    <tableColumn id="1" name="ResponseProfileID"/>
    <tableColumn id="2" name="Provider"/>
    <tableColumn id="3" name="Effect family"/>
    <tableColumn id="4" name="Source scope"/>
    <tableColumn id="5" name="Response"/>
    <tableColumn id="6" name="Modifier"/>
    <tableColumn id="7" name="Blocked payload"/>
    <tableColumn id="8" name="Existing effect policy / note"/>
    <tableColumn id="9" name="Rule refs"/>
  </tableColumns>
  <tableStyleInfo name="TableStyleMedium2" showFirstColumn="0" showLastColumn="0" showRowStripes="1" showColumnStripes="0"/>
</table>
</file>

<file path=xl/tables/table21.xml><?xml version="1.0" encoding="utf-8"?>
<table xmlns="http://schemas.openxmlformats.org/spreadsheetml/2006/main" id="21" name="RuntimeContractsV10" displayName="RuntimeContractsV10" ref="A4:F73" headerRowCount="1" totalsRowCount="0" totalsRowShown="0">
  <tableColumns count="6">
    <tableColumn id="1" name="Entity"/>
    <tableColumn id="2" name="Field"/>
    <tableColumn id="3" name="Type"/>
    <tableColumn id="4" name="Required"/>
    <tableColumn id="5" name="Семантика / инвариант"/>
    <tableColumn id="6" name="Источник / статус"/>
  </tableColumns>
  <tableStyleInfo name="TableStyleMedium2" showFirstColumn="0" showLastColumn="0" showRowStripes="1" showColumnStripes="0"/>
</table>
</file>

<file path=xl/tables/table22.xml><?xml version="1.0" encoding="utf-8"?>
<table xmlns="http://schemas.openxmlformats.org/spreadsheetml/2006/main" id="22" name="SourceMapV10" displayName="SourceMapV10" ref="A4:O310" headerRowCount="1" totalsRowCount="0" totalsRowShown="0">
  <tableColumns count="15">
    <tableColumn id="1" name="SourceMapID"/>
    <tableColumn id="2" name="Rule ID"/>
    <tableColumn id="3" name="Название"/>
    <tableColumn id="4" name="Статус"/>
    <tableColumn id="5" name="Режим реализации"/>
    <tableColumn id="6" name="Категория"/>
    <tableColumn id="7" name="Normalized family"/>
    <tableColumn id="8" name="Mapping confidence"/>
    <tableColumn id="9" name="State result"/>
    <tableColumn id="10" name="Algorithm excerpt"/>
    <tableColumn id="11" name="Exceptions excerpt"/>
    <tableColumn id="12" name="Source ref"/>
    <tableColumn id="13" name="Locator"/>
    <tableColumn id="14" name="Source record SHA-256"/>
    <tableColumn id="15" name="Mapping role"/>
  </tableColumns>
  <tableStyleInfo name="TableStyleMedium2" showFirstColumn="0" showLastColumn="0" showRowStripes="1" showColumnStripes="0"/>
</table>
</file>

<file path=xl/tables/table23.xml><?xml version="1.0" encoding="utf-8"?>
<table xmlns="http://schemas.openxmlformats.org/spreadsheetml/2006/main" id="23" name="TimePoliciesV10" displayName="TimePoliciesV10" ref="A4:F25" headerRowCount="1" totalsRowCount="0" totalsRowShown="0">
  <tableColumns count="6">
    <tableColumn id="1" name="PolicyID"/>
    <tableColumn id="2" name="Название"/>
    <tableColumn id="3" name="Code"/>
    <tableColumn id="4" name="Контекст"/>
    <tableColumn id="5" name="Алгоритм / инвариант"/>
    <tableColumn id="6" name="Rule ref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1.xml"/>
</Relationships>
</file>

<file path=xl/worksheets/_rels/sheet3.xml.rels><?xml version="1.0" encoding="UTF-8"?>
<Relationships xmlns="http://schemas.openxmlformats.org/package/2006/relationships"><Relationship Id="rId1" Type="http://schemas.openxmlformats.org/officeDocument/2006/relationships/table" Target="../tables/table16.xml"/>
</Relationships>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19.xml"/>
</Relationships>
</file>

<file path=xl/worksheets/_rels/sheet6.xml.rels><?xml version="1.0" encoding="UTF-8"?>
<Relationships xmlns="http://schemas.openxmlformats.org/package/2006/relationships"><Relationship Id="rId1" Type="http://schemas.openxmlformats.org/officeDocument/2006/relationships/table" Target="../tables/table18.xml"/>
</Relationships>
</file>

<file path=xl/worksheets/_rels/sheet7.xml.rels><?xml version="1.0" encoding="UTF-8"?>
<Relationships xmlns="http://schemas.openxmlformats.org/package/2006/relationships"><Relationship Id="rId1" Type="http://schemas.openxmlformats.org/officeDocument/2006/relationships/table" Target="../tables/table22.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17.xml"/>
</Relationships>
</file>

<file path=xl/worksheets/_rels/sheet10.xml.rels><?xml version="1.0" encoding="UTF-8"?>
<Relationships xmlns="http://schemas.openxmlformats.org/package/2006/relationships"><Relationship Id="rId1"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table" Target="../tables/table20.xml"/>
</Relationships>
</file>

<file path=xl/worksheets/_rels/sheet12.xml.rels><?xml version="1.0" encoding="UTF-8"?>
<Relationships xmlns="http://schemas.openxmlformats.org/package/2006/relationships"><Relationship Id="rId1" Type="http://schemas.openxmlformats.org/officeDocument/2006/relationships/table" Target="../tables/table23.xml"/>
</Relationships>
</file>

<file path=xl/worksheets/_rels/sheet13.xml.rels><?xml version="1.0" encoding="UTF-8"?>
<Relationships xmlns="http://schemas.openxmlformats.org/package/2006/relationships"><Relationship Id="rId1" Type="http://schemas.openxmlformats.org/officeDocument/2006/relationships/table" Target="../tables/table21.xml"/>
</Relationships>
</file>

<file path=xl/worksheets/_rels/sheet14.xml.rels><?xml version="1.0" encoding="UTF-8"?>
<Relationships xmlns="http://schemas.openxmlformats.org/package/2006/relationships"><Relationship Id="rId1" Type="http://schemas.openxmlformats.org/officeDocument/2006/relationships/table" Target="../tables/table6.xml"/>
</Relationships>
</file>

<file path=xl/worksheets/_rels/sheet15.xml.rels><?xml version="1.0" encoding="UTF-8"?>
<Relationships xmlns="http://schemas.openxmlformats.org/package/2006/relationships"><Relationship Id="rId1" Type="http://schemas.openxmlformats.org/officeDocument/2006/relationships/table" Target="../tables/table12.xml"/>
</Relationships>
</file>

<file path=xl/worksheets/_rels/sheet16.xml.rels><?xml version="1.0" encoding="UTF-8"?>
<Relationships xmlns="http://schemas.openxmlformats.org/package/2006/relationships"><Relationship Id="rId1" Type="http://schemas.openxmlformats.org/officeDocument/2006/relationships/table" Target="../tables/table15.xml"/>
</Relationships>
</file>

<file path=xl/worksheets/_rels/sheet17.xml.rels><?xml version="1.0" encoding="UTF-8"?>
<Relationships xmlns="http://schemas.openxmlformats.org/package/2006/relationships"><Relationship Id="rId1" Type="http://schemas.openxmlformats.org/officeDocument/2006/relationships/table" Target="../tables/table14.xml"/>
</Relationships>
</file>

<file path=xl/worksheets/_rels/sheet18.xml.rels><?xml version="1.0" encoding="UTF-8"?>
<Relationships xmlns="http://schemas.openxmlformats.org/package/2006/relationships"><Relationship Id="rId1" Type="http://schemas.openxmlformats.org/officeDocument/2006/relationships/table" Target="../tables/table10.xml"/>
</Relationships>
</file>

<file path=xl/worksheets/_rels/sheet19.xml.rels><?xml version="1.0" encoding="UTF-8"?>
<Relationships xmlns="http://schemas.openxmlformats.org/package/2006/relationships"><Relationship Id="rId1" Type="http://schemas.openxmlformats.org/officeDocument/2006/relationships/table" Target="../tables/table13.xml"/>
</Relationships>
</file>

<file path=xl/worksheets/_rels/sheet20.xml.rels><?xml version="1.0" encoding="UTF-8"?>
<Relationships xmlns="http://schemas.openxmlformats.org/package/2006/relationships"><Relationship Id="rId1" Type="http://schemas.openxmlformats.org/officeDocument/2006/relationships/table" Target="../tables/table9.xml"/>
</Relationships>
</file>

<file path=xl/worksheets/_rels/sheet21.xml.rels><?xml version="1.0" encoding="UTF-8"?>
<Relationships xmlns="http://schemas.openxmlformats.org/package/2006/relationships"><Relationship Id="rId1" Type="http://schemas.openxmlformats.org/officeDocument/2006/relationships/table" Target="../tables/table8.xml"/>
</Relationships>
</file>

<file path=xl/worksheets/_rels/sheet22.xml.rels><?xml version="1.0" encoding="UTF-8"?>
<Relationships xmlns="http://schemas.openxmlformats.org/package/2006/relationships"><Relationship Id="rId1" Type="http://schemas.openxmlformats.org/officeDocument/2006/relationships/table" Target="../tables/table7.xml"/>
</Relationships>
</file>

<file path=xl/worksheets/_rels/sheet23.xml.rels><?xml version="1.0" encoding="UTF-8"?>
<Relationships xmlns="http://schemas.openxmlformats.org/package/2006/relationships"><Relationship Id="rId1" Type="http://schemas.openxmlformats.org/officeDocument/2006/relationships/table" Target="../tables/table2.xml"/>
</Relationships>
</file>

<file path=xl/worksheets/_rels/sheet24.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12"/>
    <col collapsed="false" customWidth="true" hidden="false" outlineLevel="0" max="4" min="4" style="0" width="16"/>
    <col collapsed="false" customWidth="true" hidden="false" outlineLevel="0" max="5" min="5" style="0" width="34"/>
    <col collapsed="false" customWidth="true" hidden="false" outlineLevel="0" max="6" min="6" style="0" width="12"/>
    <col collapsed="false" customWidth="true" hidden="false" outlineLevel="0" max="7" min="7" style="0" width="16"/>
    <col collapsed="false" customWidth="true" hidden="false" outlineLevel="0" max="8" min="8" style="0" width="48"/>
    <col collapsed="false" customWidth="true" hidden="false" outlineLevel="0" max="9" min="9" style="0" width="12"/>
    <col collapsed="false" customWidth="true" hidden="false" outlineLevel="0" max="10" min="10" style="0" width="46"/>
  </cols>
  <sheetData>
    <row r="1" customFormat="false" ht="30" hidden="false" customHeight="true" outlineLevel="0" collapsed="false">
      <c r="A1" s="1" t="s">
        <v>0</v>
      </c>
      <c r="B1" s="1"/>
      <c r="C1" s="1"/>
      <c r="D1" s="1"/>
      <c r="E1" s="1"/>
      <c r="F1" s="1"/>
      <c r="G1" s="1"/>
      <c r="H1" s="1"/>
      <c r="I1" s="1"/>
      <c r="J1" s="1"/>
    </row>
    <row r="2" customFormat="false" ht="34" hidden="false" customHeight="true" outlineLevel="0" collapsed="false">
      <c r="A2" s="2" t="s">
        <v>1</v>
      </c>
      <c r="B2" s="2"/>
      <c r="C2" s="2"/>
      <c r="D2" s="2"/>
      <c r="E2" s="2"/>
      <c r="F2" s="2"/>
      <c r="G2" s="2"/>
      <c r="H2" s="2"/>
      <c r="I2" s="2"/>
      <c r="J2" s="2"/>
    </row>
    <row r="4" customFormat="false" ht="15" hidden="false" customHeight="false" outlineLevel="0" collapsed="false">
      <c r="A4" s="3" t="s">
        <v>2</v>
      </c>
      <c r="B4" s="3" t="s">
        <v>3</v>
      </c>
      <c r="C4" s="3" t="s">
        <v>4</v>
      </c>
      <c r="D4" s="3" t="s">
        <v>2</v>
      </c>
      <c r="E4" s="3" t="s">
        <v>3</v>
      </c>
      <c r="F4" s="3" t="s">
        <v>4</v>
      </c>
      <c r="G4" s="3" t="s">
        <v>2</v>
      </c>
      <c r="H4" s="3" t="s">
        <v>3</v>
      </c>
      <c r="I4" s="3" t="s">
        <v>4</v>
      </c>
      <c r="J4" s="3" t="s">
        <v>5</v>
      </c>
    </row>
    <row r="5" customFormat="false" ht="46" hidden="false" customHeight="true" outlineLevel="0" collapsed="false">
      <c r="A5" s="4" t="s">
        <v>6</v>
      </c>
      <c r="B5" s="4" t="s">
        <v>7</v>
      </c>
      <c r="C5" s="4" t="s">
        <v>8</v>
      </c>
      <c r="D5" s="4" t="s">
        <v>9</v>
      </c>
      <c r="E5" s="4" t="n">
        <v>24</v>
      </c>
      <c r="F5" s="4" t="s">
        <v>8</v>
      </c>
      <c r="G5" s="4" t="s">
        <v>10</v>
      </c>
      <c r="H5" s="4" t="n">
        <v>67</v>
      </c>
      <c r="I5" s="4" t="s">
        <v>8</v>
      </c>
      <c r="J5" s="4" t="s">
        <v>11</v>
      </c>
    </row>
    <row r="6" customFormat="false" ht="46" hidden="false" customHeight="true" outlineLevel="0" collapsed="false">
      <c r="A6" s="4" t="s">
        <v>12</v>
      </c>
      <c r="B6" s="4" t="n">
        <v>10</v>
      </c>
      <c r="C6" s="4" t="s">
        <v>8</v>
      </c>
      <c r="D6" s="4" t="s">
        <v>13</v>
      </c>
      <c r="E6" s="4" t="n">
        <v>8</v>
      </c>
      <c r="F6" s="4" t="s">
        <v>8</v>
      </c>
      <c r="G6" s="4" t="s">
        <v>14</v>
      </c>
      <c r="H6" s="4" t="n">
        <v>8</v>
      </c>
      <c r="I6" s="4" t="s">
        <v>8</v>
      </c>
      <c r="J6" s="4" t="s">
        <v>15</v>
      </c>
    </row>
    <row r="7" customFormat="false" ht="46" hidden="false" customHeight="true" outlineLevel="0" collapsed="false">
      <c r="A7" s="4" t="s">
        <v>16</v>
      </c>
      <c r="B7" s="4" t="n">
        <v>67</v>
      </c>
      <c r="C7" s="4" t="s">
        <v>8</v>
      </c>
      <c r="D7" s="4" t="s">
        <v>17</v>
      </c>
      <c r="E7" s="4" t="n">
        <v>300</v>
      </c>
      <c r="F7" s="4" t="s">
        <v>8</v>
      </c>
      <c r="G7" s="4" t="s">
        <v>18</v>
      </c>
      <c r="H7" s="4" t="s">
        <v>19</v>
      </c>
      <c r="I7" s="4" t="s">
        <v>8</v>
      </c>
      <c r="J7" s="4" t="s">
        <v>20</v>
      </c>
    </row>
    <row r="8" customFormat="false" ht="46" hidden="false" customHeight="true" outlineLevel="0" collapsed="false">
      <c r="A8" s="4" t="s">
        <v>21</v>
      </c>
      <c r="B8" s="4" t="n">
        <v>306</v>
      </c>
      <c r="C8" s="4" t="s">
        <v>8</v>
      </c>
      <c r="D8" s="4" t="s">
        <v>22</v>
      </c>
      <c r="E8" s="4" t="n">
        <v>185</v>
      </c>
      <c r="F8" s="4" t="s">
        <v>8</v>
      </c>
      <c r="G8" s="4" t="s">
        <v>23</v>
      </c>
      <c r="H8" s="4" t="n">
        <v>9</v>
      </c>
      <c r="I8" s="4" t="s">
        <v>8</v>
      </c>
      <c r="J8" s="4" t="s">
        <v>24</v>
      </c>
    </row>
    <row r="9" customFormat="false" ht="46" hidden="false" customHeight="true" outlineLevel="0" collapsed="false">
      <c r="A9" s="4" t="s">
        <v>25</v>
      </c>
      <c r="B9" s="4" t="s">
        <v>26</v>
      </c>
      <c r="C9" s="4" t="s">
        <v>8</v>
      </c>
      <c r="D9" s="4" t="s">
        <v>27</v>
      </c>
      <c r="E9" s="4" t="s">
        <v>28</v>
      </c>
      <c r="F9" s="4" t="s">
        <v>8</v>
      </c>
      <c r="G9" s="4" t="s">
        <v>29</v>
      </c>
      <c r="H9" s="4" t="s">
        <v>30</v>
      </c>
      <c r="I9" s="4" t="s">
        <v>8</v>
      </c>
      <c r="J9" s="4" t="s">
        <v>31</v>
      </c>
    </row>
    <row r="10" customFormat="false" ht="46" hidden="false" customHeight="true" outlineLevel="0" collapsed="false">
      <c r="A10" s="4" t="s">
        <v>32</v>
      </c>
      <c r="B10" s="4" t="n">
        <v>0</v>
      </c>
      <c r="C10" s="4" t="s">
        <v>8</v>
      </c>
      <c r="D10" s="4" t="s">
        <v>33</v>
      </c>
      <c r="E10" s="4" t="n">
        <v>0</v>
      </c>
      <c r="F10" s="4" t="s">
        <v>8</v>
      </c>
      <c r="G10" s="4" t="s">
        <v>34</v>
      </c>
      <c r="H10" s="4" t="s">
        <v>35</v>
      </c>
      <c r="I10" s="4" t="s">
        <v>8</v>
      </c>
      <c r="J10" s="4" t="s">
        <v>36</v>
      </c>
    </row>
    <row r="11" customFormat="false" ht="46" hidden="false" customHeight="true" outlineLevel="0" collapsed="false">
      <c r="A11" s="4" t="s">
        <v>37</v>
      </c>
      <c r="B11" s="4" t="s">
        <v>38</v>
      </c>
      <c r="C11" s="4" t="s">
        <v>8</v>
      </c>
      <c r="D11" s="4" t="s">
        <v>39</v>
      </c>
      <c r="E11" s="4" t="s">
        <v>40</v>
      </c>
      <c r="F11" s="4" t="s">
        <v>8</v>
      </c>
      <c r="G11" s="4" t="s">
        <v>41</v>
      </c>
      <c r="H11" s="4" t="s">
        <v>42</v>
      </c>
      <c r="I11" s="4" t="s">
        <v>8</v>
      </c>
      <c r="J11" s="4" t="s">
        <v>43</v>
      </c>
    </row>
    <row r="13" customFormat="false" ht="15" hidden="false" customHeight="false" outlineLevel="0" collapsed="false">
      <c r="A13" s="5" t="s">
        <v>44</v>
      </c>
      <c r="B13" s="5"/>
      <c r="C13" s="5"/>
      <c r="D13" s="5"/>
      <c r="E13" s="5"/>
      <c r="F13" s="5"/>
      <c r="G13" s="5"/>
      <c r="H13" s="5"/>
      <c r="I13" s="5"/>
      <c r="J13" s="5"/>
    </row>
    <row r="14" customFormat="false" ht="34" hidden="false" customHeight="true" outlineLevel="0" collapsed="false">
      <c r="A14" s="6" t="s">
        <v>45</v>
      </c>
      <c r="B14" s="6" t="s">
        <v>46</v>
      </c>
      <c r="C14" s="6"/>
      <c r="D14" s="6"/>
      <c r="E14" s="6"/>
      <c r="F14" s="6"/>
      <c r="G14" s="6"/>
      <c r="H14" s="6"/>
      <c r="I14" s="6"/>
      <c r="J14" s="6"/>
    </row>
    <row r="15" customFormat="false" ht="34" hidden="false" customHeight="true" outlineLevel="0" collapsed="false">
      <c r="A15" s="7" t="s">
        <v>47</v>
      </c>
      <c r="B15" s="7" t="s">
        <v>48</v>
      </c>
      <c r="C15" s="7"/>
      <c r="D15" s="7"/>
      <c r="E15" s="7"/>
      <c r="F15" s="7"/>
      <c r="G15" s="7"/>
      <c r="H15" s="7"/>
      <c r="I15" s="7"/>
      <c r="J15" s="7"/>
    </row>
    <row r="16" customFormat="false" ht="34" hidden="false" customHeight="true" outlineLevel="0" collapsed="false">
      <c r="A16" s="6" t="s">
        <v>49</v>
      </c>
      <c r="B16" s="6" t="s">
        <v>50</v>
      </c>
      <c r="C16" s="6"/>
      <c r="D16" s="6"/>
      <c r="E16" s="6"/>
      <c r="F16" s="6"/>
      <c r="G16" s="6"/>
      <c r="H16" s="6"/>
      <c r="I16" s="6"/>
      <c r="J16" s="6"/>
    </row>
    <row r="17" customFormat="false" ht="34" hidden="false" customHeight="true" outlineLevel="0" collapsed="false">
      <c r="A17" s="7" t="s">
        <v>51</v>
      </c>
      <c r="B17" s="7" t="s">
        <v>52</v>
      </c>
      <c r="C17" s="7"/>
      <c r="D17" s="7"/>
      <c r="E17" s="7"/>
      <c r="F17" s="7"/>
      <c r="G17" s="7"/>
      <c r="H17" s="7"/>
      <c r="I17" s="7"/>
      <c r="J17" s="7"/>
    </row>
  </sheetData>
  <mergeCells count="7">
    <mergeCell ref="A1:J1"/>
    <mergeCell ref="A2:J2"/>
    <mergeCell ref="A13:J13"/>
    <mergeCell ref="B14:J14"/>
    <mergeCell ref="B15:J15"/>
    <mergeCell ref="B16:J16"/>
    <mergeCell ref="B17:J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8"/>
    <col collapsed="false" customWidth="true" hidden="false" outlineLevel="0" max="3" min="3" style="0" width="56"/>
    <col collapsed="false" customWidth="true" hidden="false" outlineLevel="0" max="4" min="4" style="0" width="32"/>
    <col collapsed="false" customWidth="true" hidden="false" outlineLevel="0" max="5" min="5" style="0" width="54"/>
    <col collapsed="false" customWidth="true" hidden="false" outlineLevel="0" max="6" min="6" style="0" width="32"/>
    <col collapsed="false" customWidth="true" hidden="false" outlineLevel="0" max="7" min="7" style="0" width="36"/>
    <col collapsed="false" customWidth="true" hidden="false" outlineLevel="0" max="8" min="8" style="0" width="10"/>
  </cols>
  <sheetData>
    <row r="1" customFormat="false" ht="30" hidden="false" customHeight="true" outlineLevel="0" collapsed="false">
      <c r="A1" s="1" t="s">
        <v>53</v>
      </c>
      <c r="B1" s="1"/>
      <c r="C1" s="1"/>
      <c r="D1" s="1"/>
      <c r="E1" s="1"/>
      <c r="F1" s="1"/>
      <c r="G1" s="1"/>
      <c r="H1" s="1"/>
    </row>
    <row r="2" customFormat="false" ht="34" hidden="false" customHeight="true" outlineLevel="0" collapsed="false">
      <c r="A2" s="2" t="s">
        <v>54</v>
      </c>
      <c r="B2" s="2"/>
      <c r="C2" s="2"/>
      <c r="D2" s="2"/>
      <c r="E2" s="2"/>
      <c r="F2" s="2"/>
      <c r="G2" s="2"/>
      <c r="H2" s="2"/>
    </row>
    <row r="4" customFormat="false" ht="34" hidden="false" customHeight="true" outlineLevel="0" collapsed="false">
      <c r="A4" s="8" t="s">
        <v>55</v>
      </c>
      <c r="B4" s="8" t="s">
        <v>56</v>
      </c>
      <c r="C4" s="8" t="s">
        <v>57</v>
      </c>
      <c r="D4" s="8" t="s">
        <v>58</v>
      </c>
      <c r="E4" s="8" t="s">
        <v>59</v>
      </c>
      <c r="F4" s="8" t="s">
        <v>60</v>
      </c>
      <c r="G4" s="8" t="s">
        <v>61</v>
      </c>
      <c r="H4" s="8" t="s">
        <v>62</v>
      </c>
    </row>
    <row r="5" customFormat="false" ht="42" hidden="false" customHeight="true" outlineLevel="0" collapsed="false">
      <c r="A5" s="9" t="s">
        <v>63</v>
      </c>
      <c r="B5" s="9" t="s">
        <v>64</v>
      </c>
      <c r="C5" s="9" t="s">
        <v>65</v>
      </c>
      <c r="D5" s="9" t="s">
        <v>66</v>
      </c>
      <c r="E5" s="9" t="s">
        <v>67</v>
      </c>
      <c r="F5" s="9" t="s">
        <v>68</v>
      </c>
      <c r="G5" s="9" t="s">
        <v>69</v>
      </c>
      <c r="H5" s="9" t="n">
        <f aca="false">COUNTIF($A$5:$A$28,A5)</f>
        <v>1</v>
      </c>
    </row>
    <row r="6" customFormat="false" ht="42" hidden="false" customHeight="true" outlineLevel="0" collapsed="false">
      <c r="A6" s="9" t="s">
        <v>70</v>
      </c>
      <c r="B6" s="9" t="s">
        <v>71</v>
      </c>
      <c r="C6" s="9" t="s">
        <v>72</v>
      </c>
      <c r="D6" s="9" t="s">
        <v>66</v>
      </c>
      <c r="E6" s="9" t="s">
        <v>73</v>
      </c>
      <c r="F6" s="9" t="s">
        <v>74</v>
      </c>
      <c r="G6" s="9" t="s">
        <v>75</v>
      </c>
      <c r="H6" s="9" t="n">
        <f aca="false">COUNTIF($A$5:$A$28,A6)</f>
        <v>1</v>
      </c>
    </row>
    <row r="7" customFormat="false" ht="42" hidden="false" customHeight="true" outlineLevel="0" collapsed="false">
      <c r="A7" s="9" t="s">
        <v>76</v>
      </c>
      <c r="B7" s="9" t="s">
        <v>77</v>
      </c>
      <c r="C7" s="9" t="s">
        <v>78</v>
      </c>
      <c r="D7" s="9" t="s">
        <v>79</v>
      </c>
      <c r="E7" s="9" t="s">
        <v>80</v>
      </c>
      <c r="F7" s="9" t="s">
        <v>81</v>
      </c>
      <c r="G7" s="9" t="s">
        <v>82</v>
      </c>
      <c r="H7" s="9" t="n">
        <f aca="false">COUNTIF($A$5:$A$28,A7)</f>
        <v>1</v>
      </c>
    </row>
    <row r="8" customFormat="false" ht="42" hidden="false" customHeight="true" outlineLevel="0" collapsed="false">
      <c r="A8" s="9" t="s">
        <v>83</v>
      </c>
      <c r="B8" s="9" t="s">
        <v>84</v>
      </c>
      <c r="C8" s="9" t="s">
        <v>85</v>
      </c>
      <c r="D8" s="9" t="s">
        <v>86</v>
      </c>
      <c r="E8" s="9" t="s">
        <v>87</v>
      </c>
      <c r="F8" s="9" t="s">
        <v>81</v>
      </c>
      <c r="G8" s="9" t="s">
        <v>88</v>
      </c>
      <c r="H8" s="9" t="n">
        <f aca="false">COUNTIF($A$5:$A$28,A8)</f>
        <v>1</v>
      </c>
    </row>
    <row r="9" customFormat="false" ht="42" hidden="false" customHeight="true" outlineLevel="0" collapsed="false">
      <c r="A9" s="9" t="s">
        <v>89</v>
      </c>
      <c r="B9" s="9" t="s">
        <v>90</v>
      </c>
      <c r="C9" s="9" t="s">
        <v>91</v>
      </c>
      <c r="D9" s="9" t="s">
        <v>79</v>
      </c>
      <c r="E9" s="9" t="s">
        <v>73</v>
      </c>
      <c r="F9" s="9" t="s">
        <v>92</v>
      </c>
      <c r="G9" s="9" t="s">
        <v>93</v>
      </c>
      <c r="H9" s="9" t="n">
        <f aca="false">COUNTIF($A$5:$A$28,A9)</f>
        <v>1</v>
      </c>
    </row>
    <row r="10" customFormat="false" ht="42" hidden="false" customHeight="true" outlineLevel="0" collapsed="false">
      <c r="A10" s="9" t="s">
        <v>94</v>
      </c>
      <c r="B10" s="9" t="s">
        <v>95</v>
      </c>
      <c r="C10" s="9" t="s">
        <v>96</v>
      </c>
      <c r="D10" s="9" t="s">
        <v>79</v>
      </c>
      <c r="E10" s="9" t="s">
        <v>97</v>
      </c>
      <c r="F10" s="9" t="s">
        <v>98</v>
      </c>
      <c r="G10" s="9" t="s">
        <v>99</v>
      </c>
      <c r="H10" s="9" t="n">
        <f aca="false">COUNTIF($A$5:$A$28,A10)</f>
        <v>1</v>
      </c>
    </row>
    <row r="11" customFormat="false" ht="42" hidden="false" customHeight="true" outlineLevel="0" collapsed="false">
      <c r="A11" s="9" t="s">
        <v>100</v>
      </c>
      <c r="B11" s="9" t="s">
        <v>101</v>
      </c>
      <c r="C11" s="9" t="s">
        <v>102</v>
      </c>
      <c r="D11" s="9" t="s">
        <v>103</v>
      </c>
      <c r="E11" s="9" t="s">
        <v>104</v>
      </c>
      <c r="F11" s="9" t="s">
        <v>105</v>
      </c>
      <c r="G11" s="9" t="s">
        <v>106</v>
      </c>
      <c r="H11" s="9" t="n">
        <f aca="false">COUNTIF($A$5:$A$28,A11)</f>
        <v>1</v>
      </c>
    </row>
    <row r="12" customFormat="false" ht="42" hidden="false" customHeight="true" outlineLevel="0" collapsed="false">
      <c r="A12" s="9" t="s">
        <v>107</v>
      </c>
      <c r="B12" s="9" t="s">
        <v>108</v>
      </c>
      <c r="C12" s="9" t="s">
        <v>109</v>
      </c>
      <c r="D12" s="9" t="s">
        <v>110</v>
      </c>
      <c r="E12" s="9" t="s">
        <v>111</v>
      </c>
      <c r="F12" s="9" t="s">
        <v>112</v>
      </c>
      <c r="G12" s="9" t="s">
        <v>113</v>
      </c>
      <c r="H12" s="9" t="n">
        <f aca="false">COUNTIF($A$5:$A$28,A12)</f>
        <v>1</v>
      </c>
    </row>
    <row r="13" customFormat="false" ht="42" hidden="false" customHeight="true" outlineLevel="0" collapsed="false">
      <c r="A13" s="9" t="s">
        <v>114</v>
      </c>
      <c r="B13" s="9" t="s">
        <v>115</v>
      </c>
      <c r="C13" s="9" t="s">
        <v>116</v>
      </c>
      <c r="D13" s="9" t="s">
        <v>79</v>
      </c>
      <c r="E13" s="9" t="s">
        <v>117</v>
      </c>
      <c r="F13" s="9" t="s">
        <v>118</v>
      </c>
      <c r="G13" s="9" t="s">
        <v>119</v>
      </c>
      <c r="H13" s="9" t="n">
        <f aca="false">COUNTIF($A$5:$A$28,A13)</f>
        <v>1</v>
      </c>
    </row>
    <row r="14" customFormat="false" ht="42" hidden="false" customHeight="true" outlineLevel="0" collapsed="false">
      <c r="A14" s="9" t="s">
        <v>120</v>
      </c>
      <c r="B14" s="9" t="s">
        <v>121</v>
      </c>
      <c r="C14" s="9" t="s">
        <v>122</v>
      </c>
      <c r="D14" s="9" t="s">
        <v>123</v>
      </c>
      <c r="E14" s="9" t="s">
        <v>124</v>
      </c>
      <c r="F14" s="9" t="s">
        <v>125</v>
      </c>
      <c r="G14" s="9" t="s">
        <v>126</v>
      </c>
      <c r="H14" s="9" t="n">
        <f aca="false">COUNTIF($A$5:$A$28,A14)</f>
        <v>1</v>
      </c>
    </row>
    <row r="15" customFormat="false" ht="42" hidden="false" customHeight="true" outlineLevel="0" collapsed="false">
      <c r="A15" s="9" t="s">
        <v>127</v>
      </c>
      <c r="B15" s="9" t="s">
        <v>128</v>
      </c>
      <c r="C15" s="9" t="s">
        <v>129</v>
      </c>
      <c r="D15" s="9" t="s">
        <v>79</v>
      </c>
      <c r="E15" s="9" t="s">
        <v>130</v>
      </c>
      <c r="F15" s="9" t="s">
        <v>131</v>
      </c>
      <c r="G15" s="9" t="s">
        <v>132</v>
      </c>
      <c r="H15" s="9" t="n">
        <f aca="false">COUNTIF($A$5:$A$28,A15)</f>
        <v>1</v>
      </c>
    </row>
    <row r="16" customFormat="false" ht="42" hidden="false" customHeight="true" outlineLevel="0" collapsed="false">
      <c r="A16" s="9" t="s">
        <v>133</v>
      </c>
      <c r="B16" s="9" t="s">
        <v>134</v>
      </c>
      <c r="C16" s="9" t="s">
        <v>135</v>
      </c>
      <c r="D16" s="9" t="s">
        <v>79</v>
      </c>
      <c r="E16" s="9" t="s">
        <v>136</v>
      </c>
      <c r="F16" s="9" t="s">
        <v>137</v>
      </c>
      <c r="G16" s="9" t="s">
        <v>138</v>
      </c>
      <c r="H16" s="9" t="n">
        <f aca="false">COUNTIF($A$5:$A$28,A16)</f>
        <v>1</v>
      </c>
    </row>
    <row r="17" customFormat="false" ht="42" hidden="false" customHeight="true" outlineLevel="0" collapsed="false">
      <c r="A17" s="9" t="s">
        <v>139</v>
      </c>
      <c r="B17" s="9" t="s">
        <v>140</v>
      </c>
      <c r="C17" s="9" t="s">
        <v>141</v>
      </c>
      <c r="D17" s="9" t="s">
        <v>79</v>
      </c>
      <c r="E17" s="9" t="s">
        <v>142</v>
      </c>
      <c r="F17" s="9" t="s">
        <v>143</v>
      </c>
      <c r="G17" s="9" t="s">
        <v>144</v>
      </c>
      <c r="H17" s="9" t="n">
        <f aca="false">COUNTIF($A$5:$A$28,A17)</f>
        <v>1</v>
      </c>
    </row>
    <row r="18" customFormat="false" ht="42" hidden="false" customHeight="true" outlineLevel="0" collapsed="false">
      <c r="A18" s="9" t="s">
        <v>145</v>
      </c>
      <c r="B18" s="9" t="s">
        <v>146</v>
      </c>
      <c r="C18" s="9" t="s">
        <v>147</v>
      </c>
      <c r="D18" s="9" t="s">
        <v>79</v>
      </c>
      <c r="E18" s="9" t="s">
        <v>148</v>
      </c>
      <c r="F18" s="9" t="s">
        <v>149</v>
      </c>
      <c r="G18" s="9" t="s">
        <v>150</v>
      </c>
      <c r="H18" s="9" t="n">
        <f aca="false">COUNTIF($A$5:$A$28,A18)</f>
        <v>1</v>
      </c>
    </row>
    <row r="19" customFormat="false" ht="42" hidden="false" customHeight="true" outlineLevel="0" collapsed="false">
      <c r="A19" s="9" t="s">
        <v>151</v>
      </c>
      <c r="B19" s="9" t="s">
        <v>152</v>
      </c>
      <c r="C19" s="9" t="s">
        <v>153</v>
      </c>
      <c r="D19" s="9" t="s">
        <v>79</v>
      </c>
      <c r="E19" s="9" t="s">
        <v>154</v>
      </c>
      <c r="F19" s="9" t="s">
        <v>155</v>
      </c>
      <c r="G19" s="9" t="s">
        <v>156</v>
      </c>
      <c r="H19" s="9" t="n">
        <f aca="false">COUNTIF($A$5:$A$28,A19)</f>
        <v>1</v>
      </c>
    </row>
    <row r="20" customFormat="false" ht="42" hidden="false" customHeight="true" outlineLevel="0" collapsed="false">
      <c r="A20" s="9" t="s">
        <v>157</v>
      </c>
      <c r="B20" s="9" t="s">
        <v>158</v>
      </c>
      <c r="C20" s="9" t="s">
        <v>159</v>
      </c>
      <c r="D20" s="9" t="s">
        <v>79</v>
      </c>
      <c r="E20" s="9" t="s">
        <v>160</v>
      </c>
      <c r="F20" s="9" t="s">
        <v>161</v>
      </c>
      <c r="G20" s="9" t="s">
        <v>162</v>
      </c>
      <c r="H20" s="9" t="n">
        <f aca="false">COUNTIF($A$5:$A$28,A20)</f>
        <v>1</v>
      </c>
    </row>
    <row r="21" customFormat="false" ht="42" hidden="false" customHeight="true" outlineLevel="0" collapsed="false">
      <c r="A21" s="9" t="s">
        <v>163</v>
      </c>
      <c r="B21" s="9" t="s">
        <v>164</v>
      </c>
      <c r="C21" s="9" t="s">
        <v>165</v>
      </c>
      <c r="D21" s="9" t="s">
        <v>166</v>
      </c>
      <c r="E21" s="9" t="s">
        <v>167</v>
      </c>
      <c r="F21" s="9" t="s">
        <v>92</v>
      </c>
      <c r="G21" s="9" t="s">
        <v>168</v>
      </c>
      <c r="H21" s="9" t="n">
        <f aca="false">COUNTIF($A$5:$A$28,A21)</f>
        <v>1</v>
      </c>
    </row>
    <row r="22" customFormat="false" ht="42" hidden="false" customHeight="true" outlineLevel="0" collapsed="false">
      <c r="A22" s="9" t="s">
        <v>169</v>
      </c>
      <c r="B22" s="9" t="s">
        <v>170</v>
      </c>
      <c r="C22" s="9" t="s">
        <v>171</v>
      </c>
      <c r="D22" s="9" t="s">
        <v>172</v>
      </c>
      <c r="E22" s="9" t="s">
        <v>173</v>
      </c>
      <c r="F22" s="9" t="s">
        <v>174</v>
      </c>
      <c r="G22" s="9" t="s">
        <v>175</v>
      </c>
      <c r="H22" s="9" t="n">
        <f aca="false">COUNTIF($A$5:$A$28,A22)</f>
        <v>1</v>
      </c>
    </row>
    <row r="23" customFormat="false" ht="42" hidden="false" customHeight="true" outlineLevel="0" collapsed="false">
      <c r="A23" s="9" t="s">
        <v>176</v>
      </c>
      <c r="B23" s="9" t="s">
        <v>177</v>
      </c>
      <c r="C23" s="9" t="s">
        <v>178</v>
      </c>
      <c r="D23" s="9" t="s">
        <v>179</v>
      </c>
      <c r="E23" s="9" t="s">
        <v>180</v>
      </c>
      <c r="F23" s="9" t="s">
        <v>181</v>
      </c>
      <c r="G23" s="9" t="s">
        <v>182</v>
      </c>
      <c r="H23" s="9" t="n">
        <f aca="false">COUNTIF($A$5:$A$28,A23)</f>
        <v>1</v>
      </c>
    </row>
    <row r="24" customFormat="false" ht="42" hidden="false" customHeight="true" outlineLevel="0" collapsed="false">
      <c r="A24" s="9" t="s">
        <v>183</v>
      </c>
      <c r="B24" s="9" t="s">
        <v>184</v>
      </c>
      <c r="C24" s="9" t="s">
        <v>185</v>
      </c>
      <c r="D24" s="9" t="s">
        <v>186</v>
      </c>
      <c r="E24" s="9" t="s">
        <v>112</v>
      </c>
      <c r="F24" s="9" t="s">
        <v>187</v>
      </c>
      <c r="G24" s="9" t="s">
        <v>188</v>
      </c>
      <c r="H24" s="9" t="n">
        <f aca="false">COUNTIF($A$5:$A$28,A24)</f>
        <v>1</v>
      </c>
    </row>
    <row r="25" customFormat="false" ht="42" hidden="false" customHeight="true" outlineLevel="0" collapsed="false">
      <c r="A25" s="9" t="s">
        <v>189</v>
      </c>
      <c r="B25" s="9" t="s">
        <v>190</v>
      </c>
      <c r="C25" s="9" t="s">
        <v>191</v>
      </c>
      <c r="D25" s="9" t="s">
        <v>192</v>
      </c>
      <c r="E25" s="9" t="s">
        <v>193</v>
      </c>
      <c r="F25" s="9" t="s">
        <v>194</v>
      </c>
      <c r="G25" s="9" t="s">
        <v>195</v>
      </c>
      <c r="H25" s="9" t="n">
        <f aca="false">COUNTIF($A$5:$A$28,A25)</f>
        <v>1</v>
      </c>
    </row>
    <row r="26" customFormat="false" ht="42" hidden="false" customHeight="true" outlineLevel="0" collapsed="false">
      <c r="A26" s="9" t="s">
        <v>196</v>
      </c>
      <c r="B26" s="9" t="s">
        <v>197</v>
      </c>
      <c r="C26" s="9" t="s">
        <v>198</v>
      </c>
      <c r="D26" s="9" t="s">
        <v>199</v>
      </c>
      <c r="E26" s="9" t="s">
        <v>200</v>
      </c>
      <c r="F26" s="9" t="s">
        <v>201</v>
      </c>
      <c r="G26" s="9" t="s">
        <v>202</v>
      </c>
      <c r="H26" s="9" t="n">
        <f aca="false">COUNTIF($A$5:$A$28,A26)</f>
        <v>1</v>
      </c>
    </row>
    <row r="27" customFormat="false" ht="42" hidden="false" customHeight="true" outlineLevel="0" collapsed="false">
      <c r="A27" s="9" t="s">
        <v>203</v>
      </c>
      <c r="B27" s="9" t="s">
        <v>204</v>
      </c>
      <c r="C27" s="9" t="s">
        <v>205</v>
      </c>
      <c r="D27" s="9" t="s">
        <v>206</v>
      </c>
      <c r="E27" s="9" t="s">
        <v>207</v>
      </c>
      <c r="F27" s="9" t="s">
        <v>208</v>
      </c>
      <c r="G27" s="9" t="s">
        <v>209</v>
      </c>
      <c r="H27" s="9" t="n">
        <f aca="false">COUNTIF($A$5:$A$28,A27)</f>
        <v>1</v>
      </c>
    </row>
    <row r="28" customFormat="false" ht="42" hidden="false" customHeight="true" outlineLevel="0" collapsed="false">
      <c r="A28" s="9" t="s">
        <v>210</v>
      </c>
      <c r="B28" s="9" t="s">
        <v>211</v>
      </c>
      <c r="C28" s="9" t="s">
        <v>212</v>
      </c>
      <c r="D28" s="9" t="s">
        <v>213</v>
      </c>
      <c r="E28" s="9" t="s">
        <v>35</v>
      </c>
      <c r="F28" s="9" t="s">
        <v>214</v>
      </c>
      <c r="G28" s="9" t="s">
        <v>215</v>
      </c>
      <c r="H28" s="9" t="n">
        <f aca="false">COUNTIF($A$5:$A$28,A28)</f>
        <v>1</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4" min="3" style="0" width="28"/>
    <col collapsed="false" customWidth="true" hidden="false" outlineLevel="0" max="5" min="5" style="0" width="48"/>
    <col collapsed="false" customWidth="true" hidden="false" outlineLevel="0" max="6" min="6" style="0" width="30"/>
    <col collapsed="false" customWidth="true" hidden="false" outlineLevel="0" max="7" min="7" style="0" width="42"/>
    <col collapsed="false" customWidth="true" hidden="false" outlineLevel="0" max="8" min="8" style="0" width="70"/>
    <col collapsed="false" customWidth="true" hidden="false" outlineLevel="0" max="9" min="9" style="0" width="34"/>
    <col collapsed="false" customWidth="true" hidden="false" outlineLevel="0" max="10" min="10" style="0" width="42"/>
    <col collapsed="false" customWidth="true" hidden="false" outlineLevel="0" max="11" min="11" style="0" width="28"/>
    <col collapsed="false" customWidth="true" hidden="false" outlineLevel="0" max="12" min="12" style="0" width="16"/>
    <col collapsed="false" customWidth="true" hidden="false" outlineLevel="0" max="13" min="13" style="0" width="10"/>
  </cols>
  <sheetData>
    <row r="1" customFormat="false" ht="30" hidden="false" customHeight="true" outlineLevel="0" collapsed="false">
      <c r="A1" s="1" t="s">
        <v>216</v>
      </c>
      <c r="B1" s="1"/>
      <c r="C1" s="1"/>
      <c r="D1" s="1"/>
      <c r="E1" s="1"/>
      <c r="F1" s="1"/>
      <c r="G1" s="1"/>
      <c r="H1" s="1"/>
      <c r="I1" s="1"/>
      <c r="J1" s="1"/>
      <c r="K1" s="1"/>
      <c r="L1" s="1"/>
      <c r="M1" s="1"/>
    </row>
    <row r="2" customFormat="false" ht="34" hidden="false" customHeight="true" outlineLevel="0" collapsed="false">
      <c r="A2" s="2" t="s">
        <v>217</v>
      </c>
      <c r="B2" s="2"/>
      <c r="C2" s="2"/>
      <c r="D2" s="2"/>
      <c r="E2" s="2"/>
      <c r="F2" s="2"/>
      <c r="G2" s="2"/>
      <c r="H2" s="2"/>
      <c r="I2" s="2"/>
      <c r="J2" s="2"/>
      <c r="K2" s="2"/>
      <c r="L2" s="2"/>
      <c r="M2" s="2"/>
    </row>
    <row r="4" customFormat="false" ht="34" hidden="false" customHeight="true" outlineLevel="0" collapsed="false">
      <c r="A4" s="8" t="s">
        <v>218</v>
      </c>
      <c r="B4" s="8" t="s">
        <v>56</v>
      </c>
      <c r="C4" s="8" t="s">
        <v>55</v>
      </c>
      <c r="D4" s="8" t="s">
        <v>58</v>
      </c>
      <c r="E4" s="8" t="s">
        <v>219</v>
      </c>
      <c r="F4" s="8" t="s">
        <v>220</v>
      </c>
      <c r="G4" s="8" t="s">
        <v>221</v>
      </c>
      <c r="H4" s="8" t="s">
        <v>222</v>
      </c>
      <c r="I4" s="8" t="s">
        <v>223</v>
      </c>
      <c r="J4" s="8" t="s">
        <v>61</v>
      </c>
      <c r="K4" s="8" t="s">
        <v>224</v>
      </c>
      <c r="L4" s="8" t="s">
        <v>225</v>
      </c>
      <c r="M4" s="8" t="s">
        <v>62</v>
      </c>
    </row>
    <row r="5" customFormat="false" ht="58" hidden="false" customHeight="true" outlineLevel="0" collapsed="false">
      <c r="A5" s="9" t="s">
        <v>226</v>
      </c>
      <c r="B5" s="9" t="s">
        <v>227</v>
      </c>
      <c r="C5" s="9" t="s">
        <v>63</v>
      </c>
      <c r="D5" s="9" t="s">
        <v>228</v>
      </c>
      <c r="E5" s="9" t="s">
        <v>229</v>
      </c>
      <c r="F5" s="9" t="s">
        <v>230</v>
      </c>
      <c r="G5" s="9" t="s">
        <v>214</v>
      </c>
      <c r="H5" s="9" t="s">
        <v>231</v>
      </c>
      <c r="I5" s="9" t="s">
        <v>232</v>
      </c>
      <c r="J5" s="9" t="s">
        <v>233</v>
      </c>
      <c r="K5" s="9" t="s">
        <v>234</v>
      </c>
      <c r="L5" s="9" t="s">
        <v>235</v>
      </c>
      <c r="M5" s="9" t="n">
        <f aca="false">COUNTIF($A$5:$A$71,A5)</f>
        <v>1</v>
      </c>
    </row>
    <row r="6" customFormat="false" ht="58" hidden="false" customHeight="true" outlineLevel="0" collapsed="false">
      <c r="A6" s="9" t="s">
        <v>236</v>
      </c>
      <c r="B6" s="9" t="s">
        <v>237</v>
      </c>
      <c r="C6" s="9" t="s">
        <v>63</v>
      </c>
      <c r="D6" s="9" t="s">
        <v>228</v>
      </c>
      <c r="E6" s="9" t="s">
        <v>238</v>
      </c>
      <c r="F6" s="9" t="s">
        <v>230</v>
      </c>
      <c r="G6" s="9" t="s">
        <v>239</v>
      </c>
      <c r="H6" s="9" t="s">
        <v>240</v>
      </c>
      <c r="I6" s="9" t="s">
        <v>241</v>
      </c>
      <c r="J6" s="9" t="s">
        <v>242</v>
      </c>
      <c r="K6" s="9" t="s">
        <v>234</v>
      </c>
      <c r="L6" s="9" t="s">
        <v>235</v>
      </c>
      <c r="M6" s="9" t="n">
        <f aca="false">COUNTIF($A$5:$A$71,A6)</f>
        <v>1</v>
      </c>
    </row>
    <row r="7" customFormat="false" ht="58" hidden="false" customHeight="true" outlineLevel="0" collapsed="false">
      <c r="A7" s="9" t="s">
        <v>243</v>
      </c>
      <c r="B7" s="9" t="s">
        <v>244</v>
      </c>
      <c r="C7" s="9" t="s">
        <v>63</v>
      </c>
      <c r="D7" s="9" t="s">
        <v>79</v>
      </c>
      <c r="E7" s="9" t="s">
        <v>245</v>
      </c>
      <c r="F7" s="9" t="s">
        <v>230</v>
      </c>
      <c r="G7" s="9" t="s">
        <v>246</v>
      </c>
      <c r="H7" s="9" t="s">
        <v>247</v>
      </c>
      <c r="I7" s="9" t="s">
        <v>248</v>
      </c>
      <c r="J7" s="9" t="s">
        <v>249</v>
      </c>
      <c r="K7" s="9" t="s">
        <v>234</v>
      </c>
      <c r="L7" s="9" t="s">
        <v>235</v>
      </c>
      <c r="M7" s="9" t="n">
        <f aca="false">COUNTIF($A$5:$A$71,A7)</f>
        <v>1</v>
      </c>
    </row>
    <row r="8" customFormat="false" ht="58" hidden="false" customHeight="true" outlineLevel="0" collapsed="false">
      <c r="A8" s="9" t="s">
        <v>250</v>
      </c>
      <c r="B8" s="9" t="s">
        <v>251</v>
      </c>
      <c r="C8" s="9" t="s">
        <v>70</v>
      </c>
      <c r="D8" s="9" t="s">
        <v>228</v>
      </c>
      <c r="E8" s="9" t="s">
        <v>252</v>
      </c>
      <c r="F8" s="9" t="s">
        <v>230</v>
      </c>
      <c r="G8" s="9" t="s">
        <v>112</v>
      </c>
      <c r="H8" s="9" t="s">
        <v>253</v>
      </c>
      <c r="I8" s="9" t="s">
        <v>254</v>
      </c>
      <c r="J8" s="9" t="s">
        <v>255</v>
      </c>
      <c r="K8" s="9" t="s">
        <v>234</v>
      </c>
      <c r="L8" s="9" t="s">
        <v>235</v>
      </c>
      <c r="M8" s="9" t="n">
        <f aca="false">COUNTIF($A$5:$A$71,A8)</f>
        <v>1</v>
      </c>
    </row>
    <row r="9" customFormat="false" ht="58" hidden="false" customHeight="true" outlineLevel="0" collapsed="false">
      <c r="A9" s="9" t="s">
        <v>256</v>
      </c>
      <c r="B9" s="9" t="s">
        <v>257</v>
      </c>
      <c r="C9" s="9" t="s">
        <v>70</v>
      </c>
      <c r="D9" s="9" t="s">
        <v>79</v>
      </c>
      <c r="E9" s="9" t="s">
        <v>258</v>
      </c>
      <c r="F9" s="9" t="s">
        <v>230</v>
      </c>
      <c r="G9" s="9" t="s">
        <v>259</v>
      </c>
      <c r="H9" s="9" t="s">
        <v>260</v>
      </c>
      <c r="I9" s="9" t="s">
        <v>261</v>
      </c>
      <c r="J9" s="9" t="s">
        <v>262</v>
      </c>
      <c r="K9" s="9" t="s">
        <v>234</v>
      </c>
      <c r="L9" s="9" t="s">
        <v>235</v>
      </c>
      <c r="M9" s="9" t="n">
        <f aca="false">COUNTIF($A$5:$A$71,A9)</f>
        <v>1</v>
      </c>
    </row>
    <row r="10" customFormat="false" ht="58" hidden="false" customHeight="true" outlineLevel="0" collapsed="false">
      <c r="A10" s="9" t="s">
        <v>263</v>
      </c>
      <c r="B10" s="9" t="s">
        <v>264</v>
      </c>
      <c r="C10" s="9" t="s">
        <v>76</v>
      </c>
      <c r="D10" s="9" t="s">
        <v>79</v>
      </c>
      <c r="E10" s="9" t="s">
        <v>258</v>
      </c>
      <c r="F10" s="9" t="s">
        <v>230</v>
      </c>
      <c r="G10" s="9" t="s">
        <v>112</v>
      </c>
      <c r="H10" s="9" t="s">
        <v>265</v>
      </c>
      <c r="I10" s="9" t="s">
        <v>261</v>
      </c>
      <c r="J10" s="9" t="s">
        <v>266</v>
      </c>
      <c r="K10" s="9" t="s">
        <v>234</v>
      </c>
      <c r="L10" s="9" t="s">
        <v>235</v>
      </c>
      <c r="M10" s="9" t="n">
        <f aca="false">COUNTIF($A$5:$A$71,A10)</f>
        <v>1</v>
      </c>
    </row>
    <row r="11" customFormat="false" ht="58" hidden="false" customHeight="true" outlineLevel="0" collapsed="false">
      <c r="A11" s="9" t="s">
        <v>267</v>
      </c>
      <c r="B11" s="9" t="s">
        <v>268</v>
      </c>
      <c r="C11" s="9" t="s">
        <v>76</v>
      </c>
      <c r="D11" s="9" t="s">
        <v>79</v>
      </c>
      <c r="E11" s="9" t="s">
        <v>258</v>
      </c>
      <c r="F11" s="9" t="s">
        <v>230</v>
      </c>
      <c r="G11" s="9" t="s">
        <v>269</v>
      </c>
      <c r="H11" s="9" t="s">
        <v>270</v>
      </c>
      <c r="I11" s="9" t="s">
        <v>261</v>
      </c>
      <c r="J11" s="9" t="s">
        <v>271</v>
      </c>
      <c r="K11" s="9" t="s">
        <v>234</v>
      </c>
      <c r="L11" s="9" t="s">
        <v>235</v>
      </c>
      <c r="M11" s="9" t="n">
        <f aca="false">COUNTIF($A$5:$A$71,A11)</f>
        <v>1</v>
      </c>
    </row>
    <row r="12" customFormat="false" ht="58" hidden="false" customHeight="true" outlineLevel="0" collapsed="false">
      <c r="A12" s="9" t="s">
        <v>272</v>
      </c>
      <c r="B12" s="9" t="s">
        <v>273</v>
      </c>
      <c r="C12" s="9" t="s">
        <v>94</v>
      </c>
      <c r="D12" s="9" t="s">
        <v>79</v>
      </c>
      <c r="E12" s="9" t="s">
        <v>258</v>
      </c>
      <c r="F12" s="9" t="s">
        <v>230</v>
      </c>
      <c r="G12" s="9" t="s">
        <v>274</v>
      </c>
      <c r="H12" s="9" t="s">
        <v>275</v>
      </c>
      <c r="I12" s="9" t="s">
        <v>261</v>
      </c>
      <c r="J12" s="9" t="s">
        <v>276</v>
      </c>
      <c r="K12" s="9" t="s">
        <v>234</v>
      </c>
      <c r="L12" s="9" t="s">
        <v>235</v>
      </c>
      <c r="M12" s="9" t="n">
        <f aca="false">COUNTIF($A$5:$A$71,A12)</f>
        <v>1</v>
      </c>
    </row>
    <row r="13" customFormat="false" ht="58" hidden="false" customHeight="true" outlineLevel="0" collapsed="false">
      <c r="A13" s="9" t="s">
        <v>277</v>
      </c>
      <c r="B13" s="9" t="s">
        <v>278</v>
      </c>
      <c r="C13" s="9" t="s">
        <v>76</v>
      </c>
      <c r="D13" s="9" t="s">
        <v>79</v>
      </c>
      <c r="E13" s="9" t="s">
        <v>279</v>
      </c>
      <c r="F13" s="9" t="s">
        <v>230</v>
      </c>
      <c r="G13" s="9" t="s">
        <v>280</v>
      </c>
      <c r="H13" s="9" t="s">
        <v>281</v>
      </c>
      <c r="I13" s="9" t="s">
        <v>282</v>
      </c>
      <c r="J13" s="9" t="s">
        <v>283</v>
      </c>
      <c r="K13" s="9" t="s">
        <v>234</v>
      </c>
      <c r="L13" s="9" t="s">
        <v>235</v>
      </c>
      <c r="M13" s="9" t="n">
        <f aca="false">COUNTIF($A$5:$A$71,A13)</f>
        <v>1</v>
      </c>
    </row>
    <row r="14" customFormat="false" ht="58" hidden="false" customHeight="true" outlineLevel="0" collapsed="false">
      <c r="A14" s="9" t="s">
        <v>284</v>
      </c>
      <c r="B14" s="9" t="s">
        <v>285</v>
      </c>
      <c r="C14" s="9" t="s">
        <v>76</v>
      </c>
      <c r="D14" s="9" t="s">
        <v>79</v>
      </c>
      <c r="E14" s="9" t="s">
        <v>286</v>
      </c>
      <c r="F14" s="9" t="s">
        <v>230</v>
      </c>
      <c r="G14" s="9" t="s">
        <v>287</v>
      </c>
      <c r="H14" s="9" t="s">
        <v>288</v>
      </c>
      <c r="I14" s="9" t="s">
        <v>261</v>
      </c>
      <c r="J14" s="9" t="s">
        <v>289</v>
      </c>
      <c r="K14" s="9" t="s">
        <v>234</v>
      </c>
      <c r="L14" s="9" t="s">
        <v>235</v>
      </c>
      <c r="M14" s="9" t="n">
        <f aca="false">COUNTIF($A$5:$A$71,A14)</f>
        <v>1</v>
      </c>
    </row>
    <row r="15" customFormat="false" ht="58" hidden="false" customHeight="true" outlineLevel="0" collapsed="false">
      <c r="A15" s="9" t="s">
        <v>290</v>
      </c>
      <c r="B15" s="9" t="s">
        <v>291</v>
      </c>
      <c r="C15" s="9" t="s">
        <v>76</v>
      </c>
      <c r="D15" s="9" t="s">
        <v>79</v>
      </c>
      <c r="E15" s="9" t="s">
        <v>258</v>
      </c>
      <c r="F15" s="9" t="s">
        <v>230</v>
      </c>
      <c r="G15" s="9" t="s">
        <v>287</v>
      </c>
      <c r="H15" s="9" t="s">
        <v>292</v>
      </c>
      <c r="I15" s="9" t="s">
        <v>261</v>
      </c>
      <c r="J15" s="9" t="s">
        <v>293</v>
      </c>
      <c r="K15" s="9" t="s">
        <v>234</v>
      </c>
      <c r="L15" s="9" t="s">
        <v>235</v>
      </c>
      <c r="M15" s="9" t="n">
        <f aca="false">COUNTIF($A$5:$A$71,A15)</f>
        <v>1</v>
      </c>
    </row>
    <row r="16" customFormat="false" ht="58" hidden="false" customHeight="true" outlineLevel="0" collapsed="false">
      <c r="A16" s="9" t="s">
        <v>294</v>
      </c>
      <c r="B16" s="9" t="s">
        <v>295</v>
      </c>
      <c r="C16" s="9" t="s">
        <v>76</v>
      </c>
      <c r="D16" s="9" t="s">
        <v>79</v>
      </c>
      <c r="E16" s="9" t="s">
        <v>258</v>
      </c>
      <c r="F16" s="9" t="s">
        <v>230</v>
      </c>
      <c r="G16" s="9" t="s">
        <v>296</v>
      </c>
      <c r="H16" s="9" t="s">
        <v>297</v>
      </c>
      <c r="I16" s="9" t="s">
        <v>261</v>
      </c>
      <c r="J16" s="9" t="s">
        <v>298</v>
      </c>
      <c r="K16" s="9" t="s">
        <v>234</v>
      </c>
      <c r="L16" s="9" t="s">
        <v>235</v>
      </c>
      <c r="M16" s="9" t="n">
        <f aca="false">COUNTIF($A$5:$A$71,A16)</f>
        <v>1</v>
      </c>
    </row>
    <row r="17" customFormat="false" ht="58" hidden="false" customHeight="true" outlineLevel="0" collapsed="false">
      <c r="A17" s="9" t="s">
        <v>299</v>
      </c>
      <c r="B17" s="9" t="s">
        <v>300</v>
      </c>
      <c r="C17" s="9" t="s">
        <v>76</v>
      </c>
      <c r="D17" s="9" t="s">
        <v>79</v>
      </c>
      <c r="E17" s="9" t="s">
        <v>258</v>
      </c>
      <c r="F17" s="9" t="s">
        <v>230</v>
      </c>
      <c r="G17" s="9" t="s">
        <v>301</v>
      </c>
      <c r="H17" s="9" t="s">
        <v>302</v>
      </c>
      <c r="I17" s="9" t="s">
        <v>261</v>
      </c>
      <c r="J17" s="9" t="s">
        <v>303</v>
      </c>
      <c r="K17" s="9" t="s">
        <v>234</v>
      </c>
      <c r="L17" s="9" t="s">
        <v>235</v>
      </c>
      <c r="M17" s="9" t="n">
        <f aca="false">COUNTIF($A$5:$A$71,A17)</f>
        <v>1</v>
      </c>
    </row>
    <row r="18" customFormat="false" ht="58" hidden="false" customHeight="true" outlineLevel="0" collapsed="false">
      <c r="A18" s="9" t="s">
        <v>304</v>
      </c>
      <c r="B18" s="9" t="s">
        <v>305</v>
      </c>
      <c r="C18" s="9" t="s">
        <v>76</v>
      </c>
      <c r="D18" s="9" t="s">
        <v>79</v>
      </c>
      <c r="E18" s="9" t="s">
        <v>258</v>
      </c>
      <c r="F18" s="9" t="s">
        <v>230</v>
      </c>
      <c r="G18" s="9" t="s">
        <v>306</v>
      </c>
      <c r="H18" s="9" t="s">
        <v>307</v>
      </c>
      <c r="I18" s="9" t="s">
        <v>261</v>
      </c>
      <c r="J18" s="9" t="s">
        <v>308</v>
      </c>
      <c r="K18" s="9" t="s">
        <v>234</v>
      </c>
      <c r="L18" s="9" t="s">
        <v>235</v>
      </c>
      <c r="M18" s="9" t="n">
        <f aca="false">COUNTIF($A$5:$A$71,A18)</f>
        <v>1</v>
      </c>
    </row>
    <row r="19" customFormat="false" ht="58" hidden="false" customHeight="true" outlineLevel="0" collapsed="false">
      <c r="A19" s="9" t="s">
        <v>309</v>
      </c>
      <c r="B19" s="9" t="s">
        <v>310</v>
      </c>
      <c r="C19" s="9" t="s">
        <v>83</v>
      </c>
      <c r="D19" s="9" t="s">
        <v>79</v>
      </c>
      <c r="E19" s="9" t="s">
        <v>258</v>
      </c>
      <c r="F19" s="9" t="s">
        <v>230</v>
      </c>
      <c r="G19" s="9" t="s">
        <v>112</v>
      </c>
      <c r="H19" s="9" t="s">
        <v>311</v>
      </c>
      <c r="I19" s="9" t="s">
        <v>261</v>
      </c>
      <c r="J19" s="9" t="s">
        <v>312</v>
      </c>
      <c r="K19" s="9" t="s">
        <v>313</v>
      </c>
      <c r="L19" s="9" t="s">
        <v>235</v>
      </c>
      <c r="M19" s="9" t="n">
        <f aca="false">COUNTIF($A$5:$A$71,A19)</f>
        <v>1</v>
      </c>
    </row>
    <row r="20" customFormat="false" ht="58" hidden="false" customHeight="true" outlineLevel="0" collapsed="false">
      <c r="A20" s="9" t="s">
        <v>314</v>
      </c>
      <c r="B20" s="9" t="s">
        <v>315</v>
      </c>
      <c r="C20" s="9" t="s">
        <v>83</v>
      </c>
      <c r="D20" s="9" t="s">
        <v>79</v>
      </c>
      <c r="E20" s="9" t="s">
        <v>258</v>
      </c>
      <c r="F20" s="9" t="s">
        <v>230</v>
      </c>
      <c r="G20" s="9" t="s">
        <v>316</v>
      </c>
      <c r="H20" s="9" t="s">
        <v>317</v>
      </c>
      <c r="I20" s="9" t="s">
        <v>261</v>
      </c>
      <c r="J20" s="9" t="s">
        <v>318</v>
      </c>
      <c r="K20" s="9" t="s">
        <v>234</v>
      </c>
      <c r="L20" s="9" t="s">
        <v>235</v>
      </c>
      <c r="M20" s="9" t="n">
        <f aca="false">COUNTIF($A$5:$A$71,A20)</f>
        <v>1</v>
      </c>
    </row>
    <row r="21" customFormat="false" ht="58" hidden="false" customHeight="true" outlineLevel="0" collapsed="false">
      <c r="A21" s="9" t="s">
        <v>319</v>
      </c>
      <c r="B21" s="9" t="s">
        <v>320</v>
      </c>
      <c r="C21" s="9" t="s">
        <v>83</v>
      </c>
      <c r="D21" s="9" t="s">
        <v>321</v>
      </c>
      <c r="E21" s="9" t="s">
        <v>322</v>
      </c>
      <c r="F21" s="9" t="s">
        <v>230</v>
      </c>
      <c r="G21" s="9" t="s">
        <v>323</v>
      </c>
      <c r="H21" s="9" t="s">
        <v>324</v>
      </c>
      <c r="I21" s="9" t="s">
        <v>325</v>
      </c>
      <c r="J21" s="9" t="s">
        <v>326</v>
      </c>
      <c r="K21" s="9" t="s">
        <v>234</v>
      </c>
      <c r="L21" s="9" t="s">
        <v>235</v>
      </c>
      <c r="M21" s="9" t="n">
        <f aca="false">COUNTIF($A$5:$A$71,A21)</f>
        <v>1</v>
      </c>
    </row>
    <row r="22" customFormat="false" ht="58" hidden="false" customHeight="true" outlineLevel="0" collapsed="false">
      <c r="A22" s="9" t="s">
        <v>327</v>
      </c>
      <c r="B22" s="9" t="s">
        <v>328</v>
      </c>
      <c r="C22" s="9" t="s">
        <v>89</v>
      </c>
      <c r="D22" s="9" t="s">
        <v>79</v>
      </c>
      <c r="E22" s="9" t="s">
        <v>329</v>
      </c>
      <c r="F22" s="9" t="s">
        <v>230</v>
      </c>
      <c r="G22" s="9" t="s">
        <v>112</v>
      </c>
      <c r="H22" s="9" t="s">
        <v>330</v>
      </c>
      <c r="I22" s="9" t="s">
        <v>261</v>
      </c>
      <c r="J22" s="9" t="s">
        <v>331</v>
      </c>
      <c r="K22" s="9" t="s">
        <v>112</v>
      </c>
      <c r="L22" s="9" t="s">
        <v>235</v>
      </c>
      <c r="M22" s="9" t="n">
        <f aca="false">COUNTIF($A$5:$A$71,A22)</f>
        <v>1</v>
      </c>
    </row>
    <row r="23" customFormat="false" ht="58" hidden="false" customHeight="true" outlineLevel="0" collapsed="false">
      <c r="A23" s="9" t="s">
        <v>332</v>
      </c>
      <c r="B23" s="9" t="s">
        <v>333</v>
      </c>
      <c r="C23" s="9" t="s">
        <v>89</v>
      </c>
      <c r="D23" s="9" t="s">
        <v>79</v>
      </c>
      <c r="E23" s="9" t="s">
        <v>334</v>
      </c>
      <c r="F23" s="9" t="s">
        <v>230</v>
      </c>
      <c r="G23" s="9" t="s">
        <v>335</v>
      </c>
      <c r="H23" s="9" t="s">
        <v>336</v>
      </c>
      <c r="I23" s="9" t="s">
        <v>261</v>
      </c>
      <c r="J23" s="9" t="s">
        <v>298</v>
      </c>
      <c r="K23" s="9" t="s">
        <v>234</v>
      </c>
      <c r="L23" s="9" t="s">
        <v>235</v>
      </c>
      <c r="M23" s="9" t="n">
        <f aca="false">COUNTIF($A$5:$A$71,A23)</f>
        <v>1</v>
      </c>
    </row>
    <row r="24" customFormat="false" ht="58" hidden="false" customHeight="true" outlineLevel="0" collapsed="false">
      <c r="A24" s="9" t="s">
        <v>337</v>
      </c>
      <c r="B24" s="9" t="s">
        <v>338</v>
      </c>
      <c r="C24" s="9" t="s">
        <v>94</v>
      </c>
      <c r="D24" s="9" t="s">
        <v>79</v>
      </c>
      <c r="E24" s="9" t="s">
        <v>339</v>
      </c>
      <c r="F24" s="9" t="s">
        <v>230</v>
      </c>
      <c r="G24" s="9" t="s">
        <v>340</v>
      </c>
      <c r="H24" s="9" t="s">
        <v>341</v>
      </c>
      <c r="I24" s="9" t="s">
        <v>342</v>
      </c>
      <c r="J24" s="9" t="s">
        <v>343</v>
      </c>
      <c r="K24" s="9" t="s">
        <v>234</v>
      </c>
      <c r="L24" s="9" t="s">
        <v>235</v>
      </c>
      <c r="M24" s="9" t="n">
        <f aca="false">COUNTIF($A$5:$A$71,A24)</f>
        <v>1</v>
      </c>
    </row>
    <row r="25" customFormat="false" ht="58" hidden="false" customHeight="true" outlineLevel="0" collapsed="false">
      <c r="A25" s="9" t="s">
        <v>344</v>
      </c>
      <c r="B25" s="9" t="s">
        <v>345</v>
      </c>
      <c r="C25" s="9" t="s">
        <v>94</v>
      </c>
      <c r="D25" s="9" t="s">
        <v>79</v>
      </c>
      <c r="E25" s="9" t="s">
        <v>346</v>
      </c>
      <c r="F25" s="9" t="s">
        <v>230</v>
      </c>
      <c r="G25" s="9" t="s">
        <v>347</v>
      </c>
      <c r="H25" s="9" t="s">
        <v>348</v>
      </c>
      <c r="I25" s="9" t="s">
        <v>261</v>
      </c>
      <c r="J25" s="9" t="s">
        <v>349</v>
      </c>
      <c r="K25" s="9" t="s">
        <v>234</v>
      </c>
      <c r="L25" s="9" t="s">
        <v>235</v>
      </c>
      <c r="M25" s="9" t="n">
        <f aca="false">COUNTIF($A$5:$A$71,A25)</f>
        <v>1</v>
      </c>
    </row>
    <row r="26" customFormat="false" ht="58" hidden="false" customHeight="true" outlineLevel="0" collapsed="false">
      <c r="A26" s="9" t="s">
        <v>350</v>
      </c>
      <c r="B26" s="9" t="s">
        <v>351</v>
      </c>
      <c r="C26" s="9" t="s">
        <v>94</v>
      </c>
      <c r="D26" s="9" t="s">
        <v>79</v>
      </c>
      <c r="E26" s="9" t="s">
        <v>258</v>
      </c>
      <c r="F26" s="9" t="s">
        <v>230</v>
      </c>
      <c r="G26" s="9" t="s">
        <v>352</v>
      </c>
      <c r="H26" s="9" t="s">
        <v>353</v>
      </c>
      <c r="I26" s="9" t="s">
        <v>261</v>
      </c>
      <c r="J26" s="9" t="s">
        <v>354</v>
      </c>
      <c r="K26" s="9" t="s">
        <v>234</v>
      </c>
      <c r="L26" s="9" t="s">
        <v>235</v>
      </c>
      <c r="M26" s="9" t="n">
        <f aca="false">COUNTIF($A$5:$A$71,A26)</f>
        <v>1</v>
      </c>
    </row>
    <row r="27" customFormat="false" ht="58" hidden="false" customHeight="true" outlineLevel="0" collapsed="false">
      <c r="A27" s="9" t="s">
        <v>355</v>
      </c>
      <c r="B27" s="9" t="s">
        <v>356</v>
      </c>
      <c r="C27" s="9" t="s">
        <v>100</v>
      </c>
      <c r="D27" s="9" t="s">
        <v>357</v>
      </c>
      <c r="E27" s="9" t="s">
        <v>358</v>
      </c>
      <c r="F27" s="9" t="s">
        <v>230</v>
      </c>
      <c r="G27" s="9" t="s">
        <v>359</v>
      </c>
      <c r="H27" s="9" t="s">
        <v>360</v>
      </c>
      <c r="I27" s="9" t="s">
        <v>361</v>
      </c>
      <c r="J27" s="9" t="s">
        <v>362</v>
      </c>
      <c r="K27" s="9" t="s">
        <v>363</v>
      </c>
      <c r="L27" s="9" t="s">
        <v>235</v>
      </c>
      <c r="M27" s="9" t="n">
        <f aca="false">COUNTIF($A$5:$A$71,A27)</f>
        <v>1</v>
      </c>
    </row>
    <row r="28" customFormat="false" ht="58" hidden="false" customHeight="true" outlineLevel="0" collapsed="false">
      <c r="A28" s="9" t="s">
        <v>364</v>
      </c>
      <c r="B28" s="9" t="s">
        <v>365</v>
      </c>
      <c r="C28" s="9" t="s">
        <v>100</v>
      </c>
      <c r="D28" s="9" t="s">
        <v>357</v>
      </c>
      <c r="E28" s="9" t="s">
        <v>366</v>
      </c>
      <c r="F28" s="9" t="s">
        <v>230</v>
      </c>
      <c r="G28" s="9" t="s">
        <v>359</v>
      </c>
      <c r="H28" s="9" t="s">
        <v>367</v>
      </c>
      <c r="I28" s="9" t="s">
        <v>361</v>
      </c>
      <c r="J28" s="9" t="s">
        <v>368</v>
      </c>
      <c r="K28" s="9" t="s">
        <v>363</v>
      </c>
      <c r="L28" s="9" t="s">
        <v>235</v>
      </c>
      <c r="M28" s="9" t="n">
        <f aca="false">COUNTIF($A$5:$A$71,A28)</f>
        <v>1</v>
      </c>
    </row>
    <row r="29" customFormat="false" ht="58" hidden="false" customHeight="true" outlineLevel="0" collapsed="false">
      <c r="A29" s="9" t="s">
        <v>369</v>
      </c>
      <c r="B29" s="9" t="s">
        <v>370</v>
      </c>
      <c r="C29" s="9" t="s">
        <v>100</v>
      </c>
      <c r="D29" s="9" t="s">
        <v>357</v>
      </c>
      <c r="E29" s="9" t="s">
        <v>371</v>
      </c>
      <c r="F29" s="9" t="s">
        <v>230</v>
      </c>
      <c r="G29" s="9" t="s">
        <v>359</v>
      </c>
      <c r="H29" s="9" t="s">
        <v>372</v>
      </c>
      <c r="I29" s="9" t="s">
        <v>361</v>
      </c>
      <c r="J29" s="9" t="s">
        <v>373</v>
      </c>
      <c r="K29" s="9" t="s">
        <v>363</v>
      </c>
      <c r="L29" s="9" t="s">
        <v>235</v>
      </c>
      <c r="M29" s="9" t="n">
        <f aca="false">COUNTIF($A$5:$A$71,A29)</f>
        <v>1</v>
      </c>
    </row>
    <row r="30" customFormat="false" ht="58" hidden="false" customHeight="true" outlineLevel="0" collapsed="false">
      <c r="A30" s="9" t="s">
        <v>374</v>
      </c>
      <c r="B30" s="9" t="s">
        <v>375</v>
      </c>
      <c r="C30" s="9" t="s">
        <v>100</v>
      </c>
      <c r="D30" s="9" t="s">
        <v>376</v>
      </c>
      <c r="E30" s="9" t="s">
        <v>377</v>
      </c>
      <c r="F30" s="9" t="s">
        <v>230</v>
      </c>
      <c r="G30" s="9" t="s">
        <v>378</v>
      </c>
      <c r="H30" s="9" t="s">
        <v>379</v>
      </c>
      <c r="I30" s="9" t="s">
        <v>380</v>
      </c>
      <c r="J30" s="9" t="s">
        <v>381</v>
      </c>
      <c r="K30" s="9" t="s">
        <v>382</v>
      </c>
      <c r="L30" s="9" t="s">
        <v>235</v>
      </c>
      <c r="M30" s="9" t="n">
        <f aca="false">COUNTIF($A$5:$A$71,A30)</f>
        <v>1</v>
      </c>
    </row>
    <row r="31" customFormat="false" ht="58" hidden="false" customHeight="true" outlineLevel="0" collapsed="false">
      <c r="A31" s="9" t="s">
        <v>383</v>
      </c>
      <c r="B31" s="9" t="s">
        <v>384</v>
      </c>
      <c r="C31" s="9" t="s">
        <v>107</v>
      </c>
      <c r="D31" s="9" t="s">
        <v>110</v>
      </c>
      <c r="E31" s="9" t="s">
        <v>385</v>
      </c>
      <c r="F31" s="9" t="s">
        <v>230</v>
      </c>
      <c r="G31" s="9" t="s">
        <v>386</v>
      </c>
      <c r="H31" s="9" t="s">
        <v>387</v>
      </c>
      <c r="I31" s="9" t="s">
        <v>388</v>
      </c>
      <c r="J31" s="9" t="s">
        <v>389</v>
      </c>
      <c r="K31" s="9" t="s">
        <v>234</v>
      </c>
      <c r="L31" s="9" t="s">
        <v>235</v>
      </c>
      <c r="M31" s="9" t="n">
        <f aca="false">COUNTIF($A$5:$A$71,A31)</f>
        <v>1</v>
      </c>
    </row>
    <row r="32" customFormat="false" ht="58" hidden="false" customHeight="true" outlineLevel="0" collapsed="false">
      <c r="A32" s="9" t="s">
        <v>390</v>
      </c>
      <c r="B32" s="9" t="s">
        <v>391</v>
      </c>
      <c r="C32" s="9" t="s">
        <v>107</v>
      </c>
      <c r="D32" s="9" t="s">
        <v>110</v>
      </c>
      <c r="E32" s="9" t="s">
        <v>392</v>
      </c>
      <c r="F32" s="9" t="s">
        <v>230</v>
      </c>
      <c r="G32" s="9" t="s">
        <v>393</v>
      </c>
      <c r="H32" s="9" t="s">
        <v>394</v>
      </c>
      <c r="I32" s="9" t="s">
        <v>388</v>
      </c>
      <c r="J32" s="9" t="s">
        <v>395</v>
      </c>
      <c r="K32" s="9" t="s">
        <v>234</v>
      </c>
      <c r="L32" s="9" t="s">
        <v>235</v>
      </c>
      <c r="M32" s="9" t="n">
        <f aca="false">COUNTIF($A$5:$A$71,A32)</f>
        <v>1</v>
      </c>
    </row>
    <row r="33" customFormat="false" ht="58" hidden="false" customHeight="true" outlineLevel="0" collapsed="false">
      <c r="A33" s="9" t="s">
        <v>396</v>
      </c>
      <c r="B33" s="9" t="s">
        <v>397</v>
      </c>
      <c r="C33" s="9" t="s">
        <v>127</v>
      </c>
      <c r="D33" s="9" t="s">
        <v>79</v>
      </c>
      <c r="E33" s="9" t="s">
        <v>398</v>
      </c>
      <c r="F33" s="9" t="s">
        <v>230</v>
      </c>
      <c r="G33" s="9" t="s">
        <v>399</v>
      </c>
      <c r="H33" s="9" t="s">
        <v>400</v>
      </c>
      <c r="I33" s="9" t="s">
        <v>401</v>
      </c>
      <c r="J33" s="9" t="s">
        <v>132</v>
      </c>
      <c r="K33" s="9" t="s">
        <v>234</v>
      </c>
      <c r="L33" s="9" t="s">
        <v>235</v>
      </c>
      <c r="M33" s="9" t="n">
        <f aca="false">COUNTIF($A$5:$A$71,A33)</f>
        <v>1</v>
      </c>
    </row>
    <row r="34" customFormat="false" ht="58" hidden="false" customHeight="true" outlineLevel="0" collapsed="false">
      <c r="A34" s="9" t="s">
        <v>402</v>
      </c>
      <c r="B34" s="9" t="s">
        <v>134</v>
      </c>
      <c r="C34" s="9" t="s">
        <v>133</v>
      </c>
      <c r="D34" s="9" t="s">
        <v>79</v>
      </c>
      <c r="E34" s="9" t="s">
        <v>403</v>
      </c>
      <c r="F34" s="9" t="s">
        <v>230</v>
      </c>
      <c r="G34" s="9" t="s">
        <v>404</v>
      </c>
      <c r="H34" s="9" t="s">
        <v>405</v>
      </c>
      <c r="I34" s="9" t="s">
        <v>406</v>
      </c>
      <c r="J34" s="9" t="s">
        <v>138</v>
      </c>
      <c r="K34" s="9" t="s">
        <v>234</v>
      </c>
      <c r="L34" s="9" t="s">
        <v>235</v>
      </c>
      <c r="M34" s="9" t="n">
        <f aca="false">COUNTIF($A$5:$A$71,A34)</f>
        <v>1</v>
      </c>
    </row>
    <row r="35" customFormat="false" ht="58" hidden="false" customHeight="true" outlineLevel="0" collapsed="false">
      <c r="A35" s="9" t="s">
        <v>407</v>
      </c>
      <c r="B35" s="9" t="s">
        <v>140</v>
      </c>
      <c r="C35" s="9" t="s">
        <v>139</v>
      </c>
      <c r="D35" s="9" t="s">
        <v>79</v>
      </c>
      <c r="E35" s="9" t="s">
        <v>408</v>
      </c>
      <c r="F35" s="9" t="s">
        <v>230</v>
      </c>
      <c r="G35" s="9" t="s">
        <v>340</v>
      </c>
      <c r="H35" s="9" t="s">
        <v>409</v>
      </c>
      <c r="I35" s="9" t="s">
        <v>406</v>
      </c>
      <c r="J35" s="9" t="s">
        <v>144</v>
      </c>
      <c r="K35" s="9" t="s">
        <v>234</v>
      </c>
      <c r="L35" s="9" t="s">
        <v>235</v>
      </c>
      <c r="M35" s="9" t="n">
        <f aca="false">COUNTIF($A$5:$A$71,A35)</f>
        <v>1</v>
      </c>
    </row>
    <row r="36" customFormat="false" ht="58" hidden="false" customHeight="true" outlineLevel="0" collapsed="false">
      <c r="A36" s="9" t="s">
        <v>410</v>
      </c>
      <c r="B36" s="9" t="s">
        <v>411</v>
      </c>
      <c r="C36" s="9" t="s">
        <v>145</v>
      </c>
      <c r="D36" s="9" t="s">
        <v>79</v>
      </c>
      <c r="E36" s="9" t="s">
        <v>412</v>
      </c>
      <c r="F36" s="9" t="s">
        <v>230</v>
      </c>
      <c r="G36" s="9" t="s">
        <v>413</v>
      </c>
      <c r="H36" s="9" t="s">
        <v>414</v>
      </c>
      <c r="I36" s="9" t="s">
        <v>415</v>
      </c>
      <c r="J36" s="9" t="s">
        <v>150</v>
      </c>
      <c r="K36" s="9" t="s">
        <v>234</v>
      </c>
      <c r="L36" s="9" t="s">
        <v>235</v>
      </c>
      <c r="M36" s="9" t="n">
        <f aca="false">COUNTIF($A$5:$A$71,A36)</f>
        <v>1</v>
      </c>
    </row>
    <row r="37" customFormat="false" ht="58" hidden="false" customHeight="true" outlineLevel="0" collapsed="false">
      <c r="A37" s="9" t="s">
        <v>416</v>
      </c>
      <c r="B37" s="9" t="s">
        <v>417</v>
      </c>
      <c r="C37" s="9" t="s">
        <v>145</v>
      </c>
      <c r="D37" s="9" t="s">
        <v>79</v>
      </c>
      <c r="E37" s="9" t="s">
        <v>418</v>
      </c>
      <c r="F37" s="9" t="s">
        <v>230</v>
      </c>
      <c r="G37" s="9" t="s">
        <v>413</v>
      </c>
      <c r="H37" s="9" t="s">
        <v>419</v>
      </c>
      <c r="I37" s="9" t="s">
        <v>415</v>
      </c>
      <c r="J37" s="9" t="s">
        <v>420</v>
      </c>
      <c r="K37" s="9" t="s">
        <v>234</v>
      </c>
      <c r="L37" s="9" t="s">
        <v>235</v>
      </c>
      <c r="M37" s="9" t="n">
        <f aca="false">COUNTIF($A$5:$A$71,A37)</f>
        <v>1</v>
      </c>
    </row>
    <row r="38" customFormat="false" ht="58" hidden="false" customHeight="true" outlineLevel="0" collapsed="false">
      <c r="A38" s="9" t="s">
        <v>421</v>
      </c>
      <c r="B38" s="9" t="s">
        <v>422</v>
      </c>
      <c r="C38" s="9" t="s">
        <v>151</v>
      </c>
      <c r="D38" s="9" t="s">
        <v>79</v>
      </c>
      <c r="E38" s="9" t="s">
        <v>112</v>
      </c>
      <c r="F38" s="9" t="s">
        <v>230</v>
      </c>
      <c r="G38" s="9" t="s">
        <v>340</v>
      </c>
      <c r="H38" s="9" t="s">
        <v>423</v>
      </c>
      <c r="I38" s="9" t="s">
        <v>424</v>
      </c>
      <c r="J38" s="9" t="s">
        <v>425</v>
      </c>
      <c r="K38" s="9" t="s">
        <v>234</v>
      </c>
      <c r="L38" s="9" t="s">
        <v>235</v>
      </c>
      <c r="M38" s="9" t="n">
        <f aca="false">COUNTIF($A$5:$A$71,A38)</f>
        <v>1</v>
      </c>
    </row>
    <row r="39" customFormat="false" ht="58" hidden="false" customHeight="true" outlineLevel="0" collapsed="false">
      <c r="A39" s="9" t="s">
        <v>426</v>
      </c>
      <c r="B39" s="9" t="s">
        <v>427</v>
      </c>
      <c r="C39" s="9" t="s">
        <v>151</v>
      </c>
      <c r="D39" s="9" t="s">
        <v>79</v>
      </c>
      <c r="E39" s="9" t="s">
        <v>428</v>
      </c>
      <c r="F39" s="9" t="s">
        <v>230</v>
      </c>
      <c r="G39" s="9" t="s">
        <v>429</v>
      </c>
      <c r="H39" s="9" t="s">
        <v>430</v>
      </c>
      <c r="I39" s="9" t="s">
        <v>431</v>
      </c>
      <c r="J39" s="9" t="s">
        <v>432</v>
      </c>
      <c r="K39" s="9" t="s">
        <v>234</v>
      </c>
      <c r="L39" s="9" t="s">
        <v>235</v>
      </c>
      <c r="M39" s="9" t="n">
        <f aca="false">COUNTIF($A$5:$A$71,A39)</f>
        <v>1</v>
      </c>
    </row>
    <row r="40" customFormat="false" ht="58" hidden="false" customHeight="true" outlineLevel="0" collapsed="false">
      <c r="A40" s="9" t="s">
        <v>433</v>
      </c>
      <c r="B40" s="9" t="s">
        <v>434</v>
      </c>
      <c r="C40" s="9" t="s">
        <v>157</v>
      </c>
      <c r="D40" s="9" t="s">
        <v>79</v>
      </c>
      <c r="E40" s="9" t="s">
        <v>435</v>
      </c>
      <c r="F40" s="9" t="s">
        <v>230</v>
      </c>
      <c r="G40" s="9" t="s">
        <v>340</v>
      </c>
      <c r="H40" s="9" t="s">
        <v>436</v>
      </c>
      <c r="I40" s="9" t="s">
        <v>261</v>
      </c>
      <c r="J40" s="9" t="s">
        <v>437</v>
      </c>
      <c r="K40" s="9" t="s">
        <v>234</v>
      </c>
      <c r="L40" s="9" t="s">
        <v>235</v>
      </c>
      <c r="M40" s="9" t="n">
        <f aca="false">COUNTIF($A$5:$A$71,A40)</f>
        <v>1</v>
      </c>
    </row>
    <row r="41" customFormat="false" ht="58" hidden="false" customHeight="true" outlineLevel="0" collapsed="false">
      <c r="A41" s="9" t="s">
        <v>438</v>
      </c>
      <c r="B41" s="9" t="s">
        <v>439</v>
      </c>
      <c r="C41" s="9" t="s">
        <v>157</v>
      </c>
      <c r="D41" s="9" t="s">
        <v>79</v>
      </c>
      <c r="E41" s="9" t="s">
        <v>440</v>
      </c>
      <c r="F41" s="9" t="s">
        <v>230</v>
      </c>
      <c r="G41" s="9" t="s">
        <v>441</v>
      </c>
      <c r="H41" s="9" t="s">
        <v>442</v>
      </c>
      <c r="I41" s="9" t="s">
        <v>261</v>
      </c>
      <c r="J41" s="9" t="s">
        <v>443</v>
      </c>
      <c r="K41" s="9" t="s">
        <v>234</v>
      </c>
      <c r="L41" s="9" t="s">
        <v>235</v>
      </c>
      <c r="M41" s="9" t="n">
        <f aca="false">COUNTIF($A$5:$A$71,A41)</f>
        <v>1</v>
      </c>
    </row>
    <row r="42" customFormat="false" ht="58" hidden="false" customHeight="true" outlineLevel="0" collapsed="false">
      <c r="A42" s="9" t="s">
        <v>444</v>
      </c>
      <c r="B42" s="9" t="s">
        <v>445</v>
      </c>
      <c r="C42" s="9" t="s">
        <v>157</v>
      </c>
      <c r="D42" s="9" t="s">
        <v>79</v>
      </c>
      <c r="E42" s="9" t="s">
        <v>112</v>
      </c>
      <c r="F42" s="9" t="s">
        <v>230</v>
      </c>
      <c r="G42" s="9" t="s">
        <v>112</v>
      </c>
      <c r="H42" s="9" t="s">
        <v>446</v>
      </c>
      <c r="I42" s="9" t="s">
        <v>261</v>
      </c>
      <c r="J42" s="9" t="s">
        <v>447</v>
      </c>
      <c r="K42" s="9" t="s">
        <v>112</v>
      </c>
      <c r="L42" s="9" t="s">
        <v>235</v>
      </c>
      <c r="M42" s="9" t="n">
        <f aca="false">COUNTIF($A$5:$A$71,A42)</f>
        <v>1</v>
      </c>
    </row>
    <row r="43" customFormat="false" ht="58" hidden="false" customHeight="true" outlineLevel="0" collapsed="false">
      <c r="A43" s="9" t="s">
        <v>448</v>
      </c>
      <c r="B43" s="9" t="s">
        <v>449</v>
      </c>
      <c r="C43" s="9" t="s">
        <v>157</v>
      </c>
      <c r="D43" s="9" t="s">
        <v>450</v>
      </c>
      <c r="E43" s="9" t="s">
        <v>214</v>
      </c>
      <c r="F43" s="9" t="s">
        <v>451</v>
      </c>
      <c r="G43" s="9" t="s">
        <v>451</v>
      </c>
      <c r="H43" s="9" t="s">
        <v>452</v>
      </c>
      <c r="I43" s="9" t="s">
        <v>214</v>
      </c>
      <c r="J43" s="9" t="s">
        <v>453</v>
      </c>
      <c r="K43" s="9" t="s">
        <v>454</v>
      </c>
      <c r="L43" s="9" t="s">
        <v>455</v>
      </c>
      <c r="M43" s="9" t="n">
        <f aca="false">COUNTIF($A$5:$A$71,A43)</f>
        <v>1</v>
      </c>
    </row>
    <row r="44" customFormat="false" ht="58" hidden="false" customHeight="true" outlineLevel="0" collapsed="false">
      <c r="A44" s="9" t="s">
        <v>456</v>
      </c>
      <c r="B44" s="9" t="s">
        <v>457</v>
      </c>
      <c r="C44" s="9" t="s">
        <v>163</v>
      </c>
      <c r="D44" s="9" t="s">
        <v>79</v>
      </c>
      <c r="E44" s="9" t="s">
        <v>258</v>
      </c>
      <c r="F44" s="9" t="s">
        <v>230</v>
      </c>
      <c r="G44" s="9" t="s">
        <v>458</v>
      </c>
      <c r="H44" s="9" t="s">
        <v>459</v>
      </c>
      <c r="I44" s="9" t="s">
        <v>261</v>
      </c>
      <c r="J44" s="9" t="s">
        <v>460</v>
      </c>
      <c r="K44" s="9" t="s">
        <v>234</v>
      </c>
      <c r="L44" s="9" t="s">
        <v>235</v>
      </c>
      <c r="M44" s="9" t="n">
        <f aca="false">COUNTIF($A$5:$A$71,A44)</f>
        <v>1</v>
      </c>
    </row>
    <row r="45" customFormat="false" ht="58" hidden="false" customHeight="true" outlineLevel="0" collapsed="false">
      <c r="A45" s="9" t="s">
        <v>461</v>
      </c>
      <c r="B45" s="9" t="s">
        <v>462</v>
      </c>
      <c r="C45" s="9" t="s">
        <v>163</v>
      </c>
      <c r="D45" s="9" t="s">
        <v>79</v>
      </c>
      <c r="E45" s="9" t="s">
        <v>463</v>
      </c>
      <c r="F45" s="9" t="s">
        <v>230</v>
      </c>
      <c r="G45" s="9" t="s">
        <v>464</v>
      </c>
      <c r="H45" s="9" t="s">
        <v>465</v>
      </c>
      <c r="I45" s="9" t="s">
        <v>261</v>
      </c>
      <c r="J45" s="9" t="s">
        <v>466</v>
      </c>
      <c r="K45" s="9" t="s">
        <v>234</v>
      </c>
      <c r="L45" s="9" t="s">
        <v>235</v>
      </c>
      <c r="M45" s="9" t="n">
        <f aca="false">COUNTIF($A$5:$A$71,A45)</f>
        <v>1</v>
      </c>
    </row>
    <row r="46" customFormat="false" ht="58" hidden="false" customHeight="true" outlineLevel="0" collapsed="false">
      <c r="A46" s="9" t="s">
        <v>467</v>
      </c>
      <c r="B46" s="9" t="s">
        <v>468</v>
      </c>
      <c r="C46" s="9" t="s">
        <v>163</v>
      </c>
      <c r="D46" s="9" t="s">
        <v>79</v>
      </c>
      <c r="E46" s="9" t="s">
        <v>469</v>
      </c>
      <c r="F46" s="9" t="s">
        <v>230</v>
      </c>
      <c r="G46" s="9" t="s">
        <v>470</v>
      </c>
      <c r="H46" s="9" t="s">
        <v>471</v>
      </c>
      <c r="I46" s="9" t="s">
        <v>261</v>
      </c>
      <c r="J46" s="9" t="s">
        <v>472</v>
      </c>
      <c r="K46" s="9" t="s">
        <v>112</v>
      </c>
      <c r="L46" s="9" t="s">
        <v>235</v>
      </c>
      <c r="M46" s="9" t="n">
        <f aca="false">COUNTIF($A$5:$A$71,A46)</f>
        <v>1</v>
      </c>
    </row>
    <row r="47" customFormat="false" ht="58" hidden="false" customHeight="true" outlineLevel="0" collapsed="false">
      <c r="A47" s="9" t="s">
        <v>473</v>
      </c>
      <c r="B47" s="9" t="s">
        <v>474</v>
      </c>
      <c r="C47" s="9" t="s">
        <v>169</v>
      </c>
      <c r="D47" s="9" t="s">
        <v>475</v>
      </c>
      <c r="E47" s="9" t="s">
        <v>476</v>
      </c>
      <c r="F47" s="9" t="s">
        <v>230</v>
      </c>
      <c r="G47" s="9" t="s">
        <v>112</v>
      </c>
      <c r="H47" s="9" t="s">
        <v>477</v>
      </c>
      <c r="I47" s="9" t="s">
        <v>478</v>
      </c>
      <c r="J47" s="9" t="s">
        <v>479</v>
      </c>
      <c r="K47" s="9" t="s">
        <v>234</v>
      </c>
      <c r="L47" s="9" t="s">
        <v>235</v>
      </c>
      <c r="M47" s="9" t="n">
        <f aca="false">COUNTIF($A$5:$A$71,A47)</f>
        <v>1</v>
      </c>
    </row>
    <row r="48" customFormat="false" ht="58" hidden="false" customHeight="true" outlineLevel="0" collapsed="false">
      <c r="A48" s="9" t="s">
        <v>480</v>
      </c>
      <c r="B48" s="9" t="s">
        <v>481</v>
      </c>
      <c r="C48" s="9" t="s">
        <v>169</v>
      </c>
      <c r="D48" s="9" t="s">
        <v>475</v>
      </c>
      <c r="E48" s="9" t="s">
        <v>482</v>
      </c>
      <c r="F48" s="9" t="s">
        <v>230</v>
      </c>
      <c r="G48" s="9" t="s">
        <v>483</v>
      </c>
      <c r="H48" s="9" t="s">
        <v>484</v>
      </c>
      <c r="I48" s="9" t="s">
        <v>485</v>
      </c>
      <c r="J48" s="9" t="s">
        <v>486</v>
      </c>
      <c r="K48" s="9" t="s">
        <v>234</v>
      </c>
      <c r="L48" s="9" t="s">
        <v>235</v>
      </c>
      <c r="M48" s="9" t="n">
        <f aca="false">COUNTIF($A$5:$A$71,A48)</f>
        <v>1</v>
      </c>
    </row>
    <row r="49" customFormat="false" ht="58" hidden="false" customHeight="true" outlineLevel="0" collapsed="false">
      <c r="A49" s="9" t="s">
        <v>487</v>
      </c>
      <c r="B49" s="9" t="s">
        <v>488</v>
      </c>
      <c r="C49" s="9" t="s">
        <v>169</v>
      </c>
      <c r="D49" s="9" t="s">
        <v>489</v>
      </c>
      <c r="E49" s="9" t="s">
        <v>490</v>
      </c>
      <c r="F49" s="9" t="s">
        <v>230</v>
      </c>
      <c r="G49" s="9" t="s">
        <v>491</v>
      </c>
      <c r="H49" s="9" t="s">
        <v>492</v>
      </c>
      <c r="I49" s="9" t="s">
        <v>493</v>
      </c>
      <c r="J49" s="9" t="s">
        <v>494</v>
      </c>
      <c r="K49" s="9" t="s">
        <v>234</v>
      </c>
      <c r="L49" s="9" t="s">
        <v>235</v>
      </c>
      <c r="M49" s="9" t="n">
        <f aca="false">COUNTIF($A$5:$A$71,A49)</f>
        <v>1</v>
      </c>
    </row>
    <row r="50" customFormat="false" ht="58" hidden="false" customHeight="true" outlineLevel="0" collapsed="false">
      <c r="A50" s="9" t="s">
        <v>495</v>
      </c>
      <c r="B50" s="9" t="s">
        <v>496</v>
      </c>
      <c r="C50" s="9" t="s">
        <v>176</v>
      </c>
      <c r="D50" s="9" t="s">
        <v>497</v>
      </c>
      <c r="E50" s="9" t="s">
        <v>498</v>
      </c>
      <c r="F50" s="9" t="s">
        <v>230</v>
      </c>
      <c r="G50" s="9" t="s">
        <v>499</v>
      </c>
      <c r="H50" s="9" t="s">
        <v>500</v>
      </c>
      <c r="I50" s="9" t="s">
        <v>501</v>
      </c>
      <c r="J50" s="9" t="s">
        <v>502</v>
      </c>
      <c r="K50" s="9" t="s">
        <v>234</v>
      </c>
      <c r="L50" s="9" t="s">
        <v>235</v>
      </c>
      <c r="M50" s="9" t="n">
        <f aca="false">COUNTIF($A$5:$A$71,A50)</f>
        <v>1</v>
      </c>
    </row>
    <row r="51" customFormat="false" ht="58" hidden="false" customHeight="true" outlineLevel="0" collapsed="false">
      <c r="A51" s="9" t="s">
        <v>503</v>
      </c>
      <c r="B51" s="9" t="s">
        <v>504</v>
      </c>
      <c r="C51" s="9" t="s">
        <v>176</v>
      </c>
      <c r="D51" s="9" t="s">
        <v>497</v>
      </c>
      <c r="E51" s="9" t="s">
        <v>505</v>
      </c>
      <c r="F51" s="9" t="s">
        <v>230</v>
      </c>
      <c r="G51" s="9" t="s">
        <v>499</v>
      </c>
      <c r="H51" s="9" t="s">
        <v>506</v>
      </c>
      <c r="I51" s="9" t="s">
        <v>501</v>
      </c>
      <c r="J51" s="9" t="s">
        <v>507</v>
      </c>
      <c r="K51" s="9" t="s">
        <v>234</v>
      </c>
      <c r="L51" s="9" t="s">
        <v>235</v>
      </c>
      <c r="M51" s="9" t="n">
        <f aca="false">COUNTIF($A$5:$A$71,A51)</f>
        <v>1</v>
      </c>
    </row>
    <row r="52" customFormat="false" ht="58" hidden="false" customHeight="true" outlineLevel="0" collapsed="false">
      <c r="A52" s="9" t="s">
        <v>508</v>
      </c>
      <c r="B52" s="9" t="s">
        <v>509</v>
      </c>
      <c r="C52" s="9" t="s">
        <v>63</v>
      </c>
      <c r="D52" s="9" t="s">
        <v>79</v>
      </c>
      <c r="E52" s="9" t="s">
        <v>510</v>
      </c>
      <c r="F52" s="9" t="s">
        <v>230</v>
      </c>
      <c r="G52" s="9" t="s">
        <v>511</v>
      </c>
      <c r="H52" s="9" t="s">
        <v>512</v>
      </c>
      <c r="I52" s="9" t="s">
        <v>513</v>
      </c>
      <c r="J52" s="9" t="s">
        <v>514</v>
      </c>
      <c r="K52" s="9" t="s">
        <v>234</v>
      </c>
      <c r="L52" s="9" t="s">
        <v>235</v>
      </c>
      <c r="M52" s="9" t="n">
        <f aca="false">COUNTIF($A$5:$A$71,A52)</f>
        <v>1</v>
      </c>
    </row>
    <row r="53" customFormat="false" ht="58" hidden="false" customHeight="true" outlineLevel="0" collapsed="false">
      <c r="A53" s="9" t="s">
        <v>515</v>
      </c>
      <c r="B53" s="9" t="s">
        <v>516</v>
      </c>
      <c r="C53" s="9" t="s">
        <v>63</v>
      </c>
      <c r="D53" s="9" t="s">
        <v>79</v>
      </c>
      <c r="E53" s="9" t="s">
        <v>517</v>
      </c>
      <c r="F53" s="9" t="s">
        <v>230</v>
      </c>
      <c r="G53" s="9" t="s">
        <v>518</v>
      </c>
      <c r="H53" s="9" t="s">
        <v>519</v>
      </c>
      <c r="I53" s="9" t="s">
        <v>520</v>
      </c>
      <c r="J53" s="9" t="s">
        <v>521</v>
      </c>
      <c r="K53" s="9" t="s">
        <v>234</v>
      </c>
      <c r="L53" s="9" t="s">
        <v>235</v>
      </c>
      <c r="M53" s="9" t="n">
        <f aca="false">COUNTIF($A$5:$A$71,A53)</f>
        <v>1</v>
      </c>
    </row>
    <row r="54" customFormat="false" ht="58" hidden="false" customHeight="true" outlineLevel="0" collapsed="false">
      <c r="A54" s="9" t="s">
        <v>522</v>
      </c>
      <c r="B54" s="9" t="s">
        <v>523</v>
      </c>
      <c r="C54" s="9" t="s">
        <v>183</v>
      </c>
      <c r="D54" s="9" t="s">
        <v>524</v>
      </c>
      <c r="E54" s="9" t="s">
        <v>525</v>
      </c>
      <c r="F54" s="9" t="s">
        <v>230</v>
      </c>
      <c r="G54" s="9" t="s">
        <v>526</v>
      </c>
      <c r="H54" s="9" t="s">
        <v>527</v>
      </c>
      <c r="I54" s="9" t="s">
        <v>528</v>
      </c>
      <c r="J54" s="9" t="s">
        <v>529</v>
      </c>
      <c r="K54" s="9" t="s">
        <v>530</v>
      </c>
      <c r="L54" s="9" t="s">
        <v>235</v>
      </c>
      <c r="M54" s="9" t="n">
        <f aca="false">COUNTIF($A$5:$A$71,A54)</f>
        <v>1</v>
      </c>
    </row>
    <row r="55" customFormat="false" ht="58" hidden="false" customHeight="true" outlineLevel="0" collapsed="false">
      <c r="A55" s="9" t="s">
        <v>531</v>
      </c>
      <c r="B55" s="9" t="s">
        <v>532</v>
      </c>
      <c r="C55" s="9" t="s">
        <v>189</v>
      </c>
      <c r="D55" s="9" t="s">
        <v>533</v>
      </c>
      <c r="E55" s="9" t="s">
        <v>534</v>
      </c>
      <c r="F55" s="9" t="s">
        <v>230</v>
      </c>
      <c r="G55" s="9" t="s">
        <v>535</v>
      </c>
      <c r="H55" s="9" t="s">
        <v>536</v>
      </c>
      <c r="I55" s="9" t="s">
        <v>537</v>
      </c>
      <c r="J55" s="9" t="s">
        <v>538</v>
      </c>
      <c r="K55" s="9" t="s">
        <v>539</v>
      </c>
      <c r="L55" s="9" t="s">
        <v>540</v>
      </c>
      <c r="M55" s="9" t="n">
        <f aca="false">COUNTIF($A$5:$A$71,A55)</f>
        <v>1</v>
      </c>
    </row>
    <row r="56" customFormat="false" ht="58" hidden="false" customHeight="true" outlineLevel="0" collapsed="false">
      <c r="A56" s="9" t="s">
        <v>541</v>
      </c>
      <c r="B56" s="9" t="s">
        <v>542</v>
      </c>
      <c r="C56" s="9" t="s">
        <v>189</v>
      </c>
      <c r="D56" s="9" t="s">
        <v>79</v>
      </c>
      <c r="E56" s="9" t="s">
        <v>258</v>
      </c>
      <c r="F56" s="9" t="s">
        <v>230</v>
      </c>
      <c r="G56" s="9" t="s">
        <v>543</v>
      </c>
      <c r="H56" s="9" t="s">
        <v>544</v>
      </c>
      <c r="I56" s="9" t="s">
        <v>545</v>
      </c>
      <c r="J56" s="9" t="s">
        <v>546</v>
      </c>
      <c r="K56" s="9" t="s">
        <v>234</v>
      </c>
      <c r="L56" s="9" t="s">
        <v>235</v>
      </c>
      <c r="M56" s="9" t="n">
        <f aca="false">COUNTIF($A$5:$A$71,A56)</f>
        <v>1</v>
      </c>
    </row>
    <row r="57" customFormat="false" ht="58" hidden="false" customHeight="true" outlineLevel="0" collapsed="false">
      <c r="A57" s="9" t="s">
        <v>547</v>
      </c>
      <c r="B57" s="9" t="s">
        <v>548</v>
      </c>
      <c r="C57" s="9" t="s">
        <v>189</v>
      </c>
      <c r="D57" s="9" t="s">
        <v>79</v>
      </c>
      <c r="E57" s="9" t="s">
        <v>463</v>
      </c>
      <c r="F57" s="9" t="s">
        <v>230</v>
      </c>
      <c r="G57" s="9" t="s">
        <v>549</v>
      </c>
      <c r="H57" s="9" t="s">
        <v>550</v>
      </c>
      <c r="I57" s="9" t="s">
        <v>551</v>
      </c>
      <c r="J57" s="9" t="s">
        <v>552</v>
      </c>
      <c r="K57" s="9" t="s">
        <v>234</v>
      </c>
      <c r="L57" s="9" t="s">
        <v>235</v>
      </c>
      <c r="M57" s="9" t="n">
        <f aca="false">COUNTIF($A$5:$A$71,A57)</f>
        <v>1</v>
      </c>
    </row>
    <row r="58" customFormat="false" ht="58" hidden="false" customHeight="true" outlineLevel="0" collapsed="false">
      <c r="A58" s="9" t="s">
        <v>553</v>
      </c>
      <c r="B58" s="9" t="s">
        <v>554</v>
      </c>
      <c r="C58" s="9" t="s">
        <v>196</v>
      </c>
      <c r="D58" s="9" t="s">
        <v>555</v>
      </c>
      <c r="E58" s="9" t="s">
        <v>258</v>
      </c>
      <c r="F58" s="9" t="s">
        <v>230</v>
      </c>
      <c r="G58" s="9" t="s">
        <v>499</v>
      </c>
      <c r="H58" s="9" t="s">
        <v>556</v>
      </c>
      <c r="I58" s="9" t="s">
        <v>557</v>
      </c>
      <c r="J58" s="9" t="s">
        <v>558</v>
      </c>
      <c r="K58" s="9" t="s">
        <v>112</v>
      </c>
      <c r="L58" s="9" t="s">
        <v>235</v>
      </c>
      <c r="M58" s="9" t="n">
        <f aca="false">COUNTIF($A$5:$A$71,A58)</f>
        <v>1</v>
      </c>
    </row>
    <row r="59" customFormat="false" ht="58" hidden="false" customHeight="true" outlineLevel="0" collapsed="false">
      <c r="A59" s="9" t="s">
        <v>559</v>
      </c>
      <c r="B59" s="9" t="s">
        <v>560</v>
      </c>
      <c r="C59" s="9" t="s">
        <v>196</v>
      </c>
      <c r="D59" s="9" t="s">
        <v>555</v>
      </c>
      <c r="E59" s="9" t="s">
        <v>279</v>
      </c>
      <c r="F59" s="9" t="s">
        <v>230</v>
      </c>
      <c r="G59" s="9" t="s">
        <v>561</v>
      </c>
      <c r="H59" s="9" t="s">
        <v>562</v>
      </c>
      <c r="I59" s="9" t="s">
        <v>557</v>
      </c>
      <c r="J59" s="9" t="s">
        <v>563</v>
      </c>
      <c r="K59" s="9" t="s">
        <v>234</v>
      </c>
      <c r="L59" s="9" t="s">
        <v>235</v>
      </c>
      <c r="M59" s="9" t="n">
        <f aca="false">COUNTIF($A$5:$A$71,A59)</f>
        <v>1</v>
      </c>
    </row>
    <row r="60" customFormat="false" ht="58" hidden="false" customHeight="true" outlineLevel="0" collapsed="false">
      <c r="A60" s="9" t="s">
        <v>564</v>
      </c>
      <c r="B60" s="9" t="s">
        <v>565</v>
      </c>
      <c r="C60" s="9" t="s">
        <v>203</v>
      </c>
      <c r="D60" s="9" t="s">
        <v>566</v>
      </c>
      <c r="E60" s="9" t="s">
        <v>567</v>
      </c>
      <c r="F60" s="9" t="s">
        <v>230</v>
      </c>
      <c r="G60" s="9" t="s">
        <v>568</v>
      </c>
      <c r="H60" s="9" t="s">
        <v>569</v>
      </c>
      <c r="I60" s="9" t="s">
        <v>570</v>
      </c>
      <c r="J60" s="9" t="s">
        <v>571</v>
      </c>
      <c r="K60" s="9" t="s">
        <v>234</v>
      </c>
      <c r="L60" s="9" t="s">
        <v>235</v>
      </c>
      <c r="M60" s="9" t="n">
        <f aca="false">COUNTIF($A$5:$A$71,A60)</f>
        <v>1</v>
      </c>
    </row>
    <row r="61" customFormat="false" ht="58" hidden="false" customHeight="true" outlineLevel="0" collapsed="false">
      <c r="A61" s="9" t="s">
        <v>572</v>
      </c>
      <c r="B61" s="9" t="s">
        <v>573</v>
      </c>
      <c r="C61" s="9" t="s">
        <v>203</v>
      </c>
      <c r="D61" s="9" t="s">
        <v>79</v>
      </c>
      <c r="E61" s="9" t="s">
        <v>279</v>
      </c>
      <c r="F61" s="9" t="s">
        <v>230</v>
      </c>
      <c r="G61" s="9" t="s">
        <v>574</v>
      </c>
      <c r="H61" s="9" t="s">
        <v>575</v>
      </c>
      <c r="I61" s="9" t="s">
        <v>576</v>
      </c>
      <c r="J61" s="9" t="s">
        <v>577</v>
      </c>
      <c r="K61" s="9" t="s">
        <v>578</v>
      </c>
      <c r="L61" s="9" t="s">
        <v>540</v>
      </c>
      <c r="M61" s="9" t="n">
        <f aca="false">COUNTIF($A$5:$A$71,A61)</f>
        <v>1</v>
      </c>
    </row>
    <row r="62" customFormat="false" ht="58" hidden="false" customHeight="true" outlineLevel="0" collapsed="false">
      <c r="A62" s="9" t="s">
        <v>579</v>
      </c>
      <c r="B62" s="9" t="s">
        <v>580</v>
      </c>
      <c r="C62" s="9" t="s">
        <v>120</v>
      </c>
      <c r="D62" s="9" t="s">
        <v>79</v>
      </c>
      <c r="E62" s="9" t="s">
        <v>279</v>
      </c>
      <c r="F62" s="9" t="s">
        <v>230</v>
      </c>
      <c r="G62" s="9" t="s">
        <v>581</v>
      </c>
      <c r="H62" s="9" t="s">
        <v>582</v>
      </c>
      <c r="I62" s="9" t="s">
        <v>583</v>
      </c>
      <c r="J62" s="9" t="s">
        <v>584</v>
      </c>
      <c r="K62" s="9" t="s">
        <v>234</v>
      </c>
      <c r="L62" s="9" t="s">
        <v>235</v>
      </c>
      <c r="M62" s="9" t="n">
        <f aca="false">COUNTIF($A$5:$A$71,A62)</f>
        <v>1</v>
      </c>
    </row>
    <row r="63" customFormat="false" ht="58" hidden="false" customHeight="true" outlineLevel="0" collapsed="false">
      <c r="A63" s="9" t="s">
        <v>585</v>
      </c>
      <c r="B63" s="9" t="s">
        <v>586</v>
      </c>
      <c r="C63" s="9" t="s">
        <v>151</v>
      </c>
      <c r="D63" s="9" t="s">
        <v>110</v>
      </c>
      <c r="E63" s="9" t="s">
        <v>587</v>
      </c>
      <c r="F63" s="9" t="s">
        <v>230</v>
      </c>
      <c r="G63" s="9" t="s">
        <v>588</v>
      </c>
      <c r="H63" s="9" t="s">
        <v>589</v>
      </c>
      <c r="I63" s="9" t="s">
        <v>590</v>
      </c>
      <c r="J63" s="9" t="s">
        <v>389</v>
      </c>
      <c r="K63" s="9" t="s">
        <v>234</v>
      </c>
      <c r="L63" s="9" t="s">
        <v>235</v>
      </c>
      <c r="M63" s="9" t="n">
        <f aca="false">COUNTIF($A$5:$A$71,A63)</f>
        <v>1</v>
      </c>
    </row>
    <row r="64" customFormat="false" ht="58" hidden="false" customHeight="true" outlineLevel="0" collapsed="false">
      <c r="A64" s="9" t="s">
        <v>591</v>
      </c>
      <c r="B64" s="9" t="s">
        <v>592</v>
      </c>
      <c r="C64" s="9" t="s">
        <v>189</v>
      </c>
      <c r="D64" s="9" t="s">
        <v>593</v>
      </c>
      <c r="E64" s="9" t="s">
        <v>594</v>
      </c>
      <c r="F64" s="9" t="s">
        <v>230</v>
      </c>
      <c r="G64" s="9" t="s">
        <v>595</v>
      </c>
      <c r="H64" s="9" t="s">
        <v>596</v>
      </c>
      <c r="I64" s="9" t="s">
        <v>593</v>
      </c>
      <c r="J64" s="9" t="s">
        <v>597</v>
      </c>
      <c r="K64" s="9" t="s">
        <v>234</v>
      </c>
      <c r="L64" s="9" t="s">
        <v>235</v>
      </c>
      <c r="M64" s="9" t="n">
        <f aca="false">COUNTIF($A$5:$A$71,A64)</f>
        <v>1</v>
      </c>
    </row>
    <row r="65" customFormat="false" ht="58" hidden="false" customHeight="true" outlineLevel="0" collapsed="false">
      <c r="A65" s="9" t="s">
        <v>598</v>
      </c>
      <c r="B65" s="9" t="s">
        <v>599</v>
      </c>
      <c r="C65" s="9" t="s">
        <v>145</v>
      </c>
      <c r="D65" s="9" t="s">
        <v>79</v>
      </c>
      <c r="E65" s="9" t="s">
        <v>600</v>
      </c>
      <c r="F65" s="9" t="s">
        <v>230</v>
      </c>
      <c r="G65" s="9" t="s">
        <v>600</v>
      </c>
      <c r="H65" s="9" t="s">
        <v>601</v>
      </c>
      <c r="I65" s="9" t="s">
        <v>261</v>
      </c>
      <c r="J65" s="9" t="s">
        <v>602</v>
      </c>
      <c r="K65" s="9" t="s">
        <v>603</v>
      </c>
      <c r="L65" s="9" t="s">
        <v>235</v>
      </c>
      <c r="M65" s="9" t="n">
        <f aca="false">COUNTIF($A$5:$A$71,A65)</f>
        <v>1</v>
      </c>
    </row>
    <row r="66" customFormat="false" ht="58" hidden="false" customHeight="true" outlineLevel="0" collapsed="false">
      <c r="A66" s="9" t="s">
        <v>604</v>
      </c>
      <c r="B66" s="9" t="s">
        <v>605</v>
      </c>
      <c r="C66" s="9" t="s">
        <v>145</v>
      </c>
      <c r="D66" s="9" t="s">
        <v>79</v>
      </c>
      <c r="E66" s="9" t="s">
        <v>600</v>
      </c>
      <c r="F66" s="9" t="s">
        <v>230</v>
      </c>
      <c r="G66" s="9" t="s">
        <v>600</v>
      </c>
      <c r="H66" s="9" t="s">
        <v>606</v>
      </c>
      <c r="I66" s="9" t="s">
        <v>261</v>
      </c>
      <c r="J66" s="9" t="s">
        <v>607</v>
      </c>
      <c r="K66" s="9" t="s">
        <v>608</v>
      </c>
      <c r="L66" s="9" t="s">
        <v>235</v>
      </c>
      <c r="M66" s="9" t="n">
        <f aca="false">COUNTIF($A$5:$A$71,A66)</f>
        <v>1</v>
      </c>
    </row>
    <row r="67" customFormat="false" ht="58" hidden="false" customHeight="true" outlineLevel="0" collapsed="false">
      <c r="A67" s="9" t="s">
        <v>609</v>
      </c>
      <c r="B67" s="9" t="s">
        <v>610</v>
      </c>
      <c r="C67" s="9" t="s">
        <v>210</v>
      </c>
      <c r="D67" s="9" t="s">
        <v>213</v>
      </c>
      <c r="E67" s="9" t="s">
        <v>611</v>
      </c>
      <c r="F67" s="9" t="s">
        <v>230</v>
      </c>
      <c r="G67" s="9" t="s">
        <v>612</v>
      </c>
      <c r="H67" s="9" t="s">
        <v>613</v>
      </c>
      <c r="I67" s="9" t="s">
        <v>614</v>
      </c>
      <c r="J67" s="9" t="s">
        <v>215</v>
      </c>
      <c r="K67" s="9" t="s">
        <v>615</v>
      </c>
      <c r="L67" s="9" t="s">
        <v>235</v>
      </c>
      <c r="M67" s="9" t="n">
        <f aca="false">COUNTIF($A$5:$A$71,A67)</f>
        <v>1</v>
      </c>
    </row>
    <row r="68" customFormat="false" ht="58" hidden="false" customHeight="true" outlineLevel="0" collapsed="false">
      <c r="A68" s="9" t="s">
        <v>616</v>
      </c>
      <c r="B68" s="9" t="s">
        <v>617</v>
      </c>
      <c r="C68" s="9" t="s">
        <v>114</v>
      </c>
      <c r="D68" s="9" t="s">
        <v>79</v>
      </c>
      <c r="E68" s="9" t="s">
        <v>618</v>
      </c>
      <c r="F68" s="9" t="s">
        <v>230</v>
      </c>
      <c r="G68" s="9" t="s">
        <v>619</v>
      </c>
      <c r="H68" s="9" t="s">
        <v>620</v>
      </c>
      <c r="I68" s="9" t="s">
        <v>621</v>
      </c>
      <c r="J68" s="9" t="s">
        <v>622</v>
      </c>
      <c r="K68" s="9" t="s">
        <v>623</v>
      </c>
      <c r="L68" s="9" t="s">
        <v>235</v>
      </c>
      <c r="M68" s="9" t="n">
        <f aca="false">COUNTIF($A$5:$A$71,A68)</f>
        <v>1</v>
      </c>
    </row>
    <row r="69" customFormat="false" ht="58" hidden="false" customHeight="true" outlineLevel="0" collapsed="false">
      <c r="A69" s="9" t="s">
        <v>624</v>
      </c>
      <c r="B69" s="9" t="s">
        <v>625</v>
      </c>
      <c r="C69" s="9" t="s">
        <v>120</v>
      </c>
      <c r="D69" s="9" t="s">
        <v>79</v>
      </c>
      <c r="E69" s="9" t="s">
        <v>626</v>
      </c>
      <c r="F69" s="9" t="s">
        <v>230</v>
      </c>
      <c r="G69" s="9" t="s">
        <v>124</v>
      </c>
      <c r="H69" s="9" t="s">
        <v>627</v>
      </c>
      <c r="I69" s="9" t="s">
        <v>628</v>
      </c>
      <c r="J69" s="9" t="s">
        <v>629</v>
      </c>
      <c r="K69" s="9" t="s">
        <v>623</v>
      </c>
      <c r="L69" s="9" t="s">
        <v>235</v>
      </c>
      <c r="M69" s="9" t="n">
        <f aca="false">COUNTIF($A$5:$A$71,A69)</f>
        <v>1</v>
      </c>
    </row>
    <row r="70" customFormat="false" ht="58" hidden="false" customHeight="true" outlineLevel="0" collapsed="false">
      <c r="A70" s="9" t="s">
        <v>630</v>
      </c>
      <c r="B70" s="9" t="s">
        <v>631</v>
      </c>
      <c r="C70" s="9" t="s">
        <v>100</v>
      </c>
      <c r="D70" s="9" t="s">
        <v>79</v>
      </c>
      <c r="E70" s="9" t="s">
        <v>632</v>
      </c>
      <c r="F70" s="9" t="s">
        <v>230</v>
      </c>
      <c r="G70" s="9" t="s">
        <v>340</v>
      </c>
      <c r="H70" s="9" t="s">
        <v>633</v>
      </c>
      <c r="I70" s="9" t="s">
        <v>634</v>
      </c>
      <c r="J70" s="9" t="s">
        <v>635</v>
      </c>
      <c r="K70" s="9" t="s">
        <v>636</v>
      </c>
      <c r="L70" s="9" t="s">
        <v>235</v>
      </c>
      <c r="M70" s="9" t="n">
        <f aca="false">COUNTIF($A$5:$A$71,A70)</f>
        <v>1</v>
      </c>
    </row>
    <row r="71" customFormat="false" ht="58" hidden="false" customHeight="true" outlineLevel="0" collapsed="false">
      <c r="A71" s="9" t="s">
        <v>637</v>
      </c>
      <c r="B71" s="9" t="s">
        <v>638</v>
      </c>
      <c r="C71" s="9" t="s">
        <v>203</v>
      </c>
      <c r="D71" s="9" t="s">
        <v>79</v>
      </c>
      <c r="E71" s="9" t="s">
        <v>639</v>
      </c>
      <c r="F71" s="9" t="s">
        <v>230</v>
      </c>
      <c r="G71" s="9" t="s">
        <v>640</v>
      </c>
      <c r="H71" s="9" t="s">
        <v>641</v>
      </c>
      <c r="I71" s="9" t="s">
        <v>642</v>
      </c>
      <c r="J71" s="9" t="s">
        <v>643</v>
      </c>
      <c r="K71" s="9" t="s">
        <v>234</v>
      </c>
      <c r="L71" s="9" t="s">
        <v>235</v>
      </c>
      <c r="M71" s="9" t="n">
        <f aca="false">COUNTIF($A$5:$A$71,A71)</f>
        <v>1</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3" min="3" style="0" width="16"/>
    <col collapsed="false" customWidth="true" hidden="false" outlineLevel="0" max="4" min="4" style="0" width="26"/>
    <col collapsed="false" customWidth="true" hidden="false" outlineLevel="0" max="6" min="5" style="0" width="36"/>
    <col collapsed="false" customWidth="true" hidden="false" outlineLevel="0" max="7" min="7" style="0" width="28"/>
    <col collapsed="false" customWidth="true" hidden="false" outlineLevel="0" max="8" min="8" style="0" width="42"/>
    <col collapsed="false" customWidth="true" hidden="false" outlineLevel="0" max="9" min="9" style="0" width="28"/>
    <col collapsed="false" customWidth="true" hidden="false" outlineLevel="0" max="10" min="10" style="0" width="56"/>
    <col collapsed="false" customWidth="true" hidden="false" outlineLevel="0" max="11" min="11" style="0" width="18"/>
    <col collapsed="false" customWidth="true" hidden="false" outlineLevel="0" max="12" min="12" style="0" width="12"/>
    <col collapsed="false" customWidth="true" hidden="false" outlineLevel="0" max="13" min="13" style="0" width="32"/>
    <col collapsed="false" customWidth="true" hidden="false" outlineLevel="0" max="14" min="14" style="0" width="36"/>
    <col collapsed="false" customWidth="true" hidden="false" outlineLevel="0" max="15" min="15" style="0" width="48"/>
    <col collapsed="false" customWidth="true" hidden="false" outlineLevel="0" max="16" min="16" style="0" width="10"/>
  </cols>
  <sheetData>
    <row r="1" customFormat="false" ht="30" hidden="false" customHeight="true" outlineLevel="0" collapsed="false">
      <c r="A1" s="1" t="s">
        <v>644</v>
      </c>
      <c r="B1" s="1"/>
      <c r="C1" s="1"/>
      <c r="D1" s="1"/>
      <c r="E1" s="1"/>
      <c r="F1" s="1"/>
      <c r="G1" s="1"/>
      <c r="H1" s="1"/>
      <c r="I1" s="1"/>
      <c r="J1" s="1"/>
      <c r="K1" s="1"/>
      <c r="L1" s="1"/>
      <c r="M1" s="1"/>
      <c r="N1" s="1"/>
      <c r="O1" s="1"/>
      <c r="P1" s="1"/>
    </row>
    <row r="2" customFormat="false" ht="34" hidden="false" customHeight="true" outlineLevel="0" collapsed="false">
      <c r="A2" s="2" t="s">
        <v>645</v>
      </c>
      <c r="B2" s="2"/>
      <c r="C2" s="2"/>
      <c r="D2" s="2"/>
      <c r="E2" s="2"/>
      <c r="F2" s="2"/>
      <c r="G2" s="2"/>
      <c r="H2" s="2"/>
      <c r="I2" s="2"/>
      <c r="J2" s="2"/>
      <c r="K2" s="2"/>
      <c r="L2" s="2"/>
      <c r="M2" s="2"/>
      <c r="N2" s="2"/>
      <c r="O2" s="2"/>
      <c r="P2" s="2"/>
    </row>
    <row r="4" customFormat="false" ht="34" hidden="false" customHeight="true" outlineLevel="0" collapsed="false">
      <c r="A4" s="8" t="s">
        <v>646</v>
      </c>
      <c r="B4" s="8" t="s">
        <v>56</v>
      </c>
      <c r="C4" s="8" t="s">
        <v>647</v>
      </c>
      <c r="D4" s="8" t="s">
        <v>648</v>
      </c>
      <c r="E4" s="8" t="s">
        <v>649</v>
      </c>
      <c r="F4" s="8" t="s">
        <v>650</v>
      </c>
      <c r="G4" s="8" t="s">
        <v>651</v>
      </c>
      <c r="H4" s="8" t="s">
        <v>652</v>
      </c>
      <c r="I4" s="8" t="s">
        <v>653</v>
      </c>
      <c r="J4" s="8" t="s">
        <v>654</v>
      </c>
      <c r="K4" s="8" t="s">
        <v>655</v>
      </c>
      <c r="L4" s="8" t="s">
        <v>656</v>
      </c>
      <c r="M4" s="8" t="s">
        <v>61</v>
      </c>
      <c r="N4" s="8" t="s">
        <v>657</v>
      </c>
      <c r="O4" s="8" t="s">
        <v>5</v>
      </c>
      <c r="P4" s="8" t="s">
        <v>62</v>
      </c>
    </row>
    <row r="5" customFormat="false" ht="58" hidden="false" customHeight="true" outlineLevel="0" collapsed="false">
      <c r="A5" s="9" t="s">
        <v>658</v>
      </c>
      <c r="B5" s="9" t="s">
        <v>659</v>
      </c>
      <c r="C5" s="9" t="s">
        <v>660</v>
      </c>
      <c r="D5" s="9" t="s">
        <v>661</v>
      </c>
      <c r="E5" s="9" t="s">
        <v>662</v>
      </c>
      <c r="F5" s="9" t="s">
        <v>663</v>
      </c>
      <c r="G5" s="9" t="s">
        <v>664</v>
      </c>
      <c r="H5" s="9" t="s">
        <v>214</v>
      </c>
      <c r="I5" s="9" t="s">
        <v>665</v>
      </c>
      <c r="J5" s="9" t="s">
        <v>666</v>
      </c>
      <c r="K5" s="9" t="s">
        <v>667</v>
      </c>
      <c r="L5" s="9" t="s">
        <v>668</v>
      </c>
      <c r="M5" s="9" t="s">
        <v>669</v>
      </c>
      <c r="N5" s="9" t="s">
        <v>670</v>
      </c>
      <c r="O5" s="9" t="s">
        <v>671</v>
      </c>
      <c r="P5" s="9" t="n">
        <f aca="false">COUNTIF($A$5:$A$14,A5)</f>
        <v>1</v>
      </c>
    </row>
    <row r="6" customFormat="false" ht="58" hidden="false" customHeight="true" outlineLevel="0" collapsed="false">
      <c r="A6" s="9" t="s">
        <v>672</v>
      </c>
      <c r="B6" s="9" t="s">
        <v>673</v>
      </c>
      <c r="C6" s="9" t="s">
        <v>660</v>
      </c>
      <c r="D6" s="9" t="s">
        <v>661</v>
      </c>
      <c r="E6" s="9" t="s">
        <v>662</v>
      </c>
      <c r="F6" s="9" t="s">
        <v>674</v>
      </c>
      <c r="G6" s="9" t="s">
        <v>664</v>
      </c>
      <c r="H6" s="9" t="s">
        <v>214</v>
      </c>
      <c r="I6" s="9" t="s">
        <v>665</v>
      </c>
      <c r="J6" s="9" t="s">
        <v>666</v>
      </c>
      <c r="K6" s="9" t="s">
        <v>667</v>
      </c>
      <c r="L6" s="9" t="s">
        <v>668</v>
      </c>
      <c r="M6" s="9" t="s">
        <v>675</v>
      </c>
      <c r="N6" s="9" t="s">
        <v>676</v>
      </c>
      <c r="O6" s="9"/>
      <c r="P6" s="9" t="n">
        <f aca="false">COUNTIF($A$5:$A$14,A6)</f>
        <v>1</v>
      </c>
    </row>
    <row r="7" customFormat="false" ht="58" hidden="false" customHeight="true" outlineLevel="0" collapsed="false">
      <c r="A7" s="9" t="s">
        <v>677</v>
      </c>
      <c r="B7" s="9" t="s">
        <v>678</v>
      </c>
      <c r="C7" s="9" t="s">
        <v>660</v>
      </c>
      <c r="D7" s="9" t="s">
        <v>661</v>
      </c>
      <c r="E7" s="9" t="s">
        <v>662</v>
      </c>
      <c r="F7" s="9" t="s">
        <v>679</v>
      </c>
      <c r="G7" s="9" t="s">
        <v>664</v>
      </c>
      <c r="H7" s="9" t="s">
        <v>214</v>
      </c>
      <c r="I7" s="9" t="s">
        <v>665</v>
      </c>
      <c r="J7" s="9" t="s">
        <v>666</v>
      </c>
      <c r="K7" s="9" t="s">
        <v>667</v>
      </c>
      <c r="L7" s="9" t="s">
        <v>668</v>
      </c>
      <c r="M7" s="9" t="s">
        <v>680</v>
      </c>
      <c r="N7" s="9" t="s">
        <v>681</v>
      </c>
      <c r="O7" s="9"/>
      <c r="P7" s="9" t="n">
        <f aca="false">COUNTIF($A$5:$A$14,A7)</f>
        <v>1</v>
      </c>
    </row>
    <row r="8" customFormat="false" ht="58" hidden="false" customHeight="true" outlineLevel="0" collapsed="false">
      <c r="A8" s="9" t="s">
        <v>682</v>
      </c>
      <c r="B8" s="9" t="s">
        <v>683</v>
      </c>
      <c r="C8" s="9" t="s">
        <v>660</v>
      </c>
      <c r="D8" s="9" t="s">
        <v>661</v>
      </c>
      <c r="E8" s="9" t="s">
        <v>662</v>
      </c>
      <c r="F8" s="9" t="s">
        <v>684</v>
      </c>
      <c r="G8" s="9" t="s">
        <v>664</v>
      </c>
      <c r="H8" s="9" t="s">
        <v>214</v>
      </c>
      <c r="I8" s="9" t="s">
        <v>665</v>
      </c>
      <c r="J8" s="9" t="s">
        <v>666</v>
      </c>
      <c r="K8" s="9" t="s">
        <v>667</v>
      </c>
      <c r="L8" s="9" t="s">
        <v>668</v>
      </c>
      <c r="M8" s="9" t="s">
        <v>685</v>
      </c>
      <c r="N8" s="9" t="s">
        <v>686</v>
      </c>
      <c r="O8" s="9"/>
      <c r="P8" s="9" t="n">
        <f aca="false">COUNTIF($A$5:$A$14,A8)</f>
        <v>1</v>
      </c>
    </row>
    <row r="9" customFormat="false" ht="58" hidden="false" customHeight="true" outlineLevel="0" collapsed="false">
      <c r="A9" s="9" t="s">
        <v>687</v>
      </c>
      <c r="B9" s="9" t="s">
        <v>688</v>
      </c>
      <c r="C9" s="9" t="s">
        <v>660</v>
      </c>
      <c r="D9" s="9" t="s">
        <v>661</v>
      </c>
      <c r="E9" s="9" t="s">
        <v>662</v>
      </c>
      <c r="F9" s="9" t="s">
        <v>689</v>
      </c>
      <c r="G9" s="9" t="s">
        <v>664</v>
      </c>
      <c r="H9" s="9" t="s">
        <v>690</v>
      </c>
      <c r="I9" s="9" t="s">
        <v>665</v>
      </c>
      <c r="J9" s="9" t="s">
        <v>666</v>
      </c>
      <c r="K9" s="9" t="s">
        <v>667</v>
      </c>
      <c r="L9" s="9" t="s">
        <v>668</v>
      </c>
      <c r="M9" s="9" t="s">
        <v>691</v>
      </c>
      <c r="N9" s="9" t="s">
        <v>692</v>
      </c>
      <c r="O9" s="9" t="s">
        <v>693</v>
      </c>
      <c r="P9" s="9" t="n">
        <f aca="false">COUNTIF($A$5:$A$14,A9)</f>
        <v>1</v>
      </c>
    </row>
    <row r="10" customFormat="false" ht="58" hidden="false" customHeight="true" outlineLevel="0" collapsed="false">
      <c r="A10" s="9" t="s">
        <v>694</v>
      </c>
      <c r="B10" s="9" t="s">
        <v>695</v>
      </c>
      <c r="C10" s="9" t="s">
        <v>660</v>
      </c>
      <c r="D10" s="9" t="s">
        <v>661</v>
      </c>
      <c r="E10" s="9" t="s">
        <v>662</v>
      </c>
      <c r="F10" s="9" t="s">
        <v>696</v>
      </c>
      <c r="G10" s="9" t="s">
        <v>664</v>
      </c>
      <c r="H10" s="9" t="s">
        <v>214</v>
      </c>
      <c r="I10" s="9" t="s">
        <v>665</v>
      </c>
      <c r="J10" s="9" t="s">
        <v>666</v>
      </c>
      <c r="K10" s="9" t="s">
        <v>667</v>
      </c>
      <c r="L10" s="9" t="s">
        <v>668</v>
      </c>
      <c r="M10" s="9" t="s">
        <v>697</v>
      </c>
      <c r="N10" s="9" t="s">
        <v>698</v>
      </c>
      <c r="O10" s="9"/>
      <c r="P10" s="9" t="n">
        <f aca="false">COUNTIF($A$5:$A$14,A10)</f>
        <v>1</v>
      </c>
    </row>
    <row r="11" customFormat="false" ht="58" hidden="false" customHeight="true" outlineLevel="0" collapsed="false">
      <c r="A11" s="9" t="s">
        <v>699</v>
      </c>
      <c r="B11" s="9" t="s">
        <v>700</v>
      </c>
      <c r="C11" s="9" t="s">
        <v>660</v>
      </c>
      <c r="D11" s="9" t="s">
        <v>661</v>
      </c>
      <c r="E11" s="9" t="s">
        <v>662</v>
      </c>
      <c r="F11" s="9" t="s">
        <v>701</v>
      </c>
      <c r="G11" s="9" t="s">
        <v>702</v>
      </c>
      <c r="H11" s="9" t="s">
        <v>214</v>
      </c>
      <c r="I11" s="9" t="s">
        <v>665</v>
      </c>
      <c r="J11" s="9" t="s">
        <v>666</v>
      </c>
      <c r="K11" s="9" t="s">
        <v>667</v>
      </c>
      <c r="L11" s="9" t="s">
        <v>668</v>
      </c>
      <c r="M11" s="9" t="s">
        <v>703</v>
      </c>
      <c r="N11" s="9" t="s">
        <v>704</v>
      </c>
      <c r="O11" s="9"/>
      <c r="P11" s="9" t="n">
        <f aca="false">COUNTIF($A$5:$A$14,A11)</f>
        <v>1</v>
      </c>
    </row>
    <row r="12" customFormat="false" ht="58" hidden="false" customHeight="true" outlineLevel="0" collapsed="false">
      <c r="A12" s="9" t="s">
        <v>705</v>
      </c>
      <c r="B12" s="9" t="s">
        <v>706</v>
      </c>
      <c r="C12" s="9" t="s">
        <v>660</v>
      </c>
      <c r="D12" s="9" t="s">
        <v>661</v>
      </c>
      <c r="E12" s="9" t="s">
        <v>662</v>
      </c>
      <c r="F12" s="9" t="s">
        <v>707</v>
      </c>
      <c r="G12" s="9" t="s">
        <v>664</v>
      </c>
      <c r="H12" s="9" t="s">
        <v>214</v>
      </c>
      <c r="I12" s="9" t="s">
        <v>665</v>
      </c>
      <c r="J12" s="9" t="s">
        <v>666</v>
      </c>
      <c r="K12" s="9" t="s">
        <v>667</v>
      </c>
      <c r="L12" s="9" t="s">
        <v>668</v>
      </c>
      <c r="M12" s="9" t="s">
        <v>708</v>
      </c>
      <c r="N12" s="9" t="s">
        <v>709</v>
      </c>
      <c r="O12" s="9"/>
      <c r="P12" s="9" t="n">
        <f aca="false">COUNTIF($A$5:$A$14,A12)</f>
        <v>1</v>
      </c>
    </row>
    <row r="13" customFormat="false" ht="58" hidden="false" customHeight="true" outlineLevel="0" collapsed="false">
      <c r="A13" s="9" t="s">
        <v>710</v>
      </c>
      <c r="B13" s="9" t="s">
        <v>711</v>
      </c>
      <c r="C13" s="9" t="s">
        <v>660</v>
      </c>
      <c r="D13" s="9" t="s">
        <v>661</v>
      </c>
      <c r="E13" s="9" t="s">
        <v>662</v>
      </c>
      <c r="F13" s="9" t="s">
        <v>712</v>
      </c>
      <c r="G13" s="9" t="s">
        <v>664</v>
      </c>
      <c r="H13" s="9" t="s">
        <v>214</v>
      </c>
      <c r="I13" s="9" t="s">
        <v>665</v>
      </c>
      <c r="J13" s="9" t="s">
        <v>666</v>
      </c>
      <c r="K13" s="9" t="s">
        <v>667</v>
      </c>
      <c r="L13" s="9" t="s">
        <v>668</v>
      </c>
      <c r="M13" s="9" t="s">
        <v>713</v>
      </c>
      <c r="N13" s="9" t="s">
        <v>714</v>
      </c>
      <c r="O13" s="9"/>
      <c r="P13" s="9" t="n">
        <f aca="false">COUNTIF($A$5:$A$14,A13)</f>
        <v>1</v>
      </c>
    </row>
    <row r="14" customFormat="false" ht="58" hidden="false" customHeight="true" outlineLevel="0" collapsed="false">
      <c r="A14" s="9" t="s">
        <v>715</v>
      </c>
      <c r="B14" s="9" t="s">
        <v>716</v>
      </c>
      <c r="C14" s="9" t="s">
        <v>603</v>
      </c>
      <c r="D14" s="9" t="s">
        <v>717</v>
      </c>
      <c r="E14" s="9" t="s">
        <v>718</v>
      </c>
      <c r="F14" s="9" t="s">
        <v>719</v>
      </c>
      <c r="G14" s="9" t="s">
        <v>664</v>
      </c>
      <c r="H14" s="9" t="s">
        <v>720</v>
      </c>
      <c r="I14" s="9" t="s">
        <v>112</v>
      </c>
      <c r="J14" s="9" t="s">
        <v>666</v>
      </c>
      <c r="K14" s="9" t="s">
        <v>667</v>
      </c>
      <c r="L14" s="9" t="s">
        <v>668</v>
      </c>
      <c r="M14" s="9" t="s">
        <v>721</v>
      </c>
      <c r="N14" s="9" t="s">
        <v>722</v>
      </c>
      <c r="O14" s="9" t="s">
        <v>723</v>
      </c>
      <c r="P14" s="9" t="n">
        <f aca="false">COUNTIF($A$5:$A$14,A14)</f>
        <v>1</v>
      </c>
    </row>
  </sheetData>
  <mergeCells count="2">
    <mergeCell ref="A1:P1"/>
    <mergeCell ref="A2:P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4" min="3" style="0" width="18"/>
    <col collapsed="false" customWidth="true" hidden="false" outlineLevel="0" max="5" min="5" style="0" width="30"/>
    <col collapsed="false" customWidth="true" hidden="false" outlineLevel="0" max="6" min="6" style="0" width="70"/>
    <col collapsed="false" customWidth="true" hidden="false" outlineLevel="0" max="7" min="7" style="0" width="44"/>
    <col collapsed="false" customWidth="true" hidden="false" outlineLevel="0" max="9" min="8" style="0" width="28"/>
    <col collapsed="false" customWidth="true" hidden="false" outlineLevel="0" max="10" min="10" style="0" width="42"/>
    <col collapsed="false" customWidth="true" hidden="false" outlineLevel="0" max="11" min="11" style="0" width="32"/>
    <col collapsed="false" customWidth="true" hidden="false" outlineLevel="0" max="12" min="12" style="0" width="58"/>
    <col collapsed="false" customWidth="true" hidden="false" outlineLevel="0" max="13" min="13" style="0" width="10"/>
  </cols>
  <sheetData>
    <row r="1" customFormat="false" ht="30" hidden="false" customHeight="true" outlineLevel="0" collapsed="false">
      <c r="A1" s="1" t="s">
        <v>724</v>
      </c>
      <c r="B1" s="1"/>
      <c r="C1" s="1"/>
      <c r="D1" s="1"/>
      <c r="E1" s="1"/>
      <c r="F1" s="1"/>
      <c r="G1" s="1"/>
      <c r="H1" s="1"/>
      <c r="I1" s="1"/>
      <c r="J1" s="1"/>
      <c r="K1" s="1"/>
      <c r="L1" s="1"/>
      <c r="M1" s="1"/>
    </row>
    <row r="2" customFormat="false" ht="34" hidden="false" customHeight="true" outlineLevel="0" collapsed="false">
      <c r="A2" s="2" t="s">
        <v>725</v>
      </c>
      <c r="B2" s="2"/>
      <c r="C2" s="2"/>
      <c r="D2" s="2"/>
      <c r="E2" s="2"/>
      <c r="F2" s="2"/>
      <c r="G2" s="2"/>
      <c r="H2" s="2"/>
      <c r="I2" s="2"/>
      <c r="J2" s="2"/>
      <c r="K2" s="2"/>
      <c r="L2" s="2"/>
      <c r="M2" s="2"/>
    </row>
    <row r="4" customFormat="false" ht="34" hidden="false" customHeight="true" outlineLevel="0" collapsed="false">
      <c r="A4" s="8" t="s">
        <v>726</v>
      </c>
      <c r="B4" s="8" t="s">
        <v>56</v>
      </c>
      <c r="C4" s="8" t="s">
        <v>655</v>
      </c>
      <c r="D4" s="8" t="s">
        <v>727</v>
      </c>
      <c r="E4" s="8" t="s">
        <v>728</v>
      </c>
      <c r="F4" s="8" t="s">
        <v>729</v>
      </c>
      <c r="G4" s="8" t="s">
        <v>730</v>
      </c>
      <c r="H4" s="8" t="s">
        <v>731</v>
      </c>
      <c r="I4" s="8" t="s">
        <v>732</v>
      </c>
      <c r="J4" s="8" t="s">
        <v>733</v>
      </c>
      <c r="K4" s="8" t="s">
        <v>61</v>
      </c>
      <c r="L4" s="8" t="s">
        <v>5</v>
      </c>
      <c r="M4" s="8" t="s">
        <v>62</v>
      </c>
    </row>
    <row r="5" customFormat="false" ht="62" hidden="false" customHeight="true" outlineLevel="0" collapsed="false">
      <c r="A5" s="9" t="s">
        <v>734</v>
      </c>
      <c r="B5" s="9" t="s">
        <v>735</v>
      </c>
      <c r="C5" s="9" t="s">
        <v>736</v>
      </c>
      <c r="D5" s="9" t="s">
        <v>737</v>
      </c>
      <c r="E5" s="9" t="s">
        <v>738</v>
      </c>
      <c r="F5" s="9" t="s">
        <v>739</v>
      </c>
      <c r="G5" s="9" t="s">
        <v>740</v>
      </c>
      <c r="H5" s="9" t="s">
        <v>741</v>
      </c>
      <c r="I5" s="9" t="s">
        <v>742</v>
      </c>
      <c r="J5" s="9" t="s">
        <v>743</v>
      </c>
      <c r="K5" s="9" t="s">
        <v>744</v>
      </c>
      <c r="L5" s="9" t="s">
        <v>745</v>
      </c>
      <c r="M5" s="9" t="n">
        <f aca="false">COUNTIF($A$5:$A$12,A5)</f>
        <v>1</v>
      </c>
    </row>
    <row r="6" customFormat="false" ht="62" hidden="false" customHeight="true" outlineLevel="0" collapsed="false">
      <c r="A6" s="9" t="s">
        <v>746</v>
      </c>
      <c r="B6" s="9" t="s">
        <v>747</v>
      </c>
      <c r="C6" s="9" t="s">
        <v>736</v>
      </c>
      <c r="D6" s="9" t="s">
        <v>737</v>
      </c>
      <c r="E6" s="9" t="s">
        <v>748</v>
      </c>
      <c r="F6" s="9" t="s">
        <v>749</v>
      </c>
      <c r="G6" s="9" t="s">
        <v>750</v>
      </c>
      <c r="H6" s="9" t="s">
        <v>741</v>
      </c>
      <c r="I6" s="9" t="s">
        <v>742</v>
      </c>
      <c r="J6" s="9" t="s">
        <v>751</v>
      </c>
      <c r="K6" s="9" t="s">
        <v>752</v>
      </c>
      <c r="L6" s="9" t="s">
        <v>753</v>
      </c>
      <c r="M6" s="9" t="n">
        <f aca="false">COUNTIF($A$5:$A$12,A6)</f>
        <v>1</v>
      </c>
    </row>
    <row r="7" customFormat="false" ht="62" hidden="false" customHeight="true" outlineLevel="0" collapsed="false">
      <c r="A7" s="9" t="s">
        <v>754</v>
      </c>
      <c r="B7" s="9" t="s">
        <v>755</v>
      </c>
      <c r="C7" s="9" t="s">
        <v>736</v>
      </c>
      <c r="D7" s="9" t="s">
        <v>737</v>
      </c>
      <c r="E7" s="9" t="s">
        <v>756</v>
      </c>
      <c r="F7" s="9" t="s">
        <v>757</v>
      </c>
      <c r="G7" s="9" t="s">
        <v>758</v>
      </c>
      <c r="H7" s="9" t="s">
        <v>759</v>
      </c>
      <c r="I7" s="9" t="s">
        <v>742</v>
      </c>
      <c r="J7" s="9" t="s">
        <v>743</v>
      </c>
      <c r="K7" s="9" t="s">
        <v>760</v>
      </c>
      <c r="L7" s="9" t="s">
        <v>761</v>
      </c>
      <c r="M7" s="9" t="n">
        <f aca="false">COUNTIF($A$5:$A$12,A7)</f>
        <v>1</v>
      </c>
    </row>
    <row r="8" customFormat="false" ht="62" hidden="false" customHeight="true" outlineLevel="0" collapsed="false">
      <c r="A8" s="9" t="s">
        <v>762</v>
      </c>
      <c r="B8" s="9" t="s">
        <v>763</v>
      </c>
      <c r="C8" s="9" t="s">
        <v>736</v>
      </c>
      <c r="D8" s="9" t="s">
        <v>764</v>
      </c>
      <c r="E8" s="9" t="s">
        <v>765</v>
      </c>
      <c r="F8" s="9" t="s">
        <v>766</v>
      </c>
      <c r="G8" s="9" t="s">
        <v>767</v>
      </c>
      <c r="H8" s="9" t="s">
        <v>768</v>
      </c>
      <c r="I8" s="9" t="s">
        <v>742</v>
      </c>
      <c r="J8" s="9" t="s">
        <v>743</v>
      </c>
      <c r="K8" s="9" t="s">
        <v>769</v>
      </c>
      <c r="L8" s="9" t="s">
        <v>770</v>
      </c>
      <c r="M8" s="9" t="n">
        <f aca="false">COUNTIF($A$5:$A$12,A8)</f>
        <v>1</v>
      </c>
    </row>
    <row r="9" customFormat="false" ht="62" hidden="false" customHeight="true" outlineLevel="0" collapsed="false">
      <c r="A9" s="9" t="s">
        <v>771</v>
      </c>
      <c r="B9" s="9" t="s">
        <v>772</v>
      </c>
      <c r="C9" s="9" t="s">
        <v>736</v>
      </c>
      <c r="D9" s="9" t="s">
        <v>764</v>
      </c>
      <c r="E9" s="9" t="s">
        <v>773</v>
      </c>
      <c r="F9" s="9" t="s">
        <v>774</v>
      </c>
      <c r="G9" s="9" t="s">
        <v>775</v>
      </c>
      <c r="H9" s="9" t="s">
        <v>776</v>
      </c>
      <c r="I9" s="9" t="s">
        <v>742</v>
      </c>
      <c r="J9" s="9" t="s">
        <v>743</v>
      </c>
      <c r="K9" s="9" t="s">
        <v>777</v>
      </c>
      <c r="L9" s="9" t="s">
        <v>778</v>
      </c>
      <c r="M9" s="9" t="n">
        <f aca="false">COUNTIF($A$5:$A$12,A9)</f>
        <v>1</v>
      </c>
    </row>
    <row r="10" customFormat="false" ht="62" hidden="false" customHeight="true" outlineLevel="0" collapsed="false">
      <c r="A10" s="9" t="s">
        <v>779</v>
      </c>
      <c r="B10" s="9" t="s">
        <v>780</v>
      </c>
      <c r="C10" s="9" t="s">
        <v>736</v>
      </c>
      <c r="D10" s="9" t="s">
        <v>764</v>
      </c>
      <c r="E10" s="9" t="s">
        <v>781</v>
      </c>
      <c r="F10" s="9" t="s">
        <v>782</v>
      </c>
      <c r="G10" s="9" t="s">
        <v>783</v>
      </c>
      <c r="H10" s="9" t="s">
        <v>776</v>
      </c>
      <c r="I10" s="9" t="s">
        <v>742</v>
      </c>
      <c r="J10" s="9" t="s">
        <v>743</v>
      </c>
      <c r="K10" s="9" t="s">
        <v>584</v>
      </c>
      <c r="L10" s="9" t="s">
        <v>784</v>
      </c>
      <c r="M10" s="9" t="n">
        <f aca="false">COUNTIF($A$5:$A$12,A10)</f>
        <v>1</v>
      </c>
    </row>
    <row r="11" customFormat="false" ht="62" hidden="false" customHeight="true" outlineLevel="0" collapsed="false">
      <c r="A11" s="9" t="s">
        <v>785</v>
      </c>
      <c r="B11" s="9" t="s">
        <v>786</v>
      </c>
      <c r="C11" s="9" t="s">
        <v>736</v>
      </c>
      <c r="D11" s="9" t="s">
        <v>764</v>
      </c>
      <c r="E11" s="9" t="s">
        <v>756</v>
      </c>
      <c r="F11" s="9" t="s">
        <v>787</v>
      </c>
      <c r="G11" s="9" t="s">
        <v>632</v>
      </c>
      <c r="H11" s="9" t="s">
        <v>759</v>
      </c>
      <c r="I11" s="9" t="s">
        <v>742</v>
      </c>
      <c r="J11" s="9" t="s">
        <v>743</v>
      </c>
      <c r="K11" s="9" t="s">
        <v>788</v>
      </c>
      <c r="L11" s="9" t="s">
        <v>789</v>
      </c>
      <c r="M11" s="9" t="n">
        <f aca="false">COUNTIF($A$5:$A$12,A11)</f>
        <v>1</v>
      </c>
    </row>
    <row r="12" customFormat="false" ht="62" hidden="false" customHeight="true" outlineLevel="0" collapsed="false">
      <c r="A12" s="9" t="s">
        <v>790</v>
      </c>
      <c r="B12" s="9" t="s">
        <v>791</v>
      </c>
      <c r="C12" s="9" t="s">
        <v>736</v>
      </c>
      <c r="D12" s="9" t="s">
        <v>792</v>
      </c>
      <c r="E12" s="9" t="s">
        <v>112</v>
      </c>
      <c r="F12" s="9" t="s">
        <v>793</v>
      </c>
      <c r="G12" s="9" t="s">
        <v>112</v>
      </c>
      <c r="H12" s="9" t="s">
        <v>741</v>
      </c>
      <c r="I12" s="9" t="s">
        <v>742</v>
      </c>
      <c r="J12" s="9" t="s">
        <v>743</v>
      </c>
      <c r="K12" s="9" t="s">
        <v>794</v>
      </c>
      <c r="L12" s="9" t="s">
        <v>795</v>
      </c>
      <c r="M12" s="9" t="n">
        <f aca="false">COUNTIF($A$5:$A$12,A12)</f>
        <v>1</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2"/>
    <col collapsed="false" customWidth="true" hidden="false" outlineLevel="0" max="3" min="3" style="0" width="18"/>
    <col collapsed="false" customWidth="true" hidden="false" outlineLevel="0" max="4" min="4" style="0" width="24"/>
    <col collapsed="false" customWidth="true" hidden="false" outlineLevel="0" max="5" min="5" style="0" width="44"/>
    <col collapsed="false" customWidth="true" hidden="false" outlineLevel="0" max="6" min="6" style="0" width="52"/>
    <col collapsed="false" customWidth="true" hidden="false" outlineLevel="0" max="7" min="7" style="0" width="34"/>
    <col collapsed="false" customWidth="true" hidden="false" outlineLevel="0" max="8" min="8" style="0" width="48"/>
    <col collapsed="false" customWidth="true" hidden="false" outlineLevel="0" max="9" min="9" style="0" width="32"/>
    <col collapsed="false" customWidth="true" hidden="false" outlineLevel="0" max="10" min="10" style="0" width="34"/>
    <col collapsed="false" customWidth="true" hidden="false" outlineLevel="0" max="11" min="11" style="0" width="52"/>
    <col collapsed="false" customWidth="true" hidden="false" outlineLevel="0" max="12" min="12" style="0" width="10"/>
  </cols>
  <sheetData>
    <row r="1" customFormat="false" ht="30" hidden="false" customHeight="true" outlineLevel="0" collapsed="false">
      <c r="A1" s="1" t="s">
        <v>796</v>
      </c>
      <c r="B1" s="1"/>
      <c r="C1" s="1"/>
      <c r="D1" s="1"/>
      <c r="E1" s="1"/>
      <c r="F1" s="1"/>
      <c r="G1" s="1"/>
      <c r="H1" s="1"/>
      <c r="I1" s="1"/>
      <c r="J1" s="1"/>
      <c r="K1" s="1"/>
      <c r="L1" s="1"/>
    </row>
    <row r="2" customFormat="false" ht="34" hidden="false" customHeight="true" outlineLevel="0" collapsed="false">
      <c r="A2" s="2" t="s">
        <v>797</v>
      </c>
      <c r="B2" s="2"/>
      <c r="C2" s="2"/>
      <c r="D2" s="2"/>
      <c r="E2" s="2"/>
      <c r="F2" s="2"/>
      <c r="G2" s="2"/>
      <c r="H2" s="2"/>
      <c r="I2" s="2"/>
      <c r="J2" s="2"/>
      <c r="K2" s="2"/>
      <c r="L2" s="2"/>
    </row>
    <row r="4" customFormat="false" ht="34" hidden="false" customHeight="true" outlineLevel="0" collapsed="false">
      <c r="A4" s="8" t="s">
        <v>798</v>
      </c>
      <c r="B4" s="8" t="s">
        <v>56</v>
      </c>
      <c r="C4" s="8" t="s">
        <v>799</v>
      </c>
      <c r="D4" s="8" t="s">
        <v>58</v>
      </c>
      <c r="E4" s="8" t="s">
        <v>800</v>
      </c>
      <c r="F4" s="8" t="s">
        <v>729</v>
      </c>
      <c r="G4" s="8" t="s">
        <v>653</v>
      </c>
      <c r="H4" s="8" t="s">
        <v>801</v>
      </c>
      <c r="I4" s="8" t="s">
        <v>802</v>
      </c>
      <c r="J4" s="8" t="s">
        <v>61</v>
      </c>
      <c r="K4" s="8" t="s">
        <v>5</v>
      </c>
      <c r="L4" s="8" t="s">
        <v>62</v>
      </c>
    </row>
    <row r="5" customFormat="false" ht="58" hidden="false" customHeight="true" outlineLevel="0" collapsed="false">
      <c r="A5" s="9" t="s">
        <v>803</v>
      </c>
      <c r="B5" s="9" t="s">
        <v>356</v>
      </c>
      <c r="C5" s="9" t="s">
        <v>804</v>
      </c>
      <c r="D5" s="9" t="s">
        <v>357</v>
      </c>
      <c r="E5" s="9" t="s">
        <v>805</v>
      </c>
      <c r="F5" s="9" t="s">
        <v>806</v>
      </c>
      <c r="G5" s="9" t="s">
        <v>358</v>
      </c>
      <c r="H5" s="9" t="s">
        <v>807</v>
      </c>
      <c r="I5" s="9" t="s">
        <v>808</v>
      </c>
      <c r="J5" s="9" t="s">
        <v>362</v>
      </c>
      <c r="K5" s="9" t="s">
        <v>809</v>
      </c>
      <c r="L5" s="9" t="n">
        <f aca="false">COUNTIF($A$5:$A$12,A5)</f>
        <v>1</v>
      </c>
    </row>
    <row r="6" customFormat="false" ht="58" hidden="false" customHeight="true" outlineLevel="0" collapsed="false">
      <c r="A6" s="9" t="s">
        <v>810</v>
      </c>
      <c r="B6" s="9" t="s">
        <v>365</v>
      </c>
      <c r="C6" s="9" t="s">
        <v>804</v>
      </c>
      <c r="D6" s="9" t="s">
        <v>357</v>
      </c>
      <c r="E6" s="9" t="s">
        <v>805</v>
      </c>
      <c r="F6" s="9" t="s">
        <v>368</v>
      </c>
      <c r="G6" s="9" t="s">
        <v>371</v>
      </c>
      <c r="H6" s="9" t="s">
        <v>112</v>
      </c>
      <c r="I6" s="9" t="s">
        <v>808</v>
      </c>
      <c r="J6" s="9" t="s">
        <v>811</v>
      </c>
      <c r="K6" s="9" t="s">
        <v>812</v>
      </c>
      <c r="L6" s="9" t="n">
        <f aca="false">COUNTIF($A$5:$A$12,A6)</f>
        <v>1</v>
      </c>
    </row>
    <row r="7" customFormat="false" ht="58" hidden="false" customHeight="true" outlineLevel="0" collapsed="false">
      <c r="A7" s="9" t="s">
        <v>813</v>
      </c>
      <c r="B7" s="9" t="s">
        <v>370</v>
      </c>
      <c r="C7" s="9" t="s">
        <v>804</v>
      </c>
      <c r="D7" s="9" t="s">
        <v>357</v>
      </c>
      <c r="E7" s="9" t="s">
        <v>805</v>
      </c>
      <c r="F7" s="9" t="s">
        <v>814</v>
      </c>
      <c r="G7" s="9" t="s">
        <v>371</v>
      </c>
      <c r="H7" s="9" t="s">
        <v>815</v>
      </c>
      <c r="I7" s="9" t="s">
        <v>808</v>
      </c>
      <c r="J7" s="9" t="s">
        <v>816</v>
      </c>
      <c r="K7" s="9"/>
      <c r="L7" s="9" t="n">
        <f aca="false">COUNTIF($A$5:$A$12,A7)</f>
        <v>1</v>
      </c>
    </row>
    <row r="8" customFormat="false" ht="58" hidden="false" customHeight="true" outlineLevel="0" collapsed="false">
      <c r="A8" s="9" t="s">
        <v>817</v>
      </c>
      <c r="B8" s="9" t="s">
        <v>818</v>
      </c>
      <c r="C8" s="9" t="s">
        <v>804</v>
      </c>
      <c r="D8" s="9" t="s">
        <v>357</v>
      </c>
      <c r="E8" s="9" t="s">
        <v>112</v>
      </c>
      <c r="F8" s="9" t="s">
        <v>819</v>
      </c>
      <c r="G8" s="9" t="s">
        <v>603</v>
      </c>
      <c r="H8" s="9" t="s">
        <v>820</v>
      </c>
      <c r="I8" s="9" t="s">
        <v>808</v>
      </c>
      <c r="J8" s="9" t="s">
        <v>821</v>
      </c>
      <c r="K8" s="9" t="s">
        <v>822</v>
      </c>
      <c r="L8" s="9" t="n">
        <f aca="false">COUNTIF($A$5:$A$12,A8)</f>
        <v>1</v>
      </c>
    </row>
    <row r="9" customFormat="false" ht="58" hidden="false" customHeight="true" outlineLevel="0" collapsed="false">
      <c r="A9" s="9" t="s">
        <v>823</v>
      </c>
      <c r="B9" s="9" t="s">
        <v>237</v>
      </c>
      <c r="C9" s="9" t="s">
        <v>824</v>
      </c>
      <c r="D9" s="9" t="s">
        <v>228</v>
      </c>
      <c r="E9" s="9" t="s">
        <v>825</v>
      </c>
      <c r="F9" s="9" t="s">
        <v>826</v>
      </c>
      <c r="G9" s="9" t="s">
        <v>238</v>
      </c>
      <c r="H9" s="9" t="s">
        <v>827</v>
      </c>
      <c r="I9" s="9" t="s">
        <v>112</v>
      </c>
      <c r="J9" s="9" t="s">
        <v>828</v>
      </c>
      <c r="K9" s="9" t="s">
        <v>829</v>
      </c>
      <c r="L9" s="9" t="n">
        <f aca="false">COUNTIF($A$5:$A$12,A9)</f>
        <v>1</v>
      </c>
    </row>
    <row r="10" customFormat="false" ht="58" hidden="false" customHeight="true" outlineLevel="0" collapsed="false">
      <c r="A10" s="9" t="s">
        <v>830</v>
      </c>
      <c r="B10" s="9" t="s">
        <v>244</v>
      </c>
      <c r="C10" s="9" t="s">
        <v>831</v>
      </c>
      <c r="D10" s="9" t="s">
        <v>79</v>
      </c>
      <c r="E10" s="9" t="s">
        <v>832</v>
      </c>
      <c r="F10" s="9" t="s">
        <v>833</v>
      </c>
      <c r="G10" s="9" t="s">
        <v>238</v>
      </c>
      <c r="H10" s="9" t="s">
        <v>834</v>
      </c>
      <c r="I10" s="9" t="s">
        <v>112</v>
      </c>
      <c r="J10" s="9" t="s">
        <v>835</v>
      </c>
      <c r="K10" s="9" t="s">
        <v>836</v>
      </c>
      <c r="L10" s="9" t="n">
        <f aca="false">COUNTIF($A$5:$A$12,A10)</f>
        <v>1</v>
      </c>
    </row>
    <row r="11" customFormat="false" ht="58" hidden="false" customHeight="true" outlineLevel="0" collapsed="false">
      <c r="A11" s="9" t="s">
        <v>837</v>
      </c>
      <c r="B11" s="9" t="s">
        <v>838</v>
      </c>
      <c r="C11" s="9" t="s">
        <v>824</v>
      </c>
      <c r="D11" s="9" t="s">
        <v>110</v>
      </c>
      <c r="E11" s="9" t="s">
        <v>839</v>
      </c>
      <c r="F11" s="9" t="s">
        <v>840</v>
      </c>
      <c r="G11" s="9" t="s">
        <v>385</v>
      </c>
      <c r="H11" s="9" t="s">
        <v>841</v>
      </c>
      <c r="I11" s="9" t="s">
        <v>386</v>
      </c>
      <c r="J11" s="9" t="s">
        <v>389</v>
      </c>
      <c r="K11" s="9" t="s">
        <v>842</v>
      </c>
      <c r="L11" s="9" t="n">
        <f aca="false">COUNTIF($A$5:$A$12,A11)</f>
        <v>1</v>
      </c>
    </row>
    <row r="12" customFormat="false" ht="58" hidden="false" customHeight="true" outlineLevel="0" collapsed="false">
      <c r="A12" s="9" t="s">
        <v>843</v>
      </c>
      <c r="B12" s="9" t="s">
        <v>391</v>
      </c>
      <c r="C12" s="9" t="s">
        <v>824</v>
      </c>
      <c r="D12" s="9" t="s">
        <v>110</v>
      </c>
      <c r="E12" s="9" t="s">
        <v>844</v>
      </c>
      <c r="F12" s="9" t="s">
        <v>845</v>
      </c>
      <c r="G12" s="9" t="s">
        <v>392</v>
      </c>
      <c r="H12" s="9" t="s">
        <v>846</v>
      </c>
      <c r="I12" s="9" t="s">
        <v>847</v>
      </c>
      <c r="J12" s="9" t="s">
        <v>395</v>
      </c>
      <c r="K12" s="9" t="s">
        <v>848</v>
      </c>
      <c r="L12" s="9" t="n">
        <f aca="false">COUNTIF($A$5:$A$12,A12)</f>
        <v>1</v>
      </c>
    </row>
  </sheetData>
  <mergeCells count="2">
    <mergeCell ref="A1:L1"/>
    <mergeCell ref="A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3" min="3" style="0" width="48"/>
    <col collapsed="false" customWidth="true" hidden="false" outlineLevel="0" max="4" min="4" style="0" width="18"/>
    <col collapsed="false" customWidth="true" hidden="false" outlineLevel="0" max="5" min="5" style="0" width="34"/>
    <col collapsed="false" customWidth="true" hidden="false" outlineLevel="0" max="6" min="6" style="0" width="38"/>
    <col collapsed="false" customWidth="true" hidden="false" outlineLevel="0" max="7" min="7" style="0" width="28"/>
    <col collapsed="false" customWidth="true" hidden="false" outlineLevel="0" max="8" min="8" style="0" width="26"/>
    <col collapsed="false" customWidth="true" hidden="false" outlineLevel="0" max="9" min="9" style="0" width="60"/>
    <col collapsed="false" customWidth="true" hidden="false" outlineLevel="0" max="10" min="10" style="0" width="86"/>
    <col collapsed="false" customWidth="true" hidden="false" outlineLevel="0" max="11" min="11" style="0" width="68"/>
    <col collapsed="false" customWidth="true" hidden="false" outlineLevel="0" max="12" min="12" style="0" width="48"/>
    <col collapsed="false" customWidth="true" hidden="false" outlineLevel="0" max="13" min="13" style="0" width="34"/>
    <col collapsed="false" customWidth="true" hidden="false" outlineLevel="0" max="14" min="14" style="0" width="68"/>
    <col collapsed="false" customWidth="true" hidden="false" outlineLevel="0" max="15" min="15" style="0" width="38"/>
  </cols>
  <sheetData>
    <row r="1" customFormat="false" ht="30" hidden="false" customHeight="true" outlineLevel="0" collapsed="false">
      <c r="A1" s="1" t="s">
        <v>849</v>
      </c>
      <c r="B1" s="1"/>
      <c r="C1" s="1"/>
      <c r="D1" s="1"/>
      <c r="E1" s="1"/>
      <c r="F1" s="1"/>
      <c r="G1" s="1"/>
      <c r="H1" s="1"/>
      <c r="I1" s="1"/>
      <c r="J1" s="1"/>
      <c r="K1" s="1"/>
      <c r="L1" s="1"/>
      <c r="M1" s="1"/>
      <c r="N1" s="1"/>
      <c r="O1" s="1"/>
    </row>
    <row r="2" customFormat="false" ht="34" hidden="false" customHeight="true" outlineLevel="0" collapsed="false">
      <c r="A2" s="2" t="s">
        <v>850</v>
      </c>
      <c r="B2" s="2"/>
      <c r="C2" s="2"/>
      <c r="D2" s="2"/>
      <c r="E2" s="2"/>
      <c r="F2" s="2"/>
      <c r="G2" s="2"/>
      <c r="H2" s="2"/>
      <c r="I2" s="2"/>
      <c r="J2" s="2"/>
      <c r="K2" s="2"/>
      <c r="L2" s="2"/>
      <c r="M2" s="2"/>
      <c r="N2" s="2"/>
      <c r="O2" s="2"/>
    </row>
    <row r="4" customFormat="false" ht="34" hidden="false" customHeight="true" outlineLevel="0" collapsed="false">
      <c r="A4" s="8" t="s">
        <v>851</v>
      </c>
      <c r="B4" s="8" t="s">
        <v>852</v>
      </c>
      <c r="C4" s="8" t="s">
        <v>56</v>
      </c>
      <c r="D4" s="8" t="s">
        <v>4</v>
      </c>
      <c r="E4" s="8" t="s">
        <v>853</v>
      </c>
      <c r="F4" s="8" t="s">
        <v>854</v>
      </c>
      <c r="G4" s="8" t="s">
        <v>855</v>
      </c>
      <c r="H4" s="8" t="s">
        <v>856</v>
      </c>
      <c r="I4" s="8" t="s">
        <v>857</v>
      </c>
      <c r="J4" s="8" t="s">
        <v>858</v>
      </c>
      <c r="K4" s="8" t="s">
        <v>859</v>
      </c>
      <c r="L4" s="8" t="s">
        <v>860</v>
      </c>
      <c r="M4" s="8" t="s">
        <v>657</v>
      </c>
      <c r="N4" s="8" t="s">
        <v>861</v>
      </c>
      <c r="O4" s="8" t="s">
        <v>862</v>
      </c>
    </row>
    <row r="5" customFormat="false" ht="78" hidden="false" customHeight="true" outlineLevel="0" collapsed="false">
      <c r="A5" s="9" t="s">
        <v>863</v>
      </c>
      <c r="B5" s="9" t="s">
        <v>864</v>
      </c>
      <c r="C5" s="9" t="s">
        <v>865</v>
      </c>
      <c r="D5" s="9" t="s">
        <v>866</v>
      </c>
      <c r="E5" s="9" t="s">
        <v>867</v>
      </c>
      <c r="F5" s="9" t="s">
        <v>868</v>
      </c>
      <c r="G5" s="9" t="s">
        <v>210</v>
      </c>
      <c r="H5" s="9" t="s">
        <v>869</v>
      </c>
      <c r="I5" s="9" t="s">
        <v>870</v>
      </c>
      <c r="J5" s="9" t="s">
        <v>871</v>
      </c>
      <c r="K5" s="9" t="s">
        <v>872</v>
      </c>
      <c r="L5" s="9" t="s">
        <v>873</v>
      </c>
      <c r="M5" s="9" t="s">
        <v>874</v>
      </c>
      <c r="N5" s="9" t="s">
        <v>875</v>
      </c>
      <c r="O5" s="9" t="s">
        <v>876</v>
      </c>
    </row>
    <row r="6" customFormat="false" ht="78" hidden="false" customHeight="true" outlineLevel="0" collapsed="false">
      <c r="A6" s="9" t="s">
        <v>877</v>
      </c>
      <c r="B6" s="9" t="s">
        <v>878</v>
      </c>
      <c r="C6" s="9" t="s">
        <v>879</v>
      </c>
      <c r="D6" s="9" t="s">
        <v>866</v>
      </c>
      <c r="E6" s="9" t="s">
        <v>867</v>
      </c>
      <c r="F6" s="9" t="s">
        <v>880</v>
      </c>
      <c r="G6" s="9" t="s">
        <v>63</v>
      </c>
      <c r="H6" s="9" t="s">
        <v>881</v>
      </c>
      <c r="I6" s="9" t="s">
        <v>882</v>
      </c>
      <c r="J6" s="9" t="s">
        <v>883</v>
      </c>
      <c r="K6" s="9" t="s">
        <v>884</v>
      </c>
      <c r="L6" s="9" t="s">
        <v>885</v>
      </c>
      <c r="M6" s="9" t="s">
        <v>886</v>
      </c>
      <c r="N6" s="9" t="s">
        <v>887</v>
      </c>
      <c r="O6" s="9" t="s">
        <v>876</v>
      </c>
    </row>
    <row r="7" customFormat="false" ht="78" hidden="false" customHeight="true" outlineLevel="0" collapsed="false">
      <c r="A7" s="9" t="s">
        <v>888</v>
      </c>
      <c r="B7" s="9" t="s">
        <v>889</v>
      </c>
      <c r="C7" s="9" t="s">
        <v>890</v>
      </c>
      <c r="D7" s="9" t="s">
        <v>866</v>
      </c>
      <c r="E7" s="9" t="s">
        <v>867</v>
      </c>
      <c r="F7" s="9" t="s">
        <v>891</v>
      </c>
      <c r="G7" s="9" t="s">
        <v>139</v>
      </c>
      <c r="H7" s="9" t="s">
        <v>881</v>
      </c>
      <c r="I7" s="9" t="s">
        <v>892</v>
      </c>
      <c r="J7" s="9" t="s">
        <v>893</v>
      </c>
      <c r="K7" s="9" t="s">
        <v>894</v>
      </c>
      <c r="L7" s="9" t="s">
        <v>895</v>
      </c>
      <c r="M7" s="9" t="s">
        <v>896</v>
      </c>
      <c r="N7" s="9" t="s">
        <v>897</v>
      </c>
      <c r="O7" s="9" t="s">
        <v>876</v>
      </c>
    </row>
    <row r="8" customFormat="false" ht="78" hidden="false" customHeight="true" outlineLevel="0" collapsed="false">
      <c r="A8" s="9" t="s">
        <v>898</v>
      </c>
      <c r="B8" s="9" t="s">
        <v>437</v>
      </c>
      <c r="C8" s="9" t="s">
        <v>899</v>
      </c>
      <c r="D8" s="9" t="s">
        <v>866</v>
      </c>
      <c r="E8" s="9" t="s">
        <v>867</v>
      </c>
      <c r="F8" s="9" t="s">
        <v>900</v>
      </c>
      <c r="G8" s="9" t="s">
        <v>157</v>
      </c>
      <c r="H8" s="9" t="s">
        <v>881</v>
      </c>
      <c r="I8" s="9" t="s">
        <v>901</v>
      </c>
      <c r="J8" s="9" t="s">
        <v>902</v>
      </c>
      <c r="K8" s="9" t="s">
        <v>903</v>
      </c>
      <c r="L8" s="9" t="s">
        <v>895</v>
      </c>
      <c r="M8" s="9" t="s">
        <v>904</v>
      </c>
      <c r="N8" s="9" t="s">
        <v>905</v>
      </c>
      <c r="O8" s="9" t="s">
        <v>876</v>
      </c>
    </row>
    <row r="9" customFormat="false" ht="78" hidden="false" customHeight="true" outlineLevel="0" collapsed="false">
      <c r="A9" s="9" t="s">
        <v>906</v>
      </c>
      <c r="B9" s="9" t="s">
        <v>907</v>
      </c>
      <c r="C9" s="9" t="s">
        <v>908</v>
      </c>
      <c r="D9" s="9" t="s">
        <v>866</v>
      </c>
      <c r="E9" s="9" t="s">
        <v>867</v>
      </c>
      <c r="F9" s="9" t="s">
        <v>909</v>
      </c>
      <c r="G9" s="9" t="s">
        <v>151</v>
      </c>
      <c r="H9" s="9" t="s">
        <v>881</v>
      </c>
      <c r="I9" s="9" t="s">
        <v>910</v>
      </c>
      <c r="J9" s="9" t="s">
        <v>911</v>
      </c>
      <c r="K9" s="9" t="s">
        <v>912</v>
      </c>
      <c r="L9" s="9" t="s">
        <v>895</v>
      </c>
      <c r="M9" s="9" t="s">
        <v>913</v>
      </c>
      <c r="N9" s="9" t="s">
        <v>914</v>
      </c>
      <c r="O9" s="9" t="s">
        <v>876</v>
      </c>
    </row>
    <row r="10" customFormat="false" ht="78" hidden="false" customHeight="true" outlineLevel="0" collapsed="false">
      <c r="A10" s="9" t="s">
        <v>915</v>
      </c>
      <c r="B10" s="9" t="s">
        <v>916</v>
      </c>
      <c r="C10" s="9" t="s">
        <v>917</v>
      </c>
      <c r="D10" s="9" t="s">
        <v>866</v>
      </c>
      <c r="E10" s="9" t="s">
        <v>867</v>
      </c>
      <c r="F10" s="9" t="s">
        <v>918</v>
      </c>
      <c r="G10" s="9" t="s">
        <v>94</v>
      </c>
      <c r="H10" s="9" t="s">
        <v>881</v>
      </c>
      <c r="I10" s="9" t="s">
        <v>919</v>
      </c>
      <c r="J10" s="9" t="s">
        <v>920</v>
      </c>
      <c r="K10" s="9" t="s">
        <v>921</v>
      </c>
      <c r="L10" s="9" t="s">
        <v>895</v>
      </c>
      <c r="M10" s="9" t="s">
        <v>922</v>
      </c>
      <c r="N10" s="9" t="s">
        <v>923</v>
      </c>
      <c r="O10" s="9" t="s">
        <v>876</v>
      </c>
    </row>
    <row r="11" customFormat="false" ht="78" hidden="false" customHeight="true" outlineLevel="0" collapsed="false">
      <c r="A11" s="9" t="s">
        <v>924</v>
      </c>
      <c r="B11" s="9" t="s">
        <v>925</v>
      </c>
      <c r="C11" s="9" t="s">
        <v>926</v>
      </c>
      <c r="D11" s="9" t="s">
        <v>866</v>
      </c>
      <c r="E11" s="9" t="s">
        <v>867</v>
      </c>
      <c r="F11" s="9" t="s">
        <v>927</v>
      </c>
      <c r="G11" s="9" t="s">
        <v>139</v>
      </c>
      <c r="H11" s="9" t="s">
        <v>881</v>
      </c>
      <c r="I11" s="9" t="s">
        <v>928</v>
      </c>
      <c r="J11" s="9" t="s">
        <v>929</v>
      </c>
      <c r="K11" s="9" t="s">
        <v>930</v>
      </c>
      <c r="L11" s="9" t="s">
        <v>931</v>
      </c>
      <c r="M11" s="9" t="s">
        <v>932</v>
      </c>
      <c r="N11" s="9" t="s">
        <v>933</v>
      </c>
      <c r="O11" s="9" t="s">
        <v>876</v>
      </c>
    </row>
    <row r="12" customFormat="false" ht="78" hidden="false" customHeight="true" outlineLevel="0" collapsed="false">
      <c r="A12" s="9" t="s">
        <v>934</v>
      </c>
      <c r="B12" s="9" t="s">
        <v>935</v>
      </c>
      <c r="C12" s="9" t="s">
        <v>936</v>
      </c>
      <c r="D12" s="9" t="s">
        <v>866</v>
      </c>
      <c r="E12" s="9" t="s">
        <v>867</v>
      </c>
      <c r="F12" s="9" t="s">
        <v>937</v>
      </c>
      <c r="G12" s="9" t="s">
        <v>210</v>
      </c>
      <c r="H12" s="9" t="s">
        <v>881</v>
      </c>
      <c r="I12" s="9" t="s">
        <v>938</v>
      </c>
      <c r="J12" s="9" t="s">
        <v>939</v>
      </c>
      <c r="K12" s="9" t="s">
        <v>940</v>
      </c>
      <c r="L12" s="9" t="s">
        <v>941</v>
      </c>
      <c r="M12" s="9" t="s">
        <v>942</v>
      </c>
      <c r="N12" s="9" t="s">
        <v>943</v>
      </c>
      <c r="O12" s="9" t="s">
        <v>876</v>
      </c>
    </row>
    <row r="13" customFormat="false" ht="78" hidden="false" customHeight="true" outlineLevel="0" collapsed="false">
      <c r="A13" s="9" t="s">
        <v>944</v>
      </c>
      <c r="B13" s="9" t="s">
        <v>420</v>
      </c>
      <c r="C13" s="9" t="s">
        <v>945</v>
      </c>
      <c r="D13" s="9" t="s">
        <v>866</v>
      </c>
      <c r="E13" s="9" t="s">
        <v>867</v>
      </c>
      <c r="F13" s="9" t="s">
        <v>946</v>
      </c>
      <c r="G13" s="9" t="s">
        <v>145</v>
      </c>
      <c r="H13" s="9" t="s">
        <v>881</v>
      </c>
      <c r="I13" s="9" t="s">
        <v>947</v>
      </c>
      <c r="J13" s="9" t="s">
        <v>948</v>
      </c>
      <c r="K13" s="9" t="s">
        <v>949</v>
      </c>
      <c r="L13" s="9" t="s">
        <v>950</v>
      </c>
      <c r="M13" s="9" t="s">
        <v>951</v>
      </c>
      <c r="N13" s="9" t="s">
        <v>952</v>
      </c>
      <c r="O13" s="9" t="s">
        <v>876</v>
      </c>
    </row>
    <row r="14" customFormat="false" ht="78" hidden="false" customHeight="true" outlineLevel="0" collapsed="false">
      <c r="A14" s="9" t="s">
        <v>953</v>
      </c>
      <c r="B14" s="9" t="s">
        <v>954</v>
      </c>
      <c r="C14" s="9" t="s">
        <v>955</v>
      </c>
      <c r="D14" s="9" t="s">
        <v>866</v>
      </c>
      <c r="E14" s="9" t="s">
        <v>867</v>
      </c>
      <c r="F14" s="9" t="s">
        <v>956</v>
      </c>
      <c r="G14" s="9" t="s">
        <v>63</v>
      </c>
      <c r="H14" s="9" t="s">
        <v>881</v>
      </c>
      <c r="I14" s="9" t="s">
        <v>957</v>
      </c>
      <c r="J14" s="9" t="s">
        <v>958</v>
      </c>
      <c r="K14" s="9" t="s">
        <v>959</v>
      </c>
      <c r="L14" s="9" t="s">
        <v>960</v>
      </c>
      <c r="M14" s="9" t="s">
        <v>961</v>
      </c>
      <c r="N14" s="9" t="s">
        <v>962</v>
      </c>
      <c r="O14" s="9" t="s">
        <v>876</v>
      </c>
    </row>
    <row r="15" customFormat="false" ht="78" hidden="false" customHeight="true" outlineLevel="0" collapsed="false">
      <c r="A15" s="9" t="s">
        <v>963</v>
      </c>
      <c r="B15" s="9" t="s">
        <v>964</v>
      </c>
      <c r="C15" s="9" t="s">
        <v>965</v>
      </c>
      <c r="D15" s="9" t="s">
        <v>866</v>
      </c>
      <c r="E15" s="9" t="s">
        <v>867</v>
      </c>
      <c r="F15" s="9" t="s">
        <v>966</v>
      </c>
      <c r="G15" s="9" t="s">
        <v>70</v>
      </c>
      <c r="H15" s="9" t="s">
        <v>881</v>
      </c>
      <c r="I15" s="9" t="s">
        <v>967</v>
      </c>
      <c r="J15" s="9" t="s">
        <v>968</v>
      </c>
      <c r="K15" s="9" t="s">
        <v>969</v>
      </c>
      <c r="L15" s="9" t="s">
        <v>970</v>
      </c>
      <c r="M15" s="9" t="s">
        <v>971</v>
      </c>
      <c r="N15" s="9" t="s">
        <v>972</v>
      </c>
      <c r="O15" s="9" t="s">
        <v>876</v>
      </c>
    </row>
    <row r="16" customFormat="false" ht="78" hidden="false" customHeight="true" outlineLevel="0" collapsed="false">
      <c r="A16" s="9" t="s">
        <v>973</v>
      </c>
      <c r="B16" s="9" t="s">
        <v>479</v>
      </c>
      <c r="C16" s="9" t="s">
        <v>974</v>
      </c>
      <c r="D16" s="9" t="s">
        <v>866</v>
      </c>
      <c r="E16" s="9" t="s">
        <v>867</v>
      </c>
      <c r="F16" s="9" t="s">
        <v>975</v>
      </c>
      <c r="G16" s="9" t="s">
        <v>169</v>
      </c>
      <c r="H16" s="9" t="s">
        <v>881</v>
      </c>
      <c r="I16" s="9" t="s">
        <v>976</v>
      </c>
      <c r="J16" s="9" t="s">
        <v>977</v>
      </c>
      <c r="K16" s="9" t="s">
        <v>978</v>
      </c>
      <c r="L16" s="9" t="s">
        <v>979</v>
      </c>
      <c r="M16" s="9" t="s">
        <v>980</v>
      </c>
      <c r="N16" s="9" t="s">
        <v>981</v>
      </c>
      <c r="O16" s="9" t="s">
        <v>876</v>
      </c>
    </row>
    <row r="17" customFormat="false" ht="78" hidden="false" customHeight="true" outlineLevel="0" collapsed="false">
      <c r="A17" s="9" t="s">
        <v>982</v>
      </c>
      <c r="B17" s="9" t="s">
        <v>983</v>
      </c>
      <c r="C17" s="9" t="s">
        <v>984</v>
      </c>
      <c r="D17" s="9" t="s">
        <v>866</v>
      </c>
      <c r="E17" s="9" t="s">
        <v>867</v>
      </c>
      <c r="F17" s="9" t="s">
        <v>985</v>
      </c>
      <c r="G17" s="9" t="s">
        <v>210</v>
      </c>
      <c r="H17" s="9" t="s">
        <v>881</v>
      </c>
      <c r="I17" s="9" t="s">
        <v>986</v>
      </c>
      <c r="J17" s="9" t="s">
        <v>987</v>
      </c>
      <c r="K17" s="9" t="s">
        <v>988</v>
      </c>
      <c r="L17" s="9" t="s">
        <v>989</v>
      </c>
      <c r="M17" s="9" t="s">
        <v>990</v>
      </c>
      <c r="N17" s="9" t="s">
        <v>991</v>
      </c>
      <c r="O17" s="9" t="s">
        <v>876</v>
      </c>
    </row>
    <row r="18" customFormat="false" ht="78" hidden="false" customHeight="true" outlineLevel="0" collapsed="false">
      <c r="A18" s="9" t="s">
        <v>992</v>
      </c>
      <c r="B18" s="9" t="s">
        <v>993</v>
      </c>
      <c r="C18" s="9" t="s">
        <v>994</v>
      </c>
      <c r="D18" s="9" t="s">
        <v>866</v>
      </c>
      <c r="E18" s="9" t="s">
        <v>867</v>
      </c>
      <c r="F18" s="9" t="s">
        <v>995</v>
      </c>
      <c r="G18" s="9" t="s">
        <v>120</v>
      </c>
      <c r="H18" s="9" t="s">
        <v>881</v>
      </c>
      <c r="I18" s="9" t="s">
        <v>996</v>
      </c>
      <c r="J18" s="9" t="s">
        <v>997</v>
      </c>
      <c r="K18" s="9" t="s">
        <v>998</v>
      </c>
      <c r="L18" s="9" t="s">
        <v>999</v>
      </c>
      <c r="M18" s="9" t="s">
        <v>1000</v>
      </c>
      <c r="N18" s="9" t="s">
        <v>1001</v>
      </c>
      <c r="O18" s="9" t="s">
        <v>876</v>
      </c>
    </row>
    <row r="19" customFormat="false" ht="78" hidden="false" customHeight="true" outlineLevel="0" collapsed="false">
      <c r="A19" s="9" t="s">
        <v>1002</v>
      </c>
      <c r="B19" s="9" t="s">
        <v>1003</v>
      </c>
      <c r="C19" s="9" t="s">
        <v>1004</v>
      </c>
      <c r="D19" s="9" t="s">
        <v>822</v>
      </c>
      <c r="E19" s="9" t="s">
        <v>1005</v>
      </c>
      <c r="F19" s="9" t="s">
        <v>1006</v>
      </c>
      <c r="G19" s="9" t="s">
        <v>127</v>
      </c>
      <c r="H19" s="9" t="s">
        <v>881</v>
      </c>
      <c r="I19" s="9" t="s">
        <v>1007</v>
      </c>
      <c r="J19" s="9" t="s">
        <v>1008</v>
      </c>
      <c r="K19" s="9" t="s">
        <v>1009</v>
      </c>
      <c r="L19" s="9" t="s">
        <v>1010</v>
      </c>
      <c r="M19" s="9" t="s">
        <v>1011</v>
      </c>
      <c r="N19" s="9" t="s">
        <v>1012</v>
      </c>
      <c r="O19" s="9" t="s">
        <v>876</v>
      </c>
    </row>
    <row r="20" customFormat="false" ht="78" hidden="false" customHeight="true" outlineLevel="0" collapsed="false">
      <c r="A20" s="9" t="s">
        <v>1013</v>
      </c>
      <c r="B20" s="9" t="s">
        <v>1014</v>
      </c>
      <c r="C20" s="9" t="s">
        <v>1015</v>
      </c>
      <c r="D20" s="9" t="s">
        <v>866</v>
      </c>
      <c r="E20" s="9" t="s">
        <v>867</v>
      </c>
      <c r="F20" s="9" t="s">
        <v>1016</v>
      </c>
      <c r="G20" s="9" t="s">
        <v>210</v>
      </c>
      <c r="H20" s="9" t="s">
        <v>881</v>
      </c>
      <c r="I20" s="9" t="s">
        <v>1017</v>
      </c>
      <c r="J20" s="9" t="s">
        <v>1018</v>
      </c>
      <c r="K20" s="9" t="s">
        <v>1019</v>
      </c>
      <c r="L20" s="9" t="s">
        <v>1020</v>
      </c>
      <c r="M20" s="9" t="s">
        <v>1021</v>
      </c>
      <c r="N20" s="9" t="s">
        <v>1022</v>
      </c>
      <c r="O20" s="9" t="s">
        <v>876</v>
      </c>
    </row>
    <row r="21" customFormat="false" ht="78" hidden="false" customHeight="true" outlineLevel="0" collapsed="false">
      <c r="A21" s="9" t="s">
        <v>1023</v>
      </c>
      <c r="B21" s="9" t="s">
        <v>1024</v>
      </c>
      <c r="C21" s="9" t="s">
        <v>1025</v>
      </c>
      <c r="D21" s="9" t="s">
        <v>866</v>
      </c>
      <c r="E21" s="9" t="s">
        <v>867</v>
      </c>
      <c r="F21" s="9" t="s">
        <v>1026</v>
      </c>
      <c r="G21" s="9" t="s">
        <v>100</v>
      </c>
      <c r="H21" s="9" t="s">
        <v>881</v>
      </c>
      <c r="I21" s="9" t="s">
        <v>1027</v>
      </c>
      <c r="J21" s="9" t="s">
        <v>1028</v>
      </c>
      <c r="K21" s="9" t="s">
        <v>1029</v>
      </c>
      <c r="L21" s="9" t="s">
        <v>1030</v>
      </c>
      <c r="M21" s="9" t="s">
        <v>1031</v>
      </c>
      <c r="N21" s="9" t="s">
        <v>1032</v>
      </c>
      <c r="O21" s="9" t="s">
        <v>876</v>
      </c>
    </row>
    <row r="22" customFormat="false" ht="78" hidden="false" customHeight="true" outlineLevel="0" collapsed="false">
      <c r="A22" s="9" t="s">
        <v>1033</v>
      </c>
      <c r="B22" s="9" t="s">
        <v>373</v>
      </c>
      <c r="C22" s="9" t="s">
        <v>1034</v>
      </c>
      <c r="D22" s="9" t="s">
        <v>866</v>
      </c>
      <c r="E22" s="9" t="s">
        <v>867</v>
      </c>
      <c r="F22" s="9" t="s">
        <v>1035</v>
      </c>
      <c r="G22" s="9" t="s">
        <v>100</v>
      </c>
      <c r="H22" s="9" t="s">
        <v>881</v>
      </c>
      <c r="I22" s="9" t="s">
        <v>1036</v>
      </c>
      <c r="J22" s="9" t="s">
        <v>1037</v>
      </c>
      <c r="K22" s="9" t="s">
        <v>1038</v>
      </c>
      <c r="L22" s="9" t="s">
        <v>1039</v>
      </c>
      <c r="M22" s="9" t="s">
        <v>1040</v>
      </c>
      <c r="N22" s="9" t="s">
        <v>1041</v>
      </c>
      <c r="O22" s="9" t="s">
        <v>876</v>
      </c>
    </row>
    <row r="23" customFormat="false" ht="78" hidden="false" customHeight="true" outlineLevel="0" collapsed="false">
      <c r="A23" s="9" t="s">
        <v>1042</v>
      </c>
      <c r="B23" s="9" t="s">
        <v>289</v>
      </c>
      <c r="C23" s="9" t="s">
        <v>285</v>
      </c>
      <c r="D23" s="9" t="s">
        <v>866</v>
      </c>
      <c r="E23" s="9" t="s">
        <v>867</v>
      </c>
      <c r="F23" s="9" t="s">
        <v>1043</v>
      </c>
      <c r="G23" s="9" t="s">
        <v>76</v>
      </c>
      <c r="H23" s="9" t="s">
        <v>881</v>
      </c>
      <c r="I23" s="9" t="s">
        <v>1044</v>
      </c>
      <c r="J23" s="9" t="s">
        <v>1045</v>
      </c>
      <c r="K23" s="9" t="s">
        <v>1046</v>
      </c>
      <c r="L23" s="9" t="s">
        <v>1047</v>
      </c>
      <c r="M23" s="9" t="s">
        <v>1048</v>
      </c>
      <c r="N23" s="9" t="s">
        <v>1049</v>
      </c>
      <c r="O23" s="9" t="s">
        <v>876</v>
      </c>
    </row>
    <row r="24" customFormat="false" ht="78" hidden="false" customHeight="true" outlineLevel="0" collapsed="false">
      <c r="A24" s="9" t="s">
        <v>1050</v>
      </c>
      <c r="B24" s="9" t="s">
        <v>1051</v>
      </c>
      <c r="C24" s="9" t="s">
        <v>1052</v>
      </c>
      <c r="D24" s="9" t="s">
        <v>866</v>
      </c>
      <c r="E24" s="9" t="s">
        <v>867</v>
      </c>
      <c r="F24" s="9" t="s">
        <v>1053</v>
      </c>
      <c r="G24" s="9" t="s">
        <v>63</v>
      </c>
      <c r="H24" s="9" t="s">
        <v>881</v>
      </c>
      <c r="I24" s="9" t="s">
        <v>1054</v>
      </c>
      <c r="J24" s="9" t="s">
        <v>1055</v>
      </c>
      <c r="K24" s="9" t="s">
        <v>1056</v>
      </c>
      <c r="L24" s="9" t="s">
        <v>1057</v>
      </c>
      <c r="M24" s="9" t="s">
        <v>1058</v>
      </c>
      <c r="N24" s="9" t="s">
        <v>1059</v>
      </c>
      <c r="O24" s="9" t="s">
        <v>876</v>
      </c>
    </row>
    <row r="25" customFormat="false" ht="78" hidden="false" customHeight="true" outlineLevel="0" collapsed="false">
      <c r="A25" s="9" t="s">
        <v>1060</v>
      </c>
      <c r="B25" s="9" t="s">
        <v>1061</v>
      </c>
      <c r="C25" s="9" t="s">
        <v>1062</v>
      </c>
      <c r="D25" s="9" t="s">
        <v>866</v>
      </c>
      <c r="E25" s="9" t="s">
        <v>867</v>
      </c>
      <c r="F25" s="9" t="s">
        <v>1063</v>
      </c>
      <c r="G25" s="9" t="s">
        <v>63</v>
      </c>
      <c r="H25" s="9" t="s">
        <v>881</v>
      </c>
      <c r="I25" s="9" t="s">
        <v>1064</v>
      </c>
      <c r="J25" s="9" t="s">
        <v>1065</v>
      </c>
      <c r="K25" s="9" t="s">
        <v>1066</v>
      </c>
      <c r="L25" s="9" t="s">
        <v>1057</v>
      </c>
      <c r="M25" s="9" t="s">
        <v>1067</v>
      </c>
      <c r="N25" s="9" t="s">
        <v>1068</v>
      </c>
      <c r="O25" s="9" t="s">
        <v>876</v>
      </c>
    </row>
    <row r="26" customFormat="false" ht="78" hidden="false" customHeight="true" outlineLevel="0" collapsed="false">
      <c r="A26" s="9" t="s">
        <v>1069</v>
      </c>
      <c r="B26" s="9" t="s">
        <v>1070</v>
      </c>
      <c r="C26" s="9" t="s">
        <v>1071</v>
      </c>
      <c r="D26" s="9" t="s">
        <v>866</v>
      </c>
      <c r="E26" s="9" t="s">
        <v>867</v>
      </c>
      <c r="F26" s="9" t="s">
        <v>1072</v>
      </c>
      <c r="G26" s="9" t="s">
        <v>189</v>
      </c>
      <c r="H26" s="9" t="s">
        <v>881</v>
      </c>
      <c r="I26" s="9" t="s">
        <v>1073</v>
      </c>
      <c r="J26" s="9" t="s">
        <v>1074</v>
      </c>
      <c r="K26" s="9" t="s">
        <v>1075</v>
      </c>
      <c r="L26" s="9" t="s">
        <v>1076</v>
      </c>
      <c r="M26" s="9" t="s">
        <v>1077</v>
      </c>
      <c r="N26" s="9" t="s">
        <v>1078</v>
      </c>
      <c r="O26" s="9" t="s">
        <v>876</v>
      </c>
    </row>
    <row r="27" customFormat="false" ht="78" hidden="false" customHeight="true" outlineLevel="0" collapsed="false">
      <c r="A27" s="9" t="s">
        <v>1079</v>
      </c>
      <c r="B27" s="9" t="s">
        <v>318</v>
      </c>
      <c r="C27" s="9" t="s">
        <v>1080</v>
      </c>
      <c r="D27" s="9" t="s">
        <v>866</v>
      </c>
      <c r="E27" s="9" t="s">
        <v>867</v>
      </c>
      <c r="F27" s="9" t="s">
        <v>1081</v>
      </c>
      <c r="G27" s="9" t="s">
        <v>83</v>
      </c>
      <c r="H27" s="9" t="s">
        <v>881</v>
      </c>
      <c r="I27" s="9" t="s">
        <v>1082</v>
      </c>
      <c r="J27" s="9" t="s">
        <v>1083</v>
      </c>
      <c r="K27" s="9" t="s">
        <v>1084</v>
      </c>
      <c r="L27" s="9" t="s">
        <v>1085</v>
      </c>
      <c r="M27" s="9" t="s">
        <v>1086</v>
      </c>
      <c r="N27" s="9" t="s">
        <v>1087</v>
      </c>
      <c r="O27" s="9" t="s">
        <v>876</v>
      </c>
    </row>
    <row r="28" customFormat="false" ht="78" hidden="false" customHeight="true" outlineLevel="0" collapsed="false">
      <c r="A28" s="9" t="s">
        <v>1088</v>
      </c>
      <c r="B28" s="9" t="s">
        <v>1089</v>
      </c>
      <c r="C28" s="9" t="s">
        <v>1090</v>
      </c>
      <c r="D28" s="9" t="s">
        <v>866</v>
      </c>
      <c r="E28" s="9" t="s">
        <v>867</v>
      </c>
      <c r="F28" s="9" t="s">
        <v>1091</v>
      </c>
      <c r="G28" s="9" t="s">
        <v>176</v>
      </c>
      <c r="H28" s="9" t="s">
        <v>1092</v>
      </c>
      <c r="I28" s="9" t="s">
        <v>1093</v>
      </c>
      <c r="J28" s="9" t="s">
        <v>1094</v>
      </c>
      <c r="K28" s="9" t="s">
        <v>1095</v>
      </c>
      <c r="L28" s="9" t="s">
        <v>1096</v>
      </c>
      <c r="M28" s="9" t="s">
        <v>1097</v>
      </c>
      <c r="N28" s="9" t="s">
        <v>1098</v>
      </c>
      <c r="O28" s="9" t="s">
        <v>876</v>
      </c>
    </row>
    <row r="29" customFormat="false" ht="78" hidden="false" customHeight="true" outlineLevel="0" collapsed="false">
      <c r="A29" s="9" t="s">
        <v>1099</v>
      </c>
      <c r="B29" s="9" t="s">
        <v>1100</v>
      </c>
      <c r="C29" s="9" t="s">
        <v>1101</v>
      </c>
      <c r="D29" s="9" t="s">
        <v>866</v>
      </c>
      <c r="E29" s="9" t="s">
        <v>867</v>
      </c>
      <c r="F29" s="9" t="s">
        <v>1102</v>
      </c>
      <c r="G29" s="9" t="s">
        <v>210</v>
      </c>
      <c r="H29" s="9" t="s">
        <v>869</v>
      </c>
      <c r="I29" s="9" t="s">
        <v>1103</v>
      </c>
      <c r="J29" s="9" t="s">
        <v>1104</v>
      </c>
      <c r="K29" s="9" t="s">
        <v>1105</v>
      </c>
      <c r="L29" s="9" t="s">
        <v>1096</v>
      </c>
      <c r="M29" s="9" t="s">
        <v>1106</v>
      </c>
      <c r="N29" s="9" t="s">
        <v>1107</v>
      </c>
      <c r="O29" s="9" t="s">
        <v>876</v>
      </c>
    </row>
    <row r="30" customFormat="false" ht="78" hidden="false" customHeight="true" outlineLevel="0" collapsed="false">
      <c r="A30" s="9" t="s">
        <v>1108</v>
      </c>
      <c r="B30" s="9" t="s">
        <v>1109</v>
      </c>
      <c r="C30" s="9" t="s">
        <v>1110</v>
      </c>
      <c r="D30" s="9" t="s">
        <v>866</v>
      </c>
      <c r="E30" s="9" t="s">
        <v>867</v>
      </c>
      <c r="F30" s="9" t="s">
        <v>1111</v>
      </c>
      <c r="G30" s="9" t="s">
        <v>169</v>
      </c>
      <c r="H30" s="9" t="s">
        <v>1092</v>
      </c>
      <c r="I30" s="9" t="s">
        <v>1112</v>
      </c>
      <c r="J30" s="9" t="s">
        <v>1113</v>
      </c>
      <c r="K30" s="9" t="s">
        <v>1114</v>
      </c>
      <c r="L30" s="9" t="s">
        <v>1096</v>
      </c>
      <c r="M30" s="9" t="s">
        <v>1115</v>
      </c>
      <c r="N30" s="9" t="s">
        <v>1116</v>
      </c>
      <c r="O30" s="9" t="s">
        <v>876</v>
      </c>
    </row>
    <row r="31" customFormat="false" ht="78" hidden="false" customHeight="true" outlineLevel="0" collapsed="false">
      <c r="A31" s="9" t="s">
        <v>1117</v>
      </c>
      <c r="B31" s="9" t="s">
        <v>1118</v>
      </c>
      <c r="C31" s="9" t="s">
        <v>1119</v>
      </c>
      <c r="D31" s="9" t="s">
        <v>866</v>
      </c>
      <c r="E31" s="9" t="s">
        <v>867</v>
      </c>
      <c r="F31" s="9" t="s">
        <v>1120</v>
      </c>
      <c r="G31" s="9" t="s">
        <v>157</v>
      </c>
      <c r="H31" s="9" t="s">
        <v>1092</v>
      </c>
      <c r="I31" s="9" t="s">
        <v>1121</v>
      </c>
      <c r="J31" s="9" t="s">
        <v>1122</v>
      </c>
      <c r="K31" s="9" t="s">
        <v>1123</v>
      </c>
      <c r="L31" s="9" t="s">
        <v>1124</v>
      </c>
      <c r="M31" s="9" t="s">
        <v>1125</v>
      </c>
      <c r="N31" s="9" t="s">
        <v>1126</v>
      </c>
      <c r="O31" s="9" t="s">
        <v>876</v>
      </c>
    </row>
    <row r="32" customFormat="false" ht="78" hidden="false" customHeight="true" outlineLevel="0" collapsed="false">
      <c r="A32" s="9" t="s">
        <v>1127</v>
      </c>
      <c r="B32" s="9" t="s">
        <v>1128</v>
      </c>
      <c r="C32" s="9" t="s">
        <v>1129</v>
      </c>
      <c r="D32" s="9" t="s">
        <v>866</v>
      </c>
      <c r="E32" s="9" t="s">
        <v>867</v>
      </c>
      <c r="F32" s="9" t="s">
        <v>1130</v>
      </c>
      <c r="G32" s="9" t="s">
        <v>210</v>
      </c>
      <c r="H32" s="9" t="s">
        <v>869</v>
      </c>
      <c r="I32" s="9" t="s">
        <v>1131</v>
      </c>
      <c r="J32" s="9" t="s">
        <v>1132</v>
      </c>
      <c r="K32" s="9" t="s">
        <v>1133</v>
      </c>
      <c r="L32" s="9" t="s">
        <v>1134</v>
      </c>
      <c r="M32" s="9" t="s">
        <v>1135</v>
      </c>
      <c r="N32" s="9" t="s">
        <v>1136</v>
      </c>
      <c r="O32" s="9" t="s">
        <v>876</v>
      </c>
    </row>
    <row r="33" customFormat="false" ht="78" hidden="false" customHeight="true" outlineLevel="0" collapsed="false">
      <c r="A33" s="9" t="s">
        <v>1137</v>
      </c>
      <c r="B33" s="9" t="s">
        <v>1138</v>
      </c>
      <c r="C33" s="9" t="s">
        <v>1139</v>
      </c>
      <c r="D33" s="9" t="s">
        <v>866</v>
      </c>
      <c r="E33" s="9" t="s">
        <v>867</v>
      </c>
      <c r="F33" s="9" t="s">
        <v>1140</v>
      </c>
      <c r="G33" s="9" t="s">
        <v>100</v>
      </c>
      <c r="H33" s="9" t="s">
        <v>881</v>
      </c>
      <c r="I33" s="9" t="s">
        <v>1141</v>
      </c>
      <c r="J33" s="9" t="s">
        <v>1142</v>
      </c>
      <c r="K33" s="9" t="s">
        <v>1143</v>
      </c>
      <c r="L33" s="9" t="s">
        <v>1144</v>
      </c>
      <c r="M33" s="9" t="s">
        <v>1145</v>
      </c>
      <c r="N33" s="9" t="s">
        <v>1146</v>
      </c>
      <c r="O33" s="9" t="s">
        <v>876</v>
      </c>
    </row>
    <row r="34" customFormat="false" ht="78" hidden="false" customHeight="true" outlineLevel="0" collapsed="false">
      <c r="A34" s="9" t="s">
        <v>1147</v>
      </c>
      <c r="B34" s="9" t="s">
        <v>1148</v>
      </c>
      <c r="C34" s="9" t="s">
        <v>1149</v>
      </c>
      <c r="D34" s="9" t="s">
        <v>866</v>
      </c>
      <c r="E34" s="9" t="s">
        <v>867</v>
      </c>
      <c r="F34" s="9" t="s">
        <v>1150</v>
      </c>
      <c r="G34" s="9" t="s">
        <v>100</v>
      </c>
      <c r="H34" s="9" t="s">
        <v>881</v>
      </c>
      <c r="I34" s="9" t="s">
        <v>1151</v>
      </c>
      <c r="J34" s="9" t="s">
        <v>1152</v>
      </c>
      <c r="K34" s="9" t="s">
        <v>1153</v>
      </c>
      <c r="L34" s="9" t="s">
        <v>1154</v>
      </c>
      <c r="M34" s="9" t="s">
        <v>1155</v>
      </c>
      <c r="N34" s="9" t="s">
        <v>1156</v>
      </c>
      <c r="O34" s="9" t="s">
        <v>876</v>
      </c>
    </row>
    <row r="35" customFormat="false" ht="78" hidden="false" customHeight="true" outlineLevel="0" collapsed="false">
      <c r="A35" s="9" t="s">
        <v>1157</v>
      </c>
      <c r="B35" s="9" t="s">
        <v>1158</v>
      </c>
      <c r="C35" s="9" t="s">
        <v>1159</v>
      </c>
      <c r="D35" s="9" t="s">
        <v>866</v>
      </c>
      <c r="E35" s="9" t="s">
        <v>867</v>
      </c>
      <c r="F35" s="9" t="s">
        <v>1160</v>
      </c>
      <c r="G35" s="9" t="s">
        <v>139</v>
      </c>
      <c r="H35" s="9" t="s">
        <v>881</v>
      </c>
      <c r="I35" s="9" t="s">
        <v>1161</v>
      </c>
      <c r="J35" s="9" t="s">
        <v>1162</v>
      </c>
      <c r="K35" s="9" t="s">
        <v>1163</v>
      </c>
      <c r="L35" s="9" t="s">
        <v>1164</v>
      </c>
      <c r="M35" s="9" t="s">
        <v>1165</v>
      </c>
      <c r="N35" s="9" t="s">
        <v>1166</v>
      </c>
      <c r="O35" s="9" t="s">
        <v>876</v>
      </c>
    </row>
    <row r="36" customFormat="false" ht="78" hidden="false" customHeight="true" outlineLevel="0" collapsed="false">
      <c r="A36" s="9" t="s">
        <v>1167</v>
      </c>
      <c r="B36" s="9" t="s">
        <v>1168</v>
      </c>
      <c r="C36" s="9" t="s">
        <v>1169</v>
      </c>
      <c r="D36" s="9" t="s">
        <v>866</v>
      </c>
      <c r="E36" s="9" t="s">
        <v>867</v>
      </c>
      <c r="F36" s="9" t="s">
        <v>1170</v>
      </c>
      <c r="G36" s="9" t="s">
        <v>145</v>
      </c>
      <c r="H36" s="9" t="s">
        <v>881</v>
      </c>
      <c r="I36" s="9" t="s">
        <v>1171</v>
      </c>
      <c r="J36" s="9" t="s">
        <v>1172</v>
      </c>
      <c r="K36" s="9" t="s">
        <v>1173</v>
      </c>
      <c r="L36" s="9" t="s">
        <v>1174</v>
      </c>
      <c r="M36" s="9" t="s">
        <v>1175</v>
      </c>
      <c r="N36" s="9" t="s">
        <v>1176</v>
      </c>
      <c r="O36" s="9" t="s">
        <v>876</v>
      </c>
    </row>
    <row r="37" customFormat="false" ht="78" hidden="false" customHeight="true" outlineLevel="0" collapsed="false">
      <c r="A37" s="9" t="s">
        <v>1177</v>
      </c>
      <c r="B37" s="9" t="s">
        <v>1178</v>
      </c>
      <c r="C37" s="9" t="s">
        <v>1179</v>
      </c>
      <c r="D37" s="9" t="s">
        <v>866</v>
      </c>
      <c r="E37" s="9" t="s">
        <v>867</v>
      </c>
      <c r="F37" s="9" t="s">
        <v>1180</v>
      </c>
      <c r="G37" s="9" t="s">
        <v>203</v>
      </c>
      <c r="H37" s="9" t="s">
        <v>881</v>
      </c>
      <c r="I37" s="9" t="s">
        <v>1181</v>
      </c>
      <c r="J37" s="9" t="s">
        <v>1182</v>
      </c>
      <c r="K37" s="9" t="s">
        <v>1183</v>
      </c>
      <c r="L37" s="9" t="s">
        <v>1184</v>
      </c>
      <c r="M37" s="9" t="s">
        <v>1185</v>
      </c>
      <c r="N37" s="9" t="s">
        <v>1186</v>
      </c>
      <c r="O37" s="9" t="s">
        <v>876</v>
      </c>
    </row>
    <row r="38" customFormat="false" ht="78" hidden="false" customHeight="true" outlineLevel="0" collapsed="false">
      <c r="A38" s="9" t="s">
        <v>1187</v>
      </c>
      <c r="B38" s="9" t="s">
        <v>1188</v>
      </c>
      <c r="C38" s="9" t="s">
        <v>1189</v>
      </c>
      <c r="D38" s="9" t="s">
        <v>866</v>
      </c>
      <c r="E38" s="9" t="s">
        <v>867</v>
      </c>
      <c r="F38" s="9" t="s">
        <v>1190</v>
      </c>
      <c r="G38" s="9" t="s">
        <v>145</v>
      </c>
      <c r="H38" s="9" t="s">
        <v>881</v>
      </c>
      <c r="I38" s="9" t="s">
        <v>1191</v>
      </c>
      <c r="J38" s="9" t="s">
        <v>1192</v>
      </c>
      <c r="K38" s="9" t="s">
        <v>1193</v>
      </c>
      <c r="L38" s="9" t="s">
        <v>1194</v>
      </c>
      <c r="M38" s="9" t="s">
        <v>1195</v>
      </c>
      <c r="N38" s="9" t="s">
        <v>1196</v>
      </c>
      <c r="O38" s="9" t="s">
        <v>876</v>
      </c>
    </row>
    <row r="39" customFormat="false" ht="78" hidden="false" customHeight="true" outlineLevel="0" collapsed="false">
      <c r="A39" s="9" t="s">
        <v>1197</v>
      </c>
      <c r="B39" s="9" t="s">
        <v>1198</v>
      </c>
      <c r="C39" s="9" t="s">
        <v>1199</v>
      </c>
      <c r="D39" s="9" t="s">
        <v>866</v>
      </c>
      <c r="E39" s="9" t="s">
        <v>867</v>
      </c>
      <c r="F39" s="9" t="s">
        <v>1200</v>
      </c>
      <c r="G39" s="9" t="s">
        <v>176</v>
      </c>
      <c r="H39" s="9" t="s">
        <v>881</v>
      </c>
      <c r="I39" s="9" t="s">
        <v>1201</v>
      </c>
      <c r="J39" s="9" t="s">
        <v>1202</v>
      </c>
      <c r="K39" s="9" t="s">
        <v>1203</v>
      </c>
      <c r="L39" s="9" t="s">
        <v>1204</v>
      </c>
      <c r="M39" s="9" t="s">
        <v>1205</v>
      </c>
      <c r="N39" s="9" t="s">
        <v>1206</v>
      </c>
      <c r="O39" s="9" t="s">
        <v>876</v>
      </c>
    </row>
    <row r="40" customFormat="false" ht="78" hidden="false" customHeight="true" outlineLevel="0" collapsed="false">
      <c r="A40" s="9" t="s">
        <v>1207</v>
      </c>
      <c r="B40" s="9" t="s">
        <v>1208</v>
      </c>
      <c r="C40" s="9" t="s">
        <v>1209</v>
      </c>
      <c r="D40" s="9" t="s">
        <v>866</v>
      </c>
      <c r="E40" s="9" t="s">
        <v>867</v>
      </c>
      <c r="F40" s="9" t="s">
        <v>1210</v>
      </c>
      <c r="G40" s="9" t="s">
        <v>176</v>
      </c>
      <c r="H40" s="9" t="s">
        <v>881</v>
      </c>
      <c r="I40" s="9" t="s">
        <v>1211</v>
      </c>
      <c r="J40" s="9" t="s">
        <v>1212</v>
      </c>
      <c r="K40" s="9" t="s">
        <v>1213</v>
      </c>
      <c r="L40" s="9" t="s">
        <v>1214</v>
      </c>
      <c r="M40" s="9" t="s">
        <v>1215</v>
      </c>
      <c r="N40" s="9" t="s">
        <v>1216</v>
      </c>
      <c r="O40" s="9" t="s">
        <v>876</v>
      </c>
    </row>
    <row r="41" customFormat="false" ht="78" hidden="false" customHeight="true" outlineLevel="0" collapsed="false">
      <c r="A41" s="9" t="s">
        <v>1217</v>
      </c>
      <c r="B41" s="9" t="s">
        <v>1218</v>
      </c>
      <c r="C41" s="9" t="s">
        <v>1219</v>
      </c>
      <c r="D41" s="9" t="s">
        <v>866</v>
      </c>
      <c r="E41" s="9" t="s">
        <v>867</v>
      </c>
      <c r="F41" s="9" t="s">
        <v>1220</v>
      </c>
      <c r="G41" s="9" t="s">
        <v>176</v>
      </c>
      <c r="H41" s="9" t="s">
        <v>881</v>
      </c>
      <c r="I41" s="9" t="s">
        <v>1221</v>
      </c>
      <c r="J41" s="9" t="s">
        <v>1222</v>
      </c>
      <c r="K41" s="9" t="s">
        <v>1223</v>
      </c>
      <c r="L41" s="9" t="s">
        <v>1224</v>
      </c>
      <c r="M41" s="9" t="s">
        <v>1225</v>
      </c>
      <c r="N41" s="9" t="s">
        <v>1226</v>
      </c>
      <c r="O41" s="9" t="s">
        <v>876</v>
      </c>
    </row>
    <row r="42" customFormat="false" ht="78" hidden="false" customHeight="true" outlineLevel="0" collapsed="false">
      <c r="A42" s="9" t="s">
        <v>1227</v>
      </c>
      <c r="B42" s="9" t="s">
        <v>1228</v>
      </c>
      <c r="C42" s="9" t="s">
        <v>1229</v>
      </c>
      <c r="D42" s="9" t="s">
        <v>866</v>
      </c>
      <c r="E42" s="9" t="s">
        <v>867</v>
      </c>
      <c r="F42" s="9" t="s">
        <v>1230</v>
      </c>
      <c r="G42" s="9" t="s">
        <v>127</v>
      </c>
      <c r="H42" s="9" t="s">
        <v>881</v>
      </c>
      <c r="I42" s="9" t="s">
        <v>1231</v>
      </c>
      <c r="J42" s="9" t="s">
        <v>1232</v>
      </c>
      <c r="K42" s="9" t="s">
        <v>1233</v>
      </c>
      <c r="L42" s="9" t="s">
        <v>1234</v>
      </c>
      <c r="M42" s="9" t="s">
        <v>1235</v>
      </c>
      <c r="N42" s="9" t="s">
        <v>1236</v>
      </c>
      <c r="O42" s="9" t="s">
        <v>876</v>
      </c>
    </row>
    <row r="43" customFormat="false" ht="78" hidden="false" customHeight="true" outlineLevel="0" collapsed="false">
      <c r="A43" s="9" t="s">
        <v>1237</v>
      </c>
      <c r="B43" s="9" t="s">
        <v>1238</v>
      </c>
      <c r="C43" s="9" t="s">
        <v>1239</v>
      </c>
      <c r="D43" s="9" t="s">
        <v>866</v>
      </c>
      <c r="E43" s="9" t="s">
        <v>867</v>
      </c>
      <c r="F43" s="9" t="s">
        <v>1240</v>
      </c>
      <c r="G43" s="9" t="s">
        <v>70</v>
      </c>
      <c r="H43" s="9" t="s">
        <v>1092</v>
      </c>
      <c r="I43" s="9" t="s">
        <v>1241</v>
      </c>
      <c r="J43" s="9" t="s">
        <v>1242</v>
      </c>
      <c r="K43" s="9" t="s">
        <v>1243</v>
      </c>
      <c r="L43" s="9" t="s">
        <v>1244</v>
      </c>
      <c r="M43" s="9" t="s">
        <v>1245</v>
      </c>
      <c r="N43" s="9" t="s">
        <v>1246</v>
      </c>
      <c r="O43" s="9" t="s">
        <v>876</v>
      </c>
    </row>
    <row r="44" customFormat="false" ht="78" hidden="false" customHeight="true" outlineLevel="0" collapsed="false">
      <c r="A44" s="9" t="s">
        <v>1247</v>
      </c>
      <c r="B44" s="9" t="s">
        <v>1248</v>
      </c>
      <c r="C44" s="9" t="s">
        <v>1249</v>
      </c>
      <c r="D44" s="9" t="s">
        <v>866</v>
      </c>
      <c r="E44" s="9" t="s">
        <v>867</v>
      </c>
      <c r="F44" s="9" t="s">
        <v>1250</v>
      </c>
      <c r="G44" s="9" t="s">
        <v>76</v>
      </c>
      <c r="H44" s="9" t="s">
        <v>1092</v>
      </c>
      <c r="I44" s="9" t="s">
        <v>1251</v>
      </c>
      <c r="J44" s="9" t="s">
        <v>1252</v>
      </c>
      <c r="K44" s="9" t="s">
        <v>1253</v>
      </c>
      <c r="L44" s="9" t="s">
        <v>1254</v>
      </c>
      <c r="M44" s="9" t="s">
        <v>1255</v>
      </c>
      <c r="N44" s="9" t="s">
        <v>1256</v>
      </c>
      <c r="O44" s="9" t="s">
        <v>876</v>
      </c>
    </row>
    <row r="45" customFormat="false" ht="78" hidden="false" customHeight="true" outlineLevel="0" collapsed="false">
      <c r="A45" s="9" t="s">
        <v>1257</v>
      </c>
      <c r="B45" s="9" t="s">
        <v>1258</v>
      </c>
      <c r="C45" s="9" t="s">
        <v>1259</v>
      </c>
      <c r="D45" s="9" t="s">
        <v>866</v>
      </c>
      <c r="E45" s="9" t="s">
        <v>867</v>
      </c>
      <c r="F45" s="9" t="s">
        <v>1260</v>
      </c>
      <c r="G45" s="9" t="s">
        <v>83</v>
      </c>
      <c r="H45" s="9" t="s">
        <v>1092</v>
      </c>
      <c r="I45" s="9" t="s">
        <v>1261</v>
      </c>
      <c r="J45" s="9" t="s">
        <v>1262</v>
      </c>
      <c r="K45" s="9" t="s">
        <v>1263</v>
      </c>
      <c r="L45" s="9" t="s">
        <v>1264</v>
      </c>
      <c r="M45" s="9" t="s">
        <v>1265</v>
      </c>
      <c r="N45" s="9" t="s">
        <v>1266</v>
      </c>
      <c r="O45" s="9" t="s">
        <v>876</v>
      </c>
    </row>
    <row r="46" customFormat="false" ht="78" hidden="false" customHeight="true" outlineLevel="0" collapsed="false">
      <c r="A46" s="9" t="s">
        <v>1267</v>
      </c>
      <c r="B46" s="9" t="s">
        <v>1268</v>
      </c>
      <c r="C46" s="9" t="s">
        <v>1269</v>
      </c>
      <c r="D46" s="9" t="s">
        <v>866</v>
      </c>
      <c r="E46" s="9" t="s">
        <v>867</v>
      </c>
      <c r="F46" s="9" t="s">
        <v>1270</v>
      </c>
      <c r="G46" s="9" t="s">
        <v>157</v>
      </c>
      <c r="H46" s="9" t="s">
        <v>1092</v>
      </c>
      <c r="I46" s="9" t="s">
        <v>1271</v>
      </c>
      <c r="J46" s="9" t="s">
        <v>1272</v>
      </c>
      <c r="K46" s="9" t="s">
        <v>1273</v>
      </c>
      <c r="L46" s="9" t="s">
        <v>1274</v>
      </c>
      <c r="M46" s="9" t="s">
        <v>1275</v>
      </c>
      <c r="N46" s="9" t="s">
        <v>1276</v>
      </c>
      <c r="O46" s="9" t="s">
        <v>876</v>
      </c>
    </row>
    <row r="47" customFormat="false" ht="78" hidden="false" customHeight="true" outlineLevel="0" collapsed="false">
      <c r="A47" s="9" t="s">
        <v>1277</v>
      </c>
      <c r="B47" s="9" t="s">
        <v>1278</v>
      </c>
      <c r="C47" s="9" t="s">
        <v>1279</v>
      </c>
      <c r="D47" s="9" t="s">
        <v>866</v>
      </c>
      <c r="E47" s="9" t="s">
        <v>867</v>
      </c>
      <c r="F47" s="9" t="s">
        <v>1280</v>
      </c>
      <c r="G47" s="9" t="s">
        <v>157</v>
      </c>
      <c r="H47" s="9" t="s">
        <v>1092</v>
      </c>
      <c r="I47" s="9" t="s">
        <v>1281</v>
      </c>
      <c r="J47" s="9" t="s">
        <v>1282</v>
      </c>
      <c r="K47" s="9" t="s">
        <v>1283</v>
      </c>
      <c r="L47" s="9" t="s">
        <v>1284</v>
      </c>
      <c r="M47" s="9" t="s">
        <v>1285</v>
      </c>
      <c r="N47" s="9" t="s">
        <v>1286</v>
      </c>
      <c r="O47" s="9" t="s">
        <v>876</v>
      </c>
    </row>
    <row r="48" customFormat="false" ht="78" hidden="false" customHeight="true" outlineLevel="0" collapsed="false">
      <c r="A48" s="9" t="s">
        <v>1287</v>
      </c>
      <c r="B48" s="9" t="s">
        <v>1288</v>
      </c>
      <c r="C48" s="9" t="s">
        <v>1289</v>
      </c>
      <c r="D48" s="9" t="s">
        <v>866</v>
      </c>
      <c r="E48" s="9" t="s">
        <v>867</v>
      </c>
      <c r="F48" s="9" t="s">
        <v>1290</v>
      </c>
      <c r="G48" s="9" t="s">
        <v>76</v>
      </c>
      <c r="H48" s="9" t="s">
        <v>1092</v>
      </c>
      <c r="I48" s="9" t="s">
        <v>1291</v>
      </c>
      <c r="J48" s="9" t="s">
        <v>1292</v>
      </c>
      <c r="K48" s="9" t="s">
        <v>1293</v>
      </c>
      <c r="L48" s="9" t="s">
        <v>1294</v>
      </c>
      <c r="M48" s="9" t="s">
        <v>1295</v>
      </c>
      <c r="N48" s="9" t="s">
        <v>1296</v>
      </c>
      <c r="O48" s="9" t="s">
        <v>876</v>
      </c>
    </row>
    <row r="49" customFormat="false" ht="78" hidden="false" customHeight="true" outlineLevel="0" collapsed="false">
      <c r="A49" s="9" t="s">
        <v>1297</v>
      </c>
      <c r="B49" s="9" t="s">
        <v>1298</v>
      </c>
      <c r="C49" s="9" t="s">
        <v>1299</v>
      </c>
      <c r="D49" s="9" t="s">
        <v>866</v>
      </c>
      <c r="E49" s="9" t="s">
        <v>867</v>
      </c>
      <c r="F49" s="9" t="s">
        <v>1300</v>
      </c>
      <c r="G49" s="9" t="s">
        <v>210</v>
      </c>
      <c r="H49" s="9" t="s">
        <v>869</v>
      </c>
      <c r="I49" s="9" t="s">
        <v>1301</v>
      </c>
      <c r="J49" s="9" t="s">
        <v>1302</v>
      </c>
      <c r="K49" s="9" t="s">
        <v>1303</v>
      </c>
      <c r="L49" s="9" t="s">
        <v>1304</v>
      </c>
      <c r="M49" s="9" t="s">
        <v>1305</v>
      </c>
      <c r="N49" s="9" t="s">
        <v>1306</v>
      </c>
      <c r="O49" s="9" t="s">
        <v>876</v>
      </c>
    </row>
    <row r="50" customFormat="false" ht="78" hidden="false" customHeight="true" outlineLevel="0" collapsed="false">
      <c r="A50" s="9" t="s">
        <v>1307</v>
      </c>
      <c r="B50" s="9" t="s">
        <v>1308</v>
      </c>
      <c r="C50" s="9" t="s">
        <v>1309</v>
      </c>
      <c r="D50" s="9" t="s">
        <v>866</v>
      </c>
      <c r="E50" s="9" t="s">
        <v>867</v>
      </c>
      <c r="F50" s="9" t="s">
        <v>1310</v>
      </c>
      <c r="G50" s="9" t="s">
        <v>76</v>
      </c>
      <c r="H50" s="9" t="s">
        <v>1092</v>
      </c>
      <c r="I50" s="9" t="s">
        <v>1311</v>
      </c>
      <c r="J50" s="9" t="s">
        <v>1312</v>
      </c>
      <c r="K50" s="9" t="s">
        <v>1313</v>
      </c>
      <c r="L50" s="9" t="s">
        <v>1314</v>
      </c>
      <c r="M50" s="9" t="s">
        <v>1315</v>
      </c>
      <c r="N50" s="9" t="s">
        <v>1316</v>
      </c>
      <c r="O50" s="9" t="s">
        <v>876</v>
      </c>
    </row>
    <row r="51" customFormat="false" ht="78" hidden="false" customHeight="true" outlineLevel="0" collapsed="false">
      <c r="A51" s="9" t="s">
        <v>1317</v>
      </c>
      <c r="B51" s="9" t="s">
        <v>1318</v>
      </c>
      <c r="C51" s="9" t="s">
        <v>1319</v>
      </c>
      <c r="D51" s="9" t="s">
        <v>866</v>
      </c>
      <c r="E51" s="9" t="s">
        <v>867</v>
      </c>
      <c r="F51" s="9" t="s">
        <v>1320</v>
      </c>
      <c r="G51" s="9" t="s">
        <v>120</v>
      </c>
      <c r="H51" s="9" t="s">
        <v>1092</v>
      </c>
      <c r="I51" s="9" t="s">
        <v>1321</v>
      </c>
      <c r="J51" s="9" t="s">
        <v>1322</v>
      </c>
      <c r="K51" s="9" t="s">
        <v>1323</v>
      </c>
      <c r="L51" s="9" t="s">
        <v>1324</v>
      </c>
      <c r="M51" s="9" t="s">
        <v>1325</v>
      </c>
      <c r="N51" s="9" t="s">
        <v>1326</v>
      </c>
      <c r="O51" s="9" t="s">
        <v>876</v>
      </c>
    </row>
    <row r="52" customFormat="false" ht="78" hidden="false" customHeight="true" outlineLevel="0" collapsed="false">
      <c r="A52" s="9" t="s">
        <v>1327</v>
      </c>
      <c r="B52" s="9" t="s">
        <v>1328</v>
      </c>
      <c r="C52" s="9" t="s">
        <v>1329</v>
      </c>
      <c r="D52" s="9" t="s">
        <v>866</v>
      </c>
      <c r="E52" s="9" t="s">
        <v>867</v>
      </c>
      <c r="F52" s="9" t="s">
        <v>1330</v>
      </c>
      <c r="G52" s="9" t="s">
        <v>176</v>
      </c>
      <c r="H52" s="9" t="s">
        <v>881</v>
      </c>
      <c r="I52" s="9" t="s">
        <v>1331</v>
      </c>
      <c r="J52" s="9" t="s">
        <v>1332</v>
      </c>
      <c r="K52" s="9" t="s">
        <v>1333</v>
      </c>
      <c r="L52" s="9" t="s">
        <v>1334</v>
      </c>
      <c r="M52" s="9" t="s">
        <v>1335</v>
      </c>
      <c r="N52" s="9" t="s">
        <v>1336</v>
      </c>
      <c r="O52" s="9" t="s">
        <v>876</v>
      </c>
    </row>
    <row r="53" customFormat="false" ht="78" hidden="false" customHeight="true" outlineLevel="0" collapsed="false">
      <c r="A53" s="9" t="s">
        <v>1337</v>
      </c>
      <c r="B53" s="9" t="s">
        <v>1338</v>
      </c>
      <c r="C53" s="9" t="s">
        <v>1339</v>
      </c>
      <c r="D53" s="9" t="s">
        <v>866</v>
      </c>
      <c r="E53" s="9" t="s">
        <v>867</v>
      </c>
      <c r="F53" s="9" t="s">
        <v>1340</v>
      </c>
      <c r="G53" s="9" t="s">
        <v>145</v>
      </c>
      <c r="H53" s="9" t="s">
        <v>1092</v>
      </c>
      <c r="I53" s="9" t="s">
        <v>1341</v>
      </c>
      <c r="J53" s="9" t="s">
        <v>1342</v>
      </c>
      <c r="K53" s="9" t="s">
        <v>1343</v>
      </c>
      <c r="L53" s="9" t="s">
        <v>1344</v>
      </c>
      <c r="M53" s="9" t="s">
        <v>1345</v>
      </c>
      <c r="N53" s="9" t="s">
        <v>1346</v>
      </c>
      <c r="O53" s="9" t="s">
        <v>876</v>
      </c>
    </row>
    <row r="54" customFormat="false" ht="78" hidden="false" customHeight="true" outlineLevel="0" collapsed="false">
      <c r="A54" s="9" t="s">
        <v>1347</v>
      </c>
      <c r="B54" s="9" t="s">
        <v>1348</v>
      </c>
      <c r="C54" s="9" t="s">
        <v>1349</v>
      </c>
      <c r="D54" s="9" t="s">
        <v>866</v>
      </c>
      <c r="E54" s="9" t="s">
        <v>867</v>
      </c>
      <c r="F54" s="9" t="s">
        <v>1350</v>
      </c>
      <c r="G54" s="9" t="s">
        <v>169</v>
      </c>
      <c r="H54" s="9" t="s">
        <v>1092</v>
      </c>
      <c r="I54" s="9" t="s">
        <v>1351</v>
      </c>
      <c r="J54" s="9" t="s">
        <v>1352</v>
      </c>
      <c r="K54" s="9" t="s">
        <v>1353</v>
      </c>
      <c r="L54" s="9" t="s">
        <v>1354</v>
      </c>
      <c r="M54" s="9" t="s">
        <v>1355</v>
      </c>
      <c r="N54" s="9" t="s">
        <v>1356</v>
      </c>
      <c r="O54" s="9" t="s">
        <v>876</v>
      </c>
    </row>
    <row r="55" customFormat="false" ht="78" hidden="false" customHeight="true" outlineLevel="0" collapsed="false">
      <c r="A55" s="9" t="s">
        <v>1357</v>
      </c>
      <c r="B55" s="9" t="s">
        <v>1358</v>
      </c>
      <c r="C55" s="9" t="s">
        <v>1359</v>
      </c>
      <c r="D55" s="9" t="s">
        <v>866</v>
      </c>
      <c r="E55" s="9" t="s">
        <v>867</v>
      </c>
      <c r="F55" s="9" t="s">
        <v>1360</v>
      </c>
      <c r="G55" s="9" t="s">
        <v>70</v>
      </c>
      <c r="H55" s="9" t="s">
        <v>1092</v>
      </c>
      <c r="I55" s="9" t="s">
        <v>1361</v>
      </c>
      <c r="J55" s="9" t="s">
        <v>1362</v>
      </c>
      <c r="K55" s="9" t="s">
        <v>1363</v>
      </c>
      <c r="L55" s="9" t="s">
        <v>1364</v>
      </c>
      <c r="M55" s="9" t="s">
        <v>1365</v>
      </c>
      <c r="N55" s="9" t="s">
        <v>1366</v>
      </c>
      <c r="O55" s="9" t="s">
        <v>876</v>
      </c>
    </row>
    <row r="56" customFormat="false" ht="78" hidden="false" customHeight="true" outlineLevel="0" collapsed="false">
      <c r="A56" s="9" t="s">
        <v>1367</v>
      </c>
      <c r="B56" s="9" t="s">
        <v>1368</v>
      </c>
      <c r="C56" s="9" t="s">
        <v>1369</v>
      </c>
      <c r="D56" s="9" t="s">
        <v>866</v>
      </c>
      <c r="E56" s="9" t="s">
        <v>867</v>
      </c>
      <c r="F56" s="9" t="s">
        <v>1370</v>
      </c>
      <c r="G56" s="9" t="s">
        <v>210</v>
      </c>
      <c r="H56" s="9" t="s">
        <v>869</v>
      </c>
      <c r="I56" s="9" t="s">
        <v>1371</v>
      </c>
      <c r="J56" s="9" t="s">
        <v>1372</v>
      </c>
      <c r="K56" s="9" t="s">
        <v>1373</v>
      </c>
      <c r="L56" s="9" t="s">
        <v>1374</v>
      </c>
      <c r="M56" s="9" t="s">
        <v>1375</v>
      </c>
      <c r="N56" s="9" t="s">
        <v>1376</v>
      </c>
      <c r="O56" s="9" t="s">
        <v>876</v>
      </c>
    </row>
    <row r="57" customFormat="false" ht="78" hidden="false" customHeight="true" outlineLevel="0" collapsed="false">
      <c r="A57" s="9" t="s">
        <v>1377</v>
      </c>
      <c r="B57" s="9" t="s">
        <v>1378</v>
      </c>
      <c r="C57" s="9" t="s">
        <v>1379</v>
      </c>
      <c r="D57" s="9" t="s">
        <v>866</v>
      </c>
      <c r="E57" s="9" t="s">
        <v>867</v>
      </c>
      <c r="F57" s="9" t="s">
        <v>1380</v>
      </c>
      <c r="G57" s="9" t="s">
        <v>210</v>
      </c>
      <c r="H57" s="9" t="s">
        <v>869</v>
      </c>
      <c r="I57" s="9" t="s">
        <v>1381</v>
      </c>
      <c r="J57" s="9" t="s">
        <v>1382</v>
      </c>
      <c r="K57" s="9" t="s">
        <v>1383</v>
      </c>
      <c r="L57" s="9" t="s">
        <v>1384</v>
      </c>
      <c r="M57" s="9" t="s">
        <v>1385</v>
      </c>
      <c r="N57" s="9" t="s">
        <v>1386</v>
      </c>
      <c r="O57" s="9" t="s">
        <v>876</v>
      </c>
    </row>
    <row r="58" customFormat="false" ht="78" hidden="false" customHeight="true" outlineLevel="0" collapsed="false">
      <c r="A58" s="9" t="s">
        <v>1387</v>
      </c>
      <c r="B58" s="9" t="s">
        <v>1388</v>
      </c>
      <c r="C58" s="9" t="s">
        <v>1389</v>
      </c>
      <c r="D58" s="9" t="s">
        <v>866</v>
      </c>
      <c r="E58" s="9" t="s">
        <v>867</v>
      </c>
      <c r="F58" s="9" t="s">
        <v>1390</v>
      </c>
      <c r="G58" s="9" t="s">
        <v>176</v>
      </c>
      <c r="H58" s="9" t="s">
        <v>1092</v>
      </c>
      <c r="I58" s="9" t="s">
        <v>1391</v>
      </c>
      <c r="J58" s="9" t="s">
        <v>1392</v>
      </c>
      <c r="K58" s="9" t="s">
        <v>1393</v>
      </c>
      <c r="L58" s="9" t="s">
        <v>1394</v>
      </c>
      <c r="M58" s="9" t="s">
        <v>1395</v>
      </c>
      <c r="N58" s="9" t="s">
        <v>1396</v>
      </c>
      <c r="O58" s="9" t="s">
        <v>876</v>
      </c>
    </row>
    <row r="59" customFormat="false" ht="78" hidden="false" customHeight="true" outlineLevel="0" collapsed="false">
      <c r="A59" s="9" t="s">
        <v>1397</v>
      </c>
      <c r="B59" s="9" t="s">
        <v>1398</v>
      </c>
      <c r="C59" s="9" t="s">
        <v>1399</v>
      </c>
      <c r="D59" s="9" t="s">
        <v>866</v>
      </c>
      <c r="E59" s="9" t="s">
        <v>867</v>
      </c>
      <c r="F59" s="9" t="s">
        <v>1400</v>
      </c>
      <c r="G59" s="9" t="s">
        <v>189</v>
      </c>
      <c r="H59" s="9" t="s">
        <v>1092</v>
      </c>
      <c r="I59" s="9" t="s">
        <v>1401</v>
      </c>
      <c r="J59" s="9" t="s">
        <v>1402</v>
      </c>
      <c r="K59" s="9" t="s">
        <v>1193</v>
      </c>
      <c r="L59" s="9" t="s">
        <v>1403</v>
      </c>
      <c r="M59" s="9" t="s">
        <v>1404</v>
      </c>
      <c r="N59" s="9" t="s">
        <v>1405</v>
      </c>
      <c r="O59" s="9" t="s">
        <v>876</v>
      </c>
    </row>
    <row r="60" customFormat="false" ht="78" hidden="false" customHeight="true" outlineLevel="0" collapsed="false">
      <c r="A60" s="9" t="s">
        <v>1406</v>
      </c>
      <c r="B60" s="9" t="s">
        <v>1407</v>
      </c>
      <c r="C60" s="9" t="s">
        <v>1408</v>
      </c>
      <c r="D60" s="9" t="s">
        <v>866</v>
      </c>
      <c r="E60" s="9" t="s">
        <v>867</v>
      </c>
      <c r="F60" s="9" t="s">
        <v>1409</v>
      </c>
      <c r="G60" s="9" t="s">
        <v>94</v>
      </c>
      <c r="H60" s="9" t="s">
        <v>1092</v>
      </c>
      <c r="I60" s="9" t="s">
        <v>1410</v>
      </c>
      <c r="J60" s="9" t="s">
        <v>1411</v>
      </c>
      <c r="K60" s="9" t="s">
        <v>1412</v>
      </c>
      <c r="L60" s="9" t="s">
        <v>1413</v>
      </c>
      <c r="M60" s="9" t="s">
        <v>1414</v>
      </c>
      <c r="N60" s="9" t="s">
        <v>1415</v>
      </c>
      <c r="O60" s="9" t="s">
        <v>876</v>
      </c>
    </row>
    <row r="61" customFormat="false" ht="78" hidden="false" customHeight="true" outlineLevel="0" collapsed="false">
      <c r="A61" s="9" t="s">
        <v>1416</v>
      </c>
      <c r="B61" s="9" t="s">
        <v>1417</v>
      </c>
      <c r="C61" s="9" t="s">
        <v>1418</v>
      </c>
      <c r="D61" s="9" t="s">
        <v>866</v>
      </c>
      <c r="E61" s="9" t="s">
        <v>867</v>
      </c>
      <c r="F61" s="9" t="s">
        <v>1419</v>
      </c>
      <c r="G61" s="9" t="s">
        <v>210</v>
      </c>
      <c r="H61" s="9" t="s">
        <v>869</v>
      </c>
      <c r="I61" s="9" t="s">
        <v>1420</v>
      </c>
      <c r="J61" s="9" t="s">
        <v>1421</v>
      </c>
      <c r="K61" s="9" t="s">
        <v>1422</v>
      </c>
      <c r="L61" s="9" t="s">
        <v>1423</v>
      </c>
      <c r="M61" s="9" t="s">
        <v>1424</v>
      </c>
      <c r="N61" s="9" t="s">
        <v>1425</v>
      </c>
      <c r="O61" s="9" t="s">
        <v>876</v>
      </c>
    </row>
    <row r="62" customFormat="false" ht="78" hidden="false" customHeight="true" outlineLevel="0" collapsed="false">
      <c r="A62" s="9" t="s">
        <v>1426</v>
      </c>
      <c r="B62" s="9" t="s">
        <v>1427</v>
      </c>
      <c r="C62" s="9" t="s">
        <v>1428</v>
      </c>
      <c r="D62" s="9" t="s">
        <v>866</v>
      </c>
      <c r="E62" s="9" t="s">
        <v>867</v>
      </c>
      <c r="F62" s="9" t="s">
        <v>1429</v>
      </c>
      <c r="G62" s="9" t="s">
        <v>63</v>
      </c>
      <c r="H62" s="9" t="s">
        <v>1092</v>
      </c>
      <c r="I62" s="9" t="s">
        <v>1430</v>
      </c>
      <c r="J62" s="9" t="s">
        <v>1431</v>
      </c>
      <c r="K62" s="9" t="s">
        <v>1432</v>
      </c>
      <c r="L62" s="9" t="s">
        <v>1433</v>
      </c>
      <c r="M62" s="9" t="s">
        <v>1434</v>
      </c>
      <c r="N62" s="9" t="s">
        <v>1435</v>
      </c>
      <c r="O62" s="9" t="s">
        <v>876</v>
      </c>
    </row>
    <row r="63" customFormat="false" ht="78" hidden="false" customHeight="true" outlineLevel="0" collapsed="false">
      <c r="A63" s="9" t="s">
        <v>1436</v>
      </c>
      <c r="B63" s="9" t="s">
        <v>1437</v>
      </c>
      <c r="C63" s="9" t="s">
        <v>1438</v>
      </c>
      <c r="D63" s="9" t="s">
        <v>866</v>
      </c>
      <c r="E63" s="9" t="s">
        <v>867</v>
      </c>
      <c r="F63" s="9" t="s">
        <v>1439</v>
      </c>
      <c r="G63" s="9" t="s">
        <v>63</v>
      </c>
      <c r="H63" s="9" t="s">
        <v>1092</v>
      </c>
      <c r="I63" s="9" t="s">
        <v>1440</v>
      </c>
      <c r="J63" s="9" t="s">
        <v>1441</v>
      </c>
      <c r="K63" s="9" t="s">
        <v>1442</v>
      </c>
      <c r="L63" s="9" t="s">
        <v>1433</v>
      </c>
      <c r="M63" s="9" t="s">
        <v>1443</v>
      </c>
      <c r="N63" s="9" t="s">
        <v>1444</v>
      </c>
      <c r="O63" s="9" t="s">
        <v>876</v>
      </c>
    </row>
    <row r="64" customFormat="false" ht="78" hidden="false" customHeight="true" outlineLevel="0" collapsed="false">
      <c r="A64" s="9" t="s">
        <v>1445</v>
      </c>
      <c r="B64" s="9" t="s">
        <v>1446</v>
      </c>
      <c r="C64" s="9" t="s">
        <v>1447</v>
      </c>
      <c r="D64" s="9" t="s">
        <v>866</v>
      </c>
      <c r="E64" s="9" t="s">
        <v>867</v>
      </c>
      <c r="F64" s="9" t="s">
        <v>1448</v>
      </c>
      <c r="G64" s="9" t="s">
        <v>210</v>
      </c>
      <c r="H64" s="9" t="s">
        <v>869</v>
      </c>
      <c r="I64" s="9" t="s">
        <v>1449</v>
      </c>
      <c r="J64" s="9" t="s">
        <v>1450</v>
      </c>
      <c r="K64" s="9" t="s">
        <v>1451</v>
      </c>
      <c r="L64" s="9" t="s">
        <v>1452</v>
      </c>
      <c r="M64" s="9" t="s">
        <v>1453</v>
      </c>
      <c r="N64" s="9" t="s">
        <v>1454</v>
      </c>
      <c r="O64" s="9" t="s">
        <v>876</v>
      </c>
    </row>
    <row r="65" customFormat="false" ht="78" hidden="false" customHeight="true" outlineLevel="0" collapsed="false">
      <c r="A65" s="9" t="s">
        <v>1455</v>
      </c>
      <c r="B65" s="9" t="s">
        <v>1456</v>
      </c>
      <c r="C65" s="9" t="s">
        <v>1457</v>
      </c>
      <c r="D65" s="9" t="s">
        <v>866</v>
      </c>
      <c r="E65" s="9" t="s">
        <v>867</v>
      </c>
      <c r="F65" s="9" t="s">
        <v>1458</v>
      </c>
      <c r="G65" s="9" t="s">
        <v>145</v>
      </c>
      <c r="H65" s="9" t="s">
        <v>1092</v>
      </c>
      <c r="I65" s="9" t="s">
        <v>1459</v>
      </c>
      <c r="J65" s="9" t="s">
        <v>1460</v>
      </c>
      <c r="K65" s="9" t="s">
        <v>1461</v>
      </c>
      <c r="L65" s="9" t="s">
        <v>1462</v>
      </c>
      <c r="M65" s="9" t="s">
        <v>1463</v>
      </c>
      <c r="N65" s="9" t="s">
        <v>1464</v>
      </c>
      <c r="O65" s="9" t="s">
        <v>876</v>
      </c>
    </row>
    <row r="66" customFormat="false" ht="78" hidden="false" customHeight="true" outlineLevel="0" collapsed="false">
      <c r="A66" s="9" t="s">
        <v>1465</v>
      </c>
      <c r="B66" s="9" t="s">
        <v>1466</v>
      </c>
      <c r="C66" s="9" t="s">
        <v>1467</v>
      </c>
      <c r="D66" s="9" t="s">
        <v>866</v>
      </c>
      <c r="E66" s="9" t="s">
        <v>867</v>
      </c>
      <c r="F66" s="9" t="s">
        <v>1468</v>
      </c>
      <c r="G66" s="9" t="s">
        <v>210</v>
      </c>
      <c r="H66" s="9" t="s">
        <v>869</v>
      </c>
      <c r="I66" s="9" t="s">
        <v>1469</v>
      </c>
      <c r="J66" s="9" t="s">
        <v>1470</v>
      </c>
      <c r="K66" s="9" t="s">
        <v>1471</v>
      </c>
      <c r="L66" s="9" t="s">
        <v>1472</v>
      </c>
      <c r="M66" s="9" t="s">
        <v>1473</v>
      </c>
      <c r="N66" s="9" t="s">
        <v>1474</v>
      </c>
      <c r="O66" s="9" t="s">
        <v>876</v>
      </c>
    </row>
    <row r="67" customFormat="false" ht="78" hidden="false" customHeight="true" outlineLevel="0" collapsed="false">
      <c r="A67" s="9" t="s">
        <v>1475</v>
      </c>
      <c r="B67" s="9" t="s">
        <v>1476</v>
      </c>
      <c r="C67" s="9" t="s">
        <v>1477</v>
      </c>
      <c r="D67" s="9" t="s">
        <v>866</v>
      </c>
      <c r="E67" s="9" t="s">
        <v>867</v>
      </c>
      <c r="F67" s="9" t="s">
        <v>1478</v>
      </c>
      <c r="G67" s="9" t="s">
        <v>145</v>
      </c>
      <c r="H67" s="9" t="s">
        <v>1092</v>
      </c>
      <c r="I67" s="9" t="s">
        <v>1479</v>
      </c>
      <c r="J67" s="9" t="s">
        <v>1480</v>
      </c>
      <c r="K67" s="9" t="s">
        <v>1481</v>
      </c>
      <c r="L67" s="9" t="s">
        <v>1482</v>
      </c>
      <c r="M67" s="9" t="s">
        <v>1483</v>
      </c>
      <c r="N67" s="9" t="s">
        <v>1484</v>
      </c>
      <c r="O67" s="9" t="s">
        <v>876</v>
      </c>
    </row>
    <row r="68" customFormat="false" ht="78" hidden="false" customHeight="true" outlineLevel="0" collapsed="false">
      <c r="A68" s="9" t="s">
        <v>1485</v>
      </c>
      <c r="B68" s="9" t="s">
        <v>1486</v>
      </c>
      <c r="C68" s="9" t="s">
        <v>1487</v>
      </c>
      <c r="D68" s="9" t="s">
        <v>866</v>
      </c>
      <c r="E68" s="9" t="s">
        <v>867</v>
      </c>
      <c r="F68" s="9" t="s">
        <v>1488</v>
      </c>
      <c r="G68" s="9" t="s">
        <v>176</v>
      </c>
      <c r="H68" s="9" t="s">
        <v>1092</v>
      </c>
      <c r="I68" s="9" t="s">
        <v>1489</v>
      </c>
      <c r="J68" s="9" t="s">
        <v>1490</v>
      </c>
      <c r="K68" s="9" t="s">
        <v>1491</v>
      </c>
      <c r="L68" s="9" t="s">
        <v>1492</v>
      </c>
      <c r="M68" s="9" t="s">
        <v>1493</v>
      </c>
      <c r="N68" s="9" t="s">
        <v>1494</v>
      </c>
      <c r="O68" s="9" t="s">
        <v>876</v>
      </c>
    </row>
    <row r="69" customFormat="false" ht="78" hidden="false" customHeight="true" outlineLevel="0" collapsed="false">
      <c r="A69" s="9" t="s">
        <v>1495</v>
      </c>
      <c r="B69" s="9" t="s">
        <v>1496</v>
      </c>
      <c r="C69" s="9" t="s">
        <v>1497</v>
      </c>
      <c r="D69" s="9" t="s">
        <v>866</v>
      </c>
      <c r="E69" s="9" t="s">
        <v>867</v>
      </c>
      <c r="F69" s="9" t="s">
        <v>1458</v>
      </c>
      <c r="G69" s="9" t="s">
        <v>189</v>
      </c>
      <c r="H69" s="9" t="s">
        <v>1092</v>
      </c>
      <c r="I69" s="9" t="s">
        <v>1498</v>
      </c>
      <c r="J69" s="9" t="s">
        <v>1499</v>
      </c>
      <c r="K69" s="9" t="s">
        <v>1500</v>
      </c>
      <c r="L69" s="9" t="s">
        <v>1501</v>
      </c>
      <c r="M69" s="9" t="s">
        <v>1502</v>
      </c>
      <c r="N69" s="9" t="s">
        <v>1503</v>
      </c>
      <c r="O69" s="9" t="s">
        <v>876</v>
      </c>
    </row>
    <row r="70" customFormat="false" ht="78" hidden="false" customHeight="true" outlineLevel="0" collapsed="false">
      <c r="A70" s="9" t="s">
        <v>1504</v>
      </c>
      <c r="B70" s="9" t="s">
        <v>1505</v>
      </c>
      <c r="C70" s="9" t="s">
        <v>1506</v>
      </c>
      <c r="D70" s="9" t="s">
        <v>866</v>
      </c>
      <c r="E70" s="9" t="s">
        <v>867</v>
      </c>
      <c r="F70" s="9" t="s">
        <v>1507</v>
      </c>
      <c r="G70" s="9" t="s">
        <v>83</v>
      </c>
      <c r="H70" s="9" t="s">
        <v>1092</v>
      </c>
      <c r="I70" s="9" t="s">
        <v>1508</v>
      </c>
      <c r="J70" s="9" t="s">
        <v>1509</v>
      </c>
      <c r="K70" s="9" t="s">
        <v>1510</v>
      </c>
      <c r="L70" s="9" t="s">
        <v>1511</v>
      </c>
      <c r="M70" s="9" t="s">
        <v>1512</v>
      </c>
      <c r="N70" s="9" t="s">
        <v>1513</v>
      </c>
      <c r="O70" s="9" t="s">
        <v>876</v>
      </c>
    </row>
    <row r="71" customFormat="false" ht="78" hidden="false" customHeight="true" outlineLevel="0" collapsed="false">
      <c r="A71" s="9" t="s">
        <v>1514</v>
      </c>
      <c r="B71" s="9" t="s">
        <v>1515</v>
      </c>
      <c r="C71" s="9" t="s">
        <v>1516</v>
      </c>
      <c r="D71" s="9" t="s">
        <v>866</v>
      </c>
      <c r="E71" s="9" t="s">
        <v>867</v>
      </c>
      <c r="F71" s="9" t="s">
        <v>1517</v>
      </c>
      <c r="G71" s="9" t="s">
        <v>210</v>
      </c>
      <c r="H71" s="9" t="s">
        <v>869</v>
      </c>
      <c r="I71" s="9" t="s">
        <v>1518</v>
      </c>
      <c r="J71" s="9" t="s">
        <v>1519</v>
      </c>
      <c r="K71" s="9" t="s">
        <v>1520</v>
      </c>
      <c r="L71" s="9" t="s">
        <v>1521</v>
      </c>
      <c r="M71" s="9" t="s">
        <v>1522</v>
      </c>
      <c r="N71" s="9" t="s">
        <v>1523</v>
      </c>
      <c r="O71" s="9" t="s">
        <v>876</v>
      </c>
    </row>
    <row r="72" customFormat="false" ht="78" hidden="false" customHeight="true" outlineLevel="0" collapsed="false">
      <c r="A72" s="9" t="s">
        <v>1524</v>
      </c>
      <c r="B72" s="9" t="s">
        <v>1525</v>
      </c>
      <c r="C72" s="9" t="s">
        <v>1526</v>
      </c>
      <c r="D72" s="9" t="s">
        <v>866</v>
      </c>
      <c r="E72" s="9" t="s">
        <v>867</v>
      </c>
      <c r="F72" s="9" t="s">
        <v>1091</v>
      </c>
      <c r="G72" s="9" t="s">
        <v>183</v>
      </c>
      <c r="H72" s="9" t="s">
        <v>1092</v>
      </c>
      <c r="I72" s="9" t="s">
        <v>1527</v>
      </c>
      <c r="J72" s="9" t="s">
        <v>1528</v>
      </c>
      <c r="K72" s="9" t="s">
        <v>1529</v>
      </c>
      <c r="L72" s="9" t="s">
        <v>1530</v>
      </c>
      <c r="M72" s="9" t="s">
        <v>1531</v>
      </c>
      <c r="N72" s="9" t="s">
        <v>1532</v>
      </c>
      <c r="O72" s="9" t="s">
        <v>876</v>
      </c>
    </row>
    <row r="73" customFormat="false" ht="78" hidden="false" customHeight="true" outlineLevel="0" collapsed="false">
      <c r="A73" s="9" t="s">
        <v>1533</v>
      </c>
      <c r="B73" s="9" t="s">
        <v>1534</v>
      </c>
      <c r="C73" s="9" t="s">
        <v>1535</v>
      </c>
      <c r="D73" s="9" t="s">
        <v>866</v>
      </c>
      <c r="E73" s="9" t="s">
        <v>867</v>
      </c>
      <c r="F73" s="9" t="s">
        <v>1536</v>
      </c>
      <c r="G73" s="9" t="s">
        <v>120</v>
      </c>
      <c r="H73" s="9" t="s">
        <v>1092</v>
      </c>
      <c r="I73" s="9" t="s">
        <v>1537</v>
      </c>
      <c r="J73" s="9" t="s">
        <v>1538</v>
      </c>
      <c r="K73" s="9" t="s">
        <v>1539</v>
      </c>
      <c r="L73" s="9" t="s">
        <v>1530</v>
      </c>
      <c r="M73" s="9" t="s">
        <v>1540</v>
      </c>
      <c r="N73" s="9" t="s">
        <v>1541</v>
      </c>
      <c r="O73" s="9" t="s">
        <v>876</v>
      </c>
    </row>
    <row r="74" customFormat="false" ht="78" hidden="false" customHeight="true" outlineLevel="0" collapsed="false">
      <c r="A74" s="9" t="s">
        <v>1542</v>
      </c>
      <c r="B74" s="9" t="s">
        <v>1543</v>
      </c>
      <c r="C74" s="9" t="s">
        <v>1544</v>
      </c>
      <c r="D74" s="9" t="s">
        <v>866</v>
      </c>
      <c r="E74" s="9" t="s">
        <v>867</v>
      </c>
      <c r="F74" s="9" t="s">
        <v>1545</v>
      </c>
      <c r="G74" s="9" t="s">
        <v>183</v>
      </c>
      <c r="H74" s="9" t="s">
        <v>1092</v>
      </c>
      <c r="I74" s="9" t="s">
        <v>1546</v>
      </c>
      <c r="J74" s="9" t="s">
        <v>1547</v>
      </c>
      <c r="K74" s="9" t="s">
        <v>1548</v>
      </c>
      <c r="L74" s="9" t="s">
        <v>1549</v>
      </c>
      <c r="M74" s="9" t="s">
        <v>1550</v>
      </c>
      <c r="N74" s="9" t="s">
        <v>1551</v>
      </c>
      <c r="O74" s="9" t="s">
        <v>876</v>
      </c>
    </row>
    <row r="75" customFormat="false" ht="78" hidden="false" customHeight="true" outlineLevel="0" collapsed="false">
      <c r="A75" s="9" t="s">
        <v>1552</v>
      </c>
      <c r="B75" s="9" t="s">
        <v>1553</v>
      </c>
      <c r="C75" s="9" t="s">
        <v>1554</v>
      </c>
      <c r="D75" s="9" t="s">
        <v>866</v>
      </c>
      <c r="E75" s="9" t="s">
        <v>867</v>
      </c>
      <c r="F75" s="9" t="s">
        <v>1555</v>
      </c>
      <c r="G75" s="9" t="s">
        <v>120</v>
      </c>
      <c r="H75" s="9" t="s">
        <v>1092</v>
      </c>
      <c r="I75" s="9" t="s">
        <v>1556</v>
      </c>
      <c r="J75" s="9" t="s">
        <v>1557</v>
      </c>
      <c r="K75" s="9" t="s">
        <v>1558</v>
      </c>
      <c r="L75" s="9" t="s">
        <v>1559</v>
      </c>
      <c r="M75" s="9" t="s">
        <v>1560</v>
      </c>
      <c r="N75" s="9" t="s">
        <v>1561</v>
      </c>
      <c r="O75" s="9" t="s">
        <v>876</v>
      </c>
    </row>
    <row r="76" customFormat="false" ht="78" hidden="false" customHeight="true" outlineLevel="0" collapsed="false">
      <c r="A76" s="9" t="s">
        <v>1562</v>
      </c>
      <c r="B76" s="9" t="s">
        <v>1563</v>
      </c>
      <c r="C76" s="9" t="s">
        <v>1564</v>
      </c>
      <c r="D76" s="9" t="s">
        <v>866</v>
      </c>
      <c r="E76" s="9" t="s">
        <v>867</v>
      </c>
      <c r="F76" s="9" t="s">
        <v>1565</v>
      </c>
      <c r="G76" s="9" t="s">
        <v>120</v>
      </c>
      <c r="H76" s="9" t="s">
        <v>1092</v>
      </c>
      <c r="I76" s="9" t="s">
        <v>1566</v>
      </c>
      <c r="J76" s="9" t="s">
        <v>1567</v>
      </c>
      <c r="K76" s="9" t="s">
        <v>1568</v>
      </c>
      <c r="L76" s="9" t="s">
        <v>1569</v>
      </c>
      <c r="M76" s="9" t="s">
        <v>1570</v>
      </c>
      <c r="N76" s="9" t="s">
        <v>1571</v>
      </c>
      <c r="O76" s="9" t="s">
        <v>876</v>
      </c>
    </row>
    <row r="77" customFormat="false" ht="78" hidden="false" customHeight="true" outlineLevel="0" collapsed="false">
      <c r="A77" s="9" t="s">
        <v>1572</v>
      </c>
      <c r="B77" s="9" t="s">
        <v>1573</v>
      </c>
      <c r="C77" s="9" t="s">
        <v>1574</v>
      </c>
      <c r="D77" s="9" t="s">
        <v>866</v>
      </c>
      <c r="E77" s="9" t="s">
        <v>867</v>
      </c>
      <c r="F77" s="9" t="s">
        <v>1575</v>
      </c>
      <c r="G77" s="9" t="s">
        <v>120</v>
      </c>
      <c r="H77" s="9" t="s">
        <v>1092</v>
      </c>
      <c r="I77" s="9" t="s">
        <v>1576</v>
      </c>
      <c r="J77" s="9" t="s">
        <v>1577</v>
      </c>
      <c r="K77" s="9" t="s">
        <v>1578</v>
      </c>
      <c r="L77" s="9" t="s">
        <v>1579</v>
      </c>
      <c r="M77" s="9" t="s">
        <v>1580</v>
      </c>
      <c r="N77" s="9" t="s">
        <v>1581</v>
      </c>
      <c r="O77" s="9" t="s">
        <v>876</v>
      </c>
    </row>
    <row r="78" customFormat="false" ht="78" hidden="false" customHeight="true" outlineLevel="0" collapsed="false">
      <c r="A78" s="9" t="s">
        <v>1582</v>
      </c>
      <c r="B78" s="9" t="s">
        <v>1583</v>
      </c>
      <c r="C78" s="9" t="s">
        <v>1584</v>
      </c>
      <c r="D78" s="9" t="s">
        <v>866</v>
      </c>
      <c r="E78" s="9" t="s">
        <v>867</v>
      </c>
      <c r="F78" s="9" t="s">
        <v>1585</v>
      </c>
      <c r="G78" s="9" t="s">
        <v>127</v>
      </c>
      <c r="H78" s="9" t="s">
        <v>1092</v>
      </c>
      <c r="I78" s="9" t="s">
        <v>1586</v>
      </c>
      <c r="J78" s="9" t="s">
        <v>1587</v>
      </c>
      <c r="K78" s="9" t="s">
        <v>1588</v>
      </c>
      <c r="L78" s="9" t="s">
        <v>1589</v>
      </c>
      <c r="M78" s="9" t="s">
        <v>1590</v>
      </c>
      <c r="N78" s="9" t="s">
        <v>1591</v>
      </c>
      <c r="O78" s="9" t="s">
        <v>876</v>
      </c>
    </row>
    <row r="79" customFormat="false" ht="78" hidden="false" customHeight="true" outlineLevel="0" collapsed="false">
      <c r="A79" s="9" t="s">
        <v>1592</v>
      </c>
      <c r="B79" s="9" t="s">
        <v>1593</v>
      </c>
      <c r="C79" s="9" t="s">
        <v>1594</v>
      </c>
      <c r="D79" s="9" t="s">
        <v>866</v>
      </c>
      <c r="E79" s="9" t="s">
        <v>867</v>
      </c>
      <c r="F79" s="9" t="s">
        <v>1595</v>
      </c>
      <c r="G79" s="9" t="s">
        <v>127</v>
      </c>
      <c r="H79" s="9" t="s">
        <v>1092</v>
      </c>
      <c r="I79" s="9" t="s">
        <v>1596</v>
      </c>
      <c r="J79" s="9" t="s">
        <v>1597</v>
      </c>
      <c r="K79" s="9" t="s">
        <v>1598</v>
      </c>
      <c r="L79" s="9" t="s">
        <v>1589</v>
      </c>
      <c r="M79" s="9" t="s">
        <v>1599</v>
      </c>
      <c r="N79" s="9" t="s">
        <v>1600</v>
      </c>
      <c r="O79" s="9" t="s">
        <v>876</v>
      </c>
    </row>
    <row r="80" customFormat="false" ht="78" hidden="false" customHeight="true" outlineLevel="0" collapsed="false">
      <c r="A80" s="9" t="s">
        <v>1601</v>
      </c>
      <c r="B80" s="9" t="s">
        <v>1602</v>
      </c>
      <c r="C80" s="9" t="s">
        <v>1603</v>
      </c>
      <c r="D80" s="9" t="s">
        <v>866</v>
      </c>
      <c r="E80" s="9" t="s">
        <v>867</v>
      </c>
      <c r="F80" s="9" t="s">
        <v>1604</v>
      </c>
      <c r="G80" s="9" t="s">
        <v>70</v>
      </c>
      <c r="H80" s="9" t="s">
        <v>1092</v>
      </c>
      <c r="I80" s="9" t="s">
        <v>1605</v>
      </c>
      <c r="J80" s="9" t="s">
        <v>1606</v>
      </c>
      <c r="K80" s="9" t="s">
        <v>1607</v>
      </c>
      <c r="L80" s="9" t="s">
        <v>1608</v>
      </c>
      <c r="M80" s="9" t="s">
        <v>1609</v>
      </c>
      <c r="N80" s="9" t="s">
        <v>1610</v>
      </c>
      <c r="O80" s="9" t="s">
        <v>876</v>
      </c>
    </row>
    <row r="81" customFormat="false" ht="78" hidden="false" customHeight="true" outlineLevel="0" collapsed="false">
      <c r="A81" s="9" t="s">
        <v>1611</v>
      </c>
      <c r="B81" s="9" t="s">
        <v>1612</v>
      </c>
      <c r="C81" s="9" t="s">
        <v>1613</v>
      </c>
      <c r="D81" s="9" t="s">
        <v>866</v>
      </c>
      <c r="E81" s="9" t="s">
        <v>867</v>
      </c>
      <c r="F81" s="9" t="s">
        <v>1614</v>
      </c>
      <c r="G81" s="9" t="s">
        <v>183</v>
      </c>
      <c r="H81" s="9" t="s">
        <v>1092</v>
      </c>
      <c r="I81" s="9" t="s">
        <v>1615</v>
      </c>
      <c r="J81" s="9" t="s">
        <v>1616</v>
      </c>
      <c r="K81" s="9" t="s">
        <v>1617</v>
      </c>
      <c r="L81" s="9" t="s">
        <v>1618</v>
      </c>
      <c r="M81" s="9" t="s">
        <v>1619</v>
      </c>
      <c r="N81" s="9" t="s">
        <v>1620</v>
      </c>
      <c r="O81" s="9" t="s">
        <v>876</v>
      </c>
    </row>
    <row r="82" customFormat="false" ht="78" hidden="false" customHeight="true" outlineLevel="0" collapsed="false">
      <c r="A82" s="9" t="s">
        <v>1621</v>
      </c>
      <c r="B82" s="9" t="s">
        <v>1622</v>
      </c>
      <c r="C82" s="9" t="s">
        <v>1623</v>
      </c>
      <c r="D82" s="9" t="s">
        <v>822</v>
      </c>
      <c r="E82" s="9" t="s">
        <v>1005</v>
      </c>
      <c r="F82" s="9" t="s">
        <v>1624</v>
      </c>
      <c r="G82" s="9" t="s">
        <v>114</v>
      </c>
      <c r="H82" s="9" t="s">
        <v>1092</v>
      </c>
      <c r="I82" s="9" t="s">
        <v>1625</v>
      </c>
      <c r="J82" s="9" t="s">
        <v>1626</v>
      </c>
      <c r="K82" s="9" t="s">
        <v>1627</v>
      </c>
      <c r="L82" s="9" t="s">
        <v>1628</v>
      </c>
      <c r="M82" s="9" t="s">
        <v>1629</v>
      </c>
      <c r="N82" s="9" t="s">
        <v>1630</v>
      </c>
      <c r="O82" s="9" t="s">
        <v>876</v>
      </c>
    </row>
    <row r="83" customFormat="false" ht="78" hidden="false" customHeight="true" outlineLevel="0" collapsed="false">
      <c r="A83" s="9" t="s">
        <v>1631</v>
      </c>
      <c r="B83" s="9" t="s">
        <v>669</v>
      </c>
      <c r="C83" s="9" t="s">
        <v>1632</v>
      </c>
      <c r="D83" s="9" t="s">
        <v>866</v>
      </c>
      <c r="E83" s="9" t="s">
        <v>867</v>
      </c>
      <c r="F83" s="9" t="s">
        <v>1633</v>
      </c>
      <c r="G83" s="9" t="s">
        <v>114</v>
      </c>
      <c r="H83" s="9" t="s">
        <v>881</v>
      </c>
      <c r="I83" s="9" t="s">
        <v>1634</v>
      </c>
      <c r="J83" s="9" t="s">
        <v>1635</v>
      </c>
      <c r="K83" s="9" t="s">
        <v>1636</v>
      </c>
      <c r="L83" s="9" t="s">
        <v>1637</v>
      </c>
      <c r="M83" s="9" t="s">
        <v>670</v>
      </c>
      <c r="N83" s="9" t="s">
        <v>1638</v>
      </c>
      <c r="O83" s="9" t="s">
        <v>876</v>
      </c>
    </row>
    <row r="84" customFormat="false" ht="78" hidden="false" customHeight="true" outlineLevel="0" collapsed="false">
      <c r="A84" s="9" t="s">
        <v>1639</v>
      </c>
      <c r="B84" s="9" t="s">
        <v>675</v>
      </c>
      <c r="C84" s="9" t="s">
        <v>1640</v>
      </c>
      <c r="D84" s="9" t="s">
        <v>866</v>
      </c>
      <c r="E84" s="9" t="s">
        <v>867</v>
      </c>
      <c r="F84" s="9" t="s">
        <v>1633</v>
      </c>
      <c r="G84" s="9" t="s">
        <v>114</v>
      </c>
      <c r="H84" s="9" t="s">
        <v>881</v>
      </c>
      <c r="I84" s="9" t="s">
        <v>1641</v>
      </c>
      <c r="J84" s="9" t="s">
        <v>1642</v>
      </c>
      <c r="K84" s="9" t="s">
        <v>1643</v>
      </c>
      <c r="L84" s="9" t="s">
        <v>1637</v>
      </c>
      <c r="M84" s="9" t="s">
        <v>676</v>
      </c>
      <c r="N84" s="9" t="s">
        <v>1644</v>
      </c>
      <c r="O84" s="9" t="s">
        <v>876</v>
      </c>
    </row>
    <row r="85" customFormat="false" ht="78" hidden="false" customHeight="true" outlineLevel="0" collapsed="false">
      <c r="A85" s="9" t="s">
        <v>1645</v>
      </c>
      <c r="B85" s="9" t="s">
        <v>680</v>
      </c>
      <c r="C85" s="9" t="s">
        <v>1646</v>
      </c>
      <c r="D85" s="9" t="s">
        <v>866</v>
      </c>
      <c r="E85" s="9" t="s">
        <v>867</v>
      </c>
      <c r="F85" s="9" t="s">
        <v>1633</v>
      </c>
      <c r="G85" s="9" t="s">
        <v>114</v>
      </c>
      <c r="H85" s="9" t="s">
        <v>881</v>
      </c>
      <c r="I85" s="9" t="s">
        <v>1641</v>
      </c>
      <c r="J85" s="9" t="s">
        <v>1647</v>
      </c>
      <c r="K85" s="9" t="s">
        <v>1643</v>
      </c>
      <c r="L85" s="9" t="s">
        <v>1637</v>
      </c>
      <c r="M85" s="9" t="s">
        <v>681</v>
      </c>
      <c r="N85" s="9" t="s">
        <v>1648</v>
      </c>
      <c r="O85" s="9" t="s">
        <v>876</v>
      </c>
    </row>
    <row r="86" customFormat="false" ht="78" hidden="false" customHeight="true" outlineLevel="0" collapsed="false">
      <c r="A86" s="9" t="s">
        <v>1649</v>
      </c>
      <c r="B86" s="9" t="s">
        <v>685</v>
      </c>
      <c r="C86" s="9" t="s">
        <v>1650</v>
      </c>
      <c r="D86" s="9" t="s">
        <v>866</v>
      </c>
      <c r="E86" s="9" t="s">
        <v>867</v>
      </c>
      <c r="F86" s="9" t="s">
        <v>1633</v>
      </c>
      <c r="G86" s="9" t="s">
        <v>114</v>
      </c>
      <c r="H86" s="9" t="s">
        <v>881</v>
      </c>
      <c r="I86" s="9" t="s">
        <v>1651</v>
      </c>
      <c r="J86" s="9" t="s">
        <v>1652</v>
      </c>
      <c r="K86" s="9" t="s">
        <v>1643</v>
      </c>
      <c r="L86" s="9" t="s">
        <v>1637</v>
      </c>
      <c r="M86" s="9" t="s">
        <v>686</v>
      </c>
      <c r="N86" s="9" t="s">
        <v>1653</v>
      </c>
      <c r="O86" s="9" t="s">
        <v>876</v>
      </c>
    </row>
    <row r="87" customFormat="false" ht="78" hidden="false" customHeight="true" outlineLevel="0" collapsed="false">
      <c r="A87" s="9" t="s">
        <v>1654</v>
      </c>
      <c r="B87" s="9" t="s">
        <v>1655</v>
      </c>
      <c r="C87" s="9" t="s">
        <v>1656</v>
      </c>
      <c r="D87" s="9" t="s">
        <v>866</v>
      </c>
      <c r="E87" s="9" t="s">
        <v>867</v>
      </c>
      <c r="F87" s="9" t="s">
        <v>1657</v>
      </c>
      <c r="G87" s="9" t="s">
        <v>114</v>
      </c>
      <c r="H87" s="9" t="s">
        <v>881</v>
      </c>
      <c r="I87" s="9" t="s">
        <v>1658</v>
      </c>
      <c r="J87" s="9" t="s">
        <v>1659</v>
      </c>
      <c r="K87" s="9" t="s">
        <v>1660</v>
      </c>
      <c r="L87" s="9" t="s">
        <v>1637</v>
      </c>
      <c r="M87" s="9" t="s">
        <v>692</v>
      </c>
      <c r="N87" s="9" t="s">
        <v>1661</v>
      </c>
      <c r="O87" s="9" t="s">
        <v>876</v>
      </c>
    </row>
    <row r="88" customFormat="false" ht="78" hidden="false" customHeight="true" outlineLevel="0" collapsed="false">
      <c r="A88" s="9" t="s">
        <v>1662</v>
      </c>
      <c r="B88" s="9" t="s">
        <v>697</v>
      </c>
      <c r="C88" s="9" t="s">
        <v>1663</v>
      </c>
      <c r="D88" s="9" t="s">
        <v>866</v>
      </c>
      <c r="E88" s="9" t="s">
        <v>867</v>
      </c>
      <c r="F88" s="9" t="s">
        <v>1633</v>
      </c>
      <c r="G88" s="9" t="s">
        <v>114</v>
      </c>
      <c r="H88" s="9" t="s">
        <v>881</v>
      </c>
      <c r="I88" s="9" t="s">
        <v>1651</v>
      </c>
      <c r="J88" s="9" t="s">
        <v>1664</v>
      </c>
      <c r="K88" s="9" t="s">
        <v>1643</v>
      </c>
      <c r="L88" s="9" t="s">
        <v>1637</v>
      </c>
      <c r="M88" s="9" t="s">
        <v>698</v>
      </c>
      <c r="N88" s="9" t="s">
        <v>1665</v>
      </c>
      <c r="O88" s="9" t="s">
        <v>876</v>
      </c>
    </row>
    <row r="89" customFormat="false" ht="78" hidden="false" customHeight="true" outlineLevel="0" collapsed="false">
      <c r="A89" s="9" t="s">
        <v>1666</v>
      </c>
      <c r="B89" s="9" t="s">
        <v>703</v>
      </c>
      <c r="C89" s="9" t="s">
        <v>1667</v>
      </c>
      <c r="D89" s="9" t="s">
        <v>866</v>
      </c>
      <c r="E89" s="9" t="s">
        <v>867</v>
      </c>
      <c r="F89" s="9" t="s">
        <v>1633</v>
      </c>
      <c r="G89" s="9" t="s">
        <v>114</v>
      </c>
      <c r="H89" s="9" t="s">
        <v>881</v>
      </c>
      <c r="I89" s="9" t="s">
        <v>1651</v>
      </c>
      <c r="J89" s="9" t="s">
        <v>1668</v>
      </c>
      <c r="K89" s="9" t="s">
        <v>1643</v>
      </c>
      <c r="L89" s="9" t="s">
        <v>1637</v>
      </c>
      <c r="M89" s="9" t="s">
        <v>704</v>
      </c>
      <c r="N89" s="9" t="s">
        <v>1669</v>
      </c>
      <c r="O89" s="9" t="s">
        <v>876</v>
      </c>
    </row>
    <row r="90" customFormat="false" ht="78" hidden="false" customHeight="true" outlineLevel="0" collapsed="false">
      <c r="A90" s="9" t="s">
        <v>1670</v>
      </c>
      <c r="B90" s="9" t="s">
        <v>708</v>
      </c>
      <c r="C90" s="9" t="s">
        <v>1671</v>
      </c>
      <c r="D90" s="9" t="s">
        <v>866</v>
      </c>
      <c r="E90" s="9" t="s">
        <v>867</v>
      </c>
      <c r="F90" s="9" t="s">
        <v>1633</v>
      </c>
      <c r="G90" s="9" t="s">
        <v>114</v>
      </c>
      <c r="H90" s="9" t="s">
        <v>881</v>
      </c>
      <c r="I90" s="9" t="s">
        <v>1641</v>
      </c>
      <c r="J90" s="9" t="s">
        <v>1672</v>
      </c>
      <c r="K90" s="9" t="s">
        <v>1643</v>
      </c>
      <c r="L90" s="9" t="s">
        <v>1637</v>
      </c>
      <c r="M90" s="9" t="s">
        <v>709</v>
      </c>
      <c r="N90" s="9" t="s">
        <v>1673</v>
      </c>
      <c r="O90" s="9" t="s">
        <v>876</v>
      </c>
    </row>
    <row r="91" customFormat="false" ht="78" hidden="false" customHeight="true" outlineLevel="0" collapsed="false">
      <c r="A91" s="9" t="s">
        <v>1674</v>
      </c>
      <c r="B91" s="9" t="s">
        <v>713</v>
      </c>
      <c r="C91" s="9" t="s">
        <v>1675</v>
      </c>
      <c r="D91" s="9" t="s">
        <v>866</v>
      </c>
      <c r="E91" s="9" t="s">
        <v>867</v>
      </c>
      <c r="F91" s="9" t="s">
        <v>1633</v>
      </c>
      <c r="G91" s="9" t="s">
        <v>114</v>
      </c>
      <c r="H91" s="9" t="s">
        <v>881</v>
      </c>
      <c r="I91" s="9" t="s">
        <v>1651</v>
      </c>
      <c r="J91" s="9" t="s">
        <v>1676</v>
      </c>
      <c r="K91" s="9" t="s">
        <v>1643</v>
      </c>
      <c r="L91" s="9" t="s">
        <v>1637</v>
      </c>
      <c r="M91" s="9" t="s">
        <v>714</v>
      </c>
      <c r="N91" s="9" t="s">
        <v>1677</v>
      </c>
      <c r="O91" s="9" t="s">
        <v>876</v>
      </c>
    </row>
    <row r="92" customFormat="false" ht="78" hidden="false" customHeight="true" outlineLevel="0" collapsed="false">
      <c r="A92" s="9" t="s">
        <v>1678</v>
      </c>
      <c r="B92" s="9" t="s">
        <v>1679</v>
      </c>
      <c r="C92" s="9" t="s">
        <v>1680</v>
      </c>
      <c r="D92" s="9" t="s">
        <v>866</v>
      </c>
      <c r="E92" s="9" t="s">
        <v>867</v>
      </c>
      <c r="F92" s="9" t="s">
        <v>1681</v>
      </c>
      <c r="G92" s="9" t="s">
        <v>114</v>
      </c>
      <c r="H92" s="9" t="s">
        <v>1092</v>
      </c>
      <c r="I92" s="9" t="s">
        <v>1682</v>
      </c>
      <c r="J92" s="9" t="s">
        <v>1683</v>
      </c>
      <c r="K92" s="9" t="s">
        <v>1684</v>
      </c>
      <c r="L92" s="9" t="s">
        <v>1685</v>
      </c>
      <c r="M92" s="9" t="s">
        <v>1686</v>
      </c>
      <c r="N92" s="9" t="s">
        <v>1687</v>
      </c>
      <c r="O92" s="9" t="s">
        <v>876</v>
      </c>
    </row>
    <row r="93" customFormat="false" ht="78" hidden="false" customHeight="true" outlineLevel="0" collapsed="false">
      <c r="A93" s="9" t="s">
        <v>1688</v>
      </c>
      <c r="B93" s="9" t="s">
        <v>1689</v>
      </c>
      <c r="C93" s="9" t="s">
        <v>1690</v>
      </c>
      <c r="D93" s="9" t="s">
        <v>866</v>
      </c>
      <c r="E93" s="9" t="s">
        <v>867</v>
      </c>
      <c r="F93" s="9" t="s">
        <v>1691</v>
      </c>
      <c r="G93" s="9" t="s">
        <v>176</v>
      </c>
      <c r="H93" s="9" t="s">
        <v>1092</v>
      </c>
      <c r="I93" s="9" t="s">
        <v>1692</v>
      </c>
      <c r="J93" s="9" t="s">
        <v>1693</v>
      </c>
      <c r="K93" s="9" t="s">
        <v>1694</v>
      </c>
      <c r="L93" s="9" t="s">
        <v>1695</v>
      </c>
      <c r="M93" s="9" t="s">
        <v>1696</v>
      </c>
      <c r="N93" s="9" t="s">
        <v>1697</v>
      </c>
      <c r="O93" s="9" t="s">
        <v>876</v>
      </c>
    </row>
    <row r="94" customFormat="false" ht="78" hidden="false" customHeight="true" outlineLevel="0" collapsed="false">
      <c r="A94" s="9" t="s">
        <v>1698</v>
      </c>
      <c r="B94" s="9" t="s">
        <v>1699</v>
      </c>
      <c r="C94" s="9" t="s">
        <v>1700</v>
      </c>
      <c r="D94" s="9" t="s">
        <v>866</v>
      </c>
      <c r="E94" s="9" t="s">
        <v>867</v>
      </c>
      <c r="F94" s="9" t="s">
        <v>1701</v>
      </c>
      <c r="G94" s="9" t="s">
        <v>94</v>
      </c>
      <c r="H94" s="9" t="s">
        <v>1092</v>
      </c>
      <c r="I94" s="9" t="s">
        <v>1702</v>
      </c>
      <c r="J94" s="9" t="s">
        <v>1703</v>
      </c>
      <c r="K94" s="9" t="s">
        <v>1704</v>
      </c>
      <c r="L94" s="9" t="s">
        <v>1705</v>
      </c>
      <c r="M94" s="9" t="s">
        <v>1706</v>
      </c>
      <c r="N94" s="9" t="s">
        <v>1707</v>
      </c>
      <c r="O94" s="9" t="s">
        <v>876</v>
      </c>
    </row>
    <row r="95" customFormat="false" ht="78" hidden="false" customHeight="true" outlineLevel="0" collapsed="false">
      <c r="A95" s="9" t="s">
        <v>1708</v>
      </c>
      <c r="B95" s="9" t="s">
        <v>607</v>
      </c>
      <c r="C95" s="9" t="s">
        <v>1709</v>
      </c>
      <c r="D95" s="9" t="s">
        <v>866</v>
      </c>
      <c r="E95" s="9" t="s">
        <v>867</v>
      </c>
      <c r="F95" s="9" t="s">
        <v>1710</v>
      </c>
      <c r="G95" s="9" t="s">
        <v>114</v>
      </c>
      <c r="H95" s="9" t="s">
        <v>1092</v>
      </c>
      <c r="I95" s="9" t="s">
        <v>1711</v>
      </c>
      <c r="J95" s="9" t="s">
        <v>1712</v>
      </c>
      <c r="K95" s="9" t="s">
        <v>1713</v>
      </c>
      <c r="L95" s="9" t="s">
        <v>1714</v>
      </c>
      <c r="M95" s="9" t="s">
        <v>1715</v>
      </c>
      <c r="N95" s="9" t="s">
        <v>1716</v>
      </c>
      <c r="O95" s="9" t="s">
        <v>876</v>
      </c>
    </row>
    <row r="96" customFormat="false" ht="78" hidden="false" customHeight="true" outlineLevel="0" collapsed="false">
      <c r="A96" s="9" t="s">
        <v>1717</v>
      </c>
      <c r="B96" s="9" t="s">
        <v>1718</v>
      </c>
      <c r="C96" s="9" t="s">
        <v>1719</v>
      </c>
      <c r="D96" s="9" t="s">
        <v>866</v>
      </c>
      <c r="E96" s="9" t="s">
        <v>867</v>
      </c>
      <c r="F96" s="9" t="s">
        <v>1720</v>
      </c>
      <c r="G96" s="9" t="s">
        <v>210</v>
      </c>
      <c r="H96" s="9" t="s">
        <v>869</v>
      </c>
      <c r="I96" s="9" t="s">
        <v>1721</v>
      </c>
      <c r="J96" s="9" t="s">
        <v>1722</v>
      </c>
      <c r="K96" s="9" t="s">
        <v>1723</v>
      </c>
      <c r="L96" s="9" t="s">
        <v>1724</v>
      </c>
      <c r="M96" s="9" t="s">
        <v>1725</v>
      </c>
      <c r="N96" s="9" t="s">
        <v>1726</v>
      </c>
      <c r="O96" s="9" t="s">
        <v>876</v>
      </c>
    </row>
    <row r="97" customFormat="false" ht="78" hidden="false" customHeight="true" outlineLevel="0" collapsed="false">
      <c r="A97" s="9" t="s">
        <v>1727</v>
      </c>
      <c r="B97" s="9" t="s">
        <v>1728</v>
      </c>
      <c r="C97" s="9" t="s">
        <v>1729</v>
      </c>
      <c r="D97" s="9" t="s">
        <v>866</v>
      </c>
      <c r="E97" s="9" t="s">
        <v>867</v>
      </c>
      <c r="F97" s="9" t="s">
        <v>1730</v>
      </c>
      <c r="G97" s="9" t="s">
        <v>83</v>
      </c>
      <c r="H97" s="9" t="s">
        <v>1092</v>
      </c>
      <c r="I97" s="9" t="s">
        <v>1731</v>
      </c>
      <c r="J97" s="9" t="s">
        <v>1732</v>
      </c>
      <c r="K97" s="9" t="s">
        <v>1733</v>
      </c>
      <c r="L97" s="9" t="s">
        <v>1734</v>
      </c>
      <c r="M97" s="9" t="s">
        <v>1735</v>
      </c>
      <c r="N97" s="9" t="s">
        <v>1736</v>
      </c>
      <c r="O97" s="9" t="s">
        <v>876</v>
      </c>
    </row>
    <row r="98" customFormat="false" ht="78" hidden="false" customHeight="true" outlineLevel="0" collapsed="false">
      <c r="A98" s="9" t="s">
        <v>1737</v>
      </c>
      <c r="B98" s="9" t="s">
        <v>1738</v>
      </c>
      <c r="C98" s="9" t="s">
        <v>1739</v>
      </c>
      <c r="D98" s="9" t="s">
        <v>866</v>
      </c>
      <c r="E98" s="9" t="s">
        <v>867</v>
      </c>
      <c r="F98" s="9" t="s">
        <v>1740</v>
      </c>
      <c r="G98" s="9" t="s">
        <v>157</v>
      </c>
      <c r="H98" s="9" t="s">
        <v>1092</v>
      </c>
      <c r="I98" s="9" t="s">
        <v>1741</v>
      </c>
      <c r="J98" s="9" t="s">
        <v>1742</v>
      </c>
      <c r="K98" s="9" t="s">
        <v>1743</v>
      </c>
      <c r="L98" s="9" t="s">
        <v>1744</v>
      </c>
      <c r="M98" s="9" t="s">
        <v>1745</v>
      </c>
      <c r="N98" s="9" t="s">
        <v>1746</v>
      </c>
      <c r="O98" s="9" t="s">
        <v>876</v>
      </c>
    </row>
    <row r="99" customFormat="false" ht="78" hidden="false" customHeight="true" outlineLevel="0" collapsed="false">
      <c r="A99" s="9" t="s">
        <v>1747</v>
      </c>
      <c r="B99" s="9" t="s">
        <v>1748</v>
      </c>
      <c r="C99" s="9" t="s">
        <v>1749</v>
      </c>
      <c r="D99" s="9" t="s">
        <v>866</v>
      </c>
      <c r="E99" s="9" t="s">
        <v>867</v>
      </c>
      <c r="F99" s="9" t="s">
        <v>1750</v>
      </c>
      <c r="G99" s="9" t="s">
        <v>157</v>
      </c>
      <c r="H99" s="9" t="s">
        <v>1092</v>
      </c>
      <c r="I99" s="9" t="s">
        <v>1751</v>
      </c>
      <c r="J99" s="9" t="s">
        <v>1752</v>
      </c>
      <c r="K99" s="9" t="s">
        <v>1753</v>
      </c>
      <c r="L99" s="9" t="s">
        <v>1754</v>
      </c>
      <c r="M99" s="9" t="s">
        <v>1755</v>
      </c>
      <c r="N99" s="9" t="s">
        <v>1756</v>
      </c>
      <c r="O99" s="9" t="s">
        <v>876</v>
      </c>
    </row>
    <row r="100" customFormat="false" ht="78" hidden="false" customHeight="true" outlineLevel="0" collapsed="false">
      <c r="A100" s="9" t="s">
        <v>1757</v>
      </c>
      <c r="B100" s="9" t="s">
        <v>1758</v>
      </c>
      <c r="C100" s="9" t="s">
        <v>1759</v>
      </c>
      <c r="D100" s="9" t="s">
        <v>866</v>
      </c>
      <c r="E100" s="9" t="s">
        <v>867</v>
      </c>
      <c r="F100" s="9" t="s">
        <v>1760</v>
      </c>
      <c r="G100" s="9" t="s">
        <v>189</v>
      </c>
      <c r="H100" s="9" t="s">
        <v>1092</v>
      </c>
      <c r="I100" s="9" t="s">
        <v>1761</v>
      </c>
      <c r="J100" s="9" t="s">
        <v>1762</v>
      </c>
      <c r="K100" s="9" t="s">
        <v>1763</v>
      </c>
      <c r="L100" s="9" t="s">
        <v>1754</v>
      </c>
      <c r="M100" s="9" t="s">
        <v>1764</v>
      </c>
      <c r="N100" s="9" t="s">
        <v>1765</v>
      </c>
      <c r="O100" s="9" t="s">
        <v>876</v>
      </c>
    </row>
    <row r="101" customFormat="false" ht="78" hidden="false" customHeight="true" outlineLevel="0" collapsed="false">
      <c r="A101" s="9" t="s">
        <v>1766</v>
      </c>
      <c r="B101" s="9" t="s">
        <v>1767</v>
      </c>
      <c r="C101" s="9" t="s">
        <v>1768</v>
      </c>
      <c r="D101" s="9" t="s">
        <v>866</v>
      </c>
      <c r="E101" s="9" t="s">
        <v>867</v>
      </c>
      <c r="F101" s="9" t="s">
        <v>1769</v>
      </c>
      <c r="G101" s="9" t="s">
        <v>76</v>
      </c>
      <c r="H101" s="9" t="s">
        <v>1092</v>
      </c>
      <c r="I101" s="9" t="s">
        <v>1770</v>
      </c>
      <c r="J101" s="9" t="s">
        <v>1771</v>
      </c>
      <c r="K101" s="9" t="s">
        <v>1772</v>
      </c>
      <c r="L101" s="9" t="s">
        <v>1773</v>
      </c>
      <c r="M101" s="9" t="s">
        <v>1774</v>
      </c>
      <c r="N101" s="9" t="s">
        <v>1775</v>
      </c>
      <c r="O101" s="9" t="s">
        <v>876</v>
      </c>
    </row>
    <row r="102" customFormat="false" ht="78" hidden="false" customHeight="true" outlineLevel="0" collapsed="false">
      <c r="A102" s="9" t="s">
        <v>1776</v>
      </c>
      <c r="B102" s="9" t="s">
        <v>1777</v>
      </c>
      <c r="C102" s="9" t="s">
        <v>1778</v>
      </c>
      <c r="D102" s="9" t="s">
        <v>866</v>
      </c>
      <c r="E102" s="9" t="s">
        <v>867</v>
      </c>
      <c r="F102" s="9" t="s">
        <v>1779</v>
      </c>
      <c r="G102" s="9" t="s">
        <v>210</v>
      </c>
      <c r="H102" s="9" t="s">
        <v>869</v>
      </c>
      <c r="I102" s="9" t="s">
        <v>1780</v>
      </c>
      <c r="J102" s="9" t="s">
        <v>1781</v>
      </c>
      <c r="K102" s="9" t="s">
        <v>1782</v>
      </c>
      <c r="L102" s="9" t="s">
        <v>1783</v>
      </c>
      <c r="M102" s="9" t="s">
        <v>1784</v>
      </c>
      <c r="N102" s="9" t="s">
        <v>1785</v>
      </c>
      <c r="O102" s="9" t="s">
        <v>876</v>
      </c>
    </row>
    <row r="103" customFormat="false" ht="78" hidden="false" customHeight="true" outlineLevel="0" collapsed="false">
      <c r="A103" s="9" t="s">
        <v>1786</v>
      </c>
      <c r="B103" s="9" t="s">
        <v>643</v>
      </c>
      <c r="C103" s="9" t="s">
        <v>1787</v>
      </c>
      <c r="D103" s="9" t="s">
        <v>866</v>
      </c>
      <c r="E103" s="9" t="s">
        <v>867</v>
      </c>
      <c r="F103" s="9" t="s">
        <v>1788</v>
      </c>
      <c r="G103" s="9" t="s">
        <v>94</v>
      </c>
      <c r="H103" s="9" t="s">
        <v>1092</v>
      </c>
      <c r="I103" s="9" t="s">
        <v>1789</v>
      </c>
      <c r="J103" s="9" t="s">
        <v>1790</v>
      </c>
      <c r="K103" s="9" t="s">
        <v>1791</v>
      </c>
      <c r="L103" s="9" t="s">
        <v>1773</v>
      </c>
      <c r="M103" s="9" t="s">
        <v>1792</v>
      </c>
      <c r="N103" s="9" t="s">
        <v>1793</v>
      </c>
      <c r="O103" s="9" t="s">
        <v>876</v>
      </c>
    </row>
    <row r="104" customFormat="false" ht="78" hidden="false" customHeight="true" outlineLevel="0" collapsed="false">
      <c r="A104" s="9" t="s">
        <v>1794</v>
      </c>
      <c r="B104" s="9" t="s">
        <v>1795</v>
      </c>
      <c r="C104" s="9" t="s">
        <v>1796</v>
      </c>
      <c r="D104" s="9" t="s">
        <v>866</v>
      </c>
      <c r="E104" s="9" t="s">
        <v>867</v>
      </c>
      <c r="F104" s="9" t="s">
        <v>1797</v>
      </c>
      <c r="G104" s="9" t="s">
        <v>76</v>
      </c>
      <c r="H104" s="9" t="s">
        <v>1092</v>
      </c>
      <c r="I104" s="9" t="s">
        <v>1798</v>
      </c>
      <c r="J104" s="9" t="s">
        <v>1799</v>
      </c>
      <c r="K104" s="9" t="s">
        <v>1800</v>
      </c>
      <c r="L104" s="9" t="s">
        <v>1801</v>
      </c>
      <c r="M104" s="9" t="s">
        <v>1802</v>
      </c>
      <c r="N104" s="9" t="s">
        <v>1803</v>
      </c>
      <c r="O104" s="9" t="s">
        <v>876</v>
      </c>
    </row>
    <row r="105" customFormat="false" ht="78" hidden="false" customHeight="true" outlineLevel="0" collapsed="false">
      <c r="A105" s="9" t="s">
        <v>1804</v>
      </c>
      <c r="B105" s="9" t="s">
        <v>1805</v>
      </c>
      <c r="C105" s="9" t="s">
        <v>1806</v>
      </c>
      <c r="D105" s="9" t="s">
        <v>866</v>
      </c>
      <c r="E105" s="9" t="s">
        <v>867</v>
      </c>
      <c r="F105" s="9" t="s">
        <v>1807</v>
      </c>
      <c r="G105" s="9" t="s">
        <v>120</v>
      </c>
      <c r="H105" s="9" t="s">
        <v>1092</v>
      </c>
      <c r="I105" s="9" t="s">
        <v>1808</v>
      </c>
      <c r="J105" s="9" t="s">
        <v>1809</v>
      </c>
      <c r="K105" s="9" t="s">
        <v>1810</v>
      </c>
      <c r="L105" s="9" t="s">
        <v>1811</v>
      </c>
      <c r="M105" s="9" t="s">
        <v>1812</v>
      </c>
      <c r="N105" s="9" t="s">
        <v>1813</v>
      </c>
      <c r="O105" s="9" t="s">
        <v>876</v>
      </c>
    </row>
    <row r="106" customFormat="false" ht="78" hidden="false" customHeight="true" outlineLevel="0" collapsed="false">
      <c r="A106" s="9" t="s">
        <v>1814</v>
      </c>
      <c r="B106" s="9" t="s">
        <v>1815</v>
      </c>
      <c r="C106" s="9" t="s">
        <v>1816</v>
      </c>
      <c r="D106" s="9" t="s">
        <v>866</v>
      </c>
      <c r="E106" s="9" t="s">
        <v>867</v>
      </c>
      <c r="F106" s="9" t="s">
        <v>1817</v>
      </c>
      <c r="G106" s="9" t="s">
        <v>120</v>
      </c>
      <c r="H106" s="9" t="s">
        <v>1092</v>
      </c>
      <c r="I106" s="9" t="s">
        <v>1818</v>
      </c>
      <c r="J106" s="9" t="s">
        <v>1819</v>
      </c>
      <c r="K106" s="9" t="s">
        <v>1820</v>
      </c>
      <c r="L106" s="9" t="s">
        <v>1821</v>
      </c>
      <c r="M106" s="9" t="s">
        <v>1822</v>
      </c>
      <c r="N106" s="9" t="s">
        <v>1823</v>
      </c>
      <c r="O106" s="9" t="s">
        <v>876</v>
      </c>
    </row>
    <row r="107" customFormat="false" ht="78" hidden="false" customHeight="true" outlineLevel="0" collapsed="false">
      <c r="A107" s="9" t="s">
        <v>1824</v>
      </c>
      <c r="B107" s="9" t="s">
        <v>1825</v>
      </c>
      <c r="C107" s="9" t="s">
        <v>1826</v>
      </c>
      <c r="D107" s="9" t="s">
        <v>866</v>
      </c>
      <c r="E107" s="9" t="s">
        <v>867</v>
      </c>
      <c r="F107" s="9" t="s">
        <v>1827</v>
      </c>
      <c r="G107" s="9" t="s">
        <v>76</v>
      </c>
      <c r="H107" s="9" t="s">
        <v>1092</v>
      </c>
      <c r="I107" s="9" t="s">
        <v>1828</v>
      </c>
      <c r="J107" s="9" t="s">
        <v>1829</v>
      </c>
      <c r="K107" s="9" t="s">
        <v>1830</v>
      </c>
      <c r="L107" s="9" t="s">
        <v>1831</v>
      </c>
      <c r="M107" s="9" t="s">
        <v>1832</v>
      </c>
      <c r="N107" s="9" t="s">
        <v>1833</v>
      </c>
      <c r="O107" s="9" t="s">
        <v>876</v>
      </c>
    </row>
    <row r="108" customFormat="false" ht="78" hidden="false" customHeight="true" outlineLevel="0" collapsed="false">
      <c r="A108" s="9" t="s">
        <v>1834</v>
      </c>
      <c r="B108" s="9" t="s">
        <v>1835</v>
      </c>
      <c r="C108" s="9" t="s">
        <v>1836</v>
      </c>
      <c r="D108" s="9" t="s">
        <v>866</v>
      </c>
      <c r="E108" s="9" t="s">
        <v>867</v>
      </c>
      <c r="F108" s="9" t="s">
        <v>1837</v>
      </c>
      <c r="G108" s="9" t="s">
        <v>114</v>
      </c>
      <c r="H108" s="9" t="s">
        <v>1092</v>
      </c>
      <c r="I108" s="9" t="s">
        <v>1711</v>
      </c>
      <c r="J108" s="9" t="s">
        <v>1838</v>
      </c>
      <c r="K108" s="9" t="s">
        <v>1713</v>
      </c>
      <c r="L108" s="9" t="s">
        <v>1839</v>
      </c>
      <c r="M108" s="9" t="s">
        <v>1840</v>
      </c>
      <c r="N108" s="9" t="s">
        <v>1841</v>
      </c>
      <c r="O108" s="9" t="s">
        <v>876</v>
      </c>
    </row>
    <row r="109" customFormat="false" ht="78" hidden="false" customHeight="true" outlineLevel="0" collapsed="false">
      <c r="A109" s="9" t="s">
        <v>1842</v>
      </c>
      <c r="B109" s="9" t="s">
        <v>1843</v>
      </c>
      <c r="C109" s="9" t="s">
        <v>1844</v>
      </c>
      <c r="D109" s="9" t="s">
        <v>866</v>
      </c>
      <c r="E109" s="9" t="s">
        <v>867</v>
      </c>
      <c r="F109" s="9" t="s">
        <v>1845</v>
      </c>
      <c r="G109" s="9" t="s">
        <v>210</v>
      </c>
      <c r="H109" s="9" t="s">
        <v>869</v>
      </c>
      <c r="I109" s="9" t="s">
        <v>1846</v>
      </c>
      <c r="J109" s="9" t="s">
        <v>1847</v>
      </c>
      <c r="K109" s="9" t="s">
        <v>1848</v>
      </c>
      <c r="L109" s="9" t="s">
        <v>1849</v>
      </c>
      <c r="M109" s="9" t="s">
        <v>1850</v>
      </c>
      <c r="N109" s="9" t="s">
        <v>1851</v>
      </c>
      <c r="O109" s="9" t="s">
        <v>876</v>
      </c>
    </row>
    <row r="110" customFormat="false" ht="78" hidden="false" customHeight="true" outlineLevel="0" collapsed="false">
      <c r="A110" s="9" t="s">
        <v>1852</v>
      </c>
      <c r="B110" s="9" t="s">
        <v>1853</v>
      </c>
      <c r="C110" s="9" t="s">
        <v>1854</v>
      </c>
      <c r="D110" s="9" t="s">
        <v>822</v>
      </c>
      <c r="E110" s="9" t="s">
        <v>1005</v>
      </c>
      <c r="F110" s="9" t="s">
        <v>1855</v>
      </c>
      <c r="G110" s="9" t="s">
        <v>120</v>
      </c>
      <c r="H110" s="9" t="s">
        <v>1092</v>
      </c>
      <c r="I110" s="9" t="s">
        <v>1856</v>
      </c>
      <c r="J110" s="9" t="s">
        <v>1857</v>
      </c>
      <c r="K110" s="9" t="s">
        <v>1858</v>
      </c>
      <c r="L110" s="9" t="s">
        <v>1859</v>
      </c>
      <c r="M110" s="9" t="s">
        <v>1860</v>
      </c>
      <c r="N110" s="9" t="s">
        <v>1861</v>
      </c>
      <c r="O110" s="9" t="s">
        <v>876</v>
      </c>
    </row>
    <row r="111" customFormat="false" ht="78" hidden="false" customHeight="true" outlineLevel="0" collapsed="false">
      <c r="A111" s="9" t="s">
        <v>1862</v>
      </c>
      <c r="B111" s="9" t="s">
        <v>1863</v>
      </c>
      <c r="C111" s="9" t="s">
        <v>1864</v>
      </c>
      <c r="D111" s="9" t="s">
        <v>822</v>
      </c>
      <c r="E111" s="9" t="s">
        <v>1005</v>
      </c>
      <c r="F111" s="9" t="s">
        <v>1865</v>
      </c>
      <c r="G111" s="9" t="s">
        <v>76</v>
      </c>
      <c r="H111" s="9" t="s">
        <v>1092</v>
      </c>
      <c r="I111" s="9" t="s">
        <v>1866</v>
      </c>
      <c r="J111" s="9" t="s">
        <v>1867</v>
      </c>
      <c r="K111" s="9" t="s">
        <v>1868</v>
      </c>
      <c r="L111" s="9" t="s">
        <v>1859</v>
      </c>
      <c r="M111" s="9" t="s">
        <v>1869</v>
      </c>
      <c r="N111" s="9" t="s">
        <v>1870</v>
      </c>
      <c r="O111" s="9" t="s">
        <v>876</v>
      </c>
    </row>
    <row r="112" customFormat="false" ht="78" hidden="false" customHeight="true" outlineLevel="0" collapsed="false">
      <c r="A112" s="9" t="s">
        <v>1871</v>
      </c>
      <c r="B112" s="9" t="s">
        <v>1872</v>
      </c>
      <c r="C112" s="9" t="s">
        <v>1873</v>
      </c>
      <c r="D112" s="9" t="s">
        <v>822</v>
      </c>
      <c r="E112" s="9" t="s">
        <v>1005</v>
      </c>
      <c r="F112" s="9" t="s">
        <v>1874</v>
      </c>
      <c r="G112" s="9" t="s">
        <v>94</v>
      </c>
      <c r="H112" s="9" t="s">
        <v>1092</v>
      </c>
      <c r="I112" s="9" t="s">
        <v>1875</v>
      </c>
      <c r="J112" s="9" t="s">
        <v>1876</v>
      </c>
      <c r="K112" s="9" t="s">
        <v>1877</v>
      </c>
      <c r="L112" s="9" t="s">
        <v>1878</v>
      </c>
      <c r="M112" s="9" t="s">
        <v>1879</v>
      </c>
      <c r="N112" s="9" t="s">
        <v>1880</v>
      </c>
      <c r="O112" s="9" t="s">
        <v>876</v>
      </c>
    </row>
    <row r="113" customFormat="false" ht="78" hidden="false" customHeight="true" outlineLevel="0" collapsed="false">
      <c r="A113" s="9" t="s">
        <v>1881</v>
      </c>
      <c r="B113" s="9" t="s">
        <v>1882</v>
      </c>
      <c r="C113" s="9" t="s">
        <v>1883</v>
      </c>
      <c r="D113" s="9" t="s">
        <v>866</v>
      </c>
      <c r="E113" s="9" t="s">
        <v>867</v>
      </c>
      <c r="F113" s="9" t="s">
        <v>1884</v>
      </c>
      <c r="G113" s="9" t="s">
        <v>100</v>
      </c>
      <c r="H113" s="9" t="s">
        <v>1092</v>
      </c>
      <c r="I113" s="9" t="s">
        <v>1885</v>
      </c>
      <c r="J113" s="9" t="s">
        <v>1886</v>
      </c>
      <c r="K113" s="9" t="s">
        <v>1887</v>
      </c>
      <c r="L113" s="9" t="s">
        <v>1888</v>
      </c>
      <c r="M113" s="9" t="s">
        <v>1889</v>
      </c>
      <c r="N113" s="9" t="s">
        <v>1890</v>
      </c>
      <c r="O113" s="9" t="s">
        <v>876</v>
      </c>
    </row>
    <row r="114" customFormat="false" ht="78" hidden="false" customHeight="true" outlineLevel="0" collapsed="false">
      <c r="A114" s="9" t="s">
        <v>1891</v>
      </c>
      <c r="B114" s="9" t="s">
        <v>558</v>
      </c>
      <c r="C114" s="9" t="s">
        <v>1892</v>
      </c>
      <c r="D114" s="9" t="s">
        <v>866</v>
      </c>
      <c r="E114" s="9" t="s">
        <v>867</v>
      </c>
      <c r="F114" s="9" t="s">
        <v>1884</v>
      </c>
      <c r="G114" s="9" t="s">
        <v>196</v>
      </c>
      <c r="H114" s="9" t="s">
        <v>881</v>
      </c>
      <c r="I114" s="9" t="s">
        <v>1893</v>
      </c>
      <c r="J114" s="9" t="s">
        <v>1894</v>
      </c>
      <c r="K114" s="9" t="s">
        <v>1895</v>
      </c>
      <c r="L114" s="9" t="s">
        <v>1896</v>
      </c>
      <c r="M114" s="9" t="s">
        <v>1897</v>
      </c>
      <c r="N114" s="9" t="s">
        <v>1898</v>
      </c>
      <c r="O114" s="9" t="s">
        <v>876</v>
      </c>
    </row>
    <row r="115" customFormat="false" ht="78" hidden="false" customHeight="true" outlineLevel="0" collapsed="false">
      <c r="A115" s="9" t="s">
        <v>1899</v>
      </c>
      <c r="B115" s="9" t="s">
        <v>1900</v>
      </c>
      <c r="C115" s="9" t="s">
        <v>1901</v>
      </c>
      <c r="D115" s="9" t="s">
        <v>866</v>
      </c>
      <c r="E115" s="9" t="s">
        <v>867</v>
      </c>
      <c r="F115" s="9" t="s">
        <v>1902</v>
      </c>
      <c r="G115" s="9" t="s">
        <v>70</v>
      </c>
      <c r="H115" s="9" t="s">
        <v>1092</v>
      </c>
      <c r="I115" s="9" t="s">
        <v>1903</v>
      </c>
      <c r="J115" s="9" t="s">
        <v>1904</v>
      </c>
      <c r="K115" s="9" t="s">
        <v>1905</v>
      </c>
      <c r="L115" s="9" t="s">
        <v>1906</v>
      </c>
      <c r="M115" s="9" t="s">
        <v>1907</v>
      </c>
      <c r="N115" s="9" t="s">
        <v>1908</v>
      </c>
      <c r="O115" s="9" t="s">
        <v>876</v>
      </c>
    </row>
    <row r="116" customFormat="false" ht="78" hidden="false" customHeight="true" outlineLevel="0" collapsed="false">
      <c r="A116" s="9" t="s">
        <v>1909</v>
      </c>
      <c r="B116" s="9" t="s">
        <v>1910</v>
      </c>
      <c r="C116" s="9" t="s">
        <v>1911</v>
      </c>
      <c r="D116" s="9" t="s">
        <v>866</v>
      </c>
      <c r="E116" s="9" t="s">
        <v>867</v>
      </c>
      <c r="F116" s="9" t="s">
        <v>1902</v>
      </c>
      <c r="G116" s="9" t="s">
        <v>63</v>
      </c>
      <c r="H116" s="9" t="s">
        <v>1092</v>
      </c>
      <c r="I116" s="9" t="s">
        <v>1912</v>
      </c>
      <c r="J116" s="9" t="s">
        <v>1913</v>
      </c>
      <c r="K116" s="9" t="s">
        <v>1914</v>
      </c>
      <c r="L116" s="9" t="s">
        <v>1915</v>
      </c>
      <c r="M116" s="9" t="s">
        <v>1916</v>
      </c>
      <c r="N116" s="9" t="s">
        <v>1917</v>
      </c>
      <c r="O116" s="9" t="s">
        <v>876</v>
      </c>
    </row>
    <row r="117" customFormat="false" ht="78" hidden="false" customHeight="true" outlineLevel="0" collapsed="false">
      <c r="A117" s="9" t="s">
        <v>1918</v>
      </c>
      <c r="B117" s="9" t="s">
        <v>1919</v>
      </c>
      <c r="C117" s="9" t="s">
        <v>1920</v>
      </c>
      <c r="D117" s="9" t="s">
        <v>866</v>
      </c>
      <c r="E117" s="9" t="s">
        <v>867</v>
      </c>
      <c r="F117" s="9" t="s">
        <v>1902</v>
      </c>
      <c r="G117" s="9" t="s">
        <v>100</v>
      </c>
      <c r="H117" s="9" t="s">
        <v>1092</v>
      </c>
      <c r="I117" s="9" t="s">
        <v>1921</v>
      </c>
      <c r="J117" s="9" t="s">
        <v>1922</v>
      </c>
      <c r="K117" s="9" t="s">
        <v>1914</v>
      </c>
      <c r="L117" s="9" t="s">
        <v>1923</v>
      </c>
      <c r="M117" s="9" t="s">
        <v>1924</v>
      </c>
      <c r="N117" s="9" t="s">
        <v>1925</v>
      </c>
      <c r="O117" s="9" t="s">
        <v>876</v>
      </c>
    </row>
    <row r="118" customFormat="false" ht="78" hidden="false" customHeight="true" outlineLevel="0" collapsed="false">
      <c r="A118" s="9" t="s">
        <v>1926</v>
      </c>
      <c r="B118" s="9" t="s">
        <v>1927</v>
      </c>
      <c r="C118" s="9" t="s">
        <v>1928</v>
      </c>
      <c r="D118" s="9" t="s">
        <v>866</v>
      </c>
      <c r="E118" s="9" t="s">
        <v>867</v>
      </c>
      <c r="F118" s="9" t="s">
        <v>1902</v>
      </c>
      <c r="G118" s="9" t="s">
        <v>120</v>
      </c>
      <c r="H118" s="9" t="s">
        <v>1092</v>
      </c>
      <c r="I118" s="9" t="s">
        <v>1929</v>
      </c>
      <c r="J118" s="9" t="s">
        <v>1930</v>
      </c>
      <c r="K118" s="9" t="s">
        <v>1914</v>
      </c>
      <c r="L118" s="9" t="s">
        <v>1931</v>
      </c>
      <c r="M118" s="9" t="s">
        <v>1932</v>
      </c>
      <c r="N118" s="9" t="s">
        <v>1933</v>
      </c>
      <c r="O118" s="9" t="s">
        <v>876</v>
      </c>
    </row>
    <row r="119" customFormat="false" ht="78" hidden="false" customHeight="true" outlineLevel="0" collapsed="false">
      <c r="A119" s="9" t="s">
        <v>1934</v>
      </c>
      <c r="B119" s="9" t="s">
        <v>1935</v>
      </c>
      <c r="C119" s="9" t="s">
        <v>1936</v>
      </c>
      <c r="D119" s="9" t="s">
        <v>866</v>
      </c>
      <c r="E119" s="9" t="s">
        <v>867</v>
      </c>
      <c r="F119" s="9" t="s">
        <v>1902</v>
      </c>
      <c r="G119" s="9" t="s">
        <v>210</v>
      </c>
      <c r="H119" s="9" t="s">
        <v>869</v>
      </c>
      <c r="I119" s="9" t="s">
        <v>1937</v>
      </c>
      <c r="J119" s="9" t="s">
        <v>1938</v>
      </c>
      <c r="K119" s="9" t="s">
        <v>1939</v>
      </c>
      <c r="L119" s="9" t="s">
        <v>1940</v>
      </c>
      <c r="M119" s="9" t="s">
        <v>1941</v>
      </c>
      <c r="N119" s="9" t="s">
        <v>1942</v>
      </c>
      <c r="O119" s="9" t="s">
        <v>876</v>
      </c>
    </row>
    <row r="120" customFormat="false" ht="78" hidden="false" customHeight="true" outlineLevel="0" collapsed="false">
      <c r="A120" s="9" t="s">
        <v>1943</v>
      </c>
      <c r="B120" s="9" t="s">
        <v>1944</v>
      </c>
      <c r="C120" s="9" t="s">
        <v>1945</v>
      </c>
      <c r="D120" s="9" t="s">
        <v>866</v>
      </c>
      <c r="E120" s="9" t="s">
        <v>867</v>
      </c>
      <c r="F120" s="9" t="s">
        <v>1902</v>
      </c>
      <c r="G120" s="9" t="s">
        <v>127</v>
      </c>
      <c r="H120" s="9" t="s">
        <v>1092</v>
      </c>
      <c r="I120" s="9" t="s">
        <v>1946</v>
      </c>
      <c r="J120" s="9" t="s">
        <v>1947</v>
      </c>
      <c r="K120" s="9" t="s">
        <v>1948</v>
      </c>
      <c r="L120" s="9" t="s">
        <v>1949</v>
      </c>
      <c r="M120" s="9" t="s">
        <v>1950</v>
      </c>
      <c r="N120" s="9" t="s">
        <v>1951</v>
      </c>
      <c r="O120" s="9" t="s">
        <v>876</v>
      </c>
    </row>
    <row r="121" customFormat="false" ht="78" hidden="false" customHeight="true" outlineLevel="0" collapsed="false">
      <c r="A121" s="9" t="s">
        <v>1952</v>
      </c>
      <c r="B121" s="9" t="s">
        <v>1953</v>
      </c>
      <c r="C121" s="9" t="s">
        <v>1954</v>
      </c>
      <c r="D121" s="9" t="s">
        <v>866</v>
      </c>
      <c r="E121" s="9" t="s">
        <v>867</v>
      </c>
      <c r="F121" s="9" t="s">
        <v>1902</v>
      </c>
      <c r="G121" s="9" t="s">
        <v>63</v>
      </c>
      <c r="H121" s="9" t="s">
        <v>1092</v>
      </c>
      <c r="I121" s="9" t="s">
        <v>1955</v>
      </c>
      <c r="J121" s="9" t="s">
        <v>1955</v>
      </c>
      <c r="K121" s="9" t="s">
        <v>1914</v>
      </c>
      <c r="L121" s="9" t="s">
        <v>1956</v>
      </c>
      <c r="M121" s="9" t="s">
        <v>1957</v>
      </c>
      <c r="N121" s="9" t="s">
        <v>1958</v>
      </c>
      <c r="O121" s="9" t="s">
        <v>876</v>
      </c>
    </row>
    <row r="122" customFormat="false" ht="78" hidden="false" customHeight="true" outlineLevel="0" collapsed="false">
      <c r="A122" s="9" t="s">
        <v>1959</v>
      </c>
      <c r="B122" s="9" t="s">
        <v>1960</v>
      </c>
      <c r="C122" s="9" t="s">
        <v>1961</v>
      </c>
      <c r="D122" s="9" t="s">
        <v>866</v>
      </c>
      <c r="E122" s="9" t="s">
        <v>867</v>
      </c>
      <c r="F122" s="9" t="s">
        <v>1902</v>
      </c>
      <c r="G122" s="9" t="s">
        <v>94</v>
      </c>
      <c r="H122" s="9" t="s">
        <v>1092</v>
      </c>
      <c r="I122" s="9" t="s">
        <v>1962</v>
      </c>
      <c r="J122" s="9" t="s">
        <v>1963</v>
      </c>
      <c r="K122" s="9" t="s">
        <v>1914</v>
      </c>
      <c r="L122" s="9" t="s">
        <v>1964</v>
      </c>
      <c r="M122" s="9" t="s">
        <v>1965</v>
      </c>
      <c r="N122" s="9" t="s">
        <v>1966</v>
      </c>
      <c r="O122" s="9" t="s">
        <v>876</v>
      </c>
    </row>
    <row r="123" customFormat="false" ht="78" hidden="false" customHeight="true" outlineLevel="0" collapsed="false">
      <c r="A123" s="9" t="s">
        <v>1967</v>
      </c>
      <c r="B123" s="9" t="s">
        <v>1968</v>
      </c>
      <c r="C123" s="9" t="s">
        <v>1969</v>
      </c>
      <c r="D123" s="9" t="s">
        <v>866</v>
      </c>
      <c r="E123" s="9" t="s">
        <v>867</v>
      </c>
      <c r="F123" s="9" t="s">
        <v>1902</v>
      </c>
      <c r="G123" s="9" t="s">
        <v>100</v>
      </c>
      <c r="H123" s="9" t="s">
        <v>1092</v>
      </c>
      <c r="I123" s="9" t="s">
        <v>1970</v>
      </c>
      <c r="J123" s="9" t="s">
        <v>1971</v>
      </c>
      <c r="K123" s="9" t="s">
        <v>1914</v>
      </c>
      <c r="L123" s="9" t="s">
        <v>1972</v>
      </c>
      <c r="M123" s="9" t="s">
        <v>1973</v>
      </c>
      <c r="N123" s="9" t="s">
        <v>1974</v>
      </c>
      <c r="O123" s="9" t="s">
        <v>876</v>
      </c>
    </row>
    <row r="124" customFormat="false" ht="78" hidden="false" customHeight="true" outlineLevel="0" collapsed="false">
      <c r="A124" s="9" t="s">
        <v>1975</v>
      </c>
      <c r="B124" s="9" t="s">
        <v>1976</v>
      </c>
      <c r="C124" s="9" t="s">
        <v>1977</v>
      </c>
      <c r="D124" s="9" t="s">
        <v>866</v>
      </c>
      <c r="E124" s="9" t="s">
        <v>867</v>
      </c>
      <c r="F124" s="9" t="s">
        <v>1902</v>
      </c>
      <c r="G124" s="9" t="s">
        <v>120</v>
      </c>
      <c r="H124" s="9" t="s">
        <v>1092</v>
      </c>
      <c r="I124" s="9" t="s">
        <v>1978</v>
      </c>
      <c r="J124" s="9" t="s">
        <v>1979</v>
      </c>
      <c r="K124" s="9" t="s">
        <v>1980</v>
      </c>
      <c r="L124" s="9" t="s">
        <v>1981</v>
      </c>
      <c r="M124" s="9" t="s">
        <v>1982</v>
      </c>
      <c r="N124" s="9" t="s">
        <v>1983</v>
      </c>
      <c r="O124" s="9" t="s">
        <v>876</v>
      </c>
    </row>
    <row r="125" customFormat="false" ht="78" hidden="false" customHeight="true" outlineLevel="0" collapsed="false">
      <c r="A125" s="9" t="s">
        <v>1984</v>
      </c>
      <c r="B125" s="9" t="s">
        <v>1985</v>
      </c>
      <c r="C125" s="9" t="s">
        <v>1986</v>
      </c>
      <c r="D125" s="9" t="s">
        <v>866</v>
      </c>
      <c r="E125" s="9" t="s">
        <v>867</v>
      </c>
      <c r="F125" s="9" t="s">
        <v>1902</v>
      </c>
      <c r="G125" s="9" t="s">
        <v>63</v>
      </c>
      <c r="H125" s="9" t="s">
        <v>1092</v>
      </c>
      <c r="I125" s="9" t="s">
        <v>1987</v>
      </c>
      <c r="J125" s="9" t="s">
        <v>1988</v>
      </c>
      <c r="K125" s="9" t="s">
        <v>1989</v>
      </c>
      <c r="L125" s="9" t="s">
        <v>1990</v>
      </c>
      <c r="M125" s="9" t="s">
        <v>1991</v>
      </c>
      <c r="N125" s="9" t="s">
        <v>1992</v>
      </c>
      <c r="O125" s="9" t="s">
        <v>876</v>
      </c>
    </row>
    <row r="126" customFormat="false" ht="78" hidden="false" customHeight="true" outlineLevel="0" collapsed="false">
      <c r="A126" s="9" t="s">
        <v>1993</v>
      </c>
      <c r="B126" s="9" t="s">
        <v>1994</v>
      </c>
      <c r="C126" s="9" t="s">
        <v>1995</v>
      </c>
      <c r="D126" s="9" t="s">
        <v>866</v>
      </c>
      <c r="E126" s="9" t="s">
        <v>867</v>
      </c>
      <c r="F126" s="9" t="s">
        <v>1902</v>
      </c>
      <c r="G126" s="9" t="s">
        <v>63</v>
      </c>
      <c r="H126" s="9" t="s">
        <v>1092</v>
      </c>
      <c r="I126" s="9" t="s">
        <v>1996</v>
      </c>
      <c r="J126" s="9" t="s">
        <v>1997</v>
      </c>
      <c r="K126" s="9" t="s">
        <v>1998</v>
      </c>
      <c r="L126" s="9" t="s">
        <v>1999</v>
      </c>
      <c r="M126" s="9" t="s">
        <v>2000</v>
      </c>
      <c r="N126" s="9" t="s">
        <v>2001</v>
      </c>
      <c r="O126" s="9" t="s">
        <v>876</v>
      </c>
    </row>
    <row r="127" customFormat="false" ht="78" hidden="false" customHeight="true" outlineLevel="0" collapsed="false">
      <c r="A127" s="9" t="s">
        <v>2002</v>
      </c>
      <c r="B127" s="9" t="s">
        <v>2003</v>
      </c>
      <c r="C127" s="9" t="s">
        <v>2004</v>
      </c>
      <c r="D127" s="9" t="s">
        <v>866</v>
      </c>
      <c r="E127" s="9" t="s">
        <v>867</v>
      </c>
      <c r="F127" s="9" t="s">
        <v>1902</v>
      </c>
      <c r="G127" s="9" t="s">
        <v>70</v>
      </c>
      <c r="H127" s="9" t="s">
        <v>1092</v>
      </c>
      <c r="I127" s="9" t="s">
        <v>2005</v>
      </c>
      <c r="J127" s="9" t="s">
        <v>2006</v>
      </c>
      <c r="K127" s="9" t="s">
        <v>1914</v>
      </c>
      <c r="L127" s="9" t="s">
        <v>2007</v>
      </c>
      <c r="M127" s="9" t="s">
        <v>2008</v>
      </c>
      <c r="N127" s="9" t="s">
        <v>2009</v>
      </c>
      <c r="O127" s="9" t="s">
        <v>876</v>
      </c>
    </row>
    <row r="128" customFormat="false" ht="78" hidden="false" customHeight="true" outlineLevel="0" collapsed="false">
      <c r="A128" s="9" t="s">
        <v>2010</v>
      </c>
      <c r="B128" s="9" t="s">
        <v>2011</v>
      </c>
      <c r="C128" s="9" t="s">
        <v>2012</v>
      </c>
      <c r="D128" s="9" t="s">
        <v>866</v>
      </c>
      <c r="E128" s="9" t="s">
        <v>867</v>
      </c>
      <c r="F128" s="9" t="s">
        <v>1902</v>
      </c>
      <c r="G128" s="9" t="s">
        <v>94</v>
      </c>
      <c r="H128" s="9" t="s">
        <v>1092</v>
      </c>
      <c r="I128" s="9" t="s">
        <v>2013</v>
      </c>
      <c r="J128" s="9" t="s">
        <v>2014</v>
      </c>
      <c r="K128" s="9" t="s">
        <v>1914</v>
      </c>
      <c r="L128" s="9" t="s">
        <v>2015</v>
      </c>
      <c r="M128" s="9" t="s">
        <v>2016</v>
      </c>
      <c r="N128" s="9" t="s">
        <v>2017</v>
      </c>
      <c r="O128" s="9" t="s">
        <v>876</v>
      </c>
    </row>
    <row r="129" customFormat="false" ht="78" hidden="false" customHeight="true" outlineLevel="0" collapsed="false">
      <c r="A129" s="9" t="s">
        <v>2018</v>
      </c>
      <c r="B129" s="9" t="s">
        <v>2019</v>
      </c>
      <c r="C129" s="9" t="s">
        <v>2020</v>
      </c>
      <c r="D129" s="9" t="s">
        <v>866</v>
      </c>
      <c r="E129" s="9" t="s">
        <v>867</v>
      </c>
      <c r="F129" s="9" t="s">
        <v>1902</v>
      </c>
      <c r="G129" s="9" t="s">
        <v>94</v>
      </c>
      <c r="H129" s="9" t="s">
        <v>1092</v>
      </c>
      <c r="I129" s="9" t="s">
        <v>2021</v>
      </c>
      <c r="J129" s="9" t="s">
        <v>2022</v>
      </c>
      <c r="K129" s="9" t="s">
        <v>2023</v>
      </c>
      <c r="L129" s="9" t="s">
        <v>2024</v>
      </c>
      <c r="M129" s="9" t="s">
        <v>2025</v>
      </c>
      <c r="N129" s="9" t="s">
        <v>2026</v>
      </c>
      <c r="O129" s="9" t="s">
        <v>876</v>
      </c>
    </row>
    <row r="130" customFormat="false" ht="78" hidden="false" customHeight="true" outlineLevel="0" collapsed="false">
      <c r="A130" s="9" t="s">
        <v>2027</v>
      </c>
      <c r="B130" s="9" t="s">
        <v>2028</v>
      </c>
      <c r="C130" s="9" t="s">
        <v>2029</v>
      </c>
      <c r="D130" s="9" t="s">
        <v>866</v>
      </c>
      <c r="E130" s="9" t="s">
        <v>867</v>
      </c>
      <c r="F130" s="9" t="s">
        <v>1902</v>
      </c>
      <c r="G130" s="9" t="s">
        <v>120</v>
      </c>
      <c r="H130" s="9" t="s">
        <v>1092</v>
      </c>
      <c r="I130" s="9" t="s">
        <v>2030</v>
      </c>
      <c r="J130" s="9" t="s">
        <v>2031</v>
      </c>
      <c r="K130" s="9" t="s">
        <v>1914</v>
      </c>
      <c r="L130" s="9" t="s">
        <v>2032</v>
      </c>
      <c r="M130" s="9" t="s">
        <v>2033</v>
      </c>
      <c r="N130" s="9" t="s">
        <v>2034</v>
      </c>
      <c r="O130" s="9" t="s">
        <v>876</v>
      </c>
    </row>
    <row r="131" customFormat="false" ht="78" hidden="false" customHeight="true" outlineLevel="0" collapsed="false">
      <c r="A131" s="9" t="s">
        <v>2035</v>
      </c>
      <c r="B131" s="9" t="s">
        <v>2036</v>
      </c>
      <c r="C131" s="9" t="s">
        <v>2037</v>
      </c>
      <c r="D131" s="9" t="s">
        <v>866</v>
      </c>
      <c r="E131" s="9" t="s">
        <v>867</v>
      </c>
      <c r="F131" s="9" t="s">
        <v>1902</v>
      </c>
      <c r="G131" s="9" t="s">
        <v>145</v>
      </c>
      <c r="H131" s="9" t="s">
        <v>1092</v>
      </c>
      <c r="I131" s="9" t="s">
        <v>2038</v>
      </c>
      <c r="J131" s="9" t="s">
        <v>2039</v>
      </c>
      <c r="K131" s="9" t="s">
        <v>2040</v>
      </c>
      <c r="L131" s="9" t="s">
        <v>2041</v>
      </c>
      <c r="M131" s="9" t="s">
        <v>2042</v>
      </c>
      <c r="N131" s="9" t="s">
        <v>2043</v>
      </c>
      <c r="O131" s="9" t="s">
        <v>876</v>
      </c>
    </row>
    <row r="132" customFormat="false" ht="78" hidden="false" customHeight="true" outlineLevel="0" collapsed="false">
      <c r="A132" s="9" t="s">
        <v>2044</v>
      </c>
      <c r="B132" s="9" t="s">
        <v>2045</v>
      </c>
      <c r="C132" s="9" t="s">
        <v>2046</v>
      </c>
      <c r="D132" s="9" t="s">
        <v>866</v>
      </c>
      <c r="E132" s="9" t="s">
        <v>867</v>
      </c>
      <c r="F132" s="9" t="s">
        <v>1902</v>
      </c>
      <c r="G132" s="9" t="s">
        <v>63</v>
      </c>
      <c r="H132" s="9" t="s">
        <v>1092</v>
      </c>
      <c r="I132" s="9" t="s">
        <v>2047</v>
      </c>
      <c r="J132" s="9" t="s">
        <v>2048</v>
      </c>
      <c r="K132" s="9" t="s">
        <v>1998</v>
      </c>
      <c r="L132" s="9" t="s">
        <v>2049</v>
      </c>
      <c r="M132" s="9" t="s">
        <v>2050</v>
      </c>
      <c r="N132" s="9" t="s">
        <v>2051</v>
      </c>
      <c r="O132" s="9" t="s">
        <v>876</v>
      </c>
    </row>
    <row r="133" customFormat="false" ht="78" hidden="false" customHeight="true" outlineLevel="0" collapsed="false">
      <c r="A133" s="9" t="s">
        <v>2052</v>
      </c>
      <c r="B133" s="9" t="s">
        <v>2053</v>
      </c>
      <c r="C133" s="9" t="s">
        <v>2054</v>
      </c>
      <c r="D133" s="9" t="s">
        <v>866</v>
      </c>
      <c r="E133" s="9" t="s">
        <v>867</v>
      </c>
      <c r="F133" s="9" t="s">
        <v>1902</v>
      </c>
      <c r="G133" s="9" t="s">
        <v>70</v>
      </c>
      <c r="H133" s="9" t="s">
        <v>1092</v>
      </c>
      <c r="I133" s="9" t="s">
        <v>2055</v>
      </c>
      <c r="J133" s="9" t="s">
        <v>2056</v>
      </c>
      <c r="K133" s="9" t="s">
        <v>1914</v>
      </c>
      <c r="L133" s="9" t="s">
        <v>2057</v>
      </c>
      <c r="M133" s="9" t="s">
        <v>2058</v>
      </c>
      <c r="N133" s="9" t="s">
        <v>2059</v>
      </c>
      <c r="O133" s="9" t="s">
        <v>876</v>
      </c>
    </row>
    <row r="134" customFormat="false" ht="78" hidden="false" customHeight="true" outlineLevel="0" collapsed="false">
      <c r="A134" s="9" t="s">
        <v>2060</v>
      </c>
      <c r="B134" s="9" t="s">
        <v>2061</v>
      </c>
      <c r="C134" s="9" t="s">
        <v>2062</v>
      </c>
      <c r="D134" s="9" t="s">
        <v>866</v>
      </c>
      <c r="E134" s="9" t="s">
        <v>867</v>
      </c>
      <c r="F134" s="9" t="s">
        <v>1902</v>
      </c>
      <c r="G134" s="9" t="s">
        <v>157</v>
      </c>
      <c r="H134" s="9" t="s">
        <v>1092</v>
      </c>
      <c r="I134" s="9" t="s">
        <v>2063</v>
      </c>
      <c r="J134" s="9" t="s">
        <v>2064</v>
      </c>
      <c r="K134" s="9" t="s">
        <v>2065</v>
      </c>
      <c r="L134" s="9" t="s">
        <v>2066</v>
      </c>
      <c r="M134" s="9" t="s">
        <v>2067</v>
      </c>
      <c r="N134" s="9" t="s">
        <v>2068</v>
      </c>
      <c r="O134" s="9" t="s">
        <v>876</v>
      </c>
    </row>
    <row r="135" customFormat="false" ht="78" hidden="false" customHeight="true" outlineLevel="0" collapsed="false">
      <c r="A135" s="9" t="s">
        <v>2069</v>
      </c>
      <c r="B135" s="9" t="s">
        <v>2070</v>
      </c>
      <c r="C135" s="9" t="s">
        <v>2071</v>
      </c>
      <c r="D135" s="9" t="s">
        <v>866</v>
      </c>
      <c r="E135" s="9" t="s">
        <v>867</v>
      </c>
      <c r="F135" s="9" t="s">
        <v>1902</v>
      </c>
      <c r="G135" s="9" t="s">
        <v>63</v>
      </c>
      <c r="H135" s="9" t="s">
        <v>1092</v>
      </c>
      <c r="I135" s="9" t="s">
        <v>2072</v>
      </c>
      <c r="J135" s="9" t="s">
        <v>2073</v>
      </c>
      <c r="K135" s="9" t="s">
        <v>1914</v>
      </c>
      <c r="L135" s="9" t="s">
        <v>2074</v>
      </c>
      <c r="M135" s="9" t="s">
        <v>2075</v>
      </c>
      <c r="N135" s="9" t="s">
        <v>2076</v>
      </c>
      <c r="O135" s="9" t="s">
        <v>876</v>
      </c>
    </row>
    <row r="136" customFormat="false" ht="78" hidden="false" customHeight="true" outlineLevel="0" collapsed="false">
      <c r="A136" s="9" t="s">
        <v>2077</v>
      </c>
      <c r="B136" s="9" t="s">
        <v>2078</v>
      </c>
      <c r="C136" s="9" t="s">
        <v>2079</v>
      </c>
      <c r="D136" s="9" t="s">
        <v>866</v>
      </c>
      <c r="E136" s="9" t="s">
        <v>867</v>
      </c>
      <c r="F136" s="9" t="s">
        <v>1902</v>
      </c>
      <c r="G136" s="9" t="s">
        <v>120</v>
      </c>
      <c r="H136" s="9" t="s">
        <v>1092</v>
      </c>
      <c r="I136" s="9" t="s">
        <v>2080</v>
      </c>
      <c r="J136" s="9" t="s">
        <v>2081</v>
      </c>
      <c r="K136" s="9" t="s">
        <v>1914</v>
      </c>
      <c r="L136" s="9" t="s">
        <v>2082</v>
      </c>
      <c r="M136" s="9" t="s">
        <v>2083</v>
      </c>
      <c r="N136" s="9" t="s">
        <v>2084</v>
      </c>
      <c r="O136" s="9" t="s">
        <v>876</v>
      </c>
    </row>
    <row r="137" customFormat="false" ht="78" hidden="false" customHeight="true" outlineLevel="0" collapsed="false">
      <c r="A137" s="9" t="s">
        <v>2085</v>
      </c>
      <c r="B137" s="9" t="s">
        <v>2086</v>
      </c>
      <c r="C137" s="9" t="s">
        <v>2087</v>
      </c>
      <c r="D137" s="9" t="s">
        <v>866</v>
      </c>
      <c r="E137" s="9" t="s">
        <v>867</v>
      </c>
      <c r="F137" s="9" t="s">
        <v>2088</v>
      </c>
      <c r="G137" s="9" t="s">
        <v>63</v>
      </c>
      <c r="H137" s="9" t="s">
        <v>1092</v>
      </c>
      <c r="I137" s="9" t="s">
        <v>2089</v>
      </c>
      <c r="J137" s="9" t="s">
        <v>2090</v>
      </c>
      <c r="K137" s="9" t="s">
        <v>2091</v>
      </c>
      <c r="L137" s="9" t="s">
        <v>2092</v>
      </c>
      <c r="M137" s="9" t="s">
        <v>2093</v>
      </c>
      <c r="N137" s="9" t="s">
        <v>2094</v>
      </c>
      <c r="O137" s="9" t="s">
        <v>876</v>
      </c>
    </row>
    <row r="138" customFormat="false" ht="78" hidden="false" customHeight="true" outlineLevel="0" collapsed="false">
      <c r="A138" s="9" t="s">
        <v>2095</v>
      </c>
      <c r="B138" s="9" t="s">
        <v>2096</v>
      </c>
      <c r="C138" s="9" t="s">
        <v>2097</v>
      </c>
      <c r="D138" s="9" t="s">
        <v>866</v>
      </c>
      <c r="E138" s="9" t="s">
        <v>867</v>
      </c>
      <c r="F138" s="9" t="s">
        <v>2088</v>
      </c>
      <c r="G138" s="9" t="s">
        <v>100</v>
      </c>
      <c r="H138" s="9" t="s">
        <v>1092</v>
      </c>
      <c r="I138" s="9" t="s">
        <v>2098</v>
      </c>
      <c r="J138" s="9" t="s">
        <v>2099</v>
      </c>
      <c r="K138" s="9" t="s">
        <v>1914</v>
      </c>
      <c r="L138" s="9" t="s">
        <v>2100</v>
      </c>
      <c r="M138" s="9" t="s">
        <v>2101</v>
      </c>
      <c r="N138" s="9" t="s">
        <v>2102</v>
      </c>
      <c r="O138" s="9" t="s">
        <v>876</v>
      </c>
    </row>
    <row r="139" customFormat="false" ht="78" hidden="false" customHeight="true" outlineLevel="0" collapsed="false">
      <c r="A139" s="9" t="s">
        <v>2103</v>
      </c>
      <c r="B139" s="9" t="s">
        <v>2104</v>
      </c>
      <c r="C139" s="9" t="s">
        <v>2105</v>
      </c>
      <c r="D139" s="9" t="s">
        <v>866</v>
      </c>
      <c r="E139" s="9" t="s">
        <v>867</v>
      </c>
      <c r="F139" s="9" t="s">
        <v>2088</v>
      </c>
      <c r="G139" s="9" t="s">
        <v>120</v>
      </c>
      <c r="H139" s="9" t="s">
        <v>1092</v>
      </c>
      <c r="I139" s="9" t="s">
        <v>2106</v>
      </c>
      <c r="J139" s="9" t="s">
        <v>2107</v>
      </c>
      <c r="K139" s="9" t="s">
        <v>1914</v>
      </c>
      <c r="L139" s="9" t="s">
        <v>2108</v>
      </c>
      <c r="M139" s="9" t="s">
        <v>2109</v>
      </c>
      <c r="N139" s="9" t="s">
        <v>2110</v>
      </c>
      <c r="O139" s="9" t="s">
        <v>876</v>
      </c>
    </row>
    <row r="140" customFormat="false" ht="78" hidden="false" customHeight="true" outlineLevel="0" collapsed="false">
      <c r="A140" s="9" t="s">
        <v>2111</v>
      </c>
      <c r="B140" s="9" t="s">
        <v>2112</v>
      </c>
      <c r="C140" s="9" t="s">
        <v>2113</v>
      </c>
      <c r="D140" s="9" t="s">
        <v>866</v>
      </c>
      <c r="E140" s="9" t="s">
        <v>867</v>
      </c>
      <c r="F140" s="9" t="s">
        <v>2088</v>
      </c>
      <c r="G140" s="9" t="s">
        <v>94</v>
      </c>
      <c r="H140" s="9" t="s">
        <v>1092</v>
      </c>
      <c r="I140" s="9" t="s">
        <v>2114</v>
      </c>
      <c r="J140" s="9" t="s">
        <v>2114</v>
      </c>
      <c r="K140" s="9" t="s">
        <v>1914</v>
      </c>
      <c r="L140" s="9" t="s">
        <v>2115</v>
      </c>
      <c r="M140" s="9" t="s">
        <v>2116</v>
      </c>
      <c r="N140" s="9" t="s">
        <v>2117</v>
      </c>
      <c r="O140" s="9" t="s">
        <v>876</v>
      </c>
    </row>
    <row r="141" customFormat="false" ht="78" hidden="false" customHeight="true" outlineLevel="0" collapsed="false">
      <c r="A141" s="9" t="s">
        <v>2118</v>
      </c>
      <c r="B141" s="9" t="s">
        <v>2119</v>
      </c>
      <c r="C141" s="9" t="s">
        <v>2120</v>
      </c>
      <c r="D141" s="9" t="s">
        <v>866</v>
      </c>
      <c r="E141" s="9" t="s">
        <v>867</v>
      </c>
      <c r="F141" s="9" t="s">
        <v>2088</v>
      </c>
      <c r="G141" s="9" t="s">
        <v>63</v>
      </c>
      <c r="H141" s="9" t="s">
        <v>1092</v>
      </c>
      <c r="I141" s="9" t="s">
        <v>2121</v>
      </c>
      <c r="J141" s="9" t="s">
        <v>2122</v>
      </c>
      <c r="K141" s="9" t="s">
        <v>2123</v>
      </c>
      <c r="L141" s="9" t="s">
        <v>2124</v>
      </c>
      <c r="M141" s="9" t="s">
        <v>2125</v>
      </c>
      <c r="N141" s="9" t="s">
        <v>2126</v>
      </c>
      <c r="O141" s="9" t="s">
        <v>876</v>
      </c>
    </row>
    <row r="142" customFormat="false" ht="78" hidden="false" customHeight="true" outlineLevel="0" collapsed="false">
      <c r="A142" s="9" t="s">
        <v>2127</v>
      </c>
      <c r="B142" s="9" t="s">
        <v>2128</v>
      </c>
      <c r="C142" s="9" t="s">
        <v>2129</v>
      </c>
      <c r="D142" s="9" t="s">
        <v>866</v>
      </c>
      <c r="E142" s="9" t="s">
        <v>867</v>
      </c>
      <c r="F142" s="9" t="s">
        <v>2088</v>
      </c>
      <c r="G142" s="9" t="s">
        <v>120</v>
      </c>
      <c r="H142" s="9" t="s">
        <v>1092</v>
      </c>
      <c r="I142" s="9" t="s">
        <v>2130</v>
      </c>
      <c r="J142" s="9" t="s">
        <v>2131</v>
      </c>
      <c r="K142" s="9" t="s">
        <v>2132</v>
      </c>
      <c r="L142" s="9" t="s">
        <v>2133</v>
      </c>
      <c r="M142" s="9" t="s">
        <v>2134</v>
      </c>
      <c r="N142" s="9" t="s">
        <v>2135</v>
      </c>
      <c r="O142" s="9" t="s">
        <v>876</v>
      </c>
    </row>
    <row r="143" customFormat="false" ht="78" hidden="false" customHeight="true" outlineLevel="0" collapsed="false">
      <c r="A143" s="9" t="s">
        <v>2136</v>
      </c>
      <c r="B143" s="9" t="s">
        <v>2137</v>
      </c>
      <c r="C143" s="9" t="s">
        <v>2138</v>
      </c>
      <c r="D143" s="9" t="s">
        <v>866</v>
      </c>
      <c r="E143" s="9" t="s">
        <v>867</v>
      </c>
      <c r="F143" s="9" t="s">
        <v>2088</v>
      </c>
      <c r="G143" s="9" t="s">
        <v>63</v>
      </c>
      <c r="H143" s="9" t="s">
        <v>1092</v>
      </c>
      <c r="I143" s="9" t="s">
        <v>2139</v>
      </c>
      <c r="J143" s="9" t="s">
        <v>2139</v>
      </c>
      <c r="K143" s="9" t="s">
        <v>1914</v>
      </c>
      <c r="L143" s="9" t="s">
        <v>2140</v>
      </c>
      <c r="M143" s="9" t="s">
        <v>2141</v>
      </c>
      <c r="N143" s="9" t="s">
        <v>2142</v>
      </c>
      <c r="O143" s="9" t="s">
        <v>876</v>
      </c>
    </row>
    <row r="144" customFormat="false" ht="78" hidden="false" customHeight="true" outlineLevel="0" collapsed="false">
      <c r="A144" s="9" t="s">
        <v>2143</v>
      </c>
      <c r="B144" s="9" t="s">
        <v>2144</v>
      </c>
      <c r="C144" s="9" t="s">
        <v>2145</v>
      </c>
      <c r="D144" s="9" t="s">
        <v>866</v>
      </c>
      <c r="E144" s="9" t="s">
        <v>867</v>
      </c>
      <c r="F144" s="9" t="s">
        <v>2088</v>
      </c>
      <c r="G144" s="9" t="s">
        <v>176</v>
      </c>
      <c r="H144" s="9" t="s">
        <v>1092</v>
      </c>
      <c r="I144" s="9" t="s">
        <v>2146</v>
      </c>
      <c r="J144" s="9" t="s">
        <v>2147</v>
      </c>
      <c r="K144" s="9" t="s">
        <v>2148</v>
      </c>
      <c r="L144" s="9" t="s">
        <v>2149</v>
      </c>
      <c r="M144" s="9" t="s">
        <v>2150</v>
      </c>
      <c r="N144" s="9" t="s">
        <v>2151</v>
      </c>
      <c r="O144" s="9" t="s">
        <v>876</v>
      </c>
    </row>
    <row r="145" customFormat="false" ht="78" hidden="false" customHeight="true" outlineLevel="0" collapsed="false">
      <c r="A145" s="9" t="s">
        <v>2152</v>
      </c>
      <c r="B145" s="9" t="s">
        <v>2153</v>
      </c>
      <c r="C145" s="9" t="s">
        <v>2154</v>
      </c>
      <c r="D145" s="9" t="s">
        <v>866</v>
      </c>
      <c r="E145" s="9" t="s">
        <v>867</v>
      </c>
      <c r="F145" s="9" t="s">
        <v>2088</v>
      </c>
      <c r="G145" s="9" t="s">
        <v>176</v>
      </c>
      <c r="H145" s="9" t="s">
        <v>1092</v>
      </c>
      <c r="I145" s="9" t="s">
        <v>2155</v>
      </c>
      <c r="J145" s="9" t="s">
        <v>2156</v>
      </c>
      <c r="K145" s="9" t="s">
        <v>1914</v>
      </c>
      <c r="L145" s="9" t="s">
        <v>2157</v>
      </c>
      <c r="M145" s="9" t="s">
        <v>2158</v>
      </c>
      <c r="N145" s="9" t="s">
        <v>2159</v>
      </c>
      <c r="O145" s="9" t="s">
        <v>876</v>
      </c>
    </row>
    <row r="146" customFormat="false" ht="78" hidden="false" customHeight="true" outlineLevel="0" collapsed="false">
      <c r="A146" s="9" t="s">
        <v>2160</v>
      </c>
      <c r="B146" s="9" t="s">
        <v>2161</v>
      </c>
      <c r="C146" s="9" t="s">
        <v>2162</v>
      </c>
      <c r="D146" s="9" t="s">
        <v>866</v>
      </c>
      <c r="E146" s="9" t="s">
        <v>867</v>
      </c>
      <c r="F146" s="9" t="s">
        <v>2088</v>
      </c>
      <c r="G146" s="9" t="s">
        <v>120</v>
      </c>
      <c r="H146" s="9" t="s">
        <v>1092</v>
      </c>
      <c r="I146" s="9" t="s">
        <v>2163</v>
      </c>
      <c r="J146" s="9" t="s">
        <v>2164</v>
      </c>
      <c r="K146" s="9" t="s">
        <v>1998</v>
      </c>
      <c r="L146" s="9" t="s">
        <v>2165</v>
      </c>
      <c r="M146" s="9" t="s">
        <v>2166</v>
      </c>
      <c r="N146" s="9" t="s">
        <v>2167</v>
      </c>
      <c r="O146" s="9" t="s">
        <v>876</v>
      </c>
    </row>
    <row r="147" customFormat="false" ht="78" hidden="false" customHeight="true" outlineLevel="0" collapsed="false">
      <c r="A147" s="9" t="s">
        <v>2168</v>
      </c>
      <c r="B147" s="9" t="s">
        <v>2169</v>
      </c>
      <c r="C147" s="9" t="s">
        <v>2170</v>
      </c>
      <c r="D147" s="9" t="s">
        <v>866</v>
      </c>
      <c r="E147" s="9" t="s">
        <v>867</v>
      </c>
      <c r="F147" s="9" t="s">
        <v>2088</v>
      </c>
      <c r="G147" s="9" t="s">
        <v>63</v>
      </c>
      <c r="H147" s="9" t="s">
        <v>1092</v>
      </c>
      <c r="I147" s="9" t="s">
        <v>2171</v>
      </c>
      <c r="J147" s="9" t="s">
        <v>2172</v>
      </c>
      <c r="K147" s="9" t="s">
        <v>2173</v>
      </c>
      <c r="L147" s="9" t="s">
        <v>2174</v>
      </c>
      <c r="M147" s="9" t="s">
        <v>2175</v>
      </c>
      <c r="N147" s="9" t="s">
        <v>2176</v>
      </c>
      <c r="O147" s="9" t="s">
        <v>876</v>
      </c>
    </row>
    <row r="148" customFormat="false" ht="78" hidden="false" customHeight="true" outlineLevel="0" collapsed="false">
      <c r="A148" s="9" t="s">
        <v>2177</v>
      </c>
      <c r="B148" s="9" t="s">
        <v>2178</v>
      </c>
      <c r="C148" s="9" t="s">
        <v>2179</v>
      </c>
      <c r="D148" s="9" t="s">
        <v>866</v>
      </c>
      <c r="E148" s="9" t="s">
        <v>867</v>
      </c>
      <c r="F148" s="9" t="s">
        <v>2088</v>
      </c>
      <c r="G148" s="9" t="s">
        <v>176</v>
      </c>
      <c r="H148" s="9" t="s">
        <v>1092</v>
      </c>
      <c r="I148" s="9" t="s">
        <v>2180</v>
      </c>
      <c r="J148" s="9" t="s">
        <v>2181</v>
      </c>
      <c r="K148" s="9" t="s">
        <v>1914</v>
      </c>
      <c r="L148" s="9" t="s">
        <v>2182</v>
      </c>
      <c r="M148" s="9" t="s">
        <v>2183</v>
      </c>
      <c r="N148" s="9" t="s">
        <v>2184</v>
      </c>
      <c r="O148" s="9" t="s">
        <v>876</v>
      </c>
    </row>
    <row r="149" customFormat="false" ht="78" hidden="false" customHeight="true" outlineLevel="0" collapsed="false">
      <c r="A149" s="9" t="s">
        <v>2185</v>
      </c>
      <c r="B149" s="9" t="s">
        <v>2186</v>
      </c>
      <c r="C149" s="9" t="s">
        <v>2187</v>
      </c>
      <c r="D149" s="9" t="s">
        <v>866</v>
      </c>
      <c r="E149" s="9" t="s">
        <v>867</v>
      </c>
      <c r="F149" s="9" t="s">
        <v>2088</v>
      </c>
      <c r="G149" s="9" t="s">
        <v>114</v>
      </c>
      <c r="H149" s="9" t="s">
        <v>1092</v>
      </c>
      <c r="I149" s="9" t="s">
        <v>2188</v>
      </c>
      <c r="J149" s="9" t="s">
        <v>2189</v>
      </c>
      <c r="K149" s="9" t="s">
        <v>2190</v>
      </c>
      <c r="L149" s="9" t="s">
        <v>2191</v>
      </c>
      <c r="M149" s="9" t="s">
        <v>2192</v>
      </c>
      <c r="N149" s="9" t="s">
        <v>2193</v>
      </c>
      <c r="O149" s="9" t="s">
        <v>876</v>
      </c>
    </row>
    <row r="150" customFormat="false" ht="78" hidden="false" customHeight="true" outlineLevel="0" collapsed="false">
      <c r="A150" s="9" t="s">
        <v>2194</v>
      </c>
      <c r="B150" s="9" t="s">
        <v>2195</v>
      </c>
      <c r="C150" s="9" t="s">
        <v>2196</v>
      </c>
      <c r="D150" s="9" t="s">
        <v>866</v>
      </c>
      <c r="E150" s="9" t="s">
        <v>867</v>
      </c>
      <c r="F150" s="9" t="s">
        <v>2197</v>
      </c>
      <c r="G150" s="9" t="s">
        <v>120</v>
      </c>
      <c r="H150" s="9" t="s">
        <v>1092</v>
      </c>
      <c r="I150" s="9" t="s">
        <v>2198</v>
      </c>
      <c r="J150" s="9" t="s">
        <v>2199</v>
      </c>
      <c r="K150" s="9" t="s">
        <v>1914</v>
      </c>
      <c r="L150" s="9" t="s">
        <v>2200</v>
      </c>
      <c r="M150" s="9" t="s">
        <v>2201</v>
      </c>
      <c r="N150" s="9" t="s">
        <v>2202</v>
      </c>
      <c r="O150" s="9" t="s">
        <v>876</v>
      </c>
    </row>
    <row r="151" customFormat="false" ht="78" hidden="false" customHeight="true" outlineLevel="0" collapsed="false">
      <c r="A151" s="9" t="s">
        <v>2203</v>
      </c>
      <c r="B151" s="9" t="s">
        <v>2204</v>
      </c>
      <c r="C151" s="9" t="s">
        <v>2205</v>
      </c>
      <c r="D151" s="9" t="s">
        <v>866</v>
      </c>
      <c r="E151" s="9" t="s">
        <v>867</v>
      </c>
      <c r="F151" s="9" t="s">
        <v>2206</v>
      </c>
      <c r="G151" s="9" t="s">
        <v>114</v>
      </c>
      <c r="H151" s="9" t="s">
        <v>1092</v>
      </c>
      <c r="I151" s="9" t="s">
        <v>2207</v>
      </c>
      <c r="J151" s="9" t="s">
        <v>2208</v>
      </c>
      <c r="K151" s="9" t="s">
        <v>1914</v>
      </c>
      <c r="L151" s="9" t="s">
        <v>2209</v>
      </c>
      <c r="M151" s="9" t="s">
        <v>2210</v>
      </c>
      <c r="N151" s="9" t="s">
        <v>2211</v>
      </c>
      <c r="O151" s="9" t="s">
        <v>876</v>
      </c>
    </row>
    <row r="152" customFormat="false" ht="78" hidden="false" customHeight="true" outlineLevel="0" collapsed="false">
      <c r="A152" s="9" t="s">
        <v>2212</v>
      </c>
      <c r="B152" s="9" t="s">
        <v>2213</v>
      </c>
      <c r="C152" s="9" t="s">
        <v>2214</v>
      </c>
      <c r="D152" s="9" t="s">
        <v>866</v>
      </c>
      <c r="E152" s="9" t="s">
        <v>867</v>
      </c>
      <c r="F152" s="9" t="s">
        <v>2206</v>
      </c>
      <c r="G152" s="9" t="s">
        <v>133</v>
      </c>
      <c r="H152" s="9" t="s">
        <v>881</v>
      </c>
      <c r="I152" s="9" t="s">
        <v>2215</v>
      </c>
      <c r="J152" s="9" t="s">
        <v>2216</v>
      </c>
      <c r="K152" s="9" t="s">
        <v>2217</v>
      </c>
      <c r="L152" s="9" t="s">
        <v>2218</v>
      </c>
      <c r="M152" s="9" t="s">
        <v>2219</v>
      </c>
      <c r="N152" s="9" t="s">
        <v>2220</v>
      </c>
      <c r="O152" s="9" t="s">
        <v>876</v>
      </c>
    </row>
    <row r="153" customFormat="false" ht="78" hidden="false" customHeight="true" outlineLevel="0" collapsed="false">
      <c r="A153" s="9" t="s">
        <v>2221</v>
      </c>
      <c r="B153" s="9" t="s">
        <v>2222</v>
      </c>
      <c r="C153" s="9" t="s">
        <v>2223</v>
      </c>
      <c r="D153" s="9" t="s">
        <v>866</v>
      </c>
      <c r="E153" s="9" t="s">
        <v>867</v>
      </c>
      <c r="F153" s="9" t="s">
        <v>2206</v>
      </c>
      <c r="G153" s="9" t="s">
        <v>63</v>
      </c>
      <c r="H153" s="9" t="s">
        <v>1092</v>
      </c>
      <c r="I153" s="9" t="s">
        <v>2224</v>
      </c>
      <c r="J153" s="9" t="s">
        <v>2225</v>
      </c>
      <c r="K153" s="9" t="s">
        <v>2226</v>
      </c>
      <c r="L153" s="9" t="s">
        <v>2227</v>
      </c>
      <c r="M153" s="9" t="s">
        <v>2228</v>
      </c>
      <c r="N153" s="9" t="s">
        <v>2229</v>
      </c>
      <c r="O153" s="9" t="s">
        <v>876</v>
      </c>
    </row>
    <row r="154" customFormat="false" ht="78" hidden="false" customHeight="true" outlineLevel="0" collapsed="false">
      <c r="A154" s="9" t="s">
        <v>2230</v>
      </c>
      <c r="B154" s="9" t="s">
        <v>2231</v>
      </c>
      <c r="C154" s="9" t="s">
        <v>2232</v>
      </c>
      <c r="D154" s="9" t="s">
        <v>866</v>
      </c>
      <c r="E154" s="9" t="s">
        <v>867</v>
      </c>
      <c r="F154" s="9" t="s">
        <v>2206</v>
      </c>
      <c r="G154" s="9" t="s">
        <v>94</v>
      </c>
      <c r="H154" s="9" t="s">
        <v>1092</v>
      </c>
      <c r="I154" s="9" t="s">
        <v>2233</v>
      </c>
      <c r="J154" s="9" t="s">
        <v>2233</v>
      </c>
      <c r="K154" s="9" t="s">
        <v>2233</v>
      </c>
      <c r="L154" s="9" t="s">
        <v>2234</v>
      </c>
      <c r="M154" s="9" t="s">
        <v>2235</v>
      </c>
      <c r="N154" s="9" t="s">
        <v>2236</v>
      </c>
      <c r="O154" s="9" t="s">
        <v>876</v>
      </c>
    </row>
    <row r="155" customFormat="false" ht="78" hidden="false" customHeight="true" outlineLevel="0" collapsed="false">
      <c r="A155" s="9" t="s">
        <v>2237</v>
      </c>
      <c r="B155" s="9" t="s">
        <v>2238</v>
      </c>
      <c r="C155" s="9" t="s">
        <v>2239</v>
      </c>
      <c r="D155" s="9" t="s">
        <v>866</v>
      </c>
      <c r="E155" s="9" t="s">
        <v>867</v>
      </c>
      <c r="F155" s="9" t="s">
        <v>2206</v>
      </c>
      <c r="G155" s="9" t="s">
        <v>70</v>
      </c>
      <c r="H155" s="9" t="s">
        <v>1092</v>
      </c>
      <c r="I155" s="9" t="s">
        <v>2240</v>
      </c>
      <c r="J155" s="9" t="s">
        <v>2241</v>
      </c>
      <c r="K155" s="9" t="s">
        <v>1914</v>
      </c>
      <c r="L155" s="9" t="s">
        <v>2242</v>
      </c>
      <c r="M155" s="9" t="s">
        <v>2243</v>
      </c>
      <c r="N155" s="9" t="s">
        <v>2244</v>
      </c>
      <c r="O155" s="9" t="s">
        <v>876</v>
      </c>
    </row>
    <row r="156" customFormat="false" ht="78" hidden="false" customHeight="true" outlineLevel="0" collapsed="false">
      <c r="A156" s="9" t="s">
        <v>2245</v>
      </c>
      <c r="B156" s="9" t="s">
        <v>2246</v>
      </c>
      <c r="C156" s="9" t="s">
        <v>2247</v>
      </c>
      <c r="D156" s="9" t="s">
        <v>866</v>
      </c>
      <c r="E156" s="9" t="s">
        <v>867</v>
      </c>
      <c r="F156" s="9" t="s">
        <v>2248</v>
      </c>
      <c r="G156" s="9" t="s">
        <v>189</v>
      </c>
      <c r="H156" s="9" t="s">
        <v>1092</v>
      </c>
      <c r="I156" s="9" t="s">
        <v>2249</v>
      </c>
      <c r="J156" s="9" t="s">
        <v>2250</v>
      </c>
      <c r="K156" s="9" t="s">
        <v>2251</v>
      </c>
      <c r="L156" s="9" t="s">
        <v>2252</v>
      </c>
      <c r="M156" s="9" t="s">
        <v>2253</v>
      </c>
      <c r="N156" s="9" t="s">
        <v>2254</v>
      </c>
      <c r="O156" s="9" t="s">
        <v>876</v>
      </c>
    </row>
    <row r="157" customFormat="false" ht="78" hidden="false" customHeight="true" outlineLevel="0" collapsed="false">
      <c r="A157" s="9" t="s">
        <v>2255</v>
      </c>
      <c r="B157" s="9" t="s">
        <v>2256</v>
      </c>
      <c r="C157" s="9" t="s">
        <v>2257</v>
      </c>
      <c r="D157" s="9" t="s">
        <v>866</v>
      </c>
      <c r="E157" s="9" t="s">
        <v>867</v>
      </c>
      <c r="F157" s="9" t="s">
        <v>2248</v>
      </c>
      <c r="G157" s="9" t="s">
        <v>63</v>
      </c>
      <c r="H157" s="9" t="s">
        <v>1092</v>
      </c>
      <c r="I157" s="9" t="s">
        <v>2258</v>
      </c>
      <c r="J157" s="9" t="s">
        <v>2259</v>
      </c>
      <c r="K157" s="9" t="s">
        <v>1914</v>
      </c>
      <c r="L157" s="9" t="s">
        <v>2260</v>
      </c>
      <c r="M157" s="9" t="s">
        <v>2261</v>
      </c>
      <c r="N157" s="9" t="s">
        <v>2262</v>
      </c>
      <c r="O157" s="9" t="s">
        <v>876</v>
      </c>
    </row>
    <row r="158" customFormat="false" ht="78" hidden="false" customHeight="true" outlineLevel="0" collapsed="false">
      <c r="A158" s="9" t="s">
        <v>2263</v>
      </c>
      <c r="B158" s="9" t="s">
        <v>2264</v>
      </c>
      <c r="C158" s="9" t="s">
        <v>2265</v>
      </c>
      <c r="D158" s="9" t="s">
        <v>866</v>
      </c>
      <c r="E158" s="9" t="s">
        <v>867</v>
      </c>
      <c r="F158" s="9" t="s">
        <v>2248</v>
      </c>
      <c r="G158" s="9" t="s">
        <v>163</v>
      </c>
      <c r="H158" s="9" t="s">
        <v>1092</v>
      </c>
      <c r="I158" s="9" t="s">
        <v>2266</v>
      </c>
      <c r="J158" s="9" t="s">
        <v>2267</v>
      </c>
      <c r="K158" s="9" t="s">
        <v>2268</v>
      </c>
      <c r="L158" s="9" t="s">
        <v>2269</v>
      </c>
      <c r="M158" s="9" t="s">
        <v>2270</v>
      </c>
      <c r="N158" s="9" t="s">
        <v>2271</v>
      </c>
      <c r="O158" s="9" t="s">
        <v>876</v>
      </c>
    </row>
    <row r="159" customFormat="false" ht="78" hidden="false" customHeight="true" outlineLevel="0" collapsed="false">
      <c r="A159" s="9" t="s">
        <v>2272</v>
      </c>
      <c r="B159" s="9" t="s">
        <v>2273</v>
      </c>
      <c r="C159" s="9" t="s">
        <v>2274</v>
      </c>
      <c r="D159" s="9" t="s">
        <v>866</v>
      </c>
      <c r="E159" s="9" t="s">
        <v>867</v>
      </c>
      <c r="F159" s="9" t="s">
        <v>2275</v>
      </c>
      <c r="G159" s="9" t="s">
        <v>120</v>
      </c>
      <c r="H159" s="9" t="s">
        <v>1092</v>
      </c>
      <c r="I159" s="9" t="s">
        <v>2276</v>
      </c>
      <c r="J159" s="9" t="s">
        <v>2277</v>
      </c>
      <c r="K159" s="9" t="s">
        <v>1914</v>
      </c>
      <c r="L159" s="9" t="s">
        <v>2278</v>
      </c>
      <c r="M159" s="9" t="s">
        <v>2279</v>
      </c>
      <c r="N159" s="9" t="s">
        <v>2280</v>
      </c>
      <c r="O159" s="9" t="s">
        <v>876</v>
      </c>
    </row>
    <row r="160" customFormat="false" ht="78" hidden="false" customHeight="true" outlineLevel="0" collapsed="false">
      <c r="A160" s="9" t="s">
        <v>2281</v>
      </c>
      <c r="B160" s="9" t="s">
        <v>2282</v>
      </c>
      <c r="C160" s="9" t="s">
        <v>2283</v>
      </c>
      <c r="D160" s="9" t="s">
        <v>866</v>
      </c>
      <c r="E160" s="9" t="s">
        <v>867</v>
      </c>
      <c r="F160" s="9" t="s">
        <v>2275</v>
      </c>
      <c r="G160" s="9" t="s">
        <v>169</v>
      </c>
      <c r="H160" s="9" t="s">
        <v>1092</v>
      </c>
      <c r="I160" s="9" t="s">
        <v>2284</v>
      </c>
      <c r="J160" s="9" t="s">
        <v>2285</v>
      </c>
      <c r="K160" s="9" t="s">
        <v>1914</v>
      </c>
      <c r="L160" s="9" t="s">
        <v>2286</v>
      </c>
      <c r="M160" s="9" t="s">
        <v>2287</v>
      </c>
      <c r="N160" s="9" t="s">
        <v>2288</v>
      </c>
      <c r="O160" s="9" t="s">
        <v>876</v>
      </c>
    </row>
    <row r="161" customFormat="false" ht="78" hidden="false" customHeight="true" outlineLevel="0" collapsed="false">
      <c r="A161" s="9" t="s">
        <v>2289</v>
      </c>
      <c r="B161" s="9" t="s">
        <v>2290</v>
      </c>
      <c r="C161" s="9" t="s">
        <v>2291</v>
      </c>
      <c r="D161" s="9" t="s">
        <v>866</v>
      </c>
      <c r="E161" s="9" t="s">
        <v>867</v>
      </c>
      <c r="F161" s="9" t="s">
        <v>2275</v>
      </c>
      <c r="G161" s="9" t="s">
        <v>83</v>
      </c>
      <c r="H161" s="9" t="s">
        <v>1092</v>
      </c>
      <c r="I161" s="9" t="s">
        <v>2292</v>
      </c>
      <c r="J161" s="9" t="s">
        <v>2293</v>
      </c>
      <c r="K161" s="9" t="s">
        <v>1914</v>
      </c>
      <c r="L161" s="9" t="s">
        <v>2294</v>
      </c>
      <c r="M161" s="9" t="s">
        <v>2295</v>
      </c>
      <c r="N161" s="9" t="s">
        <v>2296</v>
      </c>
      <c r="O161" s="9" t="s">
        <v>876</v>
      </c>
    </row>
    <row r="162" customFormat="false" ht="78" hidden="false" customHeight="true" outlineLevel="0" collapsed="false">
      <c r="A162" s="9" t="s">
        <v>2297</v>
      </c>
      <c r="B162" s="9" t="s">
        <v>2298</v>
      </c>
      <c r="C162" s="9" t="s">
        <v>2299</v>
      </c>
      <c r="D162" s="9" t="s">
        <v>866</v>
      </c>
      <c r="E162" s="9" t="s">
        <v>867</v>
      </c>
      <c r="F162" s="9" t="s">
        <v>2275</v>
      </c>
      <c r="G162" s="9" t="s">
        <v>76</v>
      </c>
      <c r="H162" s="9" t="s">
        <v>1092</v>
      </c>
      <c r="I162" s="9" t="s">
        <v>2300</v>
      </c>
      <c r="J162" s="9" t="s">
        <v>2301</v>
      </c>
      <c r="K162" s="9" t="s">
        <v>1914</v>
      </c>
      <c r="L162" s="9" t="s">
        <v>2302</v>
      </c>
      <c r="M162" s="9" t="s">
        <v>2303</v>
      </c>
      <c r="N162" s="9" t="s">
        <v>2304</v>
      </c>
      <c r="O162" s="9" t="s">
        <v>876</v>
      </c>
    </row>
    <row r="163" customFormat="false" ht="78" hidden="false" customHeight="true" outlineLevel="0" collapsed="false">
      <c r="A163" s="9" t="s">
        <v>2305</v>
      </c>
      <c r="B163" s="9" t="s">
        <v>2306</v>
      </c>
      <c r="C163" s="9" t="s">
        <v>2307</v>
      </c>
      <c r="D163" s="9" t="s">
        <v>866</v>
      </c>
      <c r="E163" s="9" t="s">
        <v>867</v>
      </c>
      <c r="F163" s="9" t="s">
        <v>2308</v>
      </c>
      <c r="G163" s="9" t="s">
        <v>70</v>
      </c>
      <c r="H163" s="9" t="s">
        <v>1092</v>
      </c>
      <c r="I163" s="9" t="s">
        <v>2309</v>
      </c>
      <c r="J163" s="9" t="s">
        <v>2310</v>
      </c>
      <c r="K163" s="9" t="s">
        <v>1914</v>
      </c>
      <c r="L163" s="9" t="s">
        <v>2311</v>
      </c>
      <c r="M163" s="9" t="s">
        <v>2312</v>
      </c>
      <c r="N163" s="9" t="s">
        <v>2313</v>
      </c>
      <c r="O163" s="9" t="s">
        <v>876</v>
      </c>
    </row>
    <row r="164" customFormat="false" ht="78" hidden="false" customHeight="true" outlineLevel="0" collapsed="false">
      <c r="A164" s="9" t="s">
        <v>2314</v>
      </c>
      <c r="B164" s="9" t="s">
        <v>2315</v>
      </c>
      <c r="C164" s="9" t="s">
        <v>2316</v>
      </c>
      <c r="D164" s="9" t="s">
        <v>866</v>
      </c>
      <c r="E164" s="9" t="s">
        <v>867</v>
      </c>
      <c r="F164" s="9" t="s">
        <v>2308</v>
      </c>
      <c r="G164" s="9" t="s">
        <v>70</v>
      </c>
      <c r="H164" s="9" t="s">
        <v>1092</v>
      </c>
      <c r="I164" s="9" t="s">
        <v>2317</v>
      </c>
      <c r="J164" s="9" t="s">
        <v>2318</v>
      </c>
      <c r="K164" s="9" t="s">
        <v>1914</v>
      </c>
      <c r="L164" s="9" t="s">
        <v>2319</v>
      </c>
      <c r="M164" s="9" t="s">
        <v>2320</v>
      </c>
      <c r="N164" s="9" t="s">
        <v>2321</v>
      </c>
      <c r="O164" s="9" t="s">
        <v>876</v>
      </c>
    </row>
    <row r="165" customFormat="false" ht="78" hidden="false" customHeight="true" outlineLevel="0" collapsed="false">
      <c r="A165" s="9" t="s">
        <v>2322</v>
      </c>
      <c r="B165" s="9" t="s">
        <v>2323</v>
      </c>
      <c r="C165" s="9" t="s">
        <v>2324</v>
      </c>
      <c r="D165" s="9" t="s">
        <v>866</v>
      </c>
      <c r="E165" s="9" t="s">
        <v>867</v>
      </c>
      <c r="F165" s="9" t="s">
        <v>2308</v>
      </c>
      <c r="G165" s="9" t="s">
        <v>120</v>
      </c>
      <c r="H165" s="9" t="s">
        <v>1092</v>
      </c>
      <c r="I165" s="9" t="s">
        <v>2325</v>
      </c>
      <c r="J165" s="9" t="s">
        <v>2326</v>
      </c>
      <c r="K165" s="9" t="s">
        <v>2327</v>
      </c>
      <c r="L165" s="9" t="s">
        <v>2328</v>
      </c>
      <c r="M165" s="9" t="s">
        <v>2329</v>
      </c>
      <c r="N165" s="9" t="s">
        <v>2330</v>
      </c>
      <c r="O165" s="9" t="s">
        <v>876</v>
      </c>
    </row>
    <row r="166" customFormat="false" ht="78" hidden="false" customHeight="true" outlineLevel="0" collapsed="false">
      <c r="A166" s="9" t="s">
        <v>2331</v>
      </c>
      <c r="B166" s="9" t="s">
        <v>2332</v>
      </c>
      <c r="C166" s="9" t="s">
        <v>2333</v>
      </c>
      <c r="D166" s="9" t="s">
        <v>866</v>
      </c>
      <c r="E166" s="9" t="s">
        <v>867</v>
      </c>
      <c r="F166" s="9" t="s">
        <v>2308</v>
      </c>
      <c r="G166" s="9" t="s">
        <v>120</v>
      </c>
      <c r="H166" s="9" t="s">
        <v>1092</v>
      </c>
      <c r="I166" s="9" t="s">
        <v>2334</v>
      </c>
      <c r="J166" s="9" t="s">
        <v>2335</v>
      </c>
      <c r="K166" s="9" t="s">
        <v>2336</v>
      </c>
      <c r="L166" s="9" t="s">
        <v>2337</v>
      </c>
      <c r="M166" s="9" t="s">
        <v>2338</v>
      </c>
      <c r="N166" s="9" t="s">
        <v>2339</v>
      </c>
      <c r="O166" s="9" t="s">
        <v>876</v>
      </c>
    </row>
    <row r="167" customFormat="false" ht="78" hidden="false" customHeight="true" outlineLevel="0" collapsed="false">
      <c r="A167" s="9" t="s">
        <v>2340</v>
      </c>
      <c r="B167" s="9" t="s">
        <v>2341</v>
      </c>
      <c r="C167" s="9" t="s">
        <v>2342</v>
      </c>
      <c r="D167" s="9" t="s">
        <v>866</v>
      </c>
      <c r="E167" s="9" t="s">
        <v>867</v>
      </c>
      <c r="F167" s="9" t="s">
        <v>2343</v>
      </c>
      <c r="G167" s="9" t="s">
        <v>70</v>
      </c>
      <c r="H167" s="9" t="s">
        <v>1092</v>
      </c>
      <c r="I167" s="9" t="s">
        <v>2344</v>
      </c>
      <c r="J167" s="9" t="s">
        <v>2345</v>
      </c>
      <c r="K167" s="9" t="s">
        <v>2346</v>
      </c>
      <c r="L167" s="9" t="s">
        <v>2347</v>
      </c>
      <c r="M167" s="9" t="s">
        <v>2348</v>
      </c>
      <c r="N167" s="9" t="s">
        <v>2349</v>
      </c>
      <c r="O167" s="9" t="s">
        <v>876</v>
      </c>
    </row>
    <row r="168" customFormat="false" ht="78" hidden="false" customHeight="true" outlineLevel="0" collapsed="false">
      <c r="A168" s="9" t="s">
        <v>2350</v>
      </c>
      <c r="B168" s="9" t="s">
        <v>2351</v>
      </c>
      <c r="C168" s="9" t="s">
        <v>2352</v>
      </c>
      <c r="D168" s="9" t="s">
        <v>822</v>
      </c>
      <c r="E168" s="9" t="s">
        <v>1005</v>
      </c>
      <c r="F168" s="9" t="s">
        <v>2353</v>
      </c>
      <c r="G168" s="9" t="s">
        <v>210</v>
      </c>
      <c r="H168" s="9" t="s">
        <v>869</v>
      </c>
      <c r="I168" s="9" t="s">
        <v>2354</v>
      </c>
      <c r="J168" s="9" t="s">
        <v>2355</v>
      </c>
      <c r="K168" s="9" t="s">
        <v>2356</v>
      </c>
      <c r="L168" s="9" t="s">
        <v>2357</v>
      </c>
      <c r="M168" s="9" t="s">
        <v>2358</v>
      </c>
      <c r="N168" s="9" t="s">
        <v>2359</v>
      </c>
      <c r="O168" s="9" t="s">
        <v>876</v>
      </c>
    </row>
    <row r="169" customFormat="false" ht="78" hidden="false" customHeight="true" outlineLevel="0" collapsed="false">
      <c r="A169" s="9" t="s">
        <v>2360</v>
      </c>
      <c r="B169" s="9" t="s">
        <v>2361</v>
      </c>
      <c r="C169" s="9" t="s">
        <v>2362</v>
      </c>
      <c r="D169" s="9" t="s">
        <v>822</v>
      </c>
      <c r="E169" s="9" t="s">
        <v>1005</v>
      </c>
      <c r="F169" s="9" t="s">
        <v>2363</v>
      </c>
      <c r="G169" s="9" t="s">
        <v>189</v>
      </c>
      <c r="H169" s="9" t="s">
        <v>1092</v>
      </c>
      <c r="I169" s="9" t="s">
        <v>2364</v>
      </c>
      <c r="J169" s="9" t="s">
        <v>2365</v>
      </c>
      <c r="K169" s="9" t="s">
        <v>2366</v>
      </c>
      <c r="L169" s="9" t="s">
        <v>2357</v>
      </c>
      <c r="M169" s="9" t="s">
        <v>2367</v>
      </c>
      <c r="N169" s="9" t="s">
        <v>2368</v>
      </c>
      <c r="O169" s="9" t="s">
        <v>876</v>
      </c>
    </row>
    <row r="170" customFormat="false" ht="78" hidden="false" customHeight="true" outlineLevel="0" collapsed="false">
      <c r="A170" s="9" t="s">
        <v>2369</v>
      </c>
      <c r="B170" s="9" t="s">
        <v>571</v>
      </c>
      <c r="C170" s="9" t="s">
        <v>2370</v>
      </c>
      <c r="D170" s="9" t="s">
        <v>866</v>
      </c>
      <c r="E170" s="9" t="s">
        <v>867</v>
      </c>
      <c r="F170" s="9" t="s">
        <v>2371</v>
      </c>
      <c r="G170" s="9" t="s">
        <v>114</v>
      </c>
      <c r="H170" s="9" t="s">
        <v>1092</v>
      </c>
      <c r="I170" s="9" t="s">
        <v>2372</v>
      </c>
      <c r="J170" s="9" t="s">
        <v>2373</v>
      </c>
      <c r="K170" s="9" t="s">
        <v>2374</v>
      </c>
      <c r="L170" s="9" t="s">
        <v>2375</v>
      </c>
      <c r="M170" s="9" t="s">
        <v>2376</v>
      </c>
      <c r="N170" s="9" t="s">
        <v>2377</v>
      </c>
      <c r="O170" s="9" t="s">
        <v>876</v>
      </c>
    </row>
    <row r="171" customFormat="false" ht="78" hidden="false" customHeight="true" outlineLevel="0" collapsed="false">
      <c r="A171" s="9" t="s">
        <v>2378</v>
      </c>
      <c r="B171" s="9" t="s">
        <v>597</v>
      </c>
      <c r="C171" s="9" t="s">
        <v>2379</v>
      </c>
      <c r="D171" s="9" t="s">
        <v>866</v>
      </c>
      <c r="E171" s="9" t="s">
        <v>867</v>
      </c>
      <c r="F171" s="9" t="s">
        <v>2380</v>
      </c>
      <c r="G171" s="9" t="s">
        <v>70</v>
      </c>
      <c r="H171" s="9" t="s">
        <v>1092</v>
      </c>
      <c r="I171" s="9" t="s">
        <v>2381</v>
      </c>
      <c r="J171" s="9" t="s">
        <v>2382</v>
      </c>
      <c r="K171" s="9" t="s">
        <v>2383</v>
      </c>
      <c r="L171" s="9" t="s">
        <v>2384</v>
      </c>
      <c r="M171" s="9" t="s">
        <v>2385</v>
      </c>
      <c r="N171" s="9" t="s">
        <v>2386</v>
      </c>
      <c r="O171" s="9" t="s">
        <v>876</v>
      </c>
    </row>
    <row r="172" customFormat="false" ht="78" hidden="false" customHeight="true" outlineLevel="0" collapsed="false">
      <c r="A172" s="9" t="s">
        <v>2387</v>
      </c>
      <c r="B172" s="9" t="s">
        <v>389</v>
      </c>
      <c r="C172" s="9" t="s">
        <v>2388</v>
      </c>
      <c r="D172" s="9" t="s">
        <v>866</v>
      </c>
      <c r="E172" s="9" t="s">
        <v>867</v>
      </c>
      <c r="F172" s="9" t="s">
        <v>2389</v>
      </c>
      <c r="G172" s="9" t="s">
        <v>114</v>
      </c>
      <c r="H172" s="9" t="s">
        <v>1092</v>
      </c>
      <c r="I172" s="9" t="s">
        <v>2390</v>
      </c>
      <c r="J172" s="9" t="s">
        <v>2391</v>
      </c>
      <c r="K172" s="9" t="s">
        <v>2392</v>
      </c>
      <c r="L172" s="9" t="s">
        <v>2393</v>
      </c>
      <c r="M172" s="9" t="s">
        <v>2394</v>
      </c>
      <c r="N172" s="9" t="s">
        <v>2395</v>
      </c>
      <c r="O172" s="9" t="s">
        <v>876</v>
      </c>
    </row>
    <row r="173" customFormat="false" ht="78" hidden="false" customHeight="true" outlineLevel="0" collapsed="false">
      <c r="A173" s="9" t="s">
        <v>2396</v>
      </c>
      <c r="B173" s="9" t="s">
        <v>2397</v>
      </c>
      <c r="C173" s="9" t="s">
        <v>2398</v>
      </c>
      <c r="D173" s="9" t="s">
        <v>866</v>
      </c>
      <c r="E173" s="9" t="s">
        <v>867</v>
      </c>
      <c r="F173" s="9" t="s">
        <v>2399</v>
      </c>
      <c r="G173" s="9" t="s">
        <v>70</v>
      </c>
      <c r="H173" s="9" t="s">
        <v>1092</v>
      </c>
      <c r="I173" s="9" t="s">
        <v>2400</v>
      </c>
      <c r="J173" s="9" t="s">
        <v>2401</v>
      </c>
      <c r="K173" s="9" t="s">
        <v>2402</v>
      </c>
      <c r="L173" s="9" t="s">
        <v>895</v>
      </c>
      <c r="M173" s="9" t="s">
        <v>2403</v>
      </c>
      <c r="N173" s="9" t="s">
        <v>2404</v>
      </c>
      <c r="O173" s="9" t="s">
        <v>876</v>
      </c>
    </row>
    <row r="174" customFormat="false" ht="78" hidden="false" customHeight="true" outlineLevel="0" collapsed="false">
      <c r="A174" s="9" t="s">
        <v>2405</v>
      </c>
      <c r="B174" s="9" t="s">
        <v>2406</v>
      </c>
      <c r="C174" s="9" t="s">
        <v>2407</v>
      </c>
      <c r="D174" s="9" t="s">
        <v>866</v>
      </c>
      <c r="E174" s="9" t="s">
        <v>867</v>
      </c>
      <c r="F174" s="9" t="s">
        <v>2399</v>
      </c>
      <c r="G174" s="9" t="s">
        <v>94</v>
      </c>
      <c r="H174" s="9" t="s">
        <v>1092</v>
      </c>
      <c r="I174" s="9" t="s">
        <v>2408</v>
      </c>
      <c r="J174" s="9" t="s">
        <v>2409</v>
      </c>
      <c r="K174" s="9" t="s">
        <v>2410</v>
      </c>
      <c r="L174" s="9" t="s">
        <v>895</v>
      </c>
      <c r="M174" s="9" t="s">
        <v>2411</v>
      </c>
      <c r="N174" s="9" t="s">
        <v>2412</v>
      </c>
      <c r="O174" s="9" t="s">
        <v>876</v>
      </c>
    </row>
    <row r="175" customFormat="false" ht="78" hidden="false" customHeight="true" outlineLevel="0" collapsed="false">
      <c r="A175" s="9" t="s">
        <v>2413</v>
      </c>
      <c r="B175" s="9" t="s">
        <v>395</v>
      </c>
      <c r="C175" s="9" t="s">
        <v>2414</v>
      </c>
      <c r="D175" s="9" t="s">
        <v>866</v>
      </c>
      <c r="E175" s="9" t="s">
        <v>867</v>
      </c>
      <c r="F175" s="9" t="s">
        <v>2415</v>
      </c>
      <c r="G175" s="9" t="s">
        <v>70</v>
      </c>
      <c r="H175" s="9" t="s">
        <v>1092</v>
      </c>
      <c r="I175" s="9" t="s">
        <v>2416</v>
      </c>
      <c r="J175" s="9" t="s">
        <v>2417</v>
      </c>
      <c r="K175" s="9" t="s">
        <v>2418</v>
      </c>
      <c r="L175" s="9" t="s">
        <v>895</v>
      </c>
      <c r="M175" s="9" t="s">
        <v>2419</v>
      </c>
      <c r="N175" s="9" t="s">
        <v>2420</v>
      </c>
      <c r="O175" s="9" t="s">
        <v>876</v>
      </c>
    </row>
    <row r="176" customFormat="false" ht="78" hidden="false" customHeight="true" outlineLevel="0" collapsed="false">
      <c r="A176" s="9" t="s">
        <v>2421</v>
      </c>
      <c r="B176" s="9" t="s">
        <v>2422</v>
      </c>
      <c r="C176" s="9" t="s">
        <v>2423</v>
      </c>
      <c r="D176" s="9" t="s">
        <v>866</v>
      </c>
      <c r="E176" s="9" t="s">
        <v>867</v>
      </c>
      <c r="F176" s="9" t="s">
        <v>2424</v>
      </c>
      <c r="G176" s="9" t="s">
        <v>210</v>
      </c>
      <c r="H176" s="9" t="s">
        <v>869</v>
      </c>
      <c r="I176" s="9" t="s">
        <v>2425</v>
      </c>
      <c r="J176" s="9" t="s">
        <v>2426</v>
      </c>
      <c r="K176" s="9" t="s">
        <v>2427</v>
      </c>
      <c r="L176" s="9" t="s">
        <v>895</v>
      </c>
      <c r="M176" s="9" t="s">
        <v>2428</v>
      </c>
      <c r="N176" s="9" t="s">
        <v>2429</v>
      </c>
      <c r="O176" s="9" t="s">
        <v>876</v>
      </c>
    </row>
    <row r="177" customFormat="false" ht="78" hidden="false" customHeight="true" outlineLevel="0" collapsed="false">
      <c r="A177" s="9" t="s">
        <v>2430</v>
      </c>
      <c r="B177" s="9" t="s">
        <v>2431</v>
      </c>
      <c r="C177" s="9" t="s">
        <v>2432</v>
      </c>
      <c r="D177" s="9" t="s">
        <v>866</v>
      </c>
      <c r="E177" s="9" t="s">
        <v>867</v>
      </c>
      <c r="F177" s="9" t="s">
        <v>2433</v>
      </c>
      <c r="G177" s="9" t="s">
        <v>176</v>
      </c>
      <c r="H177" s="9" t="s">
        <v>1092</v>
      </c>
      <c r="I177" s="9" t="s">
        <v>2434</v>
      </c>
      <c r="J177" s="9" t="s">
        <v>2435</v>
      </c>
      <c r="K177" s="9" t="s">
        <v>2436</v>
      </c>
      <c r="L177" s="9" t="s">
        <v>895</v>
      </c>
      <c r="M177" s="9" t="s">
        <v>2437</v>
      </c>
      <c r="N177" s="9" t="s">
        <v>2438</v>
      </c>
      <c r="O177" s="9" t="s">
        <v>876</v>
      </c>
    </row>
    <row r="178" customFormat="false" ht="78" hidden="false" customHeight="true" outlineLevel="0" collapsed="false">
      <c r="A178" s="9" t="s">
        <v>2439</v>
      </c>
      <c r="B178" s="9" t="s">
        <v>2440</v>
      </c>
      <c r="C178" s="9" t="s">
        <v>2441</v>
      </c>
      <c r="D178" s="9" t="s">
        <v>866</v>
      </c>
      <c r="E178" s="9" t="s">
        <v>867</v>
      </c>
      <c r="F178" s="9" t="s">
        <v>909</v>
      </c>
      <c r="G178" s="9" t="s">
        <v>63</v>
      </c>
      <c r="H178" s="9" t="s">
        <v>1092</v>
      </c>
      <c r="I178" s="9" t="s">
        <v>2442</v>
      </c>
      <c r="J178" s="9" t="s">
        <v>2443</v>
      </c>
      <c r="K178" s="9" t="s">
        <v>2444</v>
      </c>
      <c r="L178" s="9" t="s">
        <v>895</v>
      </c>
      <c r="M178" s="9" t="s">
        <v>2445</v>
      </c>
      <c r="N178" s="9" t="s">
        <v>2446</v>
      </c>
      <c r="O178" s="9" t="s">
        <v>876</v>
      </c>
    </row>
    <row r="179" customFormat="false" ht="78" hidden="false" customHeight="true" outlineLevel="0" collapsed="false">
      <c r="A179" s="9" t="s">
        <v>2447</v>
      </c>
      <c r="B179" s="9" t="s">
        <v>2448</v>
      </c>
      <c r="C179" s="9" t="s">
        <v>2449</v>
      </c>
      <c r="D179" s="9" t="s">
        <v>866</v>
      </c>
      <c r="E179" s="9" t="s">
        <v>867</v>
      </c>
      <c r="F179" s="9" t="s">
        <v>2450</v>
      </c>
      <c r="G179" s="9" t="s">
        <v>114</v>
      </c>
      <c r="H179" s="9" t="s">
        <v>1092</v>
      </c>
      <c r="I179" s="9" t="s">
        <v>2451</v>
      </c>
      <c r="J179" s="9" t="s">
        <v>2452</v>
      </c>
      <c r="K179" s="9" t="s">
        <v>2453</v>
      </c>
      <c r="L179" s="9" t="s">
        <v>895</v>
      </c>
      <c r="M179" s="9" t="s">
        <v>2454</v>
      </c>
      <c r="N179" s="9" t="s">
        <v>2455</v>
      </c>
      <c r="O179" s="9" t="s">
        <v>876</v>
      </c>
    </row>
    <row r="180" customFormat="false" ht="78" hidden="false" customHeight="true" outlineLevel="0" collapsed="false">
      <c r="A180" s="9" t="s">
        <v>2456</v>
      </c>
      <c r="B180" s="9" t="s">
        <v>2457</v>
      </c>
      <c r="C180" s="9" t="s">
        <v>2458</v>
      </c>
      <c r="D180" s="9" t="s">
        <v>866</v>
      </c>
      <c r="E180" s="9" t="s">
        <v>867</v>
      </c>
      <c r="F180" s="9" t="s">
        <v>2459</v>
      </c>
      <c r="G180" s="9" t="s">
        <v>145</v>
      </c>
      <c r="H180" s="9" t="s">
        <v>881</v>
      </c>
      <c r="I180" s="9" t="s">
        <v>2460</v>
      </c>
      <c r="J180" s="9" t="s">
        <v>2461</v>
      </c>
      <c r="K180" s="9" t="s">
        <v>2462</v>
      </c>
      <c r="L180" s="9" t="s">
        <v>950</v>
      </c>
      <c r="M180" s="9" t="s">
        <v>2463</v>
      </c>
      <c r="N180" s="9" t="s">
        <v>2464</v>
      </c>
      <c r="O180" s="9" t="s">
        <v>876</v>
      </c>
    </row>
    <row r="181" customFormat="false" ht="78" hidden="false" customHeight="true" outlineLevel="0" collapsed="false">
      <c r="A181" s="9" t="s">
        <v>2465</v>
      </c>
      <c r="B181" s="9" t="s">
        <v>2466</v>
      </c>
      <c r="C181" s="9" t="s">
        <v>2467</v>
      </c>
      <c r="D181" s="9" t="s">
        <v>866</v>
      </c>
      <c r="E181" s="9" t="s">
        <v>867</v>
      </c>
      <c r="F181" s="9" t="s">
        <v>2468</v>
      </c>
      <c r="G181" s="9" t="s">
        <v>133</v>
      </c>
      <c r="H181" s="9" t="s">
        <v>881</v>
      </c>
      <c r="I181" s="9" t="s">
        <v>2469</v>
      </c>
      <c r="J181" s="9" t="s">
        <v>2470</v>
      </c>
      <c r="K181" s="9" t="s">
        <v>2471</v>
      </c>
      <c r="L181" s="9" t="s">
        <v>2472</v>
      </c>
      <c r="M181" s="9" t="s">
        <v>2473</v>
      </c>
      <c r="N181" s="9" t="s">
        <v>2474</v>
      </c>
      <c r="O181" s="9" t="s">
        <v>876</v>
      </c>
    </row>
    <row r="182" customFormat="false" ht="78" hidden="false" customHeight="true" outlineLevel="0" collapsed="false">
      <c r="A182" s="9" t="s">
        <v>2475</v>
      </c>
      <c r="B182" s="9" t="s">
        <v>2476</v>
      </c>
      <c r="C182" s="9" t="s">
        <v>2477</v>
      </c>
      <c r="D182" s="9" t="s">
        <v>822</v>
      </c>
      <c r="E182" s="9" t="s">
        <v>1005</v>
      </c>
      <c r="F182" s="9" t="s">
        <v>2478</v>
      </c>
      <c r="G182" s="9" t="s">
        <v>127</v>
      </c>
      <c r="H182" s="9" t="s">
        <v>1092</v>
      </c>
      <c r="I182" s="9" t="s">
        <v>2479</v>
      </c>
      <c r="J182" s="9" t="s">
        <v>2480</v>
      </c>
      <c r="K182" s="9" t="s">
        <v>2481</v>
      </c>
      <c r="L182" s="9" t="s">
        <v>2482</v>
      </c>
      <c r="M182" s="9" t="s">
        <v>2483</v>
      </c>
      <c r="N182" s="9" t="s">
        <v>2484</v>
      </c>
      <c r="O182" s="9" t="s">
        <v>876</v>
      </c>
    </row>
    <row r="183" customFormat="false" ht="78" hidden="false" customHeight="true" outlineLevel="0" collapsed="false">
      <c r="A183" s="9" t="s">
        <v>2485</v>
      </c>
      <c r="B183" s="9" t="s">
        <v>794</v>
      </c>
      <c r="C183" s="9" t="s">
        <v>2486</v>
      </c>
      <c r="D183" s="9" t="s">
        <v>866</v>
      </c>
      <c r="E183" s="9" t="s">
        <v>867</v>
      </c>
      <c r="F183" s="9" t="s">
        <v>995</v>
      </c>
      <c r="G183" s="9" t="s">
        <v>120</v>
      </c>
      <c r="H183" s="9" t="s">
        <v>881</v>
      </c>
      <c r="I183" s="9" t="s">
        <v>2487</v>
      </c>
      <c r="J183" s="9" t="s">
        <v>2488</v>
      </c>
      <c r="K183" s="9" t="s">
        <v>2489</v>
      </c>
      <c r="L183" s="9" t="s">
        <v>999</v>
      </c>
      <c r="M183" s="9" t="s">
        <v>2490</v>
      </c>
      <c r="N183" s="9" t="s">
        <v>2491</v>
      </c>
      <c r="O183" s="9" t="s">
        <v>876</v>
      </c>
    </row>
    <row r="184" customFormat="false" ht="78" hidden="false" customHeight="true" outlineLevel="0" collapsed="false">
      <c r="A184" s="9" t="s">
        <v>2492</v>
      </c>
      <c r="B184" s="9" t="s">
        <v>2493</v>
      </c>
      <c r="C184" s="9" t="s">
        <v>2494</v>
      </c>
      <c r="D184" s="9" t="s">
        <v>866</v>
      </c>
      <c r="E184" s="9" t="s">
        <v>867</v>
      </c>
      <c r="F184" s="9" t="s">
        <v>2495</v>
      </c>
      <c r="G184" s="9" t="s">
        <v>114</v>
      </c>
      <c r="H184" s="9" t="s">
        <v>1092</v>
      </c>
      <c r="I184" s="9" t="s">
        <v>2496</v>
      </c>
      <c r="J184" s="9" t="s">
        <v>2497</v>
      </c>
      <c r="K184" s="9" t="s">
        <v>2498</v>
      </c>
      <c r="L184" s="9" t="s">
        <v>2499</v>
      </c>
      <c r="M184" s="9" t="s">
        <v>2500</v>
      </c>
      <c r="N184" s="9" t="s">
        <v>2501</v>
      </c>
      <c r="O184" s="9" t="s">
        <v>876</v>
      </c>
    </row>
    <row r="185" customFormat="false" ht="78" hidden="false" customHeight="true" outlineLevel="0" collapsed="false">
      <c r="A185" s="9" t="s">
        <v>2502</v>
      </c>
      <c r="B185" s="9" t="s">
        <v>2503</v>
      </c>
      <c r="C185" s="9" t="s">
        <v>2504</v>
      </c>
      <c r="D185" s="9" t="s">
        <v>866</v>
      </c>
      <c r="E185" s="9" t="s">
        <v>867</v>
      </c>
      <c r="F185" s="9" t="s">
        <v>2505</v>
      </c>
      <c r="G185" s="9" t="s">
        <v>127</v>
      </c>
      <c r="H185" s="9" t="s">
        <v>881</v>
      </c>
      <c r="I185" s="9" t="s">
        <v>2506</v>
      </c>
      <c r="J185" s="9" t="s">
        <v>2507</v>
      </c>
      <c r="K185" s="9" t="s">
        <v>2508</v>
      </c>
      <c r="L185" s="9" t="s">
        <v>1010</v>
      </c>
      <c r="M185" s="9" t="s">
        <v>2509</v>
      </c>
      <c r="N185" s="9" t="s">
        <v>2510</v>
      </c>
      <c r="O185" s="9" t="s">
        <v>876</v>
      </c>
    </row>
    <row r="186" customFormat="false" ht="78" hidden="false" customHeight="true" outlineLevel="0" collapsed="false">
      <c r="A186" s="9" t="s">
        <v>2511</v>
      </c>
      <c r="B186" s="9" t="s">
        <v>2512</v>
      </c>
      <c r="C186" s="9" t="s">
        <v>2513</v>
      </c>
      <c r="D186" s="9" t="s">
        <v>866</v>
      </c>
      <c r="E186" s="9" t="s">
        <v>867</v>
      </c>
      <c r="F186" s="9" t="s">
        <v>2514</v>
      </c>
      <c r="G186" s="9" t="s">
        <v>127</v>
      </c>
      <c r="H186" s="9" t="s">
        <v>881</v>
      </c>
      <c r="I186" s="9" t="s">
        <v>2515</v>
      </c>
      <c r="J186" s="9" t="s">
        <v>2516</v>
      </c>
      <c r="K186" s="9" t="s">
        <v>2517</v>
      </c>
      <c r="L186" s="9" t="s">
        <v>2518</v>
      </c>
      <c r="M186" s="9" t="s">
        <v>2519</v>
      </c>
      <c r="N186" s="9" t="s">
        <v>2520</v>
      </c>
      <c r="O186" s="9" t="s">
        <v>876</v>
      </c>
    </row>
    <row r="187" customFormat="false" ht="78" hidden="false" customHeight="true" outlineLevel="0" collapsed="false">
      <c r="A187" s="9" t="s">
        <v>2521</v>
      </c>
      <c r="B187" s="9" t="s">
        <v>2522</v>
      </c>
      <c r="C187" s="9" t="s">
        <v>2523</v>
      </c>
      <c r="D187" s="9" t="s">
        <v>822</v>
      </c>
      <c r="E187" s="9" t="s">
        <v>1005</v>
      </c>
      <c r="F187" s="9" t="s">
        <v>2524</v>
      </c>
      <c r="G187" s="9" t="s">
        <v>127</v>
      </c>
      <c r="H187" s="9" t="s">
        <v>1092</v>
      </c>
      <c r="I187" s="9" t="s">
        <v>2525</v>
      </c>
      <c r="J187" s="9" t="s">
        <v>2526</v>
      </c>
      <c r="K187" s="9" t="s">
        <v>2527</v>
      </c>
      <c r="L187" s="9" t="s">
        <v>1010</v>
      </c>
      <c r="M187" s="9" t="s">
        <v>2528</v>
      </c>
      <c r="N187" s="9" t="s">
        <v>2529</v>
      </c>
      <c r="O187" s="9" t="s">
        <v>876</v>
      </c>
    </row>
    <row r="188" customFormat="false" ht="78" hidden="false" customHeight="true" outlineLevel="0" collapsed="false">
      <c r="A188" s="9" t="s">
        <v>2530</v>
      </c>
      <c r="B188" s="9" t="s">
        <v>2531</v>
      </c>
      <c r="C188" s="9" t="s">
        <v>2532</v>
      </c>
      <c r="D188" s="9" t="s">
        <v>866</v>
      </c>
      <c r="E188" s="9" t="s">
        <v>867</v>
      </c>
      <c r="F188" s="9" t="s">
        <v>2533</v>
      </c>
      <c r="G188" s="9" t="s">
        <v>100</v>
      </c>
      <c r="H188" s="9" t="s">
        <v>881</v>
      </c>
      <c r="I188" s="9" t="s">
        <v>2534</v>
      </c>
      <c r="J188" s="9" t="s">
        <v>2535</v>
      </c>
      <c r="K188" s="9" t="s">
        <v>2536</v>
      </c>
      <c r="L188" s="9" t="s">
        <v>2537</v>
      </c>
      <c r="M188" s="9" t="s">
        <v>2538</v>
      </c>
      <c r="N188" s="9" t="s">
        <v>2539</v>
      </c>
      <c r="O188" s="9" t="s">
        <v>876</v>
      </c>
    </row>
    <row r="189" customFormat="false" ht="78" hidden="false" customHeight="true" outlineLevel="0" collapsed="false">
      <c r="A189" s="9" t="s">
        <v>2540</v>
      </c>
      <c r="B189" s="9" t="s">
        <v>368</v>
      </c>
      <c r="C189" s="9" t="s">
        <v>2541</v>
      </c>
      <c r="D189" s="9" t="s">
        <v>866</v>
      </c>
      <c r="E189" s="9" t="s">
        <v>867</v>
      </c>
      <c r="F189" s="9" t="s">
        <v>2542</v>
      </c>
      <c r="G189" s="9" t="s">
        <v>100</v>
      </c>
      <c r="H189" s="9" t="s">
        <v>881</v>
      </c>
      <c r="I189" s="9" t="s">
        <v>2543</v>
      </c>
      <c r="J189" s="9" t="s">
        <v>2544</v>
      </c>
      <c r="K189" s="9" t="s">
        <v>2545</v>
      </c>
      <c r="L189" s="9" t="s">
        <v>2546</v>
      </c>
      <c r="M189" s="9" t="s">
        <v>2547</v>
      </c>
      <c r="N189" s="9" t="s">
        <v>2548</v>
      </c>
      <c r="O189" s="9" t="s">
        <v>876</v>
      </c>
    </row>
    <row r="190" customFormat="false" ht="78" hidden="false" customHeight="true" outlineLevel="0" collapsed="false">
      <c r="A190" s="9" t="s">
        <v>2549</v>
      </c>
      <c r="B190" s="9" t="s">
        <v>2550</v>
      </c>
      <c r="C190" s="9" t="s">
        <v>2551</v>
      </c>
      <c r="D190" s="9" t="s">
        <v>822</v>
      </c>
      <c r="E190" s="9" t="s">
        <v>1005</v>
      </c>
      <c r="F190" s="9" t="s">
        <v>2552</v>
      </c>
      <c r="G190" s="9" t="s">
        <v>100</v>
      </c>
      <c r="H190" s="9" t="s">
        <v>1092</v>
      </c>
      <c r="I190" s="9" t="s">
        <v>2553</v>
      </c>
      <c r="J190" s="9" t="s">
        <v>2554</v>
      </c>
      <c r="K190" s="9" t="s">
        <v>2555</v>
      </c>
      <c r="L190" s="9" t="s">
        <v>2556</v>
      </c>
      <c r="M190" s="9" t="s">
        <v>2557</v>
      </c>
      <c r="N190" s="9" t="s">
        <v>2558</v>
      </c>
      <c r="O190" s="9" t="s">
        <v>876</v>
      </c>
    </row>
    <row r="191" customFormat="false" ht="78" hidden="false" customHeight="true" outlineLevel="0" collapsed="false">
      <c r="A191" s="9" t="s">
        <v>2559</v>
      </c>
      <c r="B191" s="9" t="s">
        <v>2560</v>
      </c>
      <c r="C191" s="9" t="s">
        <v>2561</v>
      </c>
      <c r="D191" s="9" t="s">
        <v>822</v>
      </c>
      <c r="E191" s="9" t="s">
        <v>1005</v>
      </c>
      <c r="F191" s="9" t="s">
        <v>2562</v>
      </c>
      <c r="G191" s="9" t="s">
        <v>100</v>
      </c>
      <c r="H191" s="9" t="s">
        <v>1092</v>
      </c>
      <c r="I191" s="9" t="s">
        <v>2563</v>
      </c>
      <c r="J191" s="9" t="s">
        <v>2564</v>
      </c>
      <c r="K191" s="9" t="s">
        <v>2565</v>
      </c>
      <c r="L191" s="9" t="s">
        <v>2566</v>
      </c>
      <c r="M191" s="9" t="s">
        <v>2567</v>
      </c>
      <c r="N191" s="9" t="s">
        <v>2568</v>
      </c>
      <c r="O191" s="9" t="s">
        <v>876</v>
      </c>
    </row>
    <row r="192" customFormat="false" ht="78" hidden="false" customHeight="true" outlineLevel="0" collapsed="false">
      <c r="A192" s="9" t="s">
        <v>2569</v>
      </c>
      <c r="B192" s="9" t="s">
        <v>2570</v>
      </c>
      <c r="C192" s="9" t="s">
        <v>2571</v>
      </c>
      <c r="D192" s="9" t="s">
        <v>822</v>
      </c>
      <c r="E192" s="9" t="s">
        <v>1005</v>
      </c>
      <c r="F192" s="9" t="s">
        <v>2562</v>
      </c>
      <c r="G192" s="9" t="s">
        <v>100</v>
      </c>
      <c r="H192" s="9" t="s">
        <v>1092</v>
      </c>
      <c r="I192" s="9" t="s">
        <v>2572</v>
      </c>
      <c r="J192" s="9" t="s">
        <v>2573</v>
      </c>
      <c r="K192" s="9" t="s">
        <v>2574</v>
      </c>
      <c r="L192" s="9" t="s">
        <v>2575</v>
      </c>
      <c r="M192" s="9" t="s">
        <v>2576</v>
      </c>
      <c r="N192" s="9" t="s">
        <v>2577</v>
      </c>
      <c r="O192" s="9" t="s">
        <v>876</v>
      </c>
    </row>
    <row r="193" customFormat="false" ht="78" hidden="false" customHeight="true" outlineLevel="0" collapsed="false">
      <c r="A193" s="9" t="s">
        <v>2578</v>
      </c>
      <c r="B193" s="9" t="s">
        <v>2579</v>
      </c>
      <c r="C193" s="9" t="s">
        <v>2580</v>
      </c>
      <c r="D193" s="9" t="s">
        <v>866</v>
      </c>
      <c r="E193" s="9" t="s">
        <v>867</v>
      </c>
      <c r="F193" s="9" t="s">
        <v>1043</v>
      </c>
      <c r="G193" s="9" t="s">
        <v>76</v>
      </c>
      <c r="H193" s="9" t="s">
        <v>881</v>
      </c>
      <c r="I193" s="9" t="s">
        <v>2581</v>
      </c>
      <c r="J193" s="9" t="s">
        <v>2582</v>
      </c>
      <c r="K193" s="9" t="s">
        <v>2583</v>
      </c>
      <c r="L193" s="9" t="s">
        <v>2584</v>
      </c>
      <c r="M193" s="9" t="s">
        <v>2585</v>
      </c>
      <c r="N193" s="9" t="s">
        <v>2586</v>
      </c>
      <c r="O193" s="9" t="s">
        <v>876</v>
      </c>
    </row>
    <row r="194" customFormat="false" ht="78" hidden="false" customHeight="true" outlineLevel="0" collapsed="false">
      <c r="A194" s="9" t="s">
        <v>2587</v>
      </c>
      <c r="B194" s="9" t="s">
        <v>2588</v>
      </c>
      <c r="C194" s="9" t="s">
        <v>2589</v>
      </c>
      <c r="D194" s="9" t="s">
        <v>866</v>
      </c>
      <c r="E194" s="9" t="s">
        <v>867</v>
      </c>
      <c r="F194" s="9" t="s">
        <v>2590</v>
      </c>
      <c r="G194" s="9" t="s">
        <v>70</v>
      </c>
      <c r="H194" s="9" t="s">
        <v>1092</v>
      </c>
      <c r="I194" s="9" t="s">
        <v>2591</v>
      </c>
      <c r="J194" s="9" t="s">
        <v>2592</v>
      </c>
      <c r="K194" s="9" t="s">
        <v>2593</v>
      </c>
      <c r="L194" s="9" t="s">
        <v>2594</v>
      </c>
      <c r="M194" s="9" t="s">
        <v>2595</v>
      </c>
      <c r="N194" s="9" t="s">
        <v>2596</v>
      </c>
      <c r="O194" s="9" t="s">
        <v>876</v>
      </c>
    </row>
    <row r="195" customFormat="false" ht="78" hidden="false" customHeight="true" outlineLevel="0" collapsed="false">
      <c r="A195" s="9" t="s">
        <v>2597</v>
      </c>
      <c r="B195" s="9" t="s">
        <v>293</v>
      </c>
      <c r="C195" s="9" t="s">
        <v>2598</v>
      </c>
      <c r="D195" s="9" t="s">
        <v>2599</v>
      </c>
      <c r="E195" s="9" t="s">
        <v>2600</v>
      </c>
      <c r="F195" s="9" t="s">
        <v>2601</v>
      </c>
      <c r="G195" s="9" t="s">
        <v>76</v>
      </c>
      <c r="H195" s="9" t="s">
        <v>2602</v>
      </c>
      <c r="I195" s="9" t="s">
        <v>2603</v>
      </c>
      <c r="J195" s="9" t="s">
        <v>2604</v>
      </c>
      <c r="K195" s="9" t="s">
        <v>2605</v>
      </c>
      <c r="L195" s="9" t="s">
        <v>2606</v>
      </c>
      <c r="M195" s="9" t="s">
        <v>2607</v>
      </c>
      <c r="N195" s="9" t="s">
        <v>2608</v>
      </c>
      <c r="O195" s="9" t="s">
        <v>876</v>
      </c>
    </row>
    <row r="196" customFormat="false" ht="78" hidden="false" customHeight="true" outlineLevel="0" collapsed="false">
      <c r="A196" s="9" t="s">
        <v>2609</v>
      </c>
      <c r="B196" s="9" t="s">
        <v>298</v>
      </c>
      <c r="C196" s="9" t="s">
        <v>295</v>
      </c>
      <c r="D196" s="9" t="s">
        <v>866</v>
      </c>
      <c r="E196" s="9" t="s">
        <v>867</v>
      </c>
      <c r="F196" s="9" t="s">
        <v>2610</v>
      </c>
      <c r="G196" s="9" t="s">
        <v>76</v>
      </c>
      <c r="H196" s="9" t="s">
        <v>881</v>
      </c>
      <c r="I196" s="9" t="s">
        <v>2611</v>
      </c>
      <c r="J196" s="9" t="s">
        <v>2612</v>
      </c>
      <c r="K196" s="9" t="s">
        <v>2613</v>
      </c>
      <c r="L196" s="9" t="s">
        <v>2614</v>
      </c>
      <c r="M196" s="9" t="s">
        <v>2615</v>
      </c>
      <c r="N196" s="9" t="s">
        <v>2616</v>
      </c>
      <c r="O196" s="9" t="s">
        <v>876</v>
      </c>
    </row>
    <row r="197" customFormat="false" ht="78" hidden="false" customHeight="true" outlineLevel="0" collapsed="false">
      <c r="A197" s="9" t="s">
        <v>2617</v>
      </c>
      <c r="B197" s="9" t="s">
        <v>2618</v>
      </c>
      <c r="C197" s="9" t="s">
        <v>2619</v>
      </c>
      <c r="D197" s="9" t="s">
        <v>866</v>
      </c>
      <c r="E197" s="9" t="s">
        <v>867</v>
      </c>
      <c r="F197" s="9" t="s">
        <v>2620</v>
      </c>
      <c r="G197" s="9" t="s">
        <v>63</v>
      </c>
      <c r="H197" s="9" t="s">
        <v>881</v>
      </c>
      <c r="I197" s="9" t="s">
        <v>2621</v>
      </c>
      <c r="J197" s="9" t="s">
        <v>2622</v>
      </c>
      <c r="K197" s="9" t="s">
        <v>2623</v>
      </c>
      <c r="L197" s="9" t="s">
        <v>2624</v>
      </c>
      <c r="M197" s="9" t="s">
        <v>2625</v>
      </c>
      <c r="N197" s="9" t="s">
        <v>2626</v>
      </c>
      <c r="O197" s="9" t="s">
        <v>876</v>
      </c>
    </row>
    <row r="198" customFormat="false" ht="78" hidden="false" customHeight="true" outlineLevel="0" collapsed="false">
      <c r="A198" s="9" t="s">
        <v>2627</v>
      </c>
      <c r="B198" s="9" t="s">
        <v>835</v>
      </c>
      <c r="C198" s="9" t="s">
        <v>244</v>
      </c>
      <c r="D198" s="9" t="s">
        <v>866</v>
      </c>
      <c r="E198" s="9" t="s">
        <v>867</v>
      </c>
      <c r="F198" s="9" t="s">
        <v>2628</v>
      </c>
      <c r="G198" s="9" t="s">
        <v>63</v>
      </c>
      <c r="H198" s="9" t="s">
        <v>881</v>
      </c>
      <c r="I198" s="9" t="s">
        <v>2629</v>
      </c>
      <c r="J198" s="9" t="s">
        <v>2630</v>
      </c>
      <c r="K198" s="9" t="s">
        <v>2631</v>
      </c>
      <c r="L198" s="9" t="s">
        <v>2632</v>
      </c>
      <c r="M198" s="9" t="s">
        <v>2633</v>
      </c>
      <c r="N198" s="9" t="s">
        <v>2634</v>
      </c>
      <c r="O198" s="9" t="s">
        <v>876</v>
      </c>
    </row>
    <row r="199" customFormat="false" ht="78" hidden="false" customHeight="true" outlineLevel="0" collapsed="false">
      <c r="A199" s="9" t="s">
        <v>2635</v>
      </c>
      <c r="B199" s="9" t="s">
        <v>2636</v>
      </c>
      <c r="C199" s="9" t="s">
        <v>2637</v>
      </c>
      <c r="D199" s="9" t="s">
        <v>866</v>
      </c>
      <c r="E199" s="9" t="s">
        <v>867</v>
      </c>
      <c r="F199" s="9" t="s">
        <v>2638</v>
      </c>
      <c r="G199" s="9" t="s">
        <v>63</v>
      </c>
      <c r="H199" s="9" t="s">
        <v>881</v>
      </c>
      <c r="I199" s="9" t="s">
        <v>2639</v>
      </c>
      <c r="J199" s="9" t="s">
        <v>2640</v>
      </c>
      <c r="K199" s="9" t="s">
        <v>2641</v>
      </c>
      <c r="L199" s="9" t="s">
        <v>1057</v>
      </c>
      <c r="M199" s="9" t="s">
        <v>2642</v>
      </c>
      <c r="N199" s="9" t="s">
        <v>2643</v>
      </c>
      <c r="O199" s="9" t="s">
        <v>876</v>
      </c>
    </row>
    <row r="200" customFormat="false" ht="78" hidden="false" customHeight="true" outlineLevel="0" collapsed="false">
      <c r="A200" s="9" t="s">
        <v>2644</v>
      </c>
      <c r="B200" s="9" t="s">
        <v>2645</v>
      </c>
      <c r="C200" s="9" t="s">
        <v>2646</v>
      </c>
      <c r="D200" s="9" t="s">
        <v>866</v>
      </c>
      <c r="E200" s="9" t="s">
        <v>867</v>
      </c>
      <c r="F200" s="9" t="s">
        <v>2647</v>
      </c>
      <c r="G200" s="9" t="s">
        <v>100</v>
      </c>
      <c r="H200" s="9" t="s">
        <v>1092</v>
      </c>
      <c r="I200" s="9" t="s">
        <v>2648</v>
      </c>
      <c r="J200" s="9" t="s">
        <v>2649</v>
      </c>
      <c r="K200" s="9" t="s">
        <v>2650</v>
      </c>
      <c r="L200" s="9" t="s">
        <v>2651</v>
      </c>
      <c r="M200" s="9" t="s">
        <v>2652</v>
      </c>
      <c r="N200" s="9" t="s">
        <v>2653</v>
      </c>
      <c r="O200" s="9" t="s">
        <v>876</v>
      </c>
    </row>
    <row r="201" customFormat="false" ht="78" hidden="false" customHeight="true" outlineLevel="0" collapsed="false">
      <c r="A201" s="9" t="s">
        <v>2654</v>
      </c>
      <c r="B201" s="9" t="s">
        <v>2655</v>
      </c>
      <c r="C201" s="9" t="s">
        <v>2656</v>
      </c>
      <c r="D201" s="9" t="s">
        <v>866</v>
      </c>
      <c r="E201" s="9" t="s">
        <v>867</v>
      </c>
      <c r="F201" s="9" t="s">
        <v>2657</v>
      </c>
      <c r="G201" s="9" t="s">
        <v>183</v>
      </c>
      <c r="H201" s="9" t="s">
        <v>1092</v>
      </c>
      <c r="I201" s="9" t="s">
        <v>2658</v>
      </c>
      <c r="J201" s="9" t="s">
        <v>2659</v>
      </c>
      <c r="K201" s="9" t="s">
        <v>2660</v>
      </c>
      <c r="L201" s="9" t="s">
        <v>1096</v>
      </c>
      <c r="M201" s="9" t="s">
        <v>2661</v>
      </c>
      <c r="N201" s="9" t="s">
        <v>2662</v>
      </c>
      <c r="O201" s="9" t="s">
        <v>876</v>
      </c>
    </row>
    <row r="202" customFormat="false" ht="78" hidden="false" customHeight="true" outlineLevel="0" collapsed="false">
      <c r="A202" s="9" t="s">
        <v>2663</v>
      </c>
      <c r="B202" s="9" t="s">
        <v>2664</v>
      </c>
      <c r="C202" s="9" t="s">
        <v>2665</v>
      </c>
      <c r="D202" s="9" t="s">
        <v>866</v>
      </c>
      <c r="E202" s="9" t="s">
        <v>867</v>
      </c>
      <c r="F202" s="9" t="s">
        <v>2666</v>
      </c>
      <c r="G202" s="9" t="s">
        <v>183</v>
      </c>
      <c r="H202" s="9" t="s">
        <v>1092</v>
      </c>
      <c r="I202" s="9" t="s">
        <v>2667</v>
      </c>
      <c r="J202" s="9" t="s">
        <v>2668</v>
      </c>
      <c r="K202" s="9" t="s">
        <v>2669</v>
      </c>
      <c r="L202" s="9" t="s">
        <v>1096</v>
      </c>
      <c r="M202" s="9" t="s">
        <v>2670</v>
      </c>
      <c r="N202" s="9" t="s">
        <v>2671</v>
      </c>
      <c r="O202" s="9" t="s">
        <v>876</v>
      </c>
    </row>
    <row r="203" customFormat="false" ht="78" hidden="false" customHeight="true" outlineLevel="0" collapsed="false">
      <c r="A203" s="9" t="s">
        <v>2672</v>
      </c>
      <c r="B203" s="9" t="s">
        <v>2673</v>
      </c>
      <c r="C203" s="9" t="s">
        <v>2674</v>
      </c>
      <c r="D203" s="9" t="s">
        <v>866</v>
      </c>
      <c r="E203" s="9" t="s">
        <v>867</v>
      </c>
      <c r="F203" s="9" t="s">
        <v>2675</v>
      </c>
      <c r="G203" s="9" t="s">
        <v>70</v>
      </c>
      <c r="H203" s="9" t="s">
        <v>1092</v>
      </c>
      <c r="I203" s="9" t="s">
        <v>2676</v>
      </c>
      <c r="J203" s="9" t="s">
        <v>2677</v>
      </c>
      <c r="K203" s="9" t="s">
        <v>2678</v>
      </c>
      <c r="L203" s="9" t="s">
        <v>1096</v>
      </c>
      <c r="M203" s="9" t="s">
        <v>2679</v>
      </c>
      <c r="N203" s="9" t="s">
        <v>2680</v>
      </c>
      <c r="O203" s="9" t="s">
        <v>876</v>
      </c>
    </row>
    <row r="204" customFormat="false" ht="78" hidden="false" customHeight="true" outlineLevel="0" collapsed="false">
      <c r="A204" s="9" t="s">
        <v>2681</v>
      </c>
      <c r="B204" s="9" t="s">
        <v>2682</v>
      </c>
      <c r="C204" s="9" t="s">
        <v>2683</v>
      </c>
      <c r="D204" s="9" t="s">
        <v>866</v>
      </c>
      <c r="E204" s="9" t="s">
        <v>867</v>
      </c>
      <c r="F204" s="9" t="s">
        <v>2684</v>
      </c>
      <c r="G204" s="9" t="s">
        <v>63</v>
      </c>
      <c r="H204" s="9" t="s">
        <v>1092</v>
      </c>
      <c r="I204" s="9" t="s">
        <v>2685</v>
      </c>
      <c r="J204" s="9" t="s">
        <v>2686</v>
      </c>
      <c r="K204" s="9" t="s">
        <v>2687</v>
      </c>
      <c r="L204" s="9" t="s">
        <v>2688</v>
      </c>
      <c r="M204" s="9" t="s">
        <v>2689</v>
      </c>
      <c r="N204" s="9" t="s">
        <v>2690</v>
      </c>
      <c r="O204" s="9" t="s">
        <v>876</v>
      </c>
    </row>
    <row r="205" customFormat="false" ht="78" hidden="false" customHeight="true" outlineLevel="0" collapsed="false">
      <c r="A205" s="9" t="s">
        <v>2691</v>
      </c>
      <c r="B205" s="9" t="s">
        <v>2692</v>
      </c>
      <c r="C205" s="9" t="s">
        <v>2693</v>
      </c>
      <c r="D205" s="9" t="s">
        <v>866</v>
      </c>
      <c r="E205" s="9" t="s">
        <v>867</v>
      </c>
      <c r="F205" s="9" t="s">
        <v>2694</v>
      </c>
      <c r="G205" s="9" t="s">
        <v>63</v>
      </c>
      <c r="H205" s="9" t="s">
        <v>1092</v>
      </c>
      <c r="I205" s="9" t="s">
        <v>2695</v>
      </c>
      <c r="J205" s="9" t="s">
        <v>2696</v>
      </c>
      <c r="K205" s="9" t="s">
        <v>2697</v>
      </c>
      <c r="L205" s="9" t="s">
        <v>2698</v>
      </c>
      <c r="M205" s="9" t="s">
        <v>2699</v>
      </c>
      <c r="N205" s="9" t="s">
        <v>2700</v>
      </c>
      <c r="O205" s="9" t="s">
        <v>876</v>
      </c>
    </row>
    <row r="206" customFormat="false" ht="78" hidden="false" customHeight="true" outlineLevel="0" collapsed="false">
      <c r="A206" s="9" t="s">
        <v>2701</v>
      </c>
      <c r="B206" s="9" t="s">
        <v>2702</v>
      </c>
      <c r="C206" s="9" t="s">
        <v>2703</v>
      </c>
      <c r="D206" s="9" t="s">
        <v>866</v>
      </c>
      <c r="E206" s="9" t="s">
        <v>867</v>
      </c>
      <c r="F206" s="9" t="s">
        <v>2704</v>
      </c>
      <c r="G206" s="9" t="s">
        <v>157</v>
      </c>
      <c r="H206" s="9" t="s">
        <v>1092</v>
      </c>
      <c r="I206" s="9" t="s">
        <v>2705</v>
      </c>
      <c r="J206" s="9" t="s">
        <v>2706</v>
      </c>
      <c r="K206" s="9" t="s">
        <v>2707</v>
      </c>
      <c r="L206" s="9" t="s">
        <v>2708</v>
      </c>
      <c r="M206" s="9" t="s">
        <v>2709</v>
      </c>
      <c r="N206" s="9" t="s">
        <v>2710</v>
      </c>
      <c r="O206" s="9" t="s">
        <v>876</v>
      </c>
    </row>
    <row r="207" customFormat="false" ht="78" hidden="false" customHeight="true" outlineLevel="0" collapsed="false">
      <c r="A207" s="9" t="s">
        <v>2711</v>
      </c>
      <c r="B207" s="9" t="s">
        <v>2712</v>
      </c>
      <c r="C207" s="9" t="s">
        <v>2713</v>
      </c>
      <c r="D207" s="9" t="s">
        <v>866</v>
      </c>
      <c r="E207" s="9" t="s">
        <v>867</v>
      </c>
      <c r="F207" s="9" t="s">
        <v>2714</v>
      </c>
      <c r="G207" s="9" t="s">
        <v>157</v>
      </c>
      <c r="H207" s="9" t="s">
        <v>1092</v>
      </c>
      <c r="I207" s="9" t="s">
        <v>2715</v>
      </c>
      <c r="J207" s="9" t="s">
        <v>2716</v>
      </c>
      <c r="K207" s="9" t="s">
        <v>2717</v>
      </c>
      <c r="L207" s="9" t="s">
        <v>2718</v>
      </c>
      <c r="M207" s="9" t="s">
        <v>2719</v>
      </c>
      <c r="N207" s="9" t="s">
        <v>2720</v>
      </c>
      <c r="O207" s="9" t="s">
        <v>876</v>
      </c>
    </row>
    <row r="208" customFormat="false" ht="78" hidden="false" customHeight="true" outlineLevel="0" collapsed="false">
      <c r="A208" s="9" t="s">
        <v>2721</v>
      </c>
      <c r="B208" s="9" t="s">
        <v>2722</v>
      </c>
      <c r="C208" s="9" t="s">
        <v>2723</v>
      </c>
      <c r="D208" s="9" t="s">
        <v>866</v>
      </c>
      <c r="E208" s="9" t="s">
        <v>867</v>
      </c>
      <c r="F208" s="9" t="s">
        <v>2724</v>
      </c>
      <c r="G208" s="9" t="s">
        <v>63</v>
      </c>
      <c r="H208" s="9" t="s">
        <v>1092</v>
      </c>
      <c r="I208" s="9" t="s">
        <v>2725</v>
      </c>
      <c r="J208" s="9" t="s">
        <v>2726</v>
      </c>
      <c r="K208" s="9" t="s">
        <v>2727</v>
      </c>
      <c r="L208" s="9" t="s">
        <v>2728</v>
      </c>
      <c r="M208" s="9" t="s">
        <v>2729</v>
      </c>
      <c r="N208" s="9" t="s">
        <v>2730</v>
      </c>
      <c r="O208" s="9" t="s">
        <v>876</v>
      </c>
    </row>
    <row r="209" customFormat="false" ht="78" hidden="false" customHeight="true" outlineLevel="0" collapsed="false">
      <c r="A209" s="9" t="s">
        <v>2731</v>
      </c>
      <c r="B209" s="9" t="s">
        <v>2732</v>
      </c>
      <c r="C209" s="9" t="s">
        <v>2733</v>
      </c>
      <c r="D209" s="9" t="s">
        <v>866</v>
      </c>
      <c r="E209" s="9" t="s">
        <v>867</v>
      </c>
      <c r="F209" s="9" t="s">
        <v>2734</v>
      </c>
      <c r="G209" s="9" t="s">
        <v>100</v>
      </c>
      <c r="H209" s="9" t="s">
        <v>1092</v>
      </c>
      <c r="I209" s="9" t="s">
        <v>2735</v>
      </c>
      <c r="J209" s="9" t="s">
        <v>2736</v>
      </c>
      <c r="K209" s="9" t="s">
        <v>2737</v>
      </c>
      <c r="L209" s="9" t="s">
        <v>2738</v>
      </c>
      <c r="M209" s="9" t="s">
        <v>2739</v>
      </c>
      <c r="N209" s="9" t="s">
        <v>2740</v>
      </c>
      <c r="O209" s="9" t="s">
        <v>876</v>
      </c>
    </row>
    <row r="210" customFormat="false" ht="78" hidden="false" customHeight="true" outlineLevel="0" collapsed="false">
      <c r="A210" s="9" t="s">
        <v>2741</v>
      </c>
      <c r="B210" s="9" t="s">
        <v>2742</v>
      </c>
      <c r="C210" s="9" t="s">
        <v>2743</v>
      </c>
      <c r="D210" s="9" t="s">
        <v>866</v>
      </c>
      <c r="E210" s="9" t="s">
        <v>867</v>
      </c>
      <c r="F210" s="9" t="s">
        <v>2744</v>
      </c>
      <c r="G210" s="9" t="s">
        <v>63</v>
      </c>
      <c r="H210" s="9" t="s">
        <v>1092</v>
      </c>
      <c r="I210" s="9" t="s">
        <v>2745</v>
      </c>
      <c r="J210" s="9" t="s">
        <v>2746</v>
      </c>
      <c r="K210" s="9" t="s">
        <v>2747</v>
      </c>
      <c r="L210" s="9" t="s">
        <v>2748</v>
      </c>
      <c r="M210" s="9" t="s">
        <v>2749</v>
      </c>
      <c r="N210" s="9" t="s">
        <v>2750</v>
      </c>
      <c r="O210" s="9" t="s">
        <v>876</v>
      </c>
    </row>
    <row r="211" customFormat="false" ht="78" hidden="false" customHeight="true" outlineLevel="0" collapsed="false">
      <c r="A211" s="9" t="s">
        <v>2751</v>
      </c>
      <c r="B211" s="9" t="s">
        <v>2752</v>
      </c>
      <c r="C211" s="9" t="s">
        <v>2753</v>
      </c>
      <c r="D211" s="9" t="s">
        <v>866</v>
      </c>
      <c r="E211" s="9" t="s">
        <v>867</v>
      </c>
      <c r="F211" s="9" t="s">
        <v>2754</v>
      </c>
      <c r="G211" s="9" t="s">
        <v>120</v>
      </c>
      <c r="H211" s="9" t="s">
        <v>1092</v>
      </c>
      <c r="I211" s="9" t="s">
        <v>2755</v>
      </c>
      <c r="J211" s="9" t="s">
        <v>2756</v>
      </c>
      <c r="K211" s="9" t="s">
        <v>2757</v>
      </c>
      <c r="L211" s="9" t="s">
        <v>2758</v>
      </c>
      <c r="M211" s="9" t="s">
        <v>2759</v>
      </c>
      <c r="N211" s="9" t="s">
        <v>2760</v>
      </c>
      <c r="O211" s="9" t="s">
        <v>876</v>
      </c>
    </row>
    <row r="212" customFormat="false" ht="78" hidden="false" customHeight="true" outlineLevel="0" collapsed="false">
      <c r="A212" s="9" t="s">
        <v>2761</v>
      </c>
      <c r="B212" s="9" t="s">
        <v>494</v>
      </c>
      <c r="C212" s="9" t="s">
        <v>2762</v>
      </c>
      <c r="D212" s="9" t="s">
        <v>866</v>
      </c>
      <c r="E212" s="9" t="s">
        <v>867</v>
      </c>
      <c r="F212" s="9" t="s">
        <v>2763</v>
      </c>
      <c r="G212" s="9" t="s">
        <v>169</v>
      </c>
      <c r="H212" s="9" t="s">
        <v>881</v>
      </c>
      <c r="I212" s="9" t="s">
        <v>2764</v>
      </c>
      <c r="J212" s="9" t="s">
        <v>2765</v>
      </c>
      <c r="K212" s="9" t="s">
        <v>2766</v>
      </c>
      <c r="L212" s="9" t="s">
        <v>2767</v>
      </c>
      <c r="M212" s="9" t="s">
        <v>2768</v>
      </c>
      <c r="N212" s="9" t="s">
        <v>2769</v>
      </c>
      <c r="O212" s="9" t="s">
        <v>876</v>
      </c>
    </row>
    <row r="213" customFormat="false" ht="78" hidden="false" customHeight="true" outlineLevel="0" collapsed="false">
      <c r="A213" s="9" t="s">
        <v>2770</v>
      </c>
      <c r="B213" s="9" t="s">
        <v>2771</v>
      </c>
      <c r="C213" s="9" t="s">
        <v>2772</v>
      </c>
      <c r="D213" s="9" t="s">
        <v>866</v>
      </c>
      <c r="E213" s="9" t="s">
        <v>867</v>
      </c>
      <c r="F213" s="9" t="s">
        <v>2773</v>
      </c>
      <c r="G213" s="9" t="s">
        <v>120</v>
      </c>
      <c r="H213" s="9" t="s">
        <v>1092</v>
      </c>
      <c r="I213" s="9" t="s">
        <v>2774</v>
      </c>
      <c r="J213" s="9" t="s">
        <v>2775</v>
      </c>
      <c r="K213" s="9" t="s">
        <v>2776</v>
      </c>
      <c r="L213" s="9" t="s">
        <v>2777</v>
      </c>
      <c r="M213" s="9" t="s">
        <v>2778</v>
      </c>
      <c r="N213" s="9" t="s">
        <v>2779</v>
      </c>
      <c r="O213" s="9" t="s">
        <v>876</v>
      </c>
    </row>
    <row r="214" customFormat="false" ht="78" hidden="false" customHeight="true" outlineLevel="0" collapsed="false">
      <c r="A214" s="9" t="s">
        <v>2780</v>
      </c>
      <c r="B214" s="9" t="s">
        <v>744</v>
      </c>
      <c r="C214" s="9" t="s">
        <v>2781</v>
      </c>
      <c r="D214" s="9" t="s">
        <v>866</v>
      </c>
      <c r="E214" s="9" t="s">
        <v>867</v>
      </c>
      <c r="F214" s="9" t="s">
        <v>2782</v>
      </c>
      <c r="G214" s="9" t="s">
        <v>120</v>
      </c>
      <c r="H214" s="9" t="s">
        <v>881</v>
      </c>
      <c r="I214" s="9" t="s">
        <v>2783</v>
      </c>
      <c r="J214" s="9" t="s">
        <v>2784</v>
      </c>
      <c r="K214" s="9" t="s">
        <v>2785</v>
      </c>
      <c r="L214" s="9" t="s">
        <v>2786</v>
      </c>
      <c r="M214" s="9" t="s">
        <v>2787</v>
      </c>
      <c r="N214" s="9" t="s">
        <v>2788</v>
      </c>
      <c r="O214" s="9" t="s">
        <v>876</v>
      </c>
    </row>
    <row r="215" customFormat="false" ht="78" hidden="false" customHeight="true" outlineLevel="0" collapsed="false">
      <c r="A215" s="9" t="s">
        <v>2789</v>
      </c>
      <c r="B215" s="9" t="s">
        <v>2790</v>
      </c>
      <c r="C215" s="9" t="s">
        <v>2791</v>
      </c>
      <c r="D215" s="9" t="s">
        <v>866</v>
      </c>
      <c r="E215" s="9" t="s">
        <v>867</v>
      </c>
      <c r="F215" s="9" t="s">
        <v>2792</v>
      </c>
      <c r="G215" s="9" t="s">
        <v>120</v>
      </c>
      <c r="H215" s="9" t="s">
        <v>1092</v>
      </c>
      <c r="I215" s="9" t="s">
        <v>2793</v>
      </c>
      <c r="J215" s="9" t="s">
        <v>2794</v>
      </c>
      <c r="K215" s="9" t="s">
        <v>2795</v>
      </c>
      <c r="L215" s="9" t="s">
        <v>2796</v>
      </c>
      <c r="M215" s="9" t="s">
        <v>2797</v>
      </c>
      <c r="N215" s="9" t="s">
        <v>2798</v>
      </c>
      <c r="O215" s="9" t="s">
        <v>876</v>
      </c>
    </row>
    <row r="216" customFormat="false" ht="78" hidden="false" customHeight="true" outlineLevel="0" collapsed="false">
      <c r="A216" s="9" t="s">
        <v>2799</v>
      </c>
      <c r="B216" s="9" t="s">
        <v>2800</v>
      </c>
      <c r="C216" s="9" t="s">
        <v>2801</v>
      </c>
      <c r="D216" s="9" t="s">
        <v>866</v>
      </c>
      <c r="E216" s="9" t="s">
        <v>867</v>
      </c>
      <c r="F216" s="9" t="s">
        <v>2802</v>
      </c>
      <c r="G216" s="9" t="s">
        <v>120</v>
      </c>
      <c r="H216" s="9" t="s">
        <v>1092</v>
      </c>
      <c r="I216" s="9" t="s">
        <v>2803</v>
      </c>
      <c r="J216" s="9" t="s">
        <v>2804</v>
      </c>
      <c r="K216" s="9" t="s">
        <v>2805</v>
      </c>
      <c r="L216" s="9" t="s">
        <v>2806</v>
      </c>
      <c r="M216" s="9" t="s">
        <v>2807</v>
      </c>
      <c r="N216" s="9" t="s">
        <v>2808</v>
      </c>
      <c r="O216" s="9" t="s">
        <v>876</v>
      </c>
    </row>
    <row r="217" customFormat="false" ht="78" hidden="false" customHeight="true" outlineLevel="0" collapsed="false">
      <c r="A217" s="9" t="s">
        <v>2809</v>
      </c>
      <c r="B217" s="9" t="s">
        <v>752</v>
      </c>
      <c r="C217" s="9" t="s">
        <v>2810</v>
      </c>
      <c r="D217" s="9" t="s">
        <v>866</v>
      </c>
      <c r="E217" s="9" t="s">
        <v>867</v>
      </c>
      <c r="F217" s="9" t="s">
        <v>2811</v>
      </c>
      <c r="G217" s="9" t="s">
        <v>120</v>
      </c>
      <c r="H217" s="9" t="s">
        <v>881</v>
      </c>
      <c r="I217" s="9" t="s">
        <v>2812</v>
      </c>
      <c r="J217" s="9" t="s">
        <v>2813</v>
      </c>
      <c r="K217" s="9" t="s">
        <v>2814</v>
      </c>
      <c r="L217" s="9" t="s">
        <v>2815</v>
      </c>
      <c r="M217" s="9" t="s">
        <v>2816</v>
      </c>
      <c r="N217" s="9" t="s">
        <v>2817</v>
      </c>
      <c r="O217" s="9" t="s">
        <v>876</v>
      </c>
    </row>
    <row r="218" customFormat="false" ht="78" hidden="false" customHeight="true" outlineLevel="0" collapsed="false">
      <c r="A218" s="9" t="s">
        <v>2818</v>
      </c>
      <c r="B218" s="9" t="s">
        <v>2819</v>
      </c>
      <c r="C218" s="9" t="s">
        <v>2820</v>
      </c>
      <c r="D218" s="9" t="s">
        <v>866</v>
      </c>
      <c r="E218" s="9" t="s">
        <v>867</v>
      </c>
      <c r="F218" s="9" t="s">
        <v>2821</v>
      </c>
      <c r="G218" s="9" t="s">
        <v>120</v>
      </c>
      <c r="H218" s="9" t="s">
        <v>1092</v>
      </c>
      <c r="I218" s="9" t="s">
        <v>2822</v>
      </c>
      <c r="J218" s="9" t="s">
        <v>2823</v>
      </c>
      <c r="K218" s="9" t="s">
        <v>2824</v>
      </c>
      <c r="L218" s="9" t="s">
        <v>2825</v>
      </c>
      <c r="M218" s="9" t="s">
        <v>2826</v>
      </c>
      <c r="N218" s="9" t="s">
        <v>2827</v>
      </c>
      <c r="O218" s="9" t="s">
        <v>876</v>
      </c>
    </row>
    <row r="219" customFormat="false" ht="78" hidden="false" customHeight="true" outlineLevel="0" collapsed="false">
      <c r="A219" s="9" t="s">
        <v>2828</v>
      </c>
      <c r="B219" s="9" t="s">
        <v>2829</v>
      </c>
      <c r="C219" s="9" t="s">
        <v>2830</v>
      </c>
      <c r="D219" s="9" t="s">
        <v>866</v>
      </c>
      <c r="E219" s="9" t="s">
        <v>867</v>
      </c>
      <c r="F219" s="9" t="s">
        <v>2821</v>
      </c>
      <c r="G219" s="9" t="s">
        <v>120</v>
      </c>
      <c r="H219" s="9" t="s">
        <v>1092</v>
      </c>
      <c r="I219" s="9" t="s">
        <v>2831</v>
      </c>
      <c r="J219" s="9" t="s">
        <v>2832</v>
      </c>
      <c r="K219" s="9" t="s">
        <v>2824</v>
      </c>
      <c r="L219" s="9" t="s">
        <v>2833</v>
      </c>
      <c r="M219" s="9" t="s">
        <v>2834</v>
      </c>
      <c r="N219" s="9" t="s">
        <v>2835</v>
      </c>
      <c r="O219" s="9" t="s">
        <v>876</v>
      </c>
    </row>
    <row r="220" customFormat="false" ht="78" hidden="false" customHeight="true" outlineLevel="0" collapsed="false">
      <c r="A220" s="9" t="s">
        <v>2836</v>
      </c>
      <c r="B220" s="9" t="s">
        <v>760</v>
      </c>
      <c r="C220" s="9" t="s">
        <v>2837</v>
      </c>
      <c r="D220" s="9" t="s">
        <v>866</v>
      </c>
      <c r="E220" s="9" t="s">
        <v>867</v>
      </c>
      <c r="F220" s="9" t="s">
        <v>2838</v>
      </c>
      <c r="G220" s="9" t="s">
        <v>120</v>
      </c>
      <c r="H220" s="9" t="s">
        <v>881</v>
      </c>
      <c r="I220" s="9" t="s">
        <v>2839</v>
      </c>
      <c r="J220" s="9" t="s">
        <v>2840</v>
      </c>
      <c r="K220" s="9" t="s">
        <v>2841</v>
      </c>
      <c r="L220" s="9" t="s">
        <v>2842</v>
      </c>
      <c r="M220" s="9" t="s">
        <v>2843</v>
      </c>
      <c r="N220" s="9" t="s">
        <v>2844</v>
      </c>
      <c r="O220" s="9" t="s">
        <v>876</v>
      </c>
    </row>
    <row r="221" customFormat="false" ht="78" hidden="false" customHeight="true" outlineLevel="0" collapsed="false">
      <c r="A221" s="9" t="s">
        <v>2845</v>
      </c>
      <c r="B221" s="9" t="s">
        <v>2846</v>
      </c>
      <c r="C221" s="9" t="s">
        <v>2847</v>
      </c>
      <c r="D221" s="9" t="s">
        <v>866</v>
      </c>
      <c r="E221" s="9" t="s">
        <v>867</v>
      </c>
      <c r="F221" s="9" t="s">
        <v>2848</v>
      </c>
      <c r="G221" s="9" t="s">
        <v>157</v>
      </c>
      <c r="H221" s="9" t="s">
        <v>1092</v>
      </c>
      <c r="I221" s="9" t="s">
        <v>2849</v>
      </c>
      <c r="J221" s="9" t="s">
        <v>2850</v>
      </c>
      <c r="K221" s="9" t="s">
        <v>2851</v>
      </c>
      <c r="L221" s="9" t="s">
        <v>2852</v>
      </c>
      <c r="M221" s="9" t="s">
        <v>2853</v>
      </c>
      <c r="N221" s="9" t="s">
        <v>2854</v>
      </c>
      <c r="O221" s="9" t="s">
        <v>876</v>
      </c>
    </row>
    <row r="222" customFormat="false" ht="78" hidden="false" customHeight="true" outlineLevel="0" collapsed="false">
      <c r="A222" s="9" t="s">
        <v>2855</v>
      </c>
      <c r="B222" s="9" t="s">
        <v>2856</v>
      </c>
      <c r="C222" s="9" t="s">
        <v>2857</v>
      </c>
      <c r="D222" s="9" t="s">
        <v>866</v>
      </c>
      <c r="E222" s="9" t="s">
        <v>867</v>
      </c>
      <c r="F222" s="9" t="s">
        <v>2858</v>
      </c>
      <c r="G222" s="9" t="s">
        <v>94</v>
      </c>
      <c r="H222" s="9" t="s">
        <v>1092</v>
      </c>
      <c r="I222" s="9" t="s">
        <v>2859</v>
      </c>
      <c r="J222" s="9" t="s">
        <v>2860</v>
      </c>
      <c r="K222" s="9" t="s">
        <v>2861</v>
      </c>
      <c r="L222" s="9" t="s">
        <v>2862</v>
      </c>
      <c r="M222" s="9" t="s">
        <v>2863</v>
      </c>
      <c r="N222" s="9" t="s">
        <v>2864</v>
      </c>
      <c r="O222" s="9" t="s">
        <v>876</v>
      </c>
    </row>
    <row r="223" customFormat="false" ht="78" hidden="false" customHeight="true" outlineLevel="0" collapsed="false">
      <c r="A223" s="9" t="s">
        <v>2865</v>
      </c>
      <c r="B223" s="9" t="s">
        <v>2866</v>
      </c>
      <c r="C223" s="9" t="s">
        <v>2867</v>
      </c>
      <c r="D223" s="9" t="s">
        <v>866</v>
      </c>
      <c r="E223" s="9" t="s">
        <v>867</v>
      </c>
      <c r="F223" s="9" t="s">
        <v>2868</v>
      </c>
      <c r="G223" s="9" t="s">
        <v>70</v>
      </c>
      <c r="H223" s="9" t="s">
        <v>1092</v>
      </c>
      <c r="I223" s="9" t="s">
        <v>2869</v>
      </c>
      <c r="J223" s="9" t="s">
        <v>2870</v>
      </c>
      <c r="K223" s="9" t="s">
        <v>2871</v>
      </c>
      <c r="L223" s="9" t="s">
        <v>2872</v>
      </c>
      <c r="M223" s="9" t="s">
        <v>2873</v>
      </c>
      <c r="N223" s="9" t="s">
        <v>2874</v>
      </c>
      <c r="O223" s="9" t="s">
        <v>876</v>
      </c>
    </row>
    <row r="224" customFormat="false" ht="78" hidden="false" customHeight="true" outlineLevel="0" collapsed="false">
      <c r="A224" s="9" t="s">
        <v>2875</v>
      </c>
      <c r="B224" s="9" t="s">
        <v>2876</v>
      </c>
      <c r="C224" s="9" t="s">
        <v>2877</v>
      </c>
      <c r="D224" s="9" t="s">
        <v>866</v>
      </c>
      <c r="E224" s="9" t="s">
        <v>867</v>
      </c>
      <c r="F224" s="9" t="s">
        <v>2878</v>
      </c>
      <c r="G224" s="9" t="s">
        <v>127</v>
      </c>
      <c r="H224" s="9" t="s">
        <v>1092</v>
      </c>
      <c r="I224" s="9" t="s">
        <v>2879</v>
      </c>
      <c r="J224" s="9" t="s">
        <v>2880</v>
      </c>
      <c r="K224" s="9" t="s">
        <v>2881</v>
      </c>
      <c r="L224" s="9" t="s">
        <v>2882</v>
      </c>
      <c r="M224" s="9" t="s">
        <v>2883</v>
      </c>
      <c r="N224" s="9" t="s">
        <v>2884</v>
      </c>
      <c r="O224" s="9" t="s">
        <v>876</v>
      </c>
    </row>
    <row r="225" customFormat="false" ht="78" hidden="false" customHeight="true" outlineLevel="0" collapsed="false">
      <c r="A225" s="9" t="s">
        <v>2885</v>
      </c>
      <c r="B225" s="9" t="s">
        <v>2886</v>
      </c>
      <c r="C225" s="9" t="s">
        <v>2887</v>
      </c>
      <c r="D225" s="9" t="s">
        <v>866</v>
      </c>
      <c r="E225" s="9" t="s">
        <v>867</v>
      </c>
      <c r="F225" s="9" t="s">
        <v>2888</v>
      </c>
      <c r="G225" s="9" t="s">
        <v>127</v>
      </c>
      <c r="H225" s="9" t="s">
        <v>1092</v>
      </c>
      <c r="I225" s="9" t="s">
        <v>2889</v>
      </c>
      <c r="J225" s="9" t="s">
        <v>2890</v>
      </c>
      <c r="K225" s="9" t="s">
        <v>2891</v>
      </c>
      <c r="L225" s="9" t="s">
        <v>2892</v>
      </c>
      <c r="M225" s="9" t="s">
        <v>2893</v>
      </c>
      <c r="N225" s="9" t="s">
        <v>2894</v>
      </c>
      <c r="O225" s="9" t="s">
        <v>876</v>
      </c>
    </row>
    <row r="226" customFormat="false" ht="78" hidden="false" customHeight="true" outlineLevel="0" collapsed="false">
      <c r="A226" s="9" t="s">
        <v>2895</v>
      </c>
      <c r="B226" s="9" t="s">
        <v>2896</v>
      </c>
      <c r="C226" s="9" t="s">
        <v>2897</v>
      </c>
      <c r="D226" s="9" t="s">
        <v>866</v>
      </c>
      <c r="E226" s="9" t="s">
        <v>867</v>
      </c>
      <c r="F226" s="9" t="s">
        <v>2898</v>
      </c>
      <c r="G226" s="9" t="s">
        <v>127</v>
      </c>
      <c r="H226" s="9" t="s">
        <v>1092</v>
      </c>
      <c r="I226" s="9" t="s">
        <v>2899</v>
      </c>
      <c r="J226" s="9" t="s">
        <v>2900</v>
      </c>
      <c r="K226" s="9" t="s">
        <v>2901</v>
      </c>
      <c r="L226" s="9" t="s">
        <v>2902</v>
      </c>
      <c r="M226" s="9" t="s">
        <v>2903</v>
      </c>
      <c r="N226" s="9" t="s">
        <v>2904</v>
      </c>
      <c r="O226" s="9" t="s">
        <v>876</v>
      </c>
    </row>
    <row r="227" customFormat="false" ht="78" hidden="false" customHeight="true" outlineLevel="0" collapsed="false">
      <c r="A227" s="9" t="s">
        <v>2905</v>
      </c>
      <c r="B227" s="9" t="s">
        <v>2906</v>
      </c>
      <c r="C227" s="9" t="s">
        <v>2907</v>
      </c>
      <c r="D227" s="9" t="s">
        <v>866</v>
      </c>
      <c r="E227" s="9" t="s">
        <v>867</v>
      </c>
      <c r="F227" s="9" t="s">
        <v>2908</v>
      </c>
      <c r="G227" s="9" t="s">
        <v>127</v>
      </c>
      <c r="H227" s="9" t="s">
        <v>1092</v>
      </c>
      <c r="I227" s="9" t="s">
        <v>2909</v>
      </c>
      <c r="J227" s="9" t="s">
        <v>2910</v>
      </c>
      <c r="K227" s="9" t="s">
        <v>2911</v>
      </c>
      <c r="L227" s="9" t="s">
        <v>2912</v>
      </c>
      <c r="M227" s="9" t="s">
        <v>2913</v>
      </c>
      <c r="N227" s="9" t="s">
        <v>2914</v>
      </c>
      <c r="O227" s="9" t="s">
        <v>876</v>
      </c>
    </row>
    <row r="228" customFormat="false" ht="78" hidden="false" customHeight="true" outlineLevel="0" collapsed="false">
      <c r="A228" s="9" t="s">
        <v>2915</v>
      </c>
      <c r="B228" s="9" t="s">
        <v>2916</v>
      </c>
      <c r="C228" s="9" t="s">
        <v>2917</v>
      </c>
      <c r="D228" s="9" t="s">
        <v>866</v>
      </c>
      <c r="E228" s="9" t="s">
        <v>867</v>
      </c>
      <c r="F228" s="9" t="s">
        <v>2918</v>
      </c>
      <c r="G228" s="9" t="s">
        <v>127</v>
      </c>
      <c r="H228" s="9" t="s">
        <v>1092</v>
      </c>
      <c r="I228" s="9" t="s">
        <v>2919</v>
      </c>
      <c r="J228" s="9" t="s">
        <v>2920</v>
      </c>
      <c r="K228" s="9" t="s">
        <v>2921</v>
      </c>
      <c r="L228" s="9" t="s">
        <v>2922</v>
      </c>
      <c r="M228" s="9" t="s">
        <v>2923</v>
      </c>
      <c r="N228" s="9" t="s">
        <v>2924</v>
      </c>
      <c r="O228" s="9" t="s">
        <v>876</v>
      </c>
    </row>
    <row r="229" customFormat="false" ht="78" hidden="false" customHeight="true" outlineLevel="0" collapsed="false">
      <c r="A229" s="9" t="s">
        <v>2925</v>
      </c>
      <c r="B229" s="9" t="s">
        <v>2926</v>
      </c>
      <c r="C229" s="9" t="s">
        <v>2927</v>
      </c>
      <c r="D229" s="9" t="s">
        <v>866</v>
      </c>
      <c r="E229" s="9" t="s">
        <v>867</v>
      </c>
      <c r="F229" s="9" t="s">
        <v>2754</v>
      </c>
      <c r="G229" s="9" t="s">
        <v>169</v>
      </c>
      <c r="H229" s="9" t="s">
        <v>1092</v>
      </c>
      <c r="I229" s="9" t="s">
        <v>2928</v>
      </c>
      <c r="J229" s="9" t="s">
        <v>2929</v>
      </c>
      <c r="K229" s="9" t="s">
        <v>2930</v>
      </c>
      <c r="L229" s="9" t="s">
        <v>2931</v>
      </c>
      <c r="M229" s="9" t="s">
        <v>2932</v>
      </c>
      <c r="N229" s="9" t="s">
        <v>2933</v>
      </c>
      <c r="O229" s="9" t="s">
        <v>876</v>
      </c>
    </row>
    <row r="230" customFormat="false" ht="78" hidden="false" customHeight="true" outlineLevel="0" collapsed="false">
      <c r="A230" s="9" t="s">
        <v>2934</v>
      </c>
      <c r="B230" s="9" t="s">
        <v>2935</v>
      </c>
      <c r="C230" s="9" t="s">
        <v>2936</v>
      </c>
      <c r="D230" s="9" t="s">
        <v>866</v>
      </c>
      <c r="E230" s="9" t="s">
        <v>867</v>
      </c>
      <c r="F230" s="9" t="s">
        <v>2937</v>
      </c>
      <c r="G230" s="9" t="s">
        <v>210</v>
      </c>
      <c r="H230" s="9" t="s">
        <v>869</v>
      </c>
      <c r="I230" s="9" t="s">
        <v>2938</v>
      </c>
      <c r="J230" s="9" t="s">
        <v>2939</v>
      </c>
      <c r="K230" s="9" t="s">
        <v>2940</v>
      </c>
      <c r="L230" s="9" t="s">
        <v>2941</v>
      </c>
      <c r="M230" s="9" t="s">
        <v>2942</v>
      </c>
      <c r="N230" s="9" t="s">
        <v>2943</v>
      </c>
      <c r="O230" s="9" t="s">
        <v>876</v>
      </c>
    </row>
    <row r="231" customFormat="false" ht="78" hidden="false" customHeight="true" outlineLevel="0" collapsed="false">
      <c r="A231" s="9" t="s">
        <v>2944</v>
      </c>
      <c r="B231" s="9" t="s">
        <v>2945</v>
      </c>
      <c r="C231" s="9" t="s">
        <v>2946</v>
      </c>
      <c r="D231" s="9" t="s">
        <v>866</v>
      </c>
      <c r="E231" s="9" t="s">
        <v>867</v>
      </c>
      <c r="F231" s="9" t="s">
        <v>2947</v>
      </c>
      <c r="G231" s="9" t="s">
        <v>70</v>
      </c>
      <c r="H231" s="9" t="s">
        <v>1092</v>
      </c>
      <c r="I231" s="9" t="s">
        <v>2948</v>
      </c>
      <c r="J231" s="9" t="s">
        <v>2949</v>
      </c>
      <c r="K231" s="9" t="s">
        <v>2950</v>
      </c>
      <c r="L231" s="9" t="s">
        <v>2951</v>
      </c>
      <c r="M231" s="9" t="s">
        <v>2952</v>
      </c>
      <c r="N231" s="9" t="s">
        <v>2953</v>
      </c>
      <c r="O231" s="9" t="s">
        <v>876</v>
      </c>
    </row>
    <row r="232" customFormat="false" ht="78" hidden="false" customHeight="true" outlineLevel="0" collapsed="false">
      <c r="A232" s="9" t="s">
        <v>2954</v>
      </c>
      <c r="B232" s="9" t="s">
        <v>2955</v>
      </c>
      <c r="C232" s="9" t="s">
        <v>2956</v>
      </c>
      <c r="D232" s="9" t="s">
        <v>866</v>
      </c>
      <c r="E232" s="9" t="s">
        <v>867</v>
      </c>
      <c r="F232" s="9" t="s">
        <v>2957</v>
      </c>
      <c r="G232" s="9" t="s">
        <v>169</v>
      </c>
      <c r="H232" s="9" t="s">
        <v>1092</v>
      </c>
      <c r="I232" s="9" t="s">
        <v>2958</v>
      </c>
      <c r="J232" s="9" t="s">
        <v>2959</v>
      </c>
      <c r="K232" s="9" t="s">
        <v>2960</v>
      </c>
      <c r="L232" s="9" t="s">
        <v>2961</v>
      </c>
      <c r="M232" s="9" t="s">
        <v>2962</v>
      </c>
      <c r="N232" s="9" t="s">
        <v>2963</v>
      </c>
      <c r="O232" s="9" t="s">
        <v>876</v>
      </c>
    </row>
    <row r="233" customFormat="false" ht="78" hidden="false" customHeight="true" outlineLevel="0" collapsed="false">
      <c r="A233" s="9" t="s">
        <v>2964</v>
      </c>
      <c r="B233" s="9" t="s">
        <v>2965</v>
      </c>
      <c r="C233" s="9" t="s">
        <v>2966</v>
      </c>
      <c r="D233" s="9" t="s">
        <v>866</v>
      </c>
      <c r="E233" s="9" t="s">
        <v>867</v>
      </c>
      <c r="F233" s="9" t="s">
        <v>2967</v>
      </c>
      <c r="G233" s="9" t="s">
        <v>70</v>
      </c>
      <c r="H233" s="9" t="s">
        <v>1092</v>
      </c>
      <c r="I233" s="9" t="s">
        <v>2968</v>
      </c>
      <c r="J233" s="9" t="s">
        <v>2969</v>
      </c>
      <c r="K233" s="9" t="s">
        <v>2970</v>
      </c>
      <c r="L233" s="9" t="s">
        <v>1244</v>
      </c>
      <c r="M233" s="9" t="s">
        <v>2971</v>
      </c>
      <c r="N233" s="9" t="s">
        <v>2972</v>
      </c>
      <c r="O233" s="9" t="s">
        <v>876</v>
      </c>
    </row>
    <row r="234" customFormat="false" ht="78" hidden="false" customHeight="true" outlineLevel="0" collapsed="false">
      <c r="A234" s="9" t="s">
        <v>2973</v>
      </c>
      <c r="B234" s="9" t="s">
        <v>2974</v>
      </c>
      <c r="C234" s="9" t="s">
        <v>2975</v>
      </c>
      <c r="D234" s="9" t="s">
        <v>866</v>
      </c>
      <c r="E234" s="9" t="s">
        <v>867</v>
      </c>
      <c r="F234" s="9" t="s">
        <v>1270</v>
      </c>
      <c r="G234" s="9" t="s">
        <v>157</v>
      </c>
      <c r="H234" s="9" t="s">
        <v>1092</v>
      </c>
      <c r="I234" s="9" t="s">
        <v>2976</v>
      </c>
      <c r="J234" s="9" t="s">
        <v>2977</v>
      </c>
      <c r="K234" s="9" t="s">
        <v>2978</v>
      </c>
      <c r="L234" s="9" t="s">
        <v>2979</v>
      </c>
      <c r="M234" s="9" t="s">
        <v>2980</v>
      </c>
      <c r="N234" s="9" t="s">
        <v>2981</v>
      </c>
      <c r="O234" s="9" t="s">
        <v>876</v>
      </c>
    </row>
    <row r="235" customFormat="false" ht="78" hidden="false" customHeight="true" outlineLevel="0" collapsed="false">
      <c r="A235" s="9" t="s">
        <v>2982</v>
      </c>
      <c r="B235" s="9" t="s">
        <v>2983</v>
      </c>
      <c r="C235" s="9" t="s">
        <v>2984</v>
      </c>
      <c r="D235" s="9" t="s">
        <v>866</v>
      </c>
      <c r="E235" s="9" t="s">
        <v>867</v>
      </c>
      <c r="F235" s="9" t="s">
        <v>2985</v>
      </c>
      <c r="G235" s="9" t="s">
        <v>163</v>
      </c>
      <c r="H235" s="9" t="s">
        <v>1092</v>
      </c>
      <c r="I235" s="9" t="s">
        <v>2986</v>
      </c>
      <c r="J235" s="9" t="s">
        <v>2987</v>
      </c>
      <c r="K235" s="9" t="s">
        <v>2988</v>
      </c>
      <c r="L235" s="9" t="s">
        <v>2989</v>
      </c>
      <c r="M235" s="9" t="s">
        <v>2990</v>
      </c>
      <c r="N235" s="9" t="s">
        <v>2991</v>
      </c>
      <c r="O235" s="9" t="s">
        <v>876</v>
      </c>
    </row>
    <row r="236" customFormat="false" ht="78" hidden="false" customHeight="true" outlineLevel="0" collapsed="false">
      <c r="A236" s="9" t="s">
        <v>2992</v>
      </c>
      <c r="B236" s="9" t="s">
        <v>2993</v>
      </c>
      <c r="C236" s="9" t="s">
        <v>2994</v>
      </c>
      <c r="D236" s="9" t="s">
        <v>866</v>
      </c>
      <c r="E236" s="9" t="s">
        <v>867</v>
      </c>
      <c r="F236" s="9" t="s">
        <v>2995</v>
      </c>
      <c r="G236" s="9" t="s">
        <v>83</v>
      </c>
      <c r="H236" s="9" t="s">
        <v>1092</v>
      </c>
      <c r="I236" s="9" t="s">
        <v>2996</v>
      </c>
      <c r="J236" s="9" t="s">
        <v>2997</v>
      </c>
      <c r="K236" s="9" t="s">
        <v>2998</v>
      </c>
      <c r="L236" s="9" t="s">
        <v>2999</v>
      </c>
      <c r="M236" s="9" t="s">
        <v>3000</v>
      </c>
      <c r="N236" s="9" t="s">
        <v>3001</v>
      </c>
      <c r="O236" s="9" t="s">
        <v>876</v>
      </c>
    </row>
    <row r="237" customFormat="false" ht="78" hidden="false" customHeight="true" outlineLevel="0" collapsed="false">
      <c r="A237" s="9" t="s">
        <v>3002</v>
      </c>
      <c r="B237" s="9" t="s">
        <v>3003</v>
      </c>
      <c r="C237" s="9" t="s">
        <v>3004</v>
      </c>
      <c r="D237" s="9" t="s">
        <v>866</v>
      </c>
      <c r="E237" s="9" t="s">
        <v>867</v>
      </c>
      <c r="F237" s="9" t="s">
        <v>3005</v>
      </c>
      <c r="G237" s="9" t="s">
        <v>76</v>
      </c>
      <c r="H237" s="9" t="s">
        <v>1092</v>
      </c>
      <c r="I237" s="9" t="s">
        <v>3006</v>
      </c>
      <c r="J237" s="9" t="s">
        <v>3007</v>
      </c>
      <c r="K237" s="9" t="s">
        <v>3008</v>
      </c>
      <c r="L237" s="9" t="s">
        <v>3009</v>
      </c>
      <c r="M237" s="9" t="s">
        <v>3010</v>
      </c>
      <c r="N237" s="9" t="s">
        <v>3011</v>
      </c>
      <c r="O237" s="9" t="s">
        <v>876</v>
      </c>
    </row>
    <row r="238" customFormat="false" ht="78" hidden="false" customHeight="true" outlineLevel="0" collapsed="false">
      <c r="A238" s="9" t="s">
        <v>3012</v>
      </c>
      <c r="B238" s="9" t="s">
        <v>3013</v>
      </c>
      <c r="C238" s="9" t="s">
        <v>3014</v>
      </c>
      <c r="D238" s="9" t="s">
        <v>866</v>
      </c>
      <c r="E238" s="9" t="s">
        <v>867</v>
      </c>
      <c r="F238" s="9" t="s">
        <v>3015</v>
      </c>
      <c r="G238" s="9" t="s">
        <v>70</v>
      </c>
      <c r="H238" s="9" t="s">
        <v>1092</v>
      </c>
      <c r="I238" s="9" t="s">
        <v>3016</v>
      </c>
      <c r="J238" s="9" t="s">
        <v>3017</v>
      </c>
      <c r="K238" s="9" t="s">
        <v>3018</v>
      </c>
      <c r="L238" s="9" t="s">
        <v>3019</v>
      </c>
      <c r="M238" s="9" t="s">
        <v>3020</v>
      </c>
      <c r="N238" s="9" t="s">
        <v>3021</v>
      </c>
      <c r="O238" s="9" t="s">
        <v>876</v>
      </c>
    </row>
    <row r="239" customFormat="false" ht="78" hidden="false" customHeight="true" outlineLevel="0" collapsed="false">
      <c r="A239" s="9" t="s">
        <v>3022</v>
      </c>
      <c r="B239" s="9" t="s">
        <v>3023</v>
      </c>
      <c r="C239" s="9" t="s">
        <v>3024</v>
      </c>
      <c r="D239" s="9" t="s">
        <v>866</v>
      </c>
      <c r="E239" s="9" t="s">
        <v>867</v>
      </c>
      <c r="F239" s="9" t="s">
        <v>3025</v>
      </c>
      <c r="G239" s="9" t="s">
        <v>94</v>
      </c>
      <c r="H239" s="9" t="s">
        <v>1092</v>
      </c>
      <c r="I239" s="9" t="s">
        <v>3026</v>
      </c>
      <c r="J239" s="9" t="s">
        <v>3027</v>
      </c>
      <c r="K239" s="9" t="s">
        <v>3028</v>
      </c>
      <c r="L239" s="9" t="s">
        <v>3029</v>
      </c>
      <c r="M239" s="9" t="s">
        <v>3030</v>
      </c>
      <c r="N239" s="9" t="s">
        <v>3031</v>
      </c>
      <c r="O239" s="9" t="s">
        <v>876</v>
      </c>
    </row>
    <row r="240" customFormat="false" ht="78" hidden="false" customHeight="true" outlineLevel="0" collapsed="false">
      <c r="A240" s="9" t="s">
        <v>3032</v>
      </c>
      <c r="B240" s="9" t="s">
        <v>3033</v>
      </c>
      <c r="C240" s="9" t="s">
        <v>3034</v>
      </c>
      <c r="D240" s="9" t="s">
        <v>866</v>
      </c>
      <c r="E240" s="9" t="s">
        <v>867</v>
      </c>
      <c r="F240" s="9" t="s">
        <v>3035</v>
      </c>
      <c r="G240" s="9" t="s">
        <v>76</v>
      </c>
      <c r="H240" s="9" t="s">
        <v>1092</v>
      </c>
      <c r="I240" s="9" t="s">
        <v>3036</v>
      </c>
      <c r="J240" s="9" t="s">
        <v>3037</v>
      </c>
      <c r="K240" s="9" t="s">
        <v>3038</v>
      </c>
      <c r="L240" s="9" t="s">
        <v>3039</v>
      </c>
      <c r="M240" s="9" t="s">
        <v>3040</v>
      </c>
      <c r="N240" s="9" t="s">
        <v>3041</v>
      </c>
      <c r="O240" s="9" t="s">
        <v>876</v>
      </c>
    </row>
    <row r="241" customFormat="false" ht="78" hidden="false" customHeight="true" outlineLevel="0" collapsed="false">
      <c r="A241" s="9" t="s">
        <v>3042</v>
      </c>
      <c r="B241" s="9" t="s">
        <v>3043</v>
      </c>
      <c r="C241" s="9" t="s">
        <v>3044</v>
      </c>
      <c r="D241" s="9" t="s">
        <v>866</v>
      </c>
      <c r="E241" s="9" t="s">
        <v>867</v>
      </c>
      <c r="F241" s="9" t="s">
        <v>1270</v>
      </c>
      <c r="G241" s="9" t="s">
        <v>157</v>
      </c>
      <c r="H241" s="9" t="s">
        <v>1092</v>
      </c>
      <c r="I241" s="9" t="s">
        <v>3045</v>
      </c>
      <c r="J241" s="9" t="s">
        <v>3046</v>
      </c>
      <c r="K241" s="9" t="s">
        <v>3047</v>
      </c>
      <c r="L241" s="9" t="s">
        <v>3048</v>
      </c>
      <c r="M241" s="9" t="s">
        <v>3049</v>
      </c>
      <c r="N241" s="9" t="s">
        <v>3050</v>
      </c>
      <c r="O241" s="9" t="s">
        <v>876</v>
      </c>
    </row>
    <row r="242" customFormat="false" ht="78" hidden="false" customHeight="true" outlineLevel="0" collapsed="false">
      <c r="A242" s="9" t="s">
        <v>3051</v>
      </c>
      <c r="B242" s="9" t="s">
        <v>3052</v>
      </c>
      <c r="C242" s="9" t="s">
        <v>3053</v>
      </c>
      <c r="D242" s="9" t="s">
        <v>866</v>
      </c>
      <c r="E242" s="9" t="s">
        <v>867</v>
      </c>
      <c r="F242" s="9" t="s">
        <v>3054</v>
      </c>
      <c r="G242" s="9" t="s">
        <v>210</v>
      </c>
      <c r="H242" s="9" t="s">
        <v>869</v>
      </c>
      <c r="I242" s="9" t="s">
        <v>3055</v>
      </c>
      <c r="J242" s="9" t="s">
        <v>3056</v>
      </c>
      <c r="K242" s="9" t="s">
        <v>3057</v>
      </c>
      <c r="L242" s="9" t="s">
        <v>3058</v>
      </c>
      <c r="M242" s="9" t="s">
        <v>3059</v>
      </c>
      <c r="N242" s="9" t="s">
        <v>3060</v>
      </c>
      <c r="O242" s="9" t="s">
        <v>876</v>
      </c>
    </row>
    <row r="243" customFormat="false" ht="78" hidden="false" customHeight="true" outlineLevel="0" collapsed="false">
      <c r="A243" s="9" t="s">
        <v>3061</v>
      </c>
      <c r="B243" s="9" t="s">
        <v>3062</v>
      </c>
      <c r="C243" s="9" t="s">
        <v>3063</v>
      </c>
      <c r="D243" s="9" t="s">
        <v>866</v>
      </c>
      <c r="E243" s="9" t="s">
        <v>867</v>
      </c>
      <c r="F243" s="9" t="s">
        <v>3064</v>
      </c>
      <c r="G243" s="9" t="s">
        <v>94</v>
      </c>
      <c r="H243" s="9" t="s">
        <v>1092</v>
      </c>
      <c r="I243" s="9" t="s">
        <v>3065</v>
      </c>
      <c r="J243" s="9" t="s">
        <v>3066</v>
      </c>
      <c r="K243" s="9" t="s">
        <v>3067</v>
      </c>
      <c r="L243" s="9" t="s">
        <v>3068</v>
      </c>
      <c r="M243" s="9" t="s">
        <v>3069</v>
      </c>
      <c r="N243" s="9" t="s">
        <v>3070</v>
      </c>
      <c r="O243" s="9" t="s">
        <v>876</v>
      </c>
    </row>
    <row r="244" customFormat="false" ht="78" hidden="false" customHeight="true" outlineLevel="0" collapsed="false">
      <c r="A244" s="9" t="s">
        <v>3071</v>
      </c>
      <c r="B244" s="9" t="s">
        <v>3072</v>
      </c>
      <c r="C244" s="9" t="s">
        <v>3073</v>
      </c>
      <c r="D244" s="9" t="s">
        <v>866</v>
      </c>
      <c r="E244" s="9" t="s">
        <v>867</v>
      </c>
      <c r="F244" s="9" t="s">
        <v>3074</v>
      </c>
      <c r="G244" s="9" t="s">
        <v>70</v>
      </c>
      <c r="H244" s="9" t="s">
        <v>1092</v>
      </c>
      <c r="I244" s="9" t="s">
        <v>3075</v>
      </c>
      <c r="J244" s="9" t="s">
        <v>3076</v>
      </c>
      <c r="K244" s="9" t="s">
        <v>3077</v>
      </c>
      <c r="L244" s="9" t="s">
        <v>3078</v>
      </c>
      <c r="M244" s="9" t="s">
        <v>3079</v>
      </c>
      <c r="N244" s="9" t="s">
        <v>3080</v>
      </c>
      <c r="O244" s="9" t="s">
        <v>876</v>
      </c>
    </row>
    <row r="245" customFormat="false" ht="78" hidden="false" customHeight="true" outlineLevel="0" collapsed="false">
      <c r="A245" s="9" t="s">
        <v>3081</v>
      </c>
      <c r="B245" s="9" t="s">
        <v>3082</v>
      </c>
      <c r="C245" s="9" t="s">
        <v>3083</v>
      </c>
      <c r="D245" s="9" t="s">
        <v>866</v>
      </c>
      <c r="E245" s="9" t="s">
        <v>867</v>
      </c>
      <c r="F245" s="9" t="s">
        <v>3084</v>
      </c>
      <c r="G245" s="9" t="s">
        <v>83</v>
      </c>
      <c r="H245" s="9" t="s">
        <v>1092</v>
      </c>
      <c r="I245" s="9" t="s">
        <v>3085</v>
      </c>
      <c r="J245" s="9" t="s">
        <v>3086</v>
      </c>
      <c r="K245" s="9" t="s">
        <v>3087</v>
      </c>
      <c r="L245" s="9" t="s">
        <v>3088</v>
      </c>
      <c r="M245" s="9" t="s">
        <v>3089</v>
      </c>
      <c r="N245" s="9" t="s">
        <v>3090</v>
      </c>
      <c r="O245" s="9" t="s">
        <v>876</v>
      </c>
    </row>
    <row r="246" customFormat="false" ht="78" hidden="false" customHeight="true" outlineLevel="0" collapsed="false">
      <c r="A246" s="9" t="s">
        <v>3091</v>
      </c>
      <c r="B246" s="9" t="s">
        <v>3092</v>
      </c>
      <c r="C246" s="9" t="s">
        <v>3093</v>
      </c>
      <c r="D246" s="9" t="s">
        <v>866</v>
      </c>
      <c r="E246" s="9" t="s">
        <v>867</v>
      </c>
      <c r="F246" s="9" t="s">
        <v>3094</v>
      </c>
      <c r="G246" s="9" t="s">
        <v>210</v>
      </c>
      <c r="H246" s="9" t="s">
        <v>869</v>
      </c>
      <c r="I246" s="9" t="s">
        <v>3095</v>
      </c>
      <c r="J246" s="9" t="s">
        <v>3096</v>
      </c>
      <c r="K246" s="9" t="s">
        <v>3097</v>
      </c>
      <c r="L246" s="9" t="s">
        <v>3098</v>
      </c>
      <c r="M246" s="9" t="s">
        <v>3099</v>
      </c>
      <c r="N246" s="9" t="s">
        <v>3100</v>
      </c>
      <c r="O246" s="9" t="s">
        <v>876</v>
      </c>
    </row>
    <row r="247" customFormat="false" ht="78" hidden="false" customHeight="true" outlineLevel="0" collapsed="false">
      <c r="A247" s="9" t="s">
        <v>3101</v>
      </c>
      <c r="B247" s="9" t="s">
        <v>3102</v>
      </c>
      <c r="C247" s="9" t="s">
        <v>3103</v>
      </c>
      <c r="D247" s="9" t="s">
        <v>866</v>
      </c>
      <c r="E247" s="9" t="s">
        <v>867</v>
      </c>
      <c r="F247" s="9" t="s">
        <v>3104</v>
      </c>
      <c r="G247" s="9" t="s">
        <v>76</v>
      </c>
      <c r="H247" s="9" t="s">
        <v>1092</v>
      </c>
      <c r="I247" s="9" t="s">
        <v>3105</v>
      </c>
      <c r="J247" s="9" t="s">
        <v>3106</v>
      </c>
      <c r="K247" s="9" t="s">
        <v>3107</v>
      </c>
      <c r="L247" s="9" t="s">
        <v>3108</v>
      </c>
      <c r="M247" s="9" t="s">
        <v>3109</v>
      </c>
      <c r="N247" s="9" t="s">
        <v>3110</v>
      </c>
      <c r="O247" s="9" t="s">
        <v>876</v>
      </c>
    </row>
    <row r="248" customFormat="false" ht="78" hidden="false" customHeight="true" outlineLevel="0" collapsed="false">
      <c r="A248" s="9" t="s">
        <v>3111</v>
      </c>
      <c r="B248" s="9" t="s">
        <v>3112</v>
      </c>
      <c r="C248" s="9" t="s">
        <v>3113</v>
      </c>
      <c r="D248" s="9" t="s">
        <v>866</v>
      </c>
      <c r="E248" s="9" t="s">
        <v>867</v>
      </c>
      <c r="F248" s="9" t="s">
        <v>3114</v>
      </c>
      <c r="G248" s="9" t="s">
        <v>63</v>
      </c>
      <c r="H248" s="9" t="s">
        <v>1092</v>
      </c>
      <c r="I248" s="9" t="s">
        <v>3115</v>
      </c>
      <c r="J248" s="9" t="s">
        <v>3116</v>
      </c>
      <c r="K248" s="9" t="s">
        <v>3117</v>
      </c>
      <c r="L248" s="9" t="s">
        <v>3118</v>
      </c>
      <c r="M248" s="9" t="s">
        <v>3119</v>
      </c>
      <c r="N248" s="9" t="s">
        <v>3120</v>
      </c>
      <c r="O248" s="9" t="s">
        <v>876</v>
      </c>
    </row>
    <row r="249" customFormat="false" ht="78" hidden="false" customHeight="true" outlineLevel="0" collapsed="false">
      <c r="A249" s="9" t="s">
        <v>3121</v>
      </c>
      <c r="B249" s="9" t="s">
        <v>3122</v>
      </c>
      <c r="C249" s="9" t="s">
        <v>3123</v>
      </c>
      <c r="D249" s="9" t="s">
        <v>866</v>
      </c>
      <c r="E249" s="9" t="s">
        <v>867</v>
      </c>
      <c r="F249" s="9" t="s">
        <v>3124</v>
      </c>
      <c r="G249" s="9" t="s">
        <v>100</v>
      </c>
      <c r="H249" s="9" t="s">
        <v>1092</v>
      </c>
      <c r="I249" s="9" t="s">
        <v>3125</v>
      </c>
      <c r="J249" s="9" t="s">
        <v>3126</v>
      </c>
      <c r="K249" s="9" t="s">
        <v>3127</v>
      </c>
      <c r="L249" s="9" t="s">
        <v>3128</v>
      </c>
      <c r="M249" s="9" t="s">
        <v>3129</v>
      </c>
      <c r="N249" s="9" t="s">
        <v>3130</v>
      </c>
      <c r="O249" s="9" t="s">
        <v>876</v>
      </c>
    </row>
    <row r="250" customFormat="false" ht="78" hidden="false" customHeight="true" outlineLevel="0" collapsed="false">
      <c r="A250" s="9" t="s">
        <v>3131</v>
      </c>
      <c r="B250" s="9" t="s">
        <v>3132</v>
      </c>
      <c r="C250" s="9" t="s">
        <v>3133</v>
      </c>
      <c r="D250" s="9" t="s">
        <v>866</v>
      </c>
      <c r="E250" s="9" t="s">
        <v>867</v>
      </c>
      <c r="F250" s="9" t="s">
        <v>3134</v>
      </c>
      <c r="G250" s="9" t="s">
        <v>100</v>
      </c>
      <c r="H250" s="9" t="s">
        <v>1092</v>
      </c>
      <c r="I250" s="9" t="s">
        <v>3135</v>
      </c>
      <c r="J250" s="9" t="s">
        <v>3136</v>
      </c>
      <c r="K250" s="9" t="s">
        <v>3137</v>
      </c>
      <c r="L250" s="9" t="s">
        <v>3138</v>
      </c>
      <c r="M250" s="9" t="s">
        <v>3139</v>
      </c>
      <c r="N250" s="9" t="s">
        <v>3140</v>
      </c>
      <c r="O250" s="9" t="s">
        <v>876</v>
      </c>
    </row>
    <row r="251" customFormat="false" ht="78" hidden="false" customHeight="true" outlineLevel="0" collapsed="false">
      <c r="A251" s="9" t="s">
        <v>3141</v>
      </c>
      <c r="B251" s="9" t="s">
        <v>3142</v>
      </c>
      <c r="C251" s="9" t="s">
        <v>3143</v>
      </c>
      <c r="D251" s="9" t="s">
        <v>866</v>
      </c>
      <c r="E251" s="9" t="s">
        <v>867</v>
      </c>
      <c r="F251" s="9" t="s">
        <v>3144</v>
      </c>
      <c r="G251" s="9" t="s">
        <v>70</v>
      </c>
      <c r="H251" s="9" t="s">
        <v>1092</v>
      </c>
      <c r="I251" s="9" t="s">
        <v>3145</v>
      </c>
      <c r="J251" s="9" t="s">
        <v>3146</v>
      </c>
      <c r="K251" s="9" t="s">
        <v>3147</v>
      </c>
      <c r="L251" s="9" t="s">
        <v>3148</v>
      </c>
      <c r="M251" s="9" t="s">
        <v>3149</v>
      </c>
      <c r="N251" s="9" t="s">
        <v>3150</v>
      </c>
      <c r="O251" s="9" t="s">
        <v>876</v>
      </c>
    </row>
    <row r="252" customFormat="false" ht="78" hidden="false" customHeight="true" outlineLevel="0" collapsed="false">
      <c r="A252" s="9" t="s">
        <v>3151</v>
      </c>
      <c r="B252" s="9" t="s">
        <v>466</v>
      </c>
      <c r="C252" s="9" t="s">
        <v>462</v>
      </c>
      <c r="D252" s="9" t="s">
        <v>866</v>
      </c>
      <c r="E252" s="9" t="s">
        <v>867</v>
      </c>
      <c r="F252" s="9" t="s">
        <v>3152</v>
      </c>
      <c r="G252" s="9" t="s">
        <v>163</v>
      </c>
      <c r="H252" s="9" t="s">
        <v>881</v>
      </c>
      <c r="I252" s="9" t="s">
        <v>3153</v>
      </c>
      <c r="J252" s="9" t="s">
        <v>3154</v>
      </c>
      <c r="K252" s="9" t="s">
        <v>3155</v>
      </c>
      <c r="L252" s="9" t="s">
        <v>3156</v>
      </c>
      <c r="M252" s="9" t="s">
        <v>3157</v>
      </c>
      <c r="N252" s="9" t="s">
        <v>3158</v>
      </c>
      <c r="O252" s="9" t="s">
        <v>876</v>
      </c>
    </row>
    <row r="253" customFormat="false" ht="78" hidden="false" customHeight="true" outlineLevel="0" collapsed="false">
      <c r="A253" s="9" t="s">
        <v>3159</v>
      </c>
      <c r="B253" s="9" t="s">
        <v>3160</v>
      </c>
      <c r="C253" s="9" t="s">
        <v>3161</v>
      </c>
      <c r="D253" s="9" t="s">
        <v>866</v>
      </c>
      <c r="E253" s="9" t="s">
        <v>867</v>
      </c>
      <c r="F253" s="9" t="s">
        <v>3162</v>
      </c>
      <c r="G253" s="9" t="s">
        <v>63</v>
      </c>
      <c r="H253" s="9" t="s">
        <v>1092</v>
      </c>
      <c r="I253" s="9" t="s">
        <v>3163</v>
      </c>
      <c r="J253" s="9" t="s">
        <v>3164</v>
      </c>
      <c r="K253" s="9" t="s">
        <v>3165</v>
      </c>
      <c r="L253" s="9" t="s">
        <v>3166</v>
      </c>
      <c r="M253" s="9" t="s">
        <v>3167</v>
      </c>
      <c r="N253" s="9" t="s">
        <v>3168</v>
      </c>
      <c r="O253" s="9" t="s">
        <v>876</v>
      </c>
    </row>
    <row r="254" customFormat="false" ht="78" hidden="false" customHeight="true" outlineLevel="0" collapsed="false">
      <c r="A254" s="9" t="s">
        <v>3169</v>
      </c>
      <c r="B254" s="9" t="s">
        <v>3170</v>
      </c>
      <c r="C254" s="9" t="s">
        <v>3171</v>
      </c>
      <c r="D254" s="9" t="s">
        <v>866</v>
      </c>
      <c r="E254" s="9" t="s">
        <v>867</v>
      </c>
      <c r="F254" s="9" t="s">
        <v>3172</v>
      </c>
      <c r="G254" s="9" t="s">
        <v>120</v>
      </c>
      <c r="H254" s="9" t="s">
        <v>1092</v>
      </c>
      <c r="I254" s="9" t="s">
        <v>3173</v>
      </c>
      <c r="J254" s="9" t="s">
        <v>3174</v>
      </c>
      <c r="K254" s="9" t="s">
        <v>3175</v>
      </c>
      <c r="L254" s="9" t="s">
        <v>3176</v>
      </c>
      <c r="M254" s="9" t="s">
        <v>3177</v>
      </c>
      <c r="N254" s="9" t="s">
        <v>3178</v>
      </c>
      <c r="O254" s="9" t="s">
        <v>876</v>
      </c>
    </row>
    <row r="255" customFormat="false" ht="78" hidden="false" customHeight="true" outlineLevel="0" collapsed="false">
      <c r="A255" s="9" t="s">
        <v>3179</v>
      </c>
      <c r="B255" s="9" t="s">
        <v>3180</v>
      </c>
      <c r="C255" s="9" t="s">
        <v>3181</v>
      </c>
      <c r="D255" s="9" t="s">
        <v>866</v>
      </c>
      <c r="E255" s="9" t="s">
        <v>867</v>
      </c>
      <c r="F255" s="9" t="s">
        <v>3182</v>
      </c>
      <c r="G255" s="9" t="s">
        <v>120</v>
      </c>
      <c r="H255" s="9" t="s">
        <v>1092</v>
      </c>
      <c r="I255" s="9" t="s">
        <v>3183</v>
      </c>
      <c r="J255" s="9" t="s">
        <v>3184</v>
      </c>
      <c r="K255" s="9" t="s">
        <v>3185</v>
      </c>
      <c r="L255" s="9" t="s">
        <v>3186</v>
      </c>
      <c r="M255" s="9" t="s">
        <v>3187</v>
      </c>
      <c r="N255" s="9" t="s">
        <v>3188</v>
      </c>
      <c r="O255" s="9" t="s">
        <v>876</v>
      </c>
    </row>
    <row r="256" customFormat="false" ht="78" hidden="false" customHeight="true" outlineLevel="0" collapsed="false">
      <c r="A256" s="9" t="s">
        <v>3189</v>
      </c>
      <c r="B256" s="9" t="s">
        <v>3190</v>
      </c>
      <c r="C256" s="9" t="s">
        <v>3191</v>
      </c>
      <c r="D256" s="9" t="s">
        <v>866</v>
      </c>
      <c r="E256" s="9" t="s">
        <v>867</v>
      </c>
      <c r="F256" s="9" t="s">
        <v>3192</v>
      </c>
      <c r="G256" s="9" t="s">
        <v>94</v>
      </c>
      <c r="H256" s="9" t="s">
        <v>1092</v>
      </c>
      <c r="I256" s="9" t="s">
        <v>3193</v>
      </c>
      <c r="J256" s="9" t="s">
        <v>3194</v>
      </c>
      <c r="K256" s="9" t="s">
        <v>3195</v>
      </c>
      <c r="L256" s="9" t="s">
        <v>3196</v>
      </c>
      <c r="M256" s="9" t="s">
        <v>3197</v>
      </c>
      <c r="N256" s="9" t="s">
        <v>3198</v>
      </c>
      <c r="O256" s="9" t="s">
        <v>876</v>
      </c>
    </row>
    <row r="257" customFormat="false" ht="78" hidden="false" customHeight="true" outlineLevel="0" collapsed="false">
      <c r="A257" s="9" t="s">
        <v>3199</v>
      </c>
      <c r="B257" s="9" t="s">
        <v>3200</v>
      </c>
      <c r="C257" s="9" t="s">
        <v>3201</v>
      </c>
      <c r="D257" s="9" t="s">
        <v>866</v>
      </c>
      <c r="E257" s="9" t="s">
        <v>867</v>
      </c>
      <c r="F257" s="9" t="s">
        <v>3202</v>
      </c>
      <c r="G257" s="9" t="s">
        <v>70</v>
      </c>
      <c r="H257" s="9" t="s">
        <v>1092</v>
      </c>
      <c r="I257" s="9" t="s">
        <v>3203</v>
      </c>
      <c r="J257" s="9" t="s">
        <v>3204</v>
      </c>
      <c r="K257" s="9" t="s">
        <v>3205</v>
      </c>
      <c r="L257" s="9" t="s">
        <v>3206</v>
      </c>
      <c r="M257" s="9" t="s">
        <v>3207</v>
      </c>
      <c r="N257" s="9" t="s">
        <v>3208</v>
      </c>
      <c r="O257" s="9" t="s">
        <v>876</v>
      </c>
    </row>
    <row r="258" customFormat="false" ht="78" hidden="false" customHeight="true" outlineLevel="0" collapsed="false">
      <c r="A258" s="9" t="s">
        <v>3209</v>
      </c>
      <c r="B258" s="9" t="s">
        <v>3210</v>
      </c>
      <c r="C258" s="9" t="s">
        <v>3211</v>
      </c>
      <c r="D258" s="9" t="s">
        <v>866</v>
      </c>
      <c r="E258" s="9" t="s">
        <v>867</v>
      </c>
      <c r="F258" s="9" t="s">
        <v>3212</v>
      </c>
      <c r="G258" s="9" t="s">
        <v>157</v>
      </c>
      <c r="H258" s="9" t="s">
        <v>1092</v>
      </c>
      <c r="I258" s="9" t="s">
        <v>3213</v>
      </c>
      <c r="J258" s="9" t="s">
        <v>3214</v>
      </c>
      <c r="K258" s="9" t="s">
        <v>3215</v>
      </c>
      <c r="L258" s="9" t="s">
        <v>3216</v>
      </c>
      <c r="M258" s="9" t="s">
        <v>3217</v>
      </c>
      <c r="N258" s="9" t="s">
        <v>3218</v>
      </c>
      <c r="O258" s="9" t="s">
        <v>876</v>
      </c>
    </row>
    <row r="259" customFormat="false" ht="78" hidden="false" customHeight="true" outlineLevel="0" collapsed="false">
      <c r="A259" s="9" t="s">
        <v>3219</v>
      </c>
      <c r="B259" s="9" t="s">
        <v>3220</v>
      </c>
      <c r="C259" s="9" t="s">
        <v>3221</v>
      </c>
      <c r="D259" s="9" t="s">
        <v>866</v>
      </c>
      <c r="E259" s="9" t="s">
        <v>867</v>
      </c>
      <c r="F259" s="9" t="s">
        <v>3222</v>
      </c>
      <c r="G259" s="9" t="s">
        <v>114</v>
      </c>
      <c r="H259" s="9" t="s">
        <v>1092</v>
      </c>
      <c r="I259" s="9" t="s">
        <v>3223</v>
      </c>
      <c r="J259" s="9" t="s">
        <v>3224</v>
      </c>
      <c r="K259" s="9" t="s">
        <v>3225</v>
      </c>
      <c r="L259" s="9" t="s">
        <v>3226</v>
      </c>
      <c r="M259" s="9" t="s">
        <v>3227</v>
      </c>
      <c r="N259" s="9" t="s">
        <v>3228</v>
      </c>
      <c r="O259" s="9" t="s">
        <v>876</v>
      </c>
    </row>
    <row r="260" customFormat="false" ht="78" hidden="false" customHeight="true" outlineLevel="0" collapsed="false">
      <c r="A260" s="9" t="s">
        <v>3229</v>
      </c>
      <c r="B260" s="9" t="s">
        <v>3230</v>
      </c>
      <c r="C260" s="9" t="s">
        <v>3231</v>
      </c>
      <c r="D260" s="9" t="s">
        <v>866</v>
      </c>
      <c r="E260" s="9" t="s">
        <v>867</v>
      </c>
      <c r="F260" s="9" t="s">
        <v>3232</v>
      </c>
      <c r="G260" s="9" t="s">
        <v>120</v>
      </c>
      <c r="H260" s="9" t="s">
        <v>1092</v>
      </c>
      <c r="I260" s="9" t="s">
        <v>3233</v>
      </c>
      <c r="J260" s="9" t="s">
        <v>3234</v>
      </c>
      <c r="K260" s="9" t="s">
        <v>3235</v>
      </c>
      <c r="L260" s="9" t="s">
        <v>3236</v>
      </c>
      <c r="M260" s="9" t="s">
        <v>3237</v>
      </c>
      <c r="N260" s="9" t="s">
        <v>3238</v>
      </c>
      <c r="O260" s="9" t="s">
        <v>876</v>
      </c>
    </row>
    <row r="261" customFormat="false" ht="78" hidden="false" customHeight="true" outlineLevel="0" collapsed="false">
      <c r="A261" s="9" t="s">
        <v>3239</v>
      </c>
      <c r="B261" s="9" t="s">
        <v>3240</v>
      </c>
      <c r="C261" s="9" t="s">
        <v>3241</v>
      </c>
      <c r="D261" s="9" t="s">
        <v>866</v>
      </c>
      <c r="E261" s="9" t="s">
        <v>867</v>
      </c>
      <c r="F261" s="9" t="s">
        <v>3242</v>
      </c>
      <c r="G261" s="9" t="s">
        <v>94</v>
      </c>
      <c r="H261" s="9" t="s">
        <v>1092</v>
      </c>
      <c r="I261" s="9" t="s">
        <v>3243</v>
      </c>
      <c r="J261" s="9" t="s">
        <v>3244</v>
      </c>
      <c r="K261" s="9" t="s">
        <v>3245</v>
      </c>
      <c r="L261" s="9" t="s">
        <v>1511</v>
      </c>
      <c r="M261" s="9" t="s">
        <v>3246</v>
      </c>
      <c r="N261" s="9" t="s">
        <v>3247</v>
      </c>
      <c r="O261" s="9" t="s">
        <v>876</v>
      </c>
    </row>
    <row r="262" customFormat="false" ht="78" hidden="false" customHeight="true" outlineLevel="0" collapsed="false">
      <c r="A262" s="9" t="s">
        <v>3248</v>
      </c>
      <c r="B262" s="9" t="s">
        <v>3249</v>
      </c>
      <c r="C262" s="9" t="s">
        <v>3250</v>
      </c>
      <c r="D262" s="9" t="s">
        <v>866</v>
      </c>
      <c r="E262" s="9" t="s">
        <v>867</v>
      </c>
      <c r="F262" s="9" t="s">
        <v>3251</v>
      </c>
      <c r="G262" s="9" t="s">
        <v>94</v>
      </c>
      <c r="H262" s="9" t="s">
        <v>1092</v>
      </c>
      <c r="I262" s="9" t="s">
        <v>3252</v>
      </c>
      <c r="J262" s="9" t="s">
        <v>3253</v>
      </c>
      <c r="K262" s="9" t="s">
        <v>3254</v>
      </c>
      <c r="L262" s="9" t="s">
        <v>3255</v>
      </c>
      <c r="M262" s="9" t="s">
        <v>3256</v>
      </c>
      <c r="N262" s="9" t="s">
        <v>3257</v>
      </c>
      <c r="O262" s="9" t="s">
        <v>876</v>
      </c>
    </row>
    <row r="263" customFormat="false" ht="78" hidden="false" customHeight="true" outlineLevel="0" collapsed="false">
      <c r="A263" s="9" t="s">
        <v>3258</v>
      </c>
      <c r="B263" s="9" t="s">
        <v>3259</v>
      </c>
      <c r="C263" s="9" t="s">
        <v>3260</v>
      </c>
      <c r="D263" s="9" t="s">
        <v>866</v>
      </c>
      <c r="E263" s="9" t="s">
        <v>867</v>
      </c>
      <c r="F263" s="9" t="s">
        <v>3261</v>
      </c>
      <c r="G263" s="9" t="s">
        <v>100</v>
      </c>
      <c r="H263" s="9" t="s">
        <v>1092</v>
      </c>
      <c r="I263" s="9" t="s">
        <v>3262</v>
      </c>
      <c r="J263" s="9" t="s">
        <v>3263</v>
      </c>
      <c r="K263" s="9" t="s">
        <v>3264</v>
      </c>
      <c r="L263" s="9" t="s">
        <v>1521</v>
      </c>
      <c r="M263" s="9" t="s">
        <v>3265</v>
      </c>
      <c r="N263" s="9" t="s">
        <v>3266</v>
      </c>
      <c r="O263" s="9" t="s">
        <v>876</v>
      </c>
    </row>
    <row r="264" customFormat="false" ht="78" hidden="false" customHeight="true" outlineLevel="0" collapsed="false">
      <c r="A264" s="9" t="s">
        <v>3267</v>
      </c>
      <c r="B264" s="9" t="s">
        <v>3268</v>
      </c>
      <c r="C264" s="9" t="s">
        <v>3269</v>
      </c>
      <c r="D264" s="9" t="s">
        <v>866</v>
      </c>
      <c r="E264" s="9" t="s">
        <v>867</v>
      </c>
      <c r="F264" s="9" t="s">
        <v>3270</v>
      </c>
      <c r="G264" s="9" t="s">
        <v>83</v>
      </c>
      <c r="H264" s="9" t="s">
        <v>1092</v>
      </c>
      <c r="I264" s="9" t="s">
        <v>3271</v>
      </c>
      <c r="J264" s="9" t="s">
        <v>3272</v>
      </c>
      <c r="K264" s="9" t="s">
        <v>3273</v>
      </c>
      <c r="L264" s="9" t="s">
        <v>3274</v>
      </c>
      <c r="M264" s="9" t="s">
        <v>3275</v>
      </c>
      <c r="N264" s="9" t="s">
        <v>3276</v>
      </c>
      <c r="O264" s="9" t="s">
        <v>876</v>
      </c>
    </row>
    <row r="265" customFormat="false" ht="78" hidden="false" customHeight="true" outlineLevel="0" collapsed="false">
      <c r="A265" s="9" t="s">
        <v>3277</v>
      </c>
      <c r="B265" s="9" t="s">
        <v>3278</v>
      </c>
      <c r="C265" s="9" t="s">
        <v>3279</v>
      </c>
      <c r="D265" s="9" t="s">
        <v>866</v>
      </c>
      <c r="E265" s="9" t="s">
        <v>867</v>
      </c>
      <c r="F265" s="9" t="s">
        <v>3280</v>
      </c>
      <c r="G265" s="9" t="s">
        <v>83</v>
      </c>
      <c r="H265" s="9" t="s">
        <v>1092</v>
      </c>
      <c r="I265" s="9" t="s">
        <v>3281</v>
      </c>
      <c r="J265" s="9" t="s">
        <v>3282</v>
      </c>
      <c r="K265" s="9" t="s">
        <v>3283</v>
      </c>
      <c r="L265" s="9" t="s">
        <v>3284</v>
      </c>
      <c r="M265" s="9" t="s">
        <v>3285</v>
      </c>
      <c r="N265" s="9" t="s">
        <v>3286</v>
      </c>
      <c r="O265" s="9" t="s">
        <v>876</v>
      </c>
    </row>
    <row r="266" customFormat="false" ht="78" hidden="false" customHeight="true" outlineLevel="0" collapsed="false">
      <c r="A266" s="9" t="s">
        <v>3287</v>
      </c>
      <c r="B266" s="9" t="s">
        <v>3288</v>
      </c>
      <c r="C266" s="9" t="s">
        <v>3289</v>
      </c>
      <c r="D266" s="9" t="s">
        <v>866</v>
      </c>
      <c r="E266" s="9" t="s">
        <v>867</v>
      </c>
      <c r="F266" s="9" t="s">
        <v>3290</v>
      </c>
      <c r="G266" s="9" t="s">
        <v>94</v>
      </c>
      <c r="H266" s="9" t="s">
        <v>1092</v>
      </c>
      <c r="I266" s="9" t="s">
        <v>3291</v>
      </c>
      <c r="J266" s="9" t="s">
        <v>3292</v>
      </c>
      <c r="K266" s="9" t="s">
        <v>3293</v>
      </c>
      <c r="L266" s="9" t="s">
        <v>3294</v>
      </c>
      <c r="M266" s="9" t="s">
        <v>3295</v>
      </c>
      <c r="N266" s="9" t="s">
        <v>3296</v>
      </c>
      <c r="O266" s="9" t="s">
        <v>876</v>
      </c>
    </row>
    <row r="267" customFormat="false" ht="78" hidden="false" customHeight="true" outlineLevel="0" collapsed="false">
      <c r="A267" s="9" t="s">
        <v>3297</v>
      </c>
      <c r="B267" s="9" t="s">
        <v>3298</v>
      </c>
      <c r="C267" s="9" t="s">
        <v>3299</v>
      </c>
      <c r="D267" s="9" t="s">
        <v>866</v>
      </c>
      <c r="E267" s="9" t="s">
        <v>867</v>
      </c>
      <c r="F267" s="9" t="s">
        <v>3300</v>
      </c>
      <c r="G267" s="9" t="s">
        <v>183</v>
      </c>
      <c r="H267" s="9" t="s">
        <v>1092</v>
      </c>
      <c r="I267" s="9" t="s">
        <v>3301</v>
      </c>
      <c r="J267" s="9" t="s">
        <v>3302</v>
      </c>
      <c r="K267" s="9" t="s">
        <v>3303</v>
      </c>
      <c r="L267" s="9" t="s">
        <v>1530</v>
      </c>
      <c r="M267" s="9" t="s">
        <v>3304</v>
      </c>
      <c r="N267" s="9" t="s">
        <v>3305</v>
      </c>
      <c r="O267" s="9" t="s">
        <v>876</v>
      </c>
    </row>
    <row r="268" customFormat="false" ht="78" hidden="false" customHeight="true" outlineLevel="0" collapsed="false">
      <c r="A268" s="9" t="s">
        <v>3306</v>
      </c>
      <c r="B268" s="9" t="s">
        <v>3307</v>
      </c>
      <c r="C268" s="9" t="s">
        <v>3308</v>
      </c>
      <c r="D268" s="9" t="s">
        <v>866</v>
      </c>
      <c r="E268" s="9" t="s">
        <v>867</v>
      </c>
      <c r="F268" s="9" t="s">
        <v>3309</v>
      </c>
      <c r="G268" s="9" t="s">
        <v>183</v>
      </c>
      <c r="H268" s="9" t="s">
        <v>1092</v>
      </c>
      <c r="I268" s="9" t="s">
        <v>3310</v>
      </c>
      <c r="J268" s="9" t="s">
        <v>3311</v>
      </c>
      <c r="K268" s="9" t="s">
        <v>3312</v>
      </c>
      <c r="L268" s="9" t="s">
        <v>1530</v>
      </c>
      <c r="M268" s="9" t="s">
        <v>3313</v>
      </c>
      <c r="N268" s="9" t="s">
        <v>3314</v>
      </c>
      <c r="O268" s="9" t="s">
        <v>876</v>
      </c>
    </row>
    <row r="269" customFormat="false" ht="78" hidden="false" customHeight="true" outlineLevel="0" collapsed="false">
      <c r="A269" s="9" t="s">
        <v>3315</v>
      </c>
      <c r="B269" s="9" t="s">
        <v>3316</v>
      </c>
      <c r="C269" s="9" t="s">
        <v>3317</v>
      </c>
      <c r="D269" s="9" t="s">
        <v>866</v>
      </c>
      <c r="E269" s="9" t="s">
        <v>867</v>
      </c>
      <c r="F269" s="9" t="s">
        <v>3318</v>
      </c>
      <c r="G269" s="9" t="s">
        <v>83</v>
      </c>
      <c r="H269" s="9" t="s">
        <v>1092</v>
      </c>
      <c r="I269" s="9" t="s">
        <v>3319</v>
      </c>
      <c r="J269" s="9" t="s">
        <v>3320</v>
      </c>
      <c r="K269" s="9" t="s">
        <v>3321</v>
      </c>
      <c r="L269" s="9" t="s">
        <v>1530</v>
      </c>
      <c r="M269" s="9" t="s">
        <v>3322</v>
      </c>
      <c r="N269" s="9" t="s">
        <v>3323</v>
      </c>
      <c r="O269" s="9" t="s">
        <v>876</v>
      </c>
    </row>
    <row r="270" customFormat="false" ht="78" hidden="false" customHeight="true" outlineLevel="0" collapsed="false">
      <c r="A270" s="9" t="s">
        <v>3324</v>
      </c>
      <c r="B270" s="9" t="s">
        <v>3325</v>
      </c>
      <c r="C270" s="9" t="s">
        <v>3326</v>
      </c>
      <c r="D270" s="9" t="s">
        <v>866</v>
      </c>
      <c r="E270" s="9" t="s">
        <v>867</v>
      </c>
      <c r="F270" s="9" t="s">
        <v>3327</v>
      </c>
      <c r="G270" s="9" t="s">
        <v>83</v>
      </c>
      <c r="H270" s="9" t="s">
        <v>1092</v>
      </c>
      <c r="I270" s="9" t="s">
        <v>3328</v>
      </c>
      <c r="J270" s="9" t="s">
        <v>3329</v>
      </c>
      <c r="K270" s="9" t="s">
        <v>3330</v>
      </c>
      <c r="L270" s="9" t="s">
        <v>1530</v>
      </c>
      <c r="M270" s="9" t="s">
        <v>3331</v>
      </c>
      <c r="N270" s="9" t="s">
        <v>3332</v>
      </c>
      <c r="O270" s="9" t="s">
        <v>876</v>
      </c>
    </row>
    <row r="271" customFormat="false" ht="78" hidden="false" customHeight="true" outlineLevel="0" collapsed="false">
      <c r="A271" s="9" t="s">
        <v>3333</v>
      </c>
      <c r="B271" s="9" t="s">
        <v>3334</v>
      </c>
      <c r="C271" s="9" t="s">
        <v>3335</v>
      </c>
      <c r="D271" s="9" t="s">
        <v>866</v>
      </c>
      <c r="E271" s="9" t="s">
        <v>867</v>
      </c>
      <c r="F271" s="9" t="s">
        <v>3336</v>
      </c>
      <c r="G271" s="9" t="s">
        <v>183</v>
      </c>
      <c r="H271" s="9" t="s">
        <v>1092</v>
      </c>
      <c r="I271" s="9" t="s">
        <v>3337</v>
      </c>
      <c r="J271" s="9" t="s">
        <v>3338</v>
      </c>
      <c r="K271" s="9" t="s">
        <v>3339</v>
      </c>
      <c r="L271" s="9" t="s">
        <v>3340</v>
      </c>
      <c r="M271" s="9" t="s">
        <v>3341</v>
      </c>
      <c r="N271" s="9" t="s">
        <v>3342</v>
      </c>
      <c r="O271" s="9" t="s">
        <v>876</v>
      </c>
    </row>
    <row r="272" customFormat="false" ht="78" hidden="false" customHeight="true" outlineLevel="0" collapsed="false">
      <c r="A272" s="9" t="s">
        <v>3343</v>
      </c>
      <c r="B272" s="9" t="s">
        <v>3344</v>
      </c>
      <c r="C272" s="9" t="s">
        <v>3345</v>
      </c>
      <c r="D272" s="9" t="s">
        <v>866</v>
      </c>
      <c r="E272" s="9" t="s">
        <v>867</v>
      </c>
      <c r="F272" s="9" t="s">
        <v>3346</v>
      </c>
      <c r="G272" s="9" t="s">
        <v>114</v>
      </c>
      <c r="H272" s="9" t="s">
        <v>1092</v>
      </c>
      <c r="I272" s="9" t="s">
        <v>3347</v>
      </c>
      <c r="J272" s="9" t="s">
        <v>3348</v>
      </c>
      <c r="K272" s="9" t="s">
        <v>3349</v>
      </c>
      <c r="L272" s="9" t="s">
        <v>3350</v>
      </c>
      <c r="M272" s="9" t="s">
        <v>3351</v>
      </c>
      <c r="N272" s="9" t="s">
        <v>3352</v>
      </c>
      <c r="O272" s="9" t="s">
        <v>876</v>
      </c>
    </row>
    <row r="273" customFormat="false" ht="78" hidden="false" customHeight="true" outlineLevel="0" collapsed="false">
      <c r="A273" s="9" t="s">
        <v>3353</v>
      </c>
      <c r="B273" s="9" t="s">
        <v>3354</v>
      </c>
      <c r="C273" s="9" t="s">
        <v>3355</v>
      </c>
      <c r="D273" s="9" t="s">
        <v>866</v>
      </c>
      <c r="E273" s="9" t="s">
        <v>867</v>
      </c>
      <c r="F273" s="9" t="s">
        <v>3356</v>
      </c>
      <c r="G273" s="9" t="s">
        <v>183</v>
      </c>
      <c r="H273" s="9" t="s">
        <v>1092</v>
      </c>
      <c r="I273" s="9" t="s">
        <v>3357</v>
      </c>
      <c r="J273" s="9" t="s">
        <v>3358</v>
      </c>
      <c r="K273" s="9" t="s">
        <v>3359</v>
      </c>
      <c r="L273" s="9" t="s">
        <v>3360</v>
      </c>
      <c r="M273" s="9" t="s">
        <v>3361</v>
      </c>
      <c r="N273" s="9" t="s">
        <v>3362</v>
      </c>
      <c r="O273" s="9" t="s">
        <v>876</v>
      </c>
    </row>
    <row r="274" customFormat="false" ht="78" hidden="false" customHeight="true" outlineLevel="0" collapsed="false">
      <c r="A274" s="9" t="s">
        <v>3363</v>
      </c>
      <c r="B274" s="9" t="s">
        <v>3364</v>
      </c>
      <c r="C274" s="9" t="s">
        <v>3365</v>
      </c>
      <c r="D274" s="9" t="s">
        <v>866</v>
      </c>
      <c r="E274" s="9" t="s">
        <v>867</v>
      </c>
      <c r="F274" s="9" t="s">
        <v>3366</v>
      </c>
      <c r="G274" s="9" t="s">
        <v>70</v>
      </c>
      <c r="H274" s="9" t="s">
        <v>1092</v>
      </c>
      <c r="I274" s="9" t="s">
        <v>3367</v>
      </c>
      <c r="J274" s="9" t="s">
        <v>3368</v>
      </c>
      <c r="K274" s="9" t="s">
        <v>3369</v>
      </c>
      <c r="L274" s="9" t="s">
        <v>3370</v>
      </c>
      <c r="M274" s="9" t="s">
        <v>3371</v>
      </c>
      <c r="N274" s="9" t="s">
        <v>3372</v>
      </c>
      <c r="O274" s="9" t="s">
        <v>876</v>
      </c>
    </row>
    <row r="275" customFormat="false" ht="78" hidden="false" customHeight="true" outlineLevel="0" collapsed="false">
      <c r="A275" s="9" t="s">
        <v>3373</v>
      </c>
      <c r="B275" s="9" t="s">
        <v>3374</v>
      </c>
      <c r="C275" s="9" t="s">
        <v>3375</v>
      </c>
      <c r="D275" s="9" t="s">
        <v>822</v>
      </c>
      <c r="E275" s="9" t="s">
        <v>1005</v>
      </c>
      <c r="F275" s="9" t="s">
        <v>3376</v>
      </c>
      <c r="G275" s="9" t="s">
        <v>114</v>
      </c>
      <c r="H275" s="9" t="s">
        <v>1092</v>
      </c>
      <c r="I275" s="9" t="s">
        <v>3377</v>
      </c>
      <c r="J275" s="9" t="s">
        <v>3378</v>
      </c>
      <c r="K275" s="9" t="s">
        <v>3379</v>
      </c>
      <c r="L275" s="9" t="s">
        <v>3380</v>
      </c>
      <c r="M275" s="9" t="s">
        <v>3381</v>
      </c>
      <c r="N275" s="9" t="s">
        <v>3382</v>
      </c>
      <c r="O275" s="9" t="s">
        <v>876</v>
      </c>
    </row>
    <row r="276" customFormat="false" ht="78" hidden="false" customHeight="true" outlineLevel="0" collapsed="false">
      <c r="A276" s="9" t="s">
        <v>3383</v>
      </c>
      <c r="B276" s="9" t="s">
        <v>3384</v>
      </c>
      <c r="C276" s="9" t="s">
        <v>3385</v>
      </c>
      <c r="D276" s="9" t="s">
        <v>822</v>
      </c>
      <c r="E276" s="9" t="s">
        <v>1005</v>
      </c>
      <c r="F276" s="9" t="s">
        <v>3386</v>
      </c>
      <c r="G276" s="9" t="s">
        <v>114</v>
      </c>
      <c r="H276" s="9" t="s">
        <v>1092</v>
      </c>
      <c r="I276" s="9" t="s">
        <v>3387</v>
      </c>
      <c r="J276" s="9" t="s">
        <v>3388</v>
      </c>
      <c r="K276" s="9" t="s">
        <v>3389</v>
      </c>
      <c r="L276" s="9" t="s">
        <v>3390</v>
      </c>
      <c r="M276" s="9" t="s">
        <v>3391</v>
      </c>
      <c r="N276" s="9" t="s">
        <v>3392</v>
      </c>
      <c r="O276" s="9" t="s">
        <v>876</v>
      </c>
    </row>
    <row r="277" customFormat="false" ht="78" hidden="false" customHeight="true" outlineLevel="0" collapsed="false">
      <c r="A277" s="9" t="s">
        <v>3393</v>
      </c>
      <c r="B277" s="9" t="s">
        <v>3394</v>
      </c>
      <c r="C277" s="9" t="s">
        <v>3395</v>
      </c>
      <c r="D277" s="9" t="s">
        <v>822</v>
      </c>
      <c r="E277" s="9" t="s">
        <v>1005</v>
      </c>
      <c r="F277" s="9" t="s">
        <v>3396</v>
      </c>
      <c r="G277" s="9" t="s">
        <v>114</v>
      </c>
      <c r="H277" s="9" t="s">
        <v>1092</v>
      </c>
      <c r="I277" s="9" t="s">
        <v>3397</v>
      </c>
      <c r="J277" s="9" t="s">
        <v>3398</v>
      </c>
      <c r="K277" s="9" t="s">
        <v>3399</v>
      </c>
      <c r="L277" s="9" t="s">
        <v>3390</v>
      </c>
      <c r="M277" s="9" t="s">
        <v>3400</v>
      </c>
      <c r="N277" s="9" t="s">
        <v>3401</v>
      </c>
      <c r="O277" s="9" t="s">
        <v>876</v>
      </c>
    </row>
    <row r="278" customFormat="false" ht="78" hidden="false" customHeight="true" outlineLevel="0" collapsed="false">
      <c r="A278" s="9" t="s">
        <v>3402</v>
      </c>
      <c r="B278" s="9" t="s">
        <v>3403</v>
      </c>
      <c r="C278" s="9" t="s">
        <v>3404</v>
      </c>
      <c r="D278" s="9" t="s">
        <v>866</v>
      </c>
      <c r="E278" s="9" t="s">
        <v>867</v>
      </c>
      <c r="F278" s="9" t="s">
        <v>3405</v>
      </c>
      <c r="G278" s="9" t="s">
        <v>127</v>
      </c>
      <c r="H278" s="9" t="s">
        <v>1092</v>
      </c>
      <c r="I278" s="9" t="s">
        <v>3406</v>
      </c>
      <c r="J278" s="9" t="s">
        <v>3407</v>
      </c>
      <c r="K278" s="9" t="s">
        <v>3408</v>
      </c>
      <c r="L278" s="9" t="s">
        <v>3409</v>
      </c>
      <c r="M278" s="9" t="s">
        <v>3410</v>
      </c>
      <c r="N278" s="9" t="s">
        <v>3411</v>
      </c>
      <c r="O278" s="9" t="s">
        <v>876</v>
      </c>
    </row>
    <row r="279" customFormat="false" ht="78" hidden="false" customHeight="true" outlineLevel="0" collapsed="false">
      <c r="A279" s="9" t="s">
        <v>3412</v>
      </c>
      <c r="B279" s="9" t="s">
        <v>3413</v>
      </c>
      <c r="C279" s="9" t="s">
        <v>3414</v>
      </c>
      <c r="D279" s="9" t="s">
        <v>866</v>
      </c>
      <c r="E279" s="9" t="s">
        <v>867</v>
      </c>
      <c r="F279" s="9" t="s">
        <v>3415</v>
      </c>
      <c r="G279" s="9" t="s">
        <v>127</v>
      </c>
      <c r="H279" s="9" t="s">
        <v>1092</v>
      </c>
      <c r="I279" s="9" t="s">
        <v>3416</v>
      </c>
      <c r="J279" s="9" t="s">
        <v>3417</v>
      </c>
      <c r="K279" s="9" t="s">
        <v>3418</v>
      </c>
      <c r="L279" s="9" t="s">
        <v>3409</v>
      </c>
      <c r="M279" s="9" t="s">
        <v>3419</v>
      </c>
      <c r="N279" s="9" t="s">
        <v>3420</v>
      </c>
      <c r="O279" s="9" t="s">
        <v>876</v>
      </c>
    </row>
    <row r="280" customFormat="false" ht="78" hidden="false" customHeight="true" outlineLevel="0" collapsed="false">
      <c r="A280" s="9" t="s">
        <v>3421</v>
      </c>
      <c r="B280" s="9" t="s">
        <v>3422</v>
      </c>
      <c r="C280" s="9" t="s">
        <v>3423</v>
      </c>
      <c r="D280" s="9" t="s">
        <v>866</v>
      </c>
      <c r="E280" s="9" t="s">
        <v>867</v>
      </c>
      <c r="F280" s="9" t="s">
        <v>3424</v>
      </c>
      <c r="G280" s="9" t="s">
        <v>114</v>
      </c>
      <c r="H280" s="9" t="s">
        <v>1092</v>
      </c>
      <c r="I280" s="9" t="s">
        <v>3425</v>
      </c>
      <c r="J280" s="9" t="s">
        <v>3426</v>
      </c>
      <c r="K280" s="9" t="s">
        <v>3427</v>
      </c>
      <c r="L280" s="9" t="s">
        <v>3428</v>
      </c>
      <c r="M280" s="9" t="s">
        <v>3429</v>
      </c>
      <c r="N280" s="9" t="s">
        <v>3430</v>
      </c>
      <c r="O280" s="9" t="s">
        <v>876</v>
      </c>
    </row>
    <row r="281" customFormat="false" ht="78" hidden="false" customHeight="true" outlineLevel="0" collapsed="false">
      <c r="A281" s="9" t="s">
        <v>3431</v>
      </c>
      <c r="B281" s="9" t="s">
        <v>3432</v>
      </c>
      <c r="C281" s="9" t="s">
        <v>3433</v>
      </c>
      <c r="D281" s="9" t="s">
        <v>866</v>
      </c>
      <c r="E281" s="9" t="s">
        <v>867</v>
      </c>
      <c r="F281" s="9" t="s">
        <v>3434</v>
      </c>
      <c r="G281" s="9" t="s">
        <v>114</v>
      </c>
      <c r="H281" s="9" t="s">
        <v>881</v>
      </c>
      <c r="I281" s="9" t="s">
        <v>3435</v>
      </c>
      <c r="J281" s="9" t="s">
        <v>3436</v>
      </c>
      <c r="K281" s="9" t="s">
        <v>3437</v>
      </c>
      <c r="L281" s="9" t="s">
        <v>3438</v>
      </c>
      <c r="M281" s="9" t="s">
        <v>3439</v>
      </c>
      <c r="N281" s="9" t="s">
        <v>3440</v>
      </c>
      <c r="O281" s="9" t="s">
        <v>876</v>
      </c>
    </row>
    <row r="282" customFormat="false" ht="78" hidden="false" customHeight="true" outlineLevel="0" collapsed="false">
      <c r="A282" s="9" t="s">
        <v>3441</v>
      </c>
      <c r="B282" s="9" t="s">
        <v>3442</v>
      </c>
      <c r="C282" s="9" t="s">
        <v>3443</v>
      </c>
      <c r="D282" s="9" t="s">
        <v>866</v>
      </c>
      <c r="E282" s="9" t="s">
        <v>867</v>
      </c>
      <c r="F282" s="9" t="s">
        <v>3444</v>
      </c>
      <c r="G282" s="9" t="s">
        <v>114</v>
      </c>
      <c r="H282" s="9" t="s">
        <v>881</v>
      </c>
      <c r="I282" s="9" t="s">
        <v>3445</v>
      </c>
      <c r="J282" s="9" t="s">
        <v>3446</v>
      </c>
      <c r="K282" s="9" t="s">
        <v>3447</v>
      </c>
      <c r="L282" s="9" t="s">
        <v>1685</v>
      </c>
      <c r="M282" s="9" t="s">
        <v>3448</v>
      </c>
      <c r="N282" s="9" t="s">
        <v>3449</v>
      </c>
      <c r="O282" s="9" t="s">
        <v>876</v>
      </c>
    </row>
    <row r="283" customFormat="false" ht="78" hidden="false" customHeight="true" outlineLevel="0" collapsed="false">
      <c r="A283" s="9" t="s">
        <v>3450</v>
      </c>
      <c r="B283" s="9" t="s">
        <v>3451</v>
      </c>
      <c r="C283" s="9" t="s">
        <v>3452</v>
      </c>
      <c r="D283" s="9" t="s">
        <v>866</v>
      </c>
      <c r="E283" s="9" t="s">
        <v>867</v>
      </c>
      <c r="F283" s="9" t="s">
        <v>3453</v>
      </c>
      <c r="G283" s="9" t="s">
        <v>114</v>
      </c>
      <c r="H283" s="9" t="s">
        <v>1092</v>
      </c>
      <c r="I283" s="9" t="s">
        <v>3454</v>
      </c>
      <c r="J283" s="9" t="s">
        <v>3455</v>
      </c>
      <c r="K283" s="9" t="s">
        <v>3456</v>
      </c>
      <c r="L283" s="9" t="s">
        <v>3457</v>
      </c>
      <c r="M283" s="9" t="s">
        <v>3458</v>
      </c>
      <c r="N283" s="9" t="s">
        <v>3459</v>
      </c>
      <c r="O283" s="9" t="s">
        <v>876</v>
      </c>
    </row>
    <row r="284" customFormat="false" ht="78" hidden="false" customHeight="true" outlineLevel="0" collapsed="false">
      <c r="A284" s="9" t="s">
        <v>3460</v>
      </c>
      <c r="B284" s="9" t="s">
        <v>777</v>
      </c>
      <c r="C284" s="9" t="s">
        <v>3461</v>
      </c>
      <c r="D284" s="9" t="s">
        <v>866</v>
      </c>
      <c r="E284" s="9" t="s">
        <v>867</v>
      </c>
      <c r="F284" s="9" t="s">
        <v>3462</v>
      </c>
      <c r="G284" s="9" t="s">
        <v>120</v>
      </c>
      <c r="H284" s="9" t="s">
        <v>1092</v>
      </c>
      <c r="I284" s="9" t="s">
        <v>3463</v>
      </c>
      <c r="J284" s="9" t="s">
        <v>3464</v>
      </c>
      <c r="K284" s="9" t="s">
        <v>3465</v>
      </c>
      <c r="L284" s="9" t="s">
        <v>3466</v>
      </c>
      <c r="M284" s="9" t="s">
        <v>3467</v>
      </c>
      <c r="N284" s="9" t="s">
        <v>3468</v>
      </c>
      <c r="O284" s="9" t="s">
        <v>876</v>
      </c>
    </row>
    <row r="285" customFormat="false" ht="78" hidden="false" customHeight="true" outlineLevel="0" collapsed="false">
      <c r="A285" s="9" t="s">
        <v>3469</v>
      </c>
      <c r="B285" s="9" t="s">
        <v>3470</v>
      </c>
      <c r="C285" s="9" t="s">
        <v>3471</v>
      </c>
      <c r="D285" s="9" t="s">
        <v>866</v>
      </c>
      <c r="E285" s="9" t="s">
        <v>867</v>
      </c>
      <c r="F285" s="9" t="s">
        <v>3472</v>
      </c>
      <c r="G285" s="9" t="s">
        <v>120</v>
      </c>
      <c r="H285" s="9" t="s">
        <v>1092</v>
      </c>
      <c r="I285" s="9" t="s">
        <v>3473</v>
      </c>
      <c r="J285" s="9" t="s">
        <v>3474</v>
      </c>
      <c r="K285" s="9" t="s">
        <v>3475</v>
      </c>
      <c r="L285" s="9" t="s">
        <v>3466</v>
      </c>
      <c r="M285" s="9" t="s">
        <v>3476</v>
      </c>
      <c r="N285" s="9" t="s">
        <v>3477</v>
      </c>
      <c r="O285" s="9" t="s">
        <v>876</v>
      </c>
    </row>
    <row r="286" customFormat="false" ht="78" hidden="false" customHeight="true" outlineLevel="0" collapsed="false">
      <c r="A286" s="9" t="s">
        <v>3478</v>
      </c>
      <c r="B286" s="9" t="s">
        <v>3479</v>
      </c>
      <c r="C286" s="9" t="s">
        <v>3480</v>
      </c>
      <c r="D286" s="9" t="s">
        <v>866</v>
      </c>
      <c r="E286" s="9" t="s">
        <v>867</v>
      </c>
      <c r="F286" s="9" t="s">
        <v>3481</v>
      </c>
      <c r="G286" s="9" t="s">
        <v>127</v>
      </c>
      <c r="H286" s="9" t="s">
        <v>1092</v>
      </c>
      <c r="I286" s="9" t="s">
        <v>3482</v>
      </c>
      <c r="J286" s="9" t="s">
        <v>3483</v>
      </c>
      <c r="K286" s="9" t="s">
        <v>3484</v>
      </c>
      <c r="L286" s="9" t="s">
        <v>3485</v>
      </c>
      <c r="M286" s="9" t="s">
        <v>3486</v>
      </c>
      <c r="N286" s="9" t="s">
        <v>3487</v>
      </c>
      <c r="O286" s="9" t="s">
        <v>876</v>
      </c>
    </row>
    <row r="287" customFormat="false" ht="78" hidden="false" customHeight="true" outlineLevel="0" collapsed="false">
      <c r="A287" s="9" t="s">
        <v>3488</v>
      </c>
      <c r="B287" s="9" t="s">
        <v>3489</v>
      </c>
      <c r="C287" s="9" t="s">
        <v>3490</v>
      </c>
      <c r="D287" s="9" t="s">
        <v>866</v>
      </c>
      <c r="E287" s="9" t="s">
        <v>867</v>
      </c>
      <c r="F287" s="9" t="s">
        <v>3491</v>
      </c>
      <c r="G287" s="9" t="s">
        <v>127</v>
      </c>
      <c r="H287" s="9" t="s">
        <v>1092</v>
      </c>
      <c r="I287" s="9" t="s">
        <v>3492</v>
      </c>
      <c r="J287" s="9" t="s">
        <v>3493</v>
      </c>
      <c r="K287" s="9" t="s">
        <v>3494</v>
      </c>
      <c r="L287" s="9" t="s">
        <v>3495</v>
      </c>
      <c r="M287" s="9" t="s">
        <v>3496</v>
      </c>
      <c r="N287" s="9" t="s">
        <v>3497</v>
      </c>
      <c r="O287" s="9" t="s">
        <v>876</v>
      </c>
    </row>
    <row r="288" customFormat="false" ht="78" hidden="false" customHeight="true" outlineLevel="0" collapsed="false">
      <c r="A288" s="9" t="s">
        <v>3498</v>
      </c>
      <c r="B288" s="9" t="s">
        <v>3499</v>
      </c>
      <c r="C288" s="9" t="s">
        <v>3500</v>
      </c>
      <c r="D288" s="9" t="s">
        <v>866</v>
      </c>
      <c r="E288" s="9" t="s">
        <v>867</v>
      </c>
      <c r="F288" s="9" t="s">
        <v>3501</v>
      </c>
      <c r="G288" s="9" t="s">
        <v>127</v>
      </c>
      <c r="H288" s="9" t="s">
        <v>1092</v>
      </c>
      <c r="I288" s="9" t="s">
        <v>3502</v>
      </c>
      <c r="J288" s="9" t="s">
        <v>3503</v>
      </c>
      <c r="K288" s="9" t="s">
        <v>3504</v>
      </c>
      <c r="L288" s="9" t="s">
        <v>3505</v>
      </c>
      <c r="M288" s="9" t="s">
        <v>3506</v>
      </c>
      <c r="N288" s="9" t="s">
        <v>3507</v>
      </c>
      <c r="O288" s="9" t="s">
        <v>876</v>
      </c>
    </row>
    <row r="289" customFormat="false" ht="78" hidden="false" customHeight="true" outlineLevel="0" collapsed="false">
      <c r="A289" s="9" t="s">
        <v>3508</v>
      </c>
      <c r="B289" s="9" t="s">
        <v>3509</v>
      </c>
      <c r="C289" s="9" t="s">
        <v>3510</v>
      </c>
      <c r="D289" s="9" t="s">
        <v>822</v>
      </c>
      <c r="E289" s="9" t="s">
        <v>1005</v>
      </c>
      <c r="F289" s="9" t="s">
        <v>3511</v>
      </c>
      <c r="G289" s="9" t="s">
        <v>83</v>
      </c>
      <c r="H289" s="9" t="s">
        <v>1092</v>
      </c>
      <c r="I289" s="9" t="s">
        <v>3512</v>
      </c>
      <c r="J289" s="9" t="s">
        <v>3513</v>
      </c>
      <c r="K289" s="9" t="s">
        <v>3514</v>
      </c>
      <c r="L289" s="9" t="s">
        <v>1744</v>
      </c>
      <c r="M289" s="9" t="s">
        <v>3515</v>
      </c>
      <c r="N289" s="9" t="s">
        <v>3516</v>
      </c>
      <c r="O289" s="9" t="s">
        <v>876</v>
      </c>
    </row>
    <row r="290" customFormat="false" ht="78" hidden="false" customHeight="true" outlineLevel="0" collapsed="false">
      <c r="A290" s="9" t="s">
        <v>3517</v>
      </c>
      <c r="B290" s="9" t="s">
        <v>3518</v>
      </c>
      <c r="C290" s="9" t="s">
        <v>3519</v>
      </c>
      <c r="D290" s="9" t="s">
        <v>822</v>
      </c>
      <c r="E290" s="9" t="s">
        <v>1005</v>
      </c>
      <c r="F290" s="9" t="s">
        <v>3520</v>
      </c>
      <c r="G290" s="9" t="s">
        <v>83</v>
      </c>
      <c r="H290" s="9" t="s">
        <v>1092</v>
      </c>
      <c r="I290" s="9" t="s">
        <v>3521</v>
      </c>
      <c r="J290" s="9" t="s">
        <v>3522</v>
      </c>
      <c r="K290" s="9" t="s">
        <v>3523</v>
      </c>
      <c r="L290" s="9" t="s">
        <v>3524</v>
      </c>
      <c r="M290" s="9" t="s">
        <v>3525</v>
      </c>
      <c r="N290" s="9" t="s">
        <v>3526</v>
      </c>
      <c r="O290" s="9" t="s">
        <v>876</v>
      </c>
    </row>
    <row r="291" customFormat="false" ht="78" hidden="false" customHeight="true" outlineLevel="0" collapsed="false">
      <c r="A291" s="9" t="s">
        <v>3527</v>
      </c>
      <c r="B291" s="9" t="s">
        <v>584</v>
      </c>
      <c r="C291" s="9" t="s">
        <v>3528</v>
      </c>
      <c r="D291" s="9" t="s">
        <v>866</v>
      </c>
      <c r="E291" s="9" t="s">
        <v>867</v>
      </c>
      <c r="F291" s="9" t="s">
        <v>3529</v>
      </c>
      <c r="G291" s="9" t="s">
        <v>120</v>
      </c>
      <c r="H291" s="9" t="s">
        <v>881</v>
      </c>
      <c r="I291" s="9" t="s">
        <v>3530</v>
      </c>
      <c r="J291" s="9" t="s">
        <v>3531</v>
      </c>
      <c r="K291" s="9" t="s">
        <v>3532</v>
      </c>
      <c r="L291" s="9" t="s">
        <v>1831</v>
      </c>
      <c r="M291" s="9" t="s">
        <v>3533</v>
      </c>
      <c r="N291" s="9" t="s">
        <v>3534</v>
      </c>
      <c r="O291" s="9" t="s">
        <v>876</v>
      </c>
    </row>
    <row r="292" customFormat="false" ht="78" hidden="false" customHeight="true" outlineLevel="0" collapsed="false">
      <c r="A292" s="9" t="s">
        <v>3535</v>
      </c>
      <c r="B292" s="9" t="s">
        <v>308</v>
      </c>
      <c r="C292" s="9" t="s">
        <v>3536</v>
      </c>
      <c r="D292" s="9" t="s">
        <v>866</v>
      </c>
      <c r="E292" s="9" t="s">
        <v>867</v>
      </c>
      <c r="F292" s="9" t="s">
        <v>3537</v>
      </c>
      <c r="G292" s="9" t="s">
        <v>120</v>
      </c>
      <c r="H292" s="9" t="s">
        <v>1092</v>
      </c>
      <c r="I292" s="9" t="s">
        <v>3538</v>
      </c>
      <c r="J292" s="9" t="s">
        <v>3539</v>
      </c>
      <c r="K292" s="9" t="s">
        <v>3540</v>
      </c>
      <c r="L292" s="9" t="s">
        <v>3541</v>
      </c>
      <c r="M292" s="9" t="s">
        <v>3542</v>
      </c>
      <c r="N292" s="9" t="s">
        <v>3543</v>
      </c>
      <c r="O292" s="9" t="s">
        <v>876</v>
      </c>
    </row>
    <row r="293" customFormat="false" ht="78" hidden="false" customHeight="true" outlineLevel="0" collapsed="false">
      <c r="A293" s="9" t="s">
        <v>3544</v>
      </c>
      <c r="B293" s="9" t="s">
        <v>3545</v>
      </c>
      <c r="C293" s="9" t="s">
        <v>3546</v>
      </c>
      <c r="D293" s="9" t="s">
        <v>866</v>
      </c>
      <c r="E293" s="9" t="s">
        <v>867</v>
      </c>
      <c r="F293" s="9" t="s">
        <v>3547</v>
      </c>
      <c r="G293" s="9" t="s">
        <v>176</v>
      </c>
      <c r="H293" s="9" t="s">
        <v>1092</v>
      </c>
      <c r="I293" s="9" t="s">
        <v>3548</v>
      </c>
      <c r="J293" s="9" t="s">
        <v>3549</v>
      </c>
      <c r="K293" s="9" t="s">
        <v>3550</v>
      </c>
      <c r="L293" s="9" t="s">
        <v>1849</v>
      </c>
      <c r="M293" s="9" t="s">
        <v>3551</v>
      </c>
      <c r="N293" s="9" t="s">
        <v>3552</v>
      </c>
      <c r="O293" s="9" t="s">
        <v>876</v>
      </c>
    </row>
    <row r="294" customFormat="false" ht="78" hidden="false" customHeight="true" outlineLevel="0" collapsed="false">
      <c r="A294" s="9" t="s">
        <v>3553</v>
      </c>
      <c r="B294" s="9" t="s">
        <v>3554</v>
      </c>
      <c r="C294" s="9" t="s">
        <v>3555</v>
      </c>
      <c r="D294" s="9" t="s">
        <v>866</v>
      </c>
      <c r="E294" s="9" t="s">
        <v>867</v>
      </c>
      <c r="F294" s="9" t="s">
        <v>3556</v>
      </c>
      <c r="G294" s="9" t="s">
        <v>176</v>
      </c>
      <c r="H294" s="9" t="s">
        <v>1092</v>
      </c>
      <c r="I294" s="9" t="s">
        <v>3557</v>
      </c>
      <c r="J294" s="9" t="s">
        <v>3558</v>
      </c>
      <c r="K294" s="9" t="s">
        <v>3559</v>
      </c>
      <c r="L294" s="9" t="s">
        <v>1849</v>
      </c>
      <c r="M294" s="9" t="s">
        <v>3560</v>
      </c>
      <c r="N294" s="9" t="s">
        <v>3561</v>
      </c>
      <c r="O294" s="9" t="s">
        <v>876</v>
      </c>
    </row>
    <row r="295" customFormat="false" ht="78" hidden="false" customHeight="true" outlineLevel="0" collapsed="false">
      <c r="A295" s="9" t="s">
        <v>3562</v>
      </c>
      <c r="B295" s="9" t="s">
        <v>788</v>
      </c>
      <c r="C295" s="9" t="s">
        <v>3563</v>
      </c>
      <c r="D295" s="9" t="s">
        <v>866</v>
      </c>
      <c r="E295" s="9" t="s">
        <v>867</v>
      </c>
      <c r="F295" s="9" t="s">
        <v>3564</v>
      </c>
      <c r="G295" s="9" t="s">
        <v>120</v>
      </c>
      <c r="H295" s="9" t="s">
        <v>1092</v>
      </c>
      <c r="I295" s="9" t="s">
        <v>3565</v>
      </c>
      <c r="J295" s="9" t="s">
        <v>3566</v>
      </c>
      <c r="K295" s="9" t="s">
        <v>3567</v>
      </c>
      <c r="L295" s="9" t="s">
        <v>3568</v>
      </c>
      <c r="M295" s="9" t="s">
        <v>3569</v>
      </c>
      <c r="N295" s="9" t="s">
        <v>3570</v>
      </c>
      <c r="O295" s="9" t="s">
        <v>876</v>
      </c>
    </row>
    <row r="296" customFormat="false" ht="78" hidden="false" customHeight="true" outlineLevel="0" collapsed="false">
      <c r="A296" s="9" t="s">
        <v>3571</v>
      </c>
      <c r="B296" s="9" t="s">
        <v>3572</v>
      </c>
      <c r="C296" s="9" t="s">
        <v>3573</v>
      </c>
      <c r="D296" s="9" t="s">
        <v>822</v>
      </c>
      <c r="E296" s="9" t="s">
        <v>1005</v>
      </c>
      <c r="F296" s="9" t="s">
        <v>3574</v>
      </c>
      <c r="G296" s="9" t="s">
        <v>94</v>
      </c>
      <c r="H296" s="9" t="s">
        <v>1092</v>
      </c>
      <c r="I296" s="9" t="s">
        <v>3575</v>
      </c>
      <c r="J296" s="9" t="s">
        <v>3576</v>
      </c>
      <c r="K296" s="9" t="s">
        <v>3577</v>
      </c>
      <c r="L296" s="9" t="s">
        <v>3578</v>
      </c>
      <c r="M296" s="9" t="s">
        <v>3579</v>
      </c>
      <c r="N296" s="9" t="s">
        <v>3580</v>
      </c>
      <c r="O296" s="9" t="s">
        <v>876</v>
      </c>
    </row>
    <row r="297" customFormat="false" ht="78" hidden="false" customHeight="true" outlineLevel="0" collapsed="false">
      <c r="A297" s="9" t="s">
        <v>3581</v>
      </c>
      <c r="B297" s="9" t="s">
        <v>3582</v>
      </c>
      <c r="C297" s="9" t="s">
        <v>3583</v>
      </c>
      <c r="D297" s="9" t="s">
        <v>822</v>
      </c>
      <c r="E297" s="9" t="s">
        <v>1005</v>
      </c>
      <c r="F297" s="9" t="s">
        <v>3584</v>
      </c>
      <c r="G297" s="9" t="s">
        <v>94</v>
      </c>
      <c r="H297" s="9" t="s">
        <v>1092</v>
      </c>
      <c r="I297" s="9" t="s">
        <v>3585</v>
      </c>
      <c r="J297" s="9" t="s">
        <v>3586</v>
      </c>
      <c r="K297" s="9" t="s">
        <v>3587</v>
      </c>
      <c r="L297" s="9" t="s">
        <v>3588</v>
      </c>
      <c r="M297" s="9" t="s">
        <v>3589</v>
      </c>
      <c r="N297" s="9" t="s">
        <v>3590</v>
      </c>
      <c r="O297" s="9" t="s">
        <v>876</v>
      </c>
    </row>
    <row r="298" customFormat="false" ht="78" hidden="false" customHeight="true" outlineLevel="0" collapsed="false">
      <c r="A298" s="9" t="s">
        <v>3591</v>
      </c>
      <c r="B298" s="9" t="s">
        <v>3592</v>
      </c>
      <c r="C298" s="9" t="s">
        <v>3593</v>
      </c>
      <c r="D298" s="9" t="s">
        <v>866</v>
      </c>
      <c r="E298" s="9" t="s">
        <v>867</v>
      </c>
      <c r="F298" s="9" t="s">
        <v>3594</v>
      </c>
      <c r="G298" s="9" t="s">
        <v>83</v>
      </c>
      <c r="H298" s="9" t="s">
        <v>881</v>
      </c>
      <c r="I298" s="9" t="s">
        <v>3595</v>
      </c>
      <c r="J298" s="9" t="s">
        <v>3596</v>
      </c>
      <c r="K298" s="9" t="s">
        <v>3597</v>
      </c>
      <c r="L298" s="9" t="s">
        <v>3598</v>
      </c>
      <c r="M298" s="9" t="s">
        <v>3599</v>
      </c>
      <c r="N298" s="9" t="s">
        <v>3600</v>
      </c>
      <c r="O298" s="9" t="s">
        <v>876</v>
      </c>
    </row>
    <row r="299" customFormat="false" ht="78" hidden="false" customHeight="true" outlineLevel="0" collapsed="false">
      <c r="A299" s="9" t="s">
        <v>3601</v>
      </c>
      <c r="B299" s="9" t="s">
        <v>3602</v>
      </c>
      <c r="C299" s="9" t="s">
        <v>3603</v>
      </c>
      <c r="D299" s="9" t="s">
        <v>866</v>
      </c>
      <c r="E299" s="9" t="s">
        <v>867</v>
      </c>
      <c r="F299" s="9" t="s">
        <v>3604</v>
      </c>
      <c r="G299" s="9" t="s">
        <v>157</v>
      </c>
      <c r="H299" s="9" t="s">
        <v>881</v>
      </c>
      <c r="I299" s="9" t="s">
        <v>3605</v>
      </c>
      <c r="J299" s="9" t="s">
        <v>3606</v>
      </c>
      <c r="K299" s="9" t="s">
        <v>3607</v>
      </c>
      <c r="L299" s="9" t="s">
        <v>3608</v>
      </c>
      <c r="M299" s="9" t="s">
        <v>3609</v>
      </c>
      <c r="N299" s="9" t="s">
        <v>3610</v>
      </c>
      <c r="O299" s="9" t="s">
        <v>876</v>
      </c>
    </row>
    <row r="300" customFormat="false" ht="78" hidden="false" customHeight="true" outlineLevel="0" collapsed="false">
      <c r="A300" s="9" t="s">
        <v>3611</v>
      </c>
      <c r="B300" s="9" t="s">
        <v>3612</v>
      </c>
      <c r="C300" s="9" t="s">
        <v>3613</v>
      </c>
      <c r="D300" s="9" t="s">
        <v>866</v>
      </c>
      <c r="E300" s="9" t="s">
        <v>867</v>
      </c>
      <c r="F300" s="9" t="s">
        <v>3614</v>
      </c>
      <c r="G300" s="9" t="s">
        <v>70</v>
      </c>
      <c r="H300" s="9" t="s">
        <v>1092</v>
      </c>
      <c r="I300" s="9" t="s">
        <v>3615</v>
      </c>
      <c r="J300" s="9" t="s">
        <v>3616</v>
      </c>
      <c r="K300" s="9" t="s">
        <v>3617</v>
      </c>
      <c r="L300" s="9" t="s">
        <v>3618</v>
      </c>
      <c r="M300" s="9" t="s">
        <v>3619</v>
      </c>
      <c r="N300" s="9" t="s">
        <v>3620</v>
      </c>
      <c r="O300" s="9" t="s">
        <v>876</v>
      </c>
    </row>
    <row r="301" customFormat="false" ht="78" hidden="false" customHeight="true" outlineLevel="0" collapsed="false">
      <c r="A301" s="9" t="s">
        <v>3621</v>
      </c>
      <c r="B301" s="9" t="s">
        <v>3622</v>
      </c>
      <c r="C301" s="9" t="s">
        <v>3623</v>
      </c>
      <c r="D301" s="9" t="s">
        <v>866</v>
      </c>
      <c r="E301" s="9" t="s">
        <v>867</v>
      </c>
      <c r="F301" s="9" t="s">
        <v>2206</v>
      </c>
      <c r="G301" s="9" t="s">
        <v>210</v>
      </c>
      <c r="H301" s="9" t="s">
        <v>881</v>
      </c>
      <c r="I301" s="9" t="s">
        <v>3624</v>
      </c>
      <c r="J301" s="9" t="s">
        <v>3625</v>
      </c>
      <c r="K301" s="9" t="s">
        <v>3626</v>
      </c>
      <c r="L301" s="9" t="s">
        <v>3627</v>
      </c>
      <c r="M301" s="9" t="s">
        <v>3628</v>
      </c>
      <c r="N301" s="9" t="s">
        <v>3629</v>
      </c>
      <c r="O301" s="9" t="s">
        <v>876</v>
      </c>
    </row>
    <row r="302" customFormat="false" ht="78" hidden="false" customHeight="true" outlineLevel="0" collapsed="false">
      <c r="A302" s="9" t="s">
        <v>3630</v>
      </c>
      <c r="B302" s="9" t="s">
        <v>3631</v>
      </c>
      <c r="C302" s="9" t="s">
        <v>3632</v>
      </c>
      <c r="D302" s="9" t="s">
        <v>866</v>
      </c>
      <c r="E302" s="9" t="s">
        <v>867</v>
      </c>
      <c r="F302" s="9" t="s">
        <v>3633</v>
      </c>
      <c r="G302" s="9" t="s">
        <v>63</v>
      </c>
      <c r="H302" s="9" t="s">
        <v>881</v>
      </c>
      <c r="I302" s="9" t="s">
        <v>3634</v>
      </c>
      <c r="J302" s="9" t="s">
        <v>3635</v>
      </c>
      <c r="K302" s="9" t="s">
        <v>3636</v>
      </c>
      <c r="L302" s="9" t="s">
        <v>3637</v>
      </c>
      <c r="M302" s="9" t="s">
        <v>3638</v>
      </c>
      <c r="N302" s="9" t="s">
        <v>3639</v>
      </c>
      <c r="O302" s="9" t="s">
        <v>876</v>
      </c>
    </row>
    <row r="303" customFormat="false" ht="78" hidden="false" customHeight="true" outlineLevel="0" collapsed="false">
      <c r="A303" s="9" t="s">
        <v>3640</v>
      </c>
      <c r="B303" s="9" t="s">
        <v>3641</v>
      </c>
      <c r="C303" s="9" t="s">
        <v>3642</v>
      </c>
      <c r="D303" s="9" t="s">
        <v>866</v>
      </c>
      <c r="E303" s="9" t="s">
        <v>867</v>
      </c>
      <c r="F303" s="9" t="s">
        <v>3643</v>
      </c>
      <c r="G303" s="9" t="s">
        <v>70</v>
      </c>
      <c r="H303" s="9" t="s">
        <v>1092</v>
      </c>
      <c r="I303" s="9" t="s">
        <v>3644</v>
      </c>
      <c r="J303" s="9" t="s">
        <v>3645</v>
      </c>
      <c r="K303" s="9" t="s">
        <v>3646</v>
      </c>
      <c r="L303" s="9" t="s">
        <v>3647</v>
      </c>
      <c r="M303" s="9" t="s">
        <v>3648</v>
      </c>
      <c r="N303" s="9" t="s">
        <v>3649</v>
      </c>
      <c r="O303" s="9" t="s">
        <v>876</v>
      </c>
    </row>
    <row r="304" customFormat="false" ht="78" hidden="false" customHeight="true" outlineLevel="0" collapsed="false">
      <c r="A304" s="9" t="s">
        <v>3650</v>
      </c>
      <c r="B304" s="9" t="s">
        <v>3651</v>
      </c>
      <c r="C304" s="9" t="s">
        <v>3652</v>
      </c>
      <c r="D304" s="9" t="s">
        <v>866</v>
      </c>
      <c r="E304" s="9" t="s">
        <v>867</v>
      </c>
      <c r="F304" s="9" t="s">
        <v>3653</v>
      </c>
      <c r="G304" s="9" t="s">
        <v>210</v>
      </c>
      <c r="H304" s="9" t="s">
        <v>869</v>
      </c>
      <c r="I304" s="9" t="s">
        <v>3654</v>
      </c>
      <c r="J304" s="9" t="s">
        <v>3655</v>
      </c>
      <c r="K304" s="9" t="s">
        <v>3656</v>
      </c>
      <c r="L304" s="9" t="s">
        <v>3657</v>
      </c>
      <c r="M304" s="9" t="s">
        <v>3658</v>
      </c>
      <c r="N304" s="9" t="s">
        <v>3659</v>
      </c>
      <c r="O304" s="9" t="s">
        <v>876</v>
      </c>
    </row>
    <row r="305" customFormat="false" ht="78" hidden="false" customHeight="true" outlineLevel="0" collapsed="false">
      <c r="A305" s="9" t="s">
        <v>3660</v>
      </c>
      <c r="B305" s="9" t="s">
        <v>3661</v>
      </c>
      <c r="C305" s="9" t="s">
        <v>3662</v>
      </c>
      <c r="D305" s="9" t="s">
        <v>866</v>
      </c>
      <c r="E305" s="9" t="s">
        <v>867</v>
      </c>
      <c r="F305" s="9" t="s">
        <v>3663</v>
      </c>
      <c r="G305" s="9" t="s">
        <v>176</v>
      </c>
      <c r="H305" s="9" t="s">
        <v>1092</v>
      </c>
      <c r="I305" s="9" t="s">
        <v>3664</v>
      </c>
      <c r="J305" s="9" t="s">
        <v>3665</v>
      </c>
      <c r="K305" s="9" t="s">
        <v>3666</v>
      </c>
      <c r="L305" s="9" t="s">
        <v>3667</v>
      </c>
      <c r="M305" s="9" t="s">
        <v>3668</v>
      </c>
      <c r="N305" s="9" t="s">
        <v>3669</v>
      </c>
      <c r="O305" s="9" t="s">
        <v>876</v>
      </c>
    </row>
    <row r="306" customFormat="false" ht="78" hidden="false" customHeight="true" outlineLevel="0" collapsed="false">
      <c r="A306" s="9" t="s">
        <v>3670</v>
      </c>
      <c r="B306" s="9" t="s">
        <v>3671</v>
      </c>
      <c r="C306" s="9" t="s">
        <v>3672</v>
      </c>
      <c r="D306" s="9" t="s">
        <v>866</v>
      </c>
      <c r="E306" s="9" t="s">
        <v>867</v>
      </c>
      <c r="F306" s="9" t="s">
        <v>3673</v>
      </c>
      <c r="G306" s="9" t="s">
        <v>100</v>
      </c>
      <c r="H306" s="9" t="s">
        <v>1092</v>
      </c>
      <c r="I306" s="9" t="s">
        <v>3674</v>
      </c>
      <c r="J306" s="9" t="s">
        <v>3675</v>
      </c>
      <c r="K306" s="9" t="s">
        <v>3676</v>
      </c>
      <c r="L306" s="9" t="s">
        <v>3677</v>
      </c>
      <c r="M306" s="9" t="s">
        <v>3678</v>
      </c>
      <c r="N306" s="9" t="s">
        <v>3679</v>
      </c>
      <c r="O306" s="9" t="s">
        <v>876</v>
      </c>
    </row>
    <row r="307" customFormat="false" ht="78" hidden="false" customHeight="true" outlineLevel="0" collapsed="false">
      <c r="A307" s="9" t="s">
        <v>3680</v>
      </c>
      <c r="B307" s="9" t="s">
        <v>3681</v>
      </c>
      <c r="C307" s="9" t="s">
        <v>3682</v>
      </c>
      <c r="D307" s="9" t="s">
        <v>866</v>
      </c>
      <c r="E307" s="9" t="s">
        <v>867</v>
      </c>
      <c r="F307" s="9" t="s">
        <v>3683</v>
      </c>
      <c r="G307" s="9" t="s">
        <v>83</v>
      </c>
      <c r="H307" s="9" t="s">
        <v>881</v>
      </c>
      <c r="I307" s="9" t="s">
        <v>3684</v>
      </c>
      <c r="J307" s="9" t="s">
        <v>3685</v>
      </c>
      <c r="K307" s="9" t="s">
        <v>3686</v>
      </c>
      <c r="L307" s="9" t="s">
        <v>3677</v>
      </c>
      <c r="M307" s="9" t="s">
        <v>3687</v>
      </c>
      <c r="N307" s="9" t="s">
        <v>3688</v>
      </c>
      <c r="O307" s="9" t="s">
        <v>876</v>
      </c>
    </row>
    <row r="308" customFormat="false" ht="78" hidden="false" customHeight="true" outlineLevel="0" collapsed="false">
      <c r="A308" s="9" t="s">
        <v>3689</v>
      </c>
      <c r="B308" s="9" t="s">
        <v>3690</v>
      </c>
      <c r="C308" s="9" t="s">
        <v>3691</v>
      </c>
      <c r="D308" s="9" t="s">
        <v>866</v>
      </c>
      <c r="E308" s="9" t="s">
        <v>867</v>
      </c>
      <c r="F308" s="9" t="s">
        <v>3692</v>
      </c>
      <c r="G308" s="9" t="s">
        <v>63</v>
      </c>
      <c r="H308" s="9" t="s">
        <v>881</v>
      </c>
      <c r="I308" s="9" t="s">
        <v>3693</v>
      </c>
      <c r="J308" s="9" t="s">
        <v>3694</v>
      </c>
      <c r="K308" s="9" t="s">
        <v>3695</v>
      </c>
      <c r="L308" s="9" t="s">
        <v>3677</v>
      </c>
      <c r="M308" s="9" t="s">
        <v>3696</v>
      </c>
      <c r="N308" s="9" t="s">
        <v>3697</v>
      </c>
      <c r="O308" s="9" t="s">
        <v>876</v>
      </c>
    </row>
    <row r="309" customFormat="false" ht="78" hidden="false" customHeight="true" outlineLevel="0" collapsed="false">
      <c r="A309" s="9" t="s">
        <v>3698</v>
      </c>
      <c r="B309" s="9" t="s">
        <v>3699</v>
      </c>
      <c r="C309" s="9" t="s">
        <v>3700</v>
      </c>
      <c r="D309" s="9" t="s">
        <v>866</v>
      </c>
      <c r="E309" s="9" t="s">
        <v>867</v>
      </c>
      <c r="F309" s="9" t="s">
        <v>3701</v>
      </c>
      <c r="G309" s="9" t="s">
        <v>127</v>
      </c>
      <c r="H309" s="9" t="s">
        <v>1092</v>
      </c>
      <c r="I309" s="9" t="s">
        <v>3702</v>
      </c>
      <c r="J309" s="9" t="s">
        <v>3703</v>
      </c>
      <c r="K309" s="9" t="s">
        <v>3704</v>
      </c>
      <c r="L309" s="9" t="s">
        <v>3677</v>
      </c>
      <c r="M309" s="9" t="s">
        <v>3705</v>
      </c>
      <c r="N309" s="9" t="s">
        <v>3706</v>
      </c>
      <c r="O309" s="9" t="s">
        <v>876</v>
      </c>
    </row>
    <row r="310" customFormat="false" ht="78" hidden="false" customHeight="true" outlineLevel="0" collapsed="false">
      <c r="A310" s="9" t="s">
        <v>3707</v>
      </c>
      <c r="B310" s="9" t="s">
        <v>629</v>
      </c>
      <c r="C310" s="9" t="s">
        <v>3708</v>
      </c>
      <c r="D310" s="9" t="s">
        <v>866</v>
      </c>
      <c r="E310" s="9" t="s">
        <v>867</v>
      </c>
      <c r="F310" s="9" t="s">
        <v>3709</v>
      </c>
      <c r="G310" s="9" t="s">
        <v>176</v>
      </c>
      <c r="H310" s="9" t="s">
        <v>881</v>
      </c>
      <c r="I310" s="9" t="s">
        <v>3710</v>
      </c>
      <c r="J310" s="9" t="s">
        <v>3711</v>
      </c>
      <c r="K310" s="9" t="s">
        <v>3712</v>
      </c>
      <c r="L310" s="9" t="s">
        <v>3677</v>
      </c>
      <c r="M310" s="9" t="s">
        <v>3713</v>
      </c>
      <c r="N310" s="9" t="s">
        <v>3714</v>
      </c>
      <c r="O310" s="9" t="s">
        <v>876</v>
      </c>
    </row>
  </sheetData>
  <mergeCells count="2">
    <mergeCell ref="A1:O1"/>
    <mergeCell ref="A2:O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3" min="2" style="0" width="46"/>
    <col collapsed="false" customWidth="true" hidden="false" outlineLevel="0" max="4" min="4" style="0" width="68"/>
    <col collapsed="false" customWidth="true" hidden="false" outlineLevel="0" max="5" min="5" style="0" width="38"/>
    <col collapsed="false" customWidth="true" hidden="false" outlineLevel="0" max="6" min="6" style="0" width="62"/>
    <col collapsed="false" customWidth="true" hidden="false" outlineLevel="0" max="7" min="7" style="0" width="70"/>
    <col collapsed="false" customWidth="true" hidden="false" outlineLevel="0" max="8" min="8" style="0" width="38"/>
    <col collapsed="false" customWidth="true" hidden="false" outlineLevel="0" max="12" min="9" style="0" width="28"/>
    <col collapsed="false" customWidth="true" hidden="false" outlineLevel="0" max="13" min="13" style="0" width="10"/>
  </cols>
  <sheetData>
    <row r="1" customFormat="false" ht="30" hidden="false" customHeight="true" outlineLevel="0" collapsed="false">
      <c r="A1" s="1" t="s">
        <v>3715</v>
      </c>
      <c r="B1" s="1"/>
      <c r="C1" s="1"/>
      <c r="D1" s="1"/>
      <c r="E1" s="1"/>
      <c r="F1" s="1"/>
      <c r="G1" s="1"/>
      <c r="H1" s="1"/>
      <c r="I1" s="1"/>
      <c r="J1" s="1"/>
      <c r="K1" s="1"/>
      <c r="L1" s="1"/>
      <c r="M1" s="1"/>
    </row>
    <row r="2" customFormat="false" ht="34" hidden="false" customHeight="true" outlineLevel="0" collapsed="false">
      <c r="A2" s="2" t="s">
        <v>3716</v>
      </c>
      <c r="B2" s="2"/>
      <c r="C2" s="2"/>
      <c r="D2" s="2"/>
      <c r="E2" s="2"/>
      <c r="F2" s="2"/>
      <c r="G2" s="2"/>
      <c r="H2" s="2"/>
      <c r="I2" s="2"/>
      <c r="J2" s="2"/>
      <c r="K2" s="2"/>
      <c r="L2" s="2"/>
      <c r="M2" s="2"/>
    </row>
    <row r="4" customFormat="false" ht="34" hidden="false" customHeight="true" outlineLevel="0" collapsed="false">
      <c r="A4" s="8" t="s">
        <v>3717</v>
      </c>
      <c r="B4" s="8" t="s">
        <v>3718</v>
      </c>
      <c r="C4" s="8" t="s">
        <v>3719</v>
      </c>
      <c r="D4" s="8" t="s">
        <v>3720</v>
      </c>
      <c r="E4" s="8" t="s">
        <v>3721</v>
      </c>
      <c r="F4" s="8" t="s">
        <v>3722</v>
      </c>
      <c r="G4" s="8" t="s">
        <v>3723</v>
      </c>
      <c r="H4" s="8" t="s">
        <v>61</v>
      </c>
      <c r="I4" s="8" t="s">
        <v>3724</v>
      </c>
      <c r="J4" s="8" t="s">
        <v>3725</v>
      </c>
      <c r="K4" s="8" t="s">
        <v>224</v>
      </c>
      <c r="L4" s="8" t="s">
        <v>647</v>
      </c>
      <c r="M4" s="8" t="s">
        <v>62</v>
      </c>
    </row>
    <row r="5" customFormat="false" ht="68" hidden="false" customHeight="true" outlineLevel="0" collapsed="false">
      <c r="A5" s="9" t="s">
        <v>3726</v>
      </c>
      <c r="B5" s="9" t="s">
        <v>3727</v>
      </c>
      <c r="C5" s="9" t="s">
        <v>3727</v>
      </c>
      <c r="D5" s="9" t="s">
        <v>3728</v>
      </c>
      <c r="E5" s="9" t="s">
        <v>3729</v>
      </c>
      <c r="F5" s="9" t="s">
        <v>3728</v>
      </c>
      <c r="G5" s="9" t="s">
        <v>3730</v>
      </c>
      <c r="H5" s="9" t="s">
        <v>2457</v>
      </c>
      <c r="I5" s="9" t="s">
        <v>145</v>
      </c>
      <c r="J5" s="9" t="s">
        <v>145</v>
      </c>
      <c r="K5" s="9" t="s">
        <v>234</v>
      </c>
      <c r="L5" s="9" t="s">
        <v>235</v>
      </c>
      <c r="M5" s="9" t="n">
        <f aca="false">COUNTIF($A$5:$A$69,A5)</f>
        <v>1</v>
      </c>
    </row>
    <row r="6" customFormat="false" ht="68" hidden="false" customHeight="true" outlineLevel="0" collapsed="false">
      <c r="A6" s="9" t="s">
        <v>3731</v>
      </c>
      <c r="B6" s="9" t="s">
        <v>3732</v>
      </c>
      <c r="C6" s="9" t="s">
        <v>3733</v>
      </c>
      <c r="D6" s="9" t="s">
        <v>3734</v>
      </c>
      <c r="E6" s="9" t="s">
        <v>3729</v>
      </c>
      <c r="F6" s="9" t="s">
        <v>3734</v>
      </c>
      <c r="G6" s="9" t="s">
        <v>3735</v>
      </c>
      <c r="H6" s="9" t="s">
        <v>597</v>
      </c>
      <c r="I6" s="9" t="s">
        <v>189</v>
      </c>
      <c r="J6" s="9" t="s">
        <v>145</v>
      </c>
      <c r="K6" s="9" t="s">
        <v>234</v>
      </c>
      <c r="L6" s="9" t="s">
        <v>235</v>
      </c>
      <c r="M6" s="9" t="n">
        <f aca="false">COUNTIF($A$5:$A$69,A6)</f>
        <v>1</v>
      </c>
    </row>
    <row r="7" customFormat="false" ht="68" hidden="false" customHeight="true" outlineLevel="0" collapsed="false">
      <c r="A7" s="9" t="s">
        <v>3736</v>
      </c>
      <c r="B7" s="9" t="s">
        <v>3737</v>
      </c>
      <c r="C7" s="9" t="s">
        <v>3737</v>
      </c>
      <c r="D7" s="9" t="s">
        <v>3738</v>
      </c>
      <c r="E7" s="9" t="s">
        <v>3729</v>
      </c>
      <c r="F7" s="9" t="s">
        <v>3738</v>
      </c>
      <c r="G7" s="9" t="s">
        <v>3739</v>
      </c>
      <c r="H7" s="9" t="s">
        <v>3442</v>
      </c>
      <c r="I7" s="9" t="s">
        <v>114</v>
      </c>
      <c r="J7" s="9" t="s">
        <v>114</v>
      </c>
      <c r="K7" s="9" t="s">
        <v>234</v>
      </c>
      <c r="L7" s="9" t="s">
        <v>235</v>
      </c>
      <c r="M7" s="9" t="n">
        <f aca="false">COUNTIF($A$5:$A$69,A7)</f>
        <v>1</v>
      </c>
    </row>
    <row r="8" customFormat="false" ht="68" hidden="false" customHeight="true" outlineLevel="0" collapsed="false">
      <c r="A8" s="9" t="s">
        <v>3740</v>
      </c>
      <c r="B8" s="9" t="s">
        <v>3741</v>
      </c>
      <c r="C8" s="9" t="s">
        <v>3741</v>
      </c>
      <c r="D8" s="9" t="s">
        <v>3742</v>
      </c>
      <c r="E8" s="9" t="s">
        <v>3729</v>
      </c>
      <c r="F8" s="9" t="s">
        <v>3742</v>
      </c>
      <c r="G8" s="9" t="s">
        <v>3743</v>
      </c>
      <c r="H8" s="9" t="s">
        <v>3442</v>
      </c>
      <c r="I8" s="9" t="s">
        <v>114</v>
      </c>
      <c r="J8" s="9" t="s">
        <v>114</v>
      </c>
      <c r="K8" s="9" t="s">
        <v>234</v>
      </c>
      <c r="L8" s="9" t="s">
        <v>235</v>
      </c>
      <c r="M8" s="9" t="n">
        <f aca="false">COUNTIF($A$5:$A$69,A8)</f>
        <v>1</v>
      </c>
    </row>
    <row r="9" customFormat="false" ht="68" hidden="false" customHeight="true" outlineLevel="0" collapsed="false">
      <c r="A9" s="9" t="s">
        <v>3744</v>
      </c>
      <c r="B9" s="9" t="s">
        <v>3745</v>
      </c>
      <c r="C9" s="9" t="s">
        <v>3746</v>
      </c>
      <c r="D9" s="9" t="s">
        <v>3747</v>
      </c>
      <c r="E9" s="9" t="s">
        <v>3729</v>
      </c>
      <c r="F9" s="9" t="s">
        <v>3747</v>
      </c>
      <c r="G9" s="9" t="s">
        <v>3748</v>
      </c>
      <c r="H9" s="9" t="s">
        <v>3749</v>
      </c>
      <c r="I9" s="9" t="s">
        <v>114</v>
      </c>
      <c r="J9" s="9" t="s">
        <v>145</v>
      </c>
      <c r="K9" s="9" t="s">
        <v>234</v>
      </c>
      <c r="L9" s="9" t="s">
        <v>235</v>
      </c>
      <c r="M9" s="9" t="n">
        <f aca="false">COUNTIF($A$5:$A$69,A9)</f>
        <v>1</v>
      </c>
    </row>
    <row r="10" customFormat="false" ht="68" hidden="false" customHeight="true" outlineLevel="0" collapsed="false">
      <c r="A10" s="9" t="s">
        <v>3750</v>
      </c>
      <c r="B10" s="9" t="s">
        <v>658</v>
      </c>
      <c r="C10" s="9" t="s">
        <v>3751</v>
      </c>
      <c r="D10" s="9" t="s">
        <v>3752</v>
      </c>
      <c r="E10" s="9" t="s">
        <v>3729</v>
      </c>
      <c r="F10" s="9" t="s">
        <v>3752</v>
      </c>
      <c r="G10" s="9" t="s">
        <v>3753</v>
      </c>
      <c r="H10" s="9" t="s">
        <v>3754</v>
      </c>
      <c r="I10" s="9" t="s">
        <v>114</v>
      </c>
      <c r="J10" s="9" t="s">
        <v>176</v>
      </c>
      <c r="K10" s="9" t="s">
        <v>234</v>
      </c>
      <c r="L10" s="9" t="s">
        <v>235</v>
      </c>
      <c r="M10" s="9" t="n">
        <f aca="false">COUNTIF($A$5:$A$69,A10)</f>
        <v>1</v>
      </c>
    </row>
    <row r="11" customFormat="false" ht="68" hidden="false" customHeight="true" outlineLevel="0" collapsed="false">
      <c r="A11" s="9" t="s">
        <v>3755</v>
      </c>
      <c r="B11" s="9" t="s">
        <v>3756</v>
      </c>
      <c r="C11" s="9" t="s">
        <v>3757</v>
      </c>
      <c r="D11" s="9" t="s">
        <v>3758</v>
      </c>
      <c r="E11" s="9" t="s">
        <v>3729</v>
      </c>
      <c r="F11" s="9" t="s">
        <v>3758</v>
      </c>
      <c r="G11" s="9" t="s">
        <v>3759</v>
      </c>
      <c r="H11" s="9" t="s">
        <v>629</v>
      </c>
      <c r="I11" s="9" t="s">
        <v>120</v>
      </c>
      <c r="J11" s="9" t="s">
        <v>176</v>
      </c>
      <c r="K11" s="9" t="s">
        <v>234</v>
      </c>
      <c r="L11" s="9" t="s">
        <v>235</v>
      </c>
      <c r="M11" s="9" t="n">
        <f aca="false">COUNTIF($A$5:$A$69,A11)</f>
        <v>1</v>
      </c>
    </row>
    <row r="12" customFormat="false" ht="68" hidden="false" customHeight="true" outlineLevel="0" collapsed="false">
      <c r="A12" s="9" t="s">
        <v>3760</v>
      </c>
      <c r="B12" s="9" t="s">
        <v>3761</v>
      </c>
      <c r="C12" s="9" t="s">
        <v>3762</v>
      </c>
      <c r="D12" s="9" t="s">
        <v>3763</v>
      </c>
      <c r="E12" s="9" t="s">
        <v>3729</v>
      </c>
      <c r="F12" s="9" t="s">
        <v>3763</v>
      </c>
      <c r="G12" s="9" t="s">
        <v>3764</v>
      </c>
      <c r="H12" s="9" t="s">
        <v>3765</v>
      </c>
      <c r="I12" s="9" t="s">
        <v>120</v>
      </c>
      <c r="J12" s="9" t="s">
        <v>176</v>
      </c>
      <c r="K12" s="9" t="s">
        <v>234</v>
      </c>
      <c r="L12" s="9" t="s">
        <v>235</v>
      </c>
      <c r="M12" s="9" t="n">
        <f aca="false">COUNTIF($A$5:$A$69,A12)</f>
        <v>1</v>
      </c>
    </row>
    <row r="13" customFormat="false" ht="68" hidden="false" customHeight="true" outlineLevel="0" collapsed="false">
      <c r="A13" s="9" t="s">
        <v>3766</v>
      </c>
      <c r="B13" s="9" t="s">
        <v>3767</v>
      </c>
      <c r="C13" s="9" t="s">
        <v>3768</v>
      </c>
      <c r="D13" s="9" t="s">
        <v>3769</v>
      </c>
      <c r="E13" s="9" t="s">
        <v>3729</v>
      </c>
      <c r="F13" s="9" t="s">
        <v>3769</v>
      </c>
      <c r="G13" s="9" t="s">
        <v>3770</v>
      </c>
      <c r="H13" s="9" t="s">
        <v>3771</v>
      </c>
      <c r="I13" s="9" t="s">
        <v>120</v>
      </c>
      <c r="J13" s="9" t="s">
        <v>120</v>
      </c>
      <c r="K13" s="9" t="s">
        <v>234</v>
      </c>
      <c r="L13" s="9" t="s">
        <v>235</v>
      </c>
      <c r="M13" s="9" t="n">
        <f aca="false">COUNTIF($A$5:$A$69,A13)</f>
        <v>1</v>
      </c>
    </row>
    <row r="14" customFormat="false" ht="68" hidden="false" customHeight="true" outlineLevel="0" collapsed="false">
      <c r="A14" s="9" t="s">
        <v>3772</v>
      </c>
      <c r="B14" s="9" t="s">
        <v>3773</v>
      </c>
      <c r="C14" s="9" t="s">
        <v>3774</v>
      </c>
      <c r="D14" s="9" t="s">
        <v>3775</v>
      </c>
      <c r="E14" s="9" t="s">
        <v>3729</v>
      </c>
      <c r="F14" s="9" t="s">
        <v>3775</v>
      </c>
      <c r="G14" s="9" t="s">
        <v>3776</v>
      </c>
      <c r="H14" s="9" t="s">
        <v>760</v>
      </c>
      <c r="I14" s="9" t="s">
        <v>120</v>
      </c>
      <c r="J14" s="9" t="s">
        <v>100</v>
      </c>
      <c r="K14" s="9" t="s">
        <v>234</v>
      </c>
      <c r="L14" s="9" t="s">
        <v>235</v>
      </c>
      <c r="M14" s="9" t="n">
        <f aca="false">COUNTIF($A$5:$A$69,A14)</f>
        <v>1</v>
      </c>
    </row>
    <row r="15" customFormat="false" ht="68" hidden="false" customHeight="true" outlineLevel="0" collapsed="false">
      <c r="A15" s="9" t="s">
        <v>3777</v>
      </c>
      <c r="B15" s="9" t="s">
        <v>3778</v>
      </c>
      <c r="C15" s="9" t="s">
        <v>3779</v>
      </c>
      <c r="D15" s="9" t="s">
        <v>3780</v>
      </c>
      <c r="E15" s="9" t="s">
        <v>3729</v>
      </c>
      <c r="F15" s="9" t="s">
        <v>3780</v>
      </c>
      <c r="G15" s="9" t="s">
        <v>3781</v>
      </c>
      <c r="H15" s="9" t="s">
        <v>3782</v>
      </c>
      <c r="I15" s="9" t="s">
        <v>169</v>
      </c>
      <c r="J15" s="9" t="s">
        <v>120</v>
      </c>
      <c r="K15" s="9" t="s">
        <v>234</v>
      </c>
      <c r="L15" s="9" t="s">
        <v>235</v>
      </c>
      <c r="M15" s="9" t="n">
        <f aca="false">COUNTIF($A$5:$A$69,A15)</f>
        <v>1</v>
      </c>
    </row>
    <row r="16" customFormat="false" ht="68" hidden="false" customHeight="true" outlineLevel="0" collapsed="false">
      <c r="A16" s="9" t="s">
        <v>3783</v>
      </c>
      <c r="B16" s="9" t="s">
        <v>3784</v>
      </c>
      <c r="C16" s="9" t="s">
        <v>3785</v>
      </c>
      <c r="D16" s="9" t="s">
        <v>3786</v>
      </c>
      <c r="E16" s="9" t="s">
        <v>3729</v>
      </c>
      <c r="F16" s="9" t="s">
        <v>3786</v>
      </c>
      <c r="G16" s="9" t="s">
        <v>3787</v>
      </c>
      <c r="H16" s="9" t="s">
        <v>2503</v>
      </c>
      <c r="I16" s="9" t="s">
        <v>127</v>
      </c>
      <c r="J16" s="9" t="s">
        <v>127</v>
      </c>
      <c r="K16" s="9" t="s">
        <v>234</v>
      </c>
      <c r="L16" s="9" t="s">
        <v>235</v>
      </c>
      <c r="M16" s="9" t="n">
        <f aca="false">COUNTIF($A$5:$A$69,A16)</f>
        <v>1</v>
      </c>
    </row>
    <row r="17" customFormat="false" ht="68" hidden="false" customHeight="true" outlineLevel="0" collapsed="false">
      <c r="A17" s="9" t="s">
        <v>3788</v>
      </c>
      <c r="B17" s="9" t="s">
        <v>3789</v>
      </c>
      <c r="C17" s="9" t="s">
        <v>3790</v>
      </c>
      <c r="D17" s="9" t="s">
        <v>3791</v>
      </c>
      <c r="E17" s="9" t="s">
        <v>3729</v>
      </c>
      <c r="F17" s="9" t="s">
        <v>3791</v>
      </c>
      <c r="G17" s="9" t="s">
        <v>3792</v>
      </c>
      <c r="H17" s="9" t="s">
        <v>3499</v>
      </c>
      <c r="I17" s="9" t="s">
        <v>127</v>
      </c>
      <c r="J17" s="9" t="s">
        <v>176</v>
      </c>
      <c r="K17" s="9" t="s">
        <v>234</v>
      </c>
      <c r="L17" s="9" t="s">
        <v>235</v>
      </c>
      <c r="M17" s="9" t="n">
        <f aca="false">COUNTIF($A$5:$A$69,A17)</f>
        <v>1</v>
      </c>
    </row>
    <row r="18" customFormat="false" ht="68" hidden="false" customHeight="true" outlineLevel="0" collapsed="false">
      <c r="A18" s="9" t="s">
        <v>3793</v>
      </c>
      <c r="B18" s="9" t="s">
        <v>3784</v>
      </c>
      <c r="C18" s="9" t="s">
        <v>3794</v>
      </c>
      <c r="D18" s="9" t="s">
        <v>3795</v>
      </c>
      <c r="E18" s="9" t="s">
        <v>3729</v>
      </c>
      <c r="F18" s="9" t="s">
        <v>3795</v>
      </c>
      <c r="G18" s="9" t="s">
        <v>3796</v>
      </c>
      <c r="H18" s="9" t="s">
        <v>3797</v>
      </c>
      <c r="I18" s="9" t="s">
        <v>127</v>
      </c>
      <c r="J18" s="9" t="s">
        <v>70</v>
      </c>
      <c r="K18" s="9" t="s">
        <v>234</v>
      </c>
      <c r="L18" s="9" t="s">
        <v>235</v>
      </c>
      <c r="M18" s="9" t="n">
        <f aca="false">COUNTIF($A$5:$A$69,A18)</f>
        <v>1</v>
      </c>
    </row>
    <row r="19" customFormat="false" ht="68" hidden="false" customHeight="true" outlineLevel="0" collapsed="false">
      <c r="A19" s="9" t="s">
        <v>3798</v>
      </c>
      <c r="B19" s="9" t="s">
        <v>3784</v>
      </c>
      <c r="C19" s="9" t="s">
        <v>3799</v>
      </c>
      <c r="D19" s="9" t="s">
        <v>3800</v>
      </c>
      <c r="E19" s="9" t="s">
        <v>3729</v>
      </c>
      <c r="F19" s="9" t="s">
        <v>3800</v>
      </c>
      <c r="G19" s="9" t="s">
        <v>3801</v>
      </c>
      <c r="H19" s="9" t="s">
        <v>466</v>
      </c>
      <c r="I19" s="9" t="s">
        <v>127</v>
      </c>
      <c r="J19" s="9" t="s">
        <v>163</v>
      </c>
      <c r="K19" s="9" t="s">
        <v>234</v>
      </c>
      <c r="L19" s="9" t="s">
        <v>235</v>
      </c>
      <c r="M19" s="9" t="n">
        <f aca="false">COUNTIF($A$5:$A$69,A19)</f>
        <v>1</v>
      </c>
    </row>
    <row r="20" customFormat="false" ht="68" hidden="false" customHeight="true" outlineLevel="0" collapsed="false">
      <c r="A20" s="9" t="s">
        <v>3802</v>
      </c>
      <c r="B20" s="9" t="s">
        <v>3803</v>
      </c>
      <c r="C20" s="9" t="s">
        <v>3804</v>
      </c>
      <c r="D20" s="9" t="s">
        <v>3805</v>
      </c>
      <c r="E20" s="9" t="s">
        <v>3729</v>
      </c>
      <c r="F20" s="9" t="s">
        <v>3805</v>
      </c>
      <c r="G20" s="9" t="s">
        <v>3806</v>
      </c>
      <c r="H20" s="9" t="s">
        <v>2397</v>
      </c>
      <c r="I20" s="9" t="s">
        <v>70</v>
      </c>
      <c r="J20" s="9" t="s">
        <v>133</v>
      </c>
      <c r="K20" s="9" t="s">
        <v>234</v>
      </c>
      <c r="L20" s="9" t="s">
        <v>235</v>
      </c>
      <c r="M20" s="9" t="n">
        <f aca="false">COUNTIF($A$5:$A$69,A20)</f>
        <v>1</v>
      </c>
    </row>
    <row r="21" customFormat="false" ht="68" hidden="false" customHeight="true" outlineLevel="0" collapsed="false">
      <c r="A21" s="9" t="s">
        <v>3807</v>
      </c>
      <c r="B21" s="9" t="s">
        <v>3808</v>
      </c>
      <c r="C21" s="9" t="s">
        <v>3809</v>
      </c>
      <c r="D21" s="9" t="s">
        <v>3810</v>
      </c>
      <c r="E21" s="9" t="s">
        <v>3729</v>
      </c>
      <c r="F21" s="9" t="s">
        <v>3810</v>
      </c>
      <c r="G21" s="9" t="s">
        <v>3811</v>
      </c>
      <c r="H21" s="9" t="s">
        <v>2406</v>
      </c>
      <c r="I21" s="9" t="s">
        <v>76</v>
      </c>
      <c r="J21" s="9" t="s">
        <v>133</v>
      </c>
      <c r="K21" s="9" t="s">
        <v>234</v>
      </c>
      <c r="L21" s="9" t="s">
        <v>235</v>
      </c>
      <c r="M21" s="9" t="n">
        <f aca="false">COUNTIF($A$5:$A$69,A21)</f>
        <v>1</v>
      </c>
    </row>
    <row r="22" customFormat="false" ht="68" hidden="false" customHeight="true" outlineLevel="0" collapsed="false">
      <c r="A22" s="9" t="s">
        <v>3812</v>
      </c>
      <c r="B22" s="9" t="s">
        <v>3813</v>
      </c>
      <c r="C22" s="9" t="s">
        <v>3814</v>
      </c>
      <c r="D22" s="9" t="s">
        <v>3815</v>
      </c>
      <c r="E22" s="9" t="s">
        <v>3729</v>
      </c>
      <c r="F22" s="9" t="s">
        <v>3815</v>
      </c>
      <c r="G22" s="9" t="s">
        <v>3816</v>
      </c>
      <c r="H22" s="9" t="s">
        <v>3817</v>
      </c>
      <c r="I22" s="9" t="s">
        <v>70</v>
      </c>
      <c r="J22" s="9" t="s">
        <v>76</v>
      </c>
      <c r="K22" s="9" t="s">
        <v>234</v>
      </c>
      <c r="L22" s="9" t="s">
        <v>235</v>
      </c>
      <c r="M22" s="9" t="n">
        <f aca="false">COUNTIF($A$5:$A$69,A22)</f>
        <v>1</v>
      </c>
    </row>
    <row r="23" customFormat="false" ht="68" hidden="false" customHeight="true" outlineLevel="0" collapsed="false">
      <c r="A23" s="9" t="s">
        <v>3818</v>
      </c>
      <c r="B23" s="9" t="s">
        <v>3794</v>
      </c>
      <c r="C23" s="9" t="s">
        <v>3819</v>
      </c>
      <c r="D23" s="9" t="s">
        <v>3820</v>
      </c>
      <c r="E23" s="9" t="s">
        <v>3729</v>
      </c>
      <c r="F23" s="9" t="s">
        <v>3820</v>
      </c>
      <c r="G23" s="9" t="s">
        <v>3821</v>
      </c>
      <c r="H23" s="9" t="s">
        <v>964</v>
      </c>
      <c r="I23" s="9" t="s">
        <v>70</v>
      </c>
      <c r="J23" s="9" t="s">
        <v>76</v>
      </c>
      <c r="K23" s="9" t="s">
        <v>234</v>
      </c>
      <c r="L23" s="9" t="s">
        <v>235</v>
      </c>
      <c r="M23" s="9" t="n">
        <f aca="false">COUNTIF($A$5:$A$69,A23)</f>
        <v>1</v>
      </c>
    </row>
    <row r="24" customFormat="false" ht="68" hidden="false" customHeight="true" outlineLevel="0" collapsed="false">
      <c r="A24" s="9" t="s">
        <v>3822</v>
      </c>
      <c r="B24" s="9" t="s">
        <v>3823</v>
      </c>
      <c r="C24" s="9" t="s">
        <v>3824</v>
      </c>
      <c r="D24" s="9" t="s">
        <v>3825</v>
      </c>
      <c r="E24" s="9" t="s">
        <v>3729</v>
      </c>
      <c r="F24" s="9" t="s">
        <v>3825</v>
      </c>
      <c r="G24" s="9" t="s">
        <v>3826</v>
      </c>
      <c r="H24" s="9" t="s">
        <v>3827</v>
      </c>
      <c r="I24" s="9" t="s">
        <v>70</v>
      </c>
      <c r="J24" s="9" t="s">
        <v>83</v>
      </c>
      <c r="K24" s="9" t="s">
        <v>234</v>
      </c>
      <c r="L24" s="9" t="s">
        <v>235</v>
      </c>
      <c r="M24" s="9" t="n">
        <f aca="false">COUNTIF($A$5:$A$69,A24)</f>
        <v>1</v>
      </c>
    </row>
    <row r="25" customFormat="false" ht="68" hidden="false" customHeight="true" outlineLevel="0" collapsed="false">
      <c r="A25" s="9" t="s">
        <v>3828</v>
      </c>
      <c r="B25" s="9" t="s">
        <v>3829</v>
      </c>
      <c r="C25" s="9" t="s">
        <v>3830</v>
      </c>
      <c r="D25" s="9" t="s">
        <v>3831</v>
      </c>
      <c r="E25" s="9" t="s">
        <v>3729</v>
      </c>
      <c r="F25" s="9" t="s">
        <v>3831</v>
      </c>
      <c r="G25" s="9" t="s">
        <v>3832</v>
      </c>
      <c r="H25" s="9" t="s">
        <v>3833</v>
      </c>
      <c r="I25" s="9" t="s">
        <v>63</v>
      </c>
      <c r="J25" s="9" t="s">
        <v>139</v>
      </c>
      <c r="K25" s="9" t="s">
        <v>234</v>
      </c>
      <c r="L25" s="9" t="s">
        <v>235</v>
      </c>
      <c r="M25" s="9" t="n">
        <f aca="false">COUNTIF($A$5:$A$69,A25)</f>
        <v>1</v>
      </c>
    </row>
    <row r="26" customFormat="false" ht="68" hidden="false" customHeight="true" outlineLevel="0" collapsed="false">
      <c r="A26" s="9" t="s">
        <v>3834</v>
      </c>
      <c r="B26" s="9" t="s">
        <v>3829</v>
      </c>
      <c r="C26" s="9" t="s">
        <v>3835</v>
      </c>
      <c r="D26" s="9" t="s">
        <v>3836</v>
      </c>
      <c r="E26" s="9" t="s">
        <v>3729</v>
      </c>
      <c r="F26" s="9" t="s">
        <v>3836</v>
      </c>
      <c r="G26" s="9" t="s">
        <v>3837</v>
      </c>
      <c r="H26" s="9" t="s">
        <v>3838</v>
      </c>
      <c r="I26" s="9" t="s">
        <v>63</v>
      </c>
      <c r="J26" s="9" t="s">
        <v>189</v>
      </c>
      <c r="K26" s="9" t="s">
        <v>234</v>
      </c>
      <c r="L26" s="9" t="s">
        <v>235</v>
      </c>
      <c r="M26" s="9" t="n">
        <f aca="false">COUNTIF($A$5:$A$69,A26)</f>
        <v>1</v>
      </c>
    </row>
    <row r="27" customFormat="false" ht="68" hidden="false" customHeight="true" outlineLevel="0" collapsed="false">
      <c r="A27" s="9" t="s">
        <v>3839</v>
      </c>
      <c r="B27" s="9" t="s">
        <v>3829</v>
      </c>
      <c r="C27" s="9" t="s">
        <v>3840</v>
      </c>
      <c r="D27" s="9" t="s">
        <v>3841</v>
      </c>
      <c r="E27" s="9" t="s">
        <v>3729</v>
      </c>
      <c r="F27" s="9" t="s">
        <v>3841</v>
      </c>
      <c r="G27" s="9" t="s">
        <v>3842</v>
      </c>
      <c r="H27" s="9" t="s">
        <v>2636</v>
      </c>
      <c r="I27" s="9" t="s">
        <v>63</v>
      </c>
      <c r="J27" s="9" t="s">
        <v>63</v>
      </c>
      <c r="K27" s="9" t="s">
        <v>234</v>
      </c>
      <c r="L27" s="9" t="s">
        <v>235</v>
      </c>
      <c r="M27" s="9" t="n">
        <f aca="false">COUNTIF($A$5:$A$69,A27)</f>
        <v>1</v>
      </c>
    </row>
    <row r="28" customFormat="false" ht="68" hidden="false" customHeight="true" outlineLevel="0" collapsed="false">
      <c r="A28" s="9" t="s">
        <v>3843</v>
      </c>
      <c r="B28" s="9" t="s">
        <v>3829</v>
      </c>
      <c r="C28" s="9" t="s">
        <v>3844</v>
      </c>
      <c r="D28" s="9" t="s">
        <v>3845</v>
      </c>
      <c r="E28" s="9" t="s">
        <v>3729</v>
      </c>
      <c r="F28" s="9" t="s">
        <v>3845</v>
      </c>
      <c r="G28" s="9" t="s">
        <v>3846</v>
      </c>
      <c r="H28" s="9" t="s">
        <v>2440</v>
      </c>
      <c r="I28" s="9" t="s">
        <v>63</v>
      </c>
      <c r="J28" s="9" t="s">
        <v>151</v>
      </c>
      <c r="K28" s="9" t="s">
        <v>234</v>
      </c>
      <c r="L28" s="9" t="s">
        <v>235</v>
      </c>
      <c r="M28" s="9" t="n">
        <f aca="false">COUNTIF($A$5:$A$69,A28)</f>
        <v>1</v>
      </c>
    </row>
    <row r="29" customFormat="false" ht="68" hidden="false" customHeight="true" outlineLevel="0" collapsed="false">
      <c r="A29" s="9" t="s">
        <v>3847</v>
      </c>
      <c r="B29" s="9" t="s">
        <v>3829</v>
      </c>
      <c r="C29" s="9" t="s">
        <v>3848</v>
      </c>
      <c r="D29" s="9" t="s">
        <v>3849</v>
      </c>
      <c r="E29" s="9" t="s">
        <v>3729</v>
      </c>
      <c r="F29" s="9" t="s">
        <v>3849</v>
      </c>
      <c r="G29" s="9" t="s">
        <v>3850</v>
      </c>
      <c r="H29" s="9" t="s">
        <v>1051</v>
      </c>
      <c r="I29" s="9" t="s">
        <v>63</v>
      </c>
      <c r="J29" s="9" t="s">
        <v>133</v>
      </c>
      <c r="K29" s="9" t="s">
        <v>234</v>
      </c>
      <c r="L29" s="9" t="s">
        <v>235</v>
      </c>
      <c r="M29" s="9" t="n">
        <f aca="false">COUNTIF($A$5:$A$69,A29)</f>
        <v>1</v>
      </c>
    </row>
    <row r="30" customFormat="false" ht="68" hidden="false" customHeight="true" outlineLevel="0" collapsed="false">
      <c r="A30" s="9" t="s">
        <v>3851</v>
      </c>
      <c r="B30" s="9" t="s">
        <v>3852</v>
      </c>
      <c r="C30" s="9" t="s">
        <v>3853</v>
      </c>
      <c r="D30" s="9" t="s">
        <v>3854</v>
      </c>
      <c r="E30" s="9" t="s">
        <v>3729</v>
      </c>
      <c r="F30" s="9" t="s">
        <v>3854</v>
      </c>
      <c r="G30" s="9" t="s">
        <v>3855</v>
      </c>
      <c r="H30" s="9" t="s">
        <v>3856</v>
      </c>
      <c r="I30" s="9" t="s">
        <v>63</v>
      </c>
      <c r="J30" s="9" t="s">
        <v>139</v>
      </c>
      <c r="K30" s="9" t="s">
        <v>234</v>
      </c>
      <c r="L30" s="9" t="s">
        <v>235</v>
      </c>
      <c r="M30" s="9" t="n">
        <f aca="false">COUNTIF($A$5:$A$69,A30)</f>
        <v>1</v>
      </c>
    </row>
    <row r="31" customFormat="false" ht="68" hidden="false" customHeight="true" outlineLevel="0" collapsed="false">
      <c r="A31" s="9" t="s">
        <v>3857</v>
      </c>
      <c r="B31" s="9" t="s">
        <v>3858</v>
      </c>
      <c r="C31" s="9" t="s">
        <v>3859</v>
      </c>
      <c r="D31" s="9" t="s">
        <v>3860</v>
      </c>
      <c r="E31" s="9" t="s">
        <v>3729</v>
      </c>
      <c r="F31" s="9" t="s">
        <v>3860</v>
      </c>
      <c r="G31" s="9" t="s">
        <v>3861</v>
      </c>
      <c r="H31" s="9" t="s">
        <v>3862</v>
      </c>
      <c r="I31" s="9" t="s">
        <v>189</v>
      </c>
      <c r="J31" s="9" t="s">
        <v>63</v>
      </c>
      <c r="K31" s="9" t="s">
        <v>234</v>
      </c>
      <c r="L31" s="9" t="s">
        <v>235</v>
      </c>
      <c r="M31" s="9" t="n">
        <f aca="false">COUNTIF($A$5:$A$69,A31)</f>
        <v>1</v>
      </c>
    </row>
    <row r="32" customFormat="false" ht="68" hidden="false" customHeight="true" outlineLevel="0" collapsed="false">
      <c r="A32" s="9" t="s">
        <v>3863</v>
      </c>
      <c r="B32" s="9" t="s">
        <v>3852</v>
      </c>
      <c r="C32" s="9" t="s">
        <v>3864</v>
      </c>
      <c r="D32" s="9" t="s">
        <v>3865</v>
      </c>
      <c r="E32" s="9" t="s">
        <v>3729</v>
      </c>
      <c r="F32" s="9" t="s">
        <v>3865</v>
      </c>
      <c r="G32" s="9" t="s">
        <v>3866</v>
      </c>
      <c r="H32" s="9" t="s">
        <v>2213</v>
      </c>
      <c r="I32" s="9" t="s">
        <v>63</v>
      </c>
      <c r="J32" s="9" t="s">
        <v>133</v>
      </c>
      <c r="K32" s="9" t="s">
        <v>234</v>
      </c>
      <c r="L32" s="9" t="s">
        <v>235</v>
      </c>
      <c r="M32" s="9" t="n">
        <f aca="false">COUNTIF($A$5:$A$69,A32)</f>
        <v>1</v>
      </c>
    </row>
    <row r="33" customFormat="false" ht="68" hidden="false" customHeight="true" outlineLevel="0" collapsed="false">
      <c r="A33" s="9" t="s">
        <v>3867</v>
      </c>
      <c r="B33" s="9" t="s">
        <v>3868</v>
      </c>
      <c r="C33" s="9" t="s">
        <v>3869</v>
      </c>
      <c r="D33" s="9" t="s">
        <v>3870</v>
      </c>
      <c r="E33" s="9" t="s">
        <v>3729</v>
      </c>
      <c r="F33" s="9" t="s">
        <v>3870</v>
      </c>
      <c r="G33" s="9" t="s">
        <v>3871</v>
      </c>
      <c r="H33" s="9" t="s">
        <v>2531</v>
      </c>
      <c r="I33" s="9" t="s">
        <v>100</v>
      </c>
      <c r="J33" s="9" t="s">
        <v>100</v>
      </c>
      <c r="K33" s="9" t="s">
        <v>234</v>
      </c>
      <c r="L33" s="9" t="s">
        <v>235</v>
      </c>
      <c r="M33" s="9" t="n">
        <f aca="false">COUNTIF($A$5:$A$69,A33)</f>
        <v>1</v>
      </c>
    </row>
    <row r="34" customFormat="false" ht="68" hidden="false" customHeight="true" outlineLevel="0" collapsed="false">
      <c r="A34" s="9" t="s">
        <v>3872</v>
      </c>
      <c r="B34" s="9" t="s">
        <v>3873</v>
      </c>
      <c r="C34" s="9" t="s">
        <v>3874</v>
      </c>
      <c r="D34" s="9" t="s">
        <v>3875</v>
      </c>
      <c r="E34" s="9" t="s">
        <v>3729</v>
      </c>
      <c r="F34" s="9" t="s">
        <v>3875</v>
      </c>
      <c r="G34" s="9" t="s">
        <v>3876</v>
      </c>
      <c r="H34" s="9" t="s">
        <v>2531</v>
      </c>
      <c r="I34" s="9" t="s">
        <v>100</v>
      </c>
      <c r="J34" s="9" t="s">
        <v>100</v>
      </c>
      <c r="K34" s="9" t="s">
        <v>234</v>
      </c>
      <c r="L34" s="9" t="s">
        <v>235</v>
      </c>
      <c r="M34" s="9" t="n">
        <f aca="false">COUNTIF($A$5:$A$69,A34)</f>
        <v>1</v>
      </c>
    </row>
    <row r="35" customFormat="false" ht="68" hidden="false" customHeight="true" outlineLevel="0" collapsed="false">
      <c r="A35" s="9" t="s">
        <v>3877</v>
      </c>
      <c r="B35" s="9" t="s">
        <v>3868</v>
      </c>
      <c r="C35" s="9" t="s">
        <v>3878</v>
      </c>
      <c r="D35" s="9" t="s">
        <v>3879</v>
      </c>
      <c r="E35" s="9" t="s">
        <v>3729</v>
      </c>
      <c r="F35" s="9" t="s">
        <v>3880</v>
      </c>
      <c r="G35" s="9" t="s">
        <v>3881</v>
      </c>
      <c r="H35" s="9" t="s">
        <v>381</v>
      </c>
      <c r="I35" s="9" t="s">
        <v>100</v>
      </c>
      <c r="J35" s="9" t="s">
        <v>120</v>
      </c>
      <c r="K35" s="9" t="s">
        <v>234</v>
      </c>
      <c r="L35" s="9" t="s">
        <v>235</v>
      </c>
      <c r="M35" s="9" t="n">
        <f aca="false">COUNTIF($A$5:$A$69,A35)</f>
        <v>1</v>
      </c>
    </row>
    <row r="36" customFormat="false" ht="68" hidden="false" customHeight="true" outlineLevel="0" collapsed="false">
      <c r="A36" s="9" t="s">
        <v>3882</v>
      </c>
      <c r="B36" s="9" t="s">
        <v>3883</v>
      </c>
      <c r="C36" s="9" t="s">
        <v>3884</v>
      </c>
      <c r="D36" s="9" t="s">
        <v>3885</v>
      </c>
      <c r="E36" s="9" t="s">
        <v>3729</v>
      </c>
      <c r="F36" s="9" t="s">
        <v>3885</v>
      </c>
      <c r="G36" s="9" t="s">
        <v>3886</v>
      </c>
      <c r="H36" s="9" t="s">
        <v>298</v>
      </c>
      <c r="I36" s="9" t="s">
        <v>76</v>
      </c>
      <c r="J36" s="9" t="s">
        <v>76</v>
      </c>
      <c r="K36" s="9" t="s">
        <v>234</v>
      </c>
      <c r="L36" s="9" t="s">
        <v>235</v>
      </c>
      <c r="M36" s="9" t="n">
        <f aca="false">COUNTIF($A$5:$A$69,A36)</f>
        <v>1</v>
      </c>
    </row>
    <row r="37" customFormat="false" ht="68" hidden="false" customHeight="true" outlineLevel="0" collapsed="false">
      <c r="A37" s="9" t="s">
        <v>3887</v>
      </c>
      <c r="B37" s="9" t="s">
        <v>3888</v>
      </c>
      <c r="C37" s="9" t="s">
        <v>3889</v>
      </c>
      <c r="D37" s="9" t="s">
        <v>3890</v>
      </c>
      <c r="E37" s="9" t="s">
        <v>3729</v>
      </c>
      <c r="F37" s="9" t="s">
        <v>3890</v>
      </c>
      <c r="G37" s="9" t="s">
        <v>3891</v>
      </c>
      <c r="H37" s="9" t="s">
        <v>3892</v>
      </c>
      <c r="I37" s="9" t="s">
        <v>76</v>
      </c>
      <c r="J37" s="9" t="s">
        <v>76</v>
      </c>
      <c r="K37" s="9" t="s">
        <v>234</v>
      </c>
      <c r="L37" s="9" t="s">
        <v>235</v>
      </c>
      <c r="M37" s="9" t="n">
        <f aca="false">COUNTIF($A$5:$A$69,A37)</f>
        <v>1</v>
      </c>
    </row>
    <row r="38" customFormat="false" ht="68" hidden="false" customHeight="true" outlineLevel="0" collapsed="false">
      <c r="A38" s="9" t="s">
        <v>3893</v>
      </c>
      <c r="B38" s="9" t="s">
        <v>3894</v>
      </c>
      <c r="C38" s="9" t="s">
        <v>3895</v>
      </c>
      <c r="D38" s="9" t="s">
        <v>3896</v>
      </c>
      <c r="E38" s="9" t="s">
        <v>3729</v>
      </c>
      <c r="F38" s="9" t="s">
        <v>3896</v>
      </c>
      <c r="G38" s="9" t="s">
        <v>3897</v>
      </c>
      <c r="H38" s="9" t="s">
        <v>3898</v>
      </c>
      <c r="I38" s="9" t="s">
        <v>76</v>
      </c>
      <c r="J38" s="9" t="s">
        <v>120</v>
      </c>
      <c r="K38" s="9" t="s">
        <v>234</v>
      </c>
      <c r="L38" s="9" t="s">
        <v>235</v>
      </c>
      <c r="M38" s="9" t="n">
        <f aca="false">COUNTIF($A$5:$A$69,A38)</f>
        <v>1</v>
      </c>
    </row>
    <row r="39" customFormat="false" ht="68" hidden="false" customHeight="true" outlineLevel="0" collapsed="false">
      <c r="A39" s="9" t="s">
        <v>3899</v>
      </c>
      <c r="B39" s="9" t="s">
        <v>3900</v>
      </c>
      <c r="C39" s="9" t="s">
        <v>3901</v>
      </c>
      <c r="D39" s="9" t="s">
        <v>3902</v>
      </c>
      <c r="E39" s="9" t="s">
        <v>3729</v>
      </c>
      <c r="F39" s="9" t="s">
        <v>3902</v>
      </c>
      <c r="G39" s="9" t="s">
        <v>3903</v>
      </c>
      <c r="H39" s="9" t="s">
        <v>584</v>
      </c>
      <c r="I39" s="9" t="s">
        <v>94</v>
      </c>
      <c r="J39" s="9" t="s">
        <v>120</v>
      </c>
      <c r="K39" s="9" t="s">
        <v>234</v>
      </c>
      <c r="L39" s="9" t="s">
        <v>235</v>
      </c>
      <c r="M39" s="9" t="n">
        <f aca="false">COUNTIF($A$5:$A$69,A39)</f>
        <v>1</v>
      </c>
    </row>
    <row r="40" customFormat="false" ht="68" hidden="false" customHeight="true" outlineLevel="0" collapsed="false">
      <c r="A40" s="9" t="s">
        <v>3904</v>
      </c>
      <c r="B40" s="9" t="s">
        <v>3905</v>
      </c>
      <c r="C40" s="9" t="s">
        <v>3906</v>
      </c>
      <c r="D40" s="9" t="s">
        <v>3907</v>
      </c>
      <c r="E40" s="9" t="s">
        <v>3729</v>
      </c>
      <c r="F40" s="9" t="s">
        <v>3907</v>
      </c>
      <c r="G40" s="9" t="s">
        <v>3908</v>
      </c>
      <c r="H40" s="9" t="s">
        <v>308</v>
      </c>
      <c r="I40" s="9" t="s">
        <v>76</v>
      </c>
      <c r="J40" s="9" t="s">
        <v>189</v>
      </c>
      <c r="K40" s="9" t="s">
        <v>234</v>
      </c>
      <c r="L40" s="9" t="s">
        <v>235</v>
      </c>
      <c r="M40" s="9" t="n">
        <f aca="false">COUNTIF($A$5:$A$69,A40)</f>
        <v>1</v>
      </c>
    </row>
    <row r="41" customFormat="false" ht="68" hidden="false" customHeight="true" outlineLevel="0" collapsed="false">
      <c r="A41" s="9" t="s">
        <v>3909</v>
      </c>
      <c r="B41" s="9" t="s">
        <v>3910</v>
      </c>
      <c r="C41" s="9" t="s">
        <v>3911</v>
      </c>
      <c r="D41" s="9" t="s">
        <v>3912</v>
      </c>
      <c r="E41" s="9" t="s">
        <v>3729</v>
      </c>
      <c r="F41" s="9" t="s">
        <v>3912</v>
      </c>
      <c r="G41" s="9" t="s">
        <v>3913</v>
      </c>
      <c r="H41" s="9" t="s">
        <v>2128</v>
      </c>
      <c r="I41" s="9" t="s">
        <v>83</v>
      </c>
      <c r="J41" s="9" t="s">
        <v>176</v>
      </c>
      <c r="K41" s="9" t="s">
        <v>234</v>
      </c>
      <c r="L41" s="9" t="s">
        <v>235</v>
      </c>
      <c r="M41" s="9" t="n">
        <f aca="false">COUNTIF($A$5:$A$69,A41)</f>
        <v>1</v>
      </c>
    </row>
    <row r="42" customFormat="false" ht="68" hidden="false" customHeight="true" outlineLevel="0" collapsed="false">
      <c r="A42" s="9" t="s">
        <v>3914</v>
      </c>
      <c r="B42" s="9" t="s">
        <v>3915</v>
      </c>
      <c r="C42" s="9" t="s">
        <v>3916</v>
      </c>
      <c r="D42" s="9" t="s">
        <v>3917</v>
      </c>
      <c r="E42" s="9" t="s">
        <v>3729</v>
      </c>
      <c r="F42" s="9" t="s">
        <v>3917</v>
      </c>
      <c r="G42" s="9" t="s">
        <v>3918</v>
      </c>
      <c r="H42" s="9" t="s">
        <v>3919</v>
      </c>
      <c r="I42" s="9" t="s">
        <v>76</v>
      </c>
      <c r="J42" s="9" t="s">
        <v>176</v>
      </c>
      <c r="K42" s="9" t="s">
        <v>234</v>
      </c>
      <c r="L42" s="9" t="s">
        <v>235</v>
      </c>
      <c r="M42" s="9" t="n">
        <f aca="false">COUNTIF($A$5:$A$69,A42)</f>
        <v>1</v>
      </c>
    </row>
    <row r="43" customFormat="false" ht="68" hidden="false" customHeight="true" outlineLevel="0" collapsed="false">
      <c r="A43" s="9" t="s">
        <v>3920</v>
      </c>
      <c r="B43" s="9" t="s">
        <v>3921</v>
      </c>
      <c r="C43" s="9" t="s">
        <v>3922</v>
      </c>
      <c r="D43" s="9" t="s">
        <v>3923</v>
      </c>
      <c r="E43" s="9" t="s">
        <v>3729</v>
      </c>
      <c r="F43" s="9" t="s">
        <v>3923</v>
      </c>
      <c r="G43" s="9" t="s">
        <v>3924</v>
      </c>
      <c r="H43" s="9" t="s">
        <v>2448</v>
      </c>
      <c r="I43" s="9" t="s">
        <v>151</v>
      </c>
      <c r="J43" s="9" t="s">
        <v>176</v>
      </c>
      <c r="K43" s="9" t="s">
        <v>234</v>
      </c>
      <c r="L43" s="9" t="s">
        <v>235</v>
      </c>
      <c r="M43" s="9" t="n">
        <f aca="false">COUNTIF($A$5:$A$69,A43)</f>
        <v>1</v>
      </c>
    </row>
    <row r="44" customFormat="false" ht="68" hidden="false" customHeight="true" outlineLevel="0" collapsed="false">
      <c r="A44" s="9" t="s">
        <v>3925</v>
      </c>
      <c r="B44" s="9" t="s">
        <v>3926</v>
      </c>
      <c r="C44" s="9" t="s">
        <v>3927</v>
      </c>
      <c r="D44" s="9" t="s">
        <v>3928</v>
      </c>
      <c r="E44" s="9" t="s">
        <v>3729</v>
      </c>
      <c r="F44" s="9" t="s">
        <v>3928</v>
      </c>
      <c r="G44" s="9" t="s">
        <v>3929</v>
      </c>
      <c r="H44" s="9" t="s">
        <v>202</v>
      </c>
      <c r="I44" s="9" t="s">
        <v>196</v>
      </c>
      <c r="J44" s="9" t="s">
        <v>63</v>
      </c>
      <c r="K44" s="9" t="s">
        <v>234</v>
      </c>
      <c r="L44" s="9" t="s">
        <v>235</v>
      </c>
      <c r="M44" s="9" t="n">
        <f aca="false">COUNTIF($A$5:$A$69,A44)</f>
        <v>1</v>
      </c>
    </row>
    <row r="45" customFormat="false" ht="68" hidden="false" customHeight="true" outlineLevel="0" collapsed="false">
      <c r="A45" s="9" t="s">
        <v>3930</v>
      </c>
      <c r="B45" s="9" t="s">
        <v>3931</v>
      </c>
      <c r="C45" s="9" t="s">
        <v>3932</v>
      </c>
      <c r="D45" s="9" t="s">
        <v>3933</v>
      </c>
      <c r="E45" s="9" t="s">
        <v>3729</v>
      </c>
      <c r="F45" s="9" t="s">
        <v>3933</v>
      </c>
      <c r="G45" s="9" t="s">
        <v>3934</v>
      </c>
      <c r="H45" s="9" t="s">
        <v>202</v>
      </c>
      <c r="I45" s="9" t="s">
        <v>196</v>
      </c>
      <c r="J45" s="9" t="s">
        <v>189</v>
      </c>
      <c r="K45" s="9" t="s">
        <v>234</v>
      </c>
      <c r="L45" s="9" t="s">
        <v>235</v>
      </c>
      <c r="M45" s="9" t="n">
        <f aca="false">COUNTIF($A$5:$A$69,A45)</f>
        <v>1</v>
      </c>
    </row>
    <row r="46" customFormat="false" ht="68" hidden="false" customHeight="true" outlineLevel="0" collapsed="false">
      <c r="A46" s="9" t="s">
        <v>3935</v>
      </c>
      <c r="B46" s="9" t="s">
        <v>3936</v>
      </c>
      <c r="C46" s="9" t="s">
        <v>3937</v>
      </c>
      <c r="D46" s="9" t="s">
        <v>3938</v>
      </c>
      <c r="E46" s="9" t="s">
        <v>3729</v>
      </c>
      <c r="F46" s="9" t="s">
        <v>3938</v>
      </c>
      <c r="G46" s="9" t="s">
        <v>3939</v>
      </c>
      <c r="H46" s="9" t="s">
        <v>3940</v>
      </c>
      <c r="I46" s="9" t="s">
        <v>169</v>
      </c>
      <c r="J46" s="9" t="s">
        <v>196</v>
      </c>
      <c r="K46" s="9" t="s">
        <v>234</v>
      </c>
      <c r="L46" s="9" t="s">
        <v>235</v>
      </c>
      <c r="M46" s="9" t="n">
        <f aca="false">COUNTIF($A$5:$A$69,A46)</f>
        <v>1</v>
      </c>
    </row>
    <row r="47" customFormat="false" ht="68" hidden="false" customHeight="true" outlineLevel="0" collapsed="false">
      <c r="A47" s="9" t="s">
        <v>3941</v>
      </c>
      <c r="B47" s="9" t="s">
        <v>3942</v>
      </c>
      <c r="C47" s="9" t="s">
        <v>3943</v>
      </c>
      <c r="D47" s="9" t="s">
        <v>3944</v>
      </c>
      <c r="E47" s="9" t="s">
        <v>3729</v>
      </c>
      <c r="F47" s="9" t="s">
        <v>3944</v>
      </c>
      <c r="G47" s="9" t="s">
        <v>3945</v>
      </c>
      <c r="H47" s="9" t="s">
        <v>3622</v>
      </c>
      <c r="I47" s="9" t="s">
        <v>210</v>
      </c>
      <c r="J47" s="9" t="s">
        <v>196</v>
      </c>
      <c r="K47" s="9" t="s">
        <v>234</v>
      </c>
      <c r="L47" s="9" t="s">
        <v>235</v>
      </c>
      <c r="M47" s="9" t="n">
        <f aca="false">COUNTIF($A$5:$A$69,A47)</f>
        <v>1</v>
      </c>
    </row>
    <row r="48" customFormat="false" ht="68" hidden="false" customHeight="true" outlineLevel="0" collapsed="false">
      <c r="A48" s="9" t="s">
        <v>3946</v>
      </c>
      <c r="B48" s="9" t="s">
        <v>3947</v>
      </c>
      <c r="C48" s="9" t="s">
        <v>3948</v>
      </c>
      <c r="D48" s="9" t="s">
        <v>3949</v>
      </c>
      <c r="E48" s="9" t="s">
        <v>3729</v>
      </c>
      <c r="F48" s="9" t="s">
        <v>3949</v>
      </c>
      <c r="G48" s="9" t="s">
        <v>3950</v>
      </c>
      <c r="H48" s="9" t="s">
        <v>2213</v>
      </c>
      <c r="I48" s="9" t="s">
        <v>133</v>
      </c>
      <c r="J48" s="9" t="s">
        <v>139</v>
      </c>
      <c r="K48" s="9" t="s">
        <v>234</v>
      </c>
      <c r="L48" s="9" t="s">
        <v>235</v>
      </c>
      <c r="M48" s="9" t="n">
        <f aca="false">COUNTIF($A$5:$A$69,A48)</f>
        <v>1</v>
      </c>
    </row>
    <row r="49" customFormat="false" ht="68" hidden="false" customHeight="true" outlineLevel="0" collapsed="false">
      <c r="A49" s="9" t="s">
        <v>3951</v>
      </c>
      <c r="B49" s="9" t="s">
        <v>3952</v>
      </c>
      <c r="C49" s="9" t="s">
        <v>3953</v>
      </c>
      <c r="D49" s="9" t="s">
        <v>3954</v>
      </c>
      <c r="E49" s="9" t="s">
        <v>3729</v>
      </c>
      <c r="F49" s="9" t="s">
        <v>3954</v>
      </c>
      <c r="G49" s="9" t="s">
        <v>3955</v>
      </c>
      <c r="H49" s="9" t="s">
        <v>138</v>
      </c>
      <c r="I49" s="9" t="s">
        <v>189</v>
      </c>
      <c r="J49" s="9" t="s">
        <v>133</v>
      </c>
      <c r="K49" s="9" t="s">
        <v>234</v>
      </c>
      <c r="L49" s="9" t="s">
        <v>235</v>
      </c>
      <c r="M49" s="9" t="n">
        <f aca="false">COUNTIF($A$5:$A$69,A49)</f>
        <v>1</v>
      </c>
    </row>
    <row r="50" customFormat="false" ht="68" hidden="false" customHeight="true" outlineLevel="0" collapsed="false">
      <c r="A50" s="9" t="s">
        <v>3956</v>
      </c>
      <c r="B50" s="9" t="s">
        <v>3957</v>
      </c>
      <c r="C50" s="9" t="s">
        <v>3958</v>
      </c>
      <c r="D50" s="9" t="s">
        <v>3959</v>
      </c>
      <c r="E50" s="9" t="s">
        <v>3729</v>
      </c>
      <c r="F50" s="9" t="s">
        <v>3959</v>
      </c>
      <c r="G50" s="9" t="s">
        <v>3960</v>
      </c>
      <c r="H50" s="9" t="s">
        <v>3961</v>
      </c>
      <c r="I50" s="9" t="s">
        <v>63</v>
      </c>
      <c r="J50" s="9" t="s">
        <v>189</v>
      </c>
      <c r="K50" s="9" t="s">
        <v>234</v>
      </c>
      <c r="L50" s="9" t="s">
        <v>235</v>
      </c>
      <c r="M50" s="9" t="n">
        <f aca="false">COUNTIF($A$5:$A$69,A50)</f>
        <v>1</v>
      </c>
    </row>
    <row r="51" customFormat="false" ht="68" hidden="false" customHeight="true" outlineLevel="0" collapsed="false">
      <c r="A51" s="9" t="s">
        <v>3962</v>
      </c>
      <c r="B51" s="9" t="s">
        <v>3963</v>
      </c>
      <c r="C51" s="9" t="s">
        <v>3964</v>
      </c>
      <c r="D51" s="9" t="s">
        <v>3965</v>
      </c>
      <c r="E51" s="9" t="s">
        <v>3729</v>
      </c>
      <c r="F51" s="9" t="s">
        <v>3965</v>
      </c>
      <c r="G51" s="9" t="s">
        <v>3966</v>
      </c>
      <c r="H51" s="9" t="s">
        <v>3602</v>
      </c>
      <c r="I51" s="9" t="s">
        <v>157</v>
      </c>
      <c r="J51" s="9" t="s">
        <v>157</v>
      </c>
      <c r="K51" s="9" t="s">
        <v>234</v>
      </c>
      <c r="L51" s="9" t="s">
        <v>235</v>
      </c>
      <c r="M51" s="9" t="n">
        <f aca="false">COUNTIF($A$5:$A$69,A51)</f>
        <v>1</v>
      </c>
    </row>
    <row r="52" customFormat="false" ht="68" hidden="false" customHeight="true" outlineLevel="0" collapsed="false">
      <c r="A52" s="9" t="s">
        <v>3967</v>
      </c>
      <c r="B52" s="9" t="s">
        <v>3968</v>
      </c>
      <c r="C52" s="9" t="s">
        <v>3969</v>
      </c>
      <c r="D52" s="9" t="s">
        <v>3970</v>
      </c>
      <c r="E52" s="9" t="s">
        <v>3729</v>
      </c>
      <c r="F52" s="9" t="s">
        <v>3970</v>
      </c>
      <c r="G52" s="9" t="s">
        <v>3971</v>
      </c>
      <c r="H52" s="9" t="s">
        <v>3972</v>
      </c>
      <c r="I52" s="9" t="s">
        <v>83</v>
      </c>
      <c r="J52" s="9" t="s">
        <v>83</v>
      </c>
      <c r="K52" s="9" t="s">
        <v>234</v>
      </c>
      <c r="L52" s="9" t="s">
        <v>235</v>
      </c>
      <c r="M52" s="9" t="n">
        <f aca="false">COUNTIF($A$5:$A$69,A52)</f>
        <v>1</v>
      </c>
    </row>
    <row r="53" customFormat="false" ht="68" hidden="false" customHeight="true" outlineLevel="0" collapsed="false">
      <c r="A53" s="9" t="s">
        <v>3973</v>
      </c>
      <c r="B53" s="9" t="s">
        <v>3974</v>
      </c>
      <c r="C53" s="9" t="s">
        <v>3975</v>
      </c>
      <c r="D53" s="9" t="s">
        <v>3976</v>
      </c>
      <c r="E53" s="9" t="s">
        <v>3729</v>
      </c>
      <c r="F53" s="9" t="s">
        <v>3976</v>
      </c>
      <c r="G53" s="9" t="s">
        <v>3977</v>
      </c>
      <c r="H53" s="9" t="s">
        <v>395</v>
      </c>
      <c r="I53" s="9" t="s">
        <v>107</v>
      </c>
      <c r="J53" s="9" t="s">
        <v>189</v>
      </c>
      <c r="K53" s="9" t="s">
        <v>234</v>
      </c>
      <c r="L53" s="9" t="s">
        <v>235</v>
      </c>
      <c r="M53" s="9" t="n">
        <f aca="false">COUNTIF($A$5:$A$69,A53)</f>
        <v>1</v>
      </c>
    </row>
    <row r="54" customFormat="false" ht="68" hidden="false" customHeight="true" outlineLevel="0" collapsed="false">
      <c r="A54" s="9" t="s">
        <v>3978</v>
      </c>
      <c r="B54" s="9" t="s">
        <v>3979</v>
      </c>
      <c r="C54" s="9" t="s">
        <v>3980</v>
      </c>
      <c r="D54" s="9" t="s">
        <v>3981</v>
      </c>
      <c r="E54" s="9" t="s">
        <v>3729</v>
      </c>
      <c r="F54" s="9" t="s">
        <v>3981</v>
      </c>
      <c r="G54" s="9" t="s">
        <v>3982</v>
      </c>
      <c r="H54" s="9" t="s">
        <v>389</v>
      </c>
      <c r="I54" s="9" t="s">
        <v>107</v>
      </c>
      <c r="J54" s="9" t="s">
        <v>114</v>
      </c>
      <c r="K54" s="9" t="s">
        <v>540</v>
      </c>
      <c r="L54" s="9" t="s">
        <v>235</v>
      </c>
      <c r="M54" s="9" t="n">
        <f aca="false">COUNTIF($A$5:$A$69,A54)</f>
        <v>1</v>
      </c>
    </row>
    <row r="55" customFormat="false" ht="68" hidden="false" customHeight="true" outlineLevel="0" collapsed="false">
      <c r="A55" s="9" t="s">
        <v>3983</v>
      </c>
      <c r="B55" s="9" t="s">
        <v>3984</v>
      </c>
      <c r="C55" s="9" t="s">
        <v>3985</v>
      </c>
      <c r="D55" s="9" t="s">
        <v>3986</v>
      </c>
      <c r="E55" s="9" t="s">
        <v>3729</v>
      </c>
      <c r="F55" s="9" t="s">
        <v>3986</v>
      </c>
      <c r="G55" s="9" t="s">
        <v>3987</v>
      </c>
      <c r="H55" s="9" t="s">
        <v>571</v>
      </c>
      <c r="I55" s="9" t="s">
        <v>203</v>
      </c>
      <c r="J55" s="9" t="s">
        <v>176</v>
      </c>
      <c r="K55" s="9" t="s">
        <v>234</v>
      </c>
      <c r="L55" s="9" t="s">
        <v>235</v>
      </c>
      <c r="M55" s="9" t="n">
        <f aca="false">COUNTIF($A$5:$A$69,A55)</f>
        <v>1</v>
      </c>
    </row>
    <row r="56" customFormat="false" ht="68" hidden="false" customHeight="true" outlineLevel="0" collapsed="false">
      <c r="A56" s="9" t="s">
        <v>3988</v>
      </c>
      <c r="B56" s="9" t="s">
        <v>3989</v>
      </c>
      <c r="C56" s="9" t="s">
        <v>3990</v>
      </c>
      <c r="D56" s="9" t="s">
        <v>3991</v>
      </c>
      <c r="E56" s="9" t="s">
        <v>3729</v>
      </c>
      <c r="F56" s="9" t="s">
        <v>3991</v>
      </c>
      <c r="G56" s="9" t="s">
        <v>3992</v>
      </c>
      <c r="H56" s="9" t="s">
        <v>571</v>
      </c>
      <c r="I56" s="9" t="s">
        <v>203</v>
      </c>
      <c r="J56" s="9" t="s">
        <v>196</v>
      </c>
      <c r="K56" s="9" t="s">
        <v>234</v>
      </c>
      <c r="L56" s="9" t="s">
        <v>235</v>
      </c>
      <c r="M56" s="9" t="n">
        <f aca="false">COUNTIF($A$5:$A$69,A56)</f>
        <v>1</v>
      </c>
    </row>
    <row r="57" customFormat="false" ht="68" hidden="false" customHeight="true" outlineLevel="0" collapsed="false">
      <c r="A57" s="9" t="s">
        <v>3993</v>
      </c>
      <c r="B57" s="9" t="s">
        <v>3994</v>
      </c>
      <c r="C57" s="9" t="s">
        <v>3889</v>
      </c>
      <c r="D57" s="9" t="s">
        <v>3995</v>
      </c>
      <c r="E57" s="9" t="s">
        <v>3729</v>
      </c>
      <c r="F57" s="9" t="s">
        <v>3995</v>
      </c>
      <c r="G57" s="9" t="s">
        <v>3996</v>
      </c>
      <c r="H57" s="9" t="s">
        <v>597</v>
      </c>
      <c r="I57" s="9" t="s">
        <v>189</v>
      </c>
      <c r="J57" s="9" t="s">
        <v>151</v>
      </c>
      <c r="K57" s="9" t="s">
        <v>234</v>
      </c>
      <c r="L57" s="9" t="s">
        <v>235</v>
      </c>
      <c r="M57" s="9" t="n">
        <f aca="false">COUNTIF($A$5:$A$69,A57)</f>
        <v>1</v>
      </c>
    </row>
    <row r="58" customFormat="false" ht="68" hidden="false" customHeight="true" outlineLevel="0" collapsed="false">
      <c r="A58" s="9" t="s">
        <v>3997</v>
      </c>
      <c r="B58" s="9" t="s">
        <v>3998</v>
      </c>
      <c r="C58" s="9" t="s">
        <v>3999</v>
      </c>
      <c r="D58" s="9" t="s">
        <v>4000</v>
      </c>
      <c r="E58" s="9" t="s">
        <v>3729</v>
      </c>
      <c r="F58" s="9" t="s">
        <v>4000</v>
      </c>
      <c r="G58" s="9" t="s">
        <v>4001</v>
      </c>
      <c r="H58" s="9" t="s">
        <v>4002</v>
      </c>
      <c r="I58" s="9" t="s">
        <v>94</v>
      </c>
      <c r="J58" s="9" t="s">
        <v>94</v>
      </c>
      <c r="K58" s="9" t="s">
        <v>234</v>
      </c>
      <c r="L58" s="9" t="s">
        <v>235</v>
      </c>
      <c r="M58" s="9" t="n">
        <f aca="false">COUNTIF($A$5:$A$69,A58)</f>
        <v>1</v>
      </c>
    </row>
    <row r="59" customFormat="false" ht="68" hidden="false" customHeight="true" outlineLevel="0" collapsed="false">
      <c r="A59" s="9" t="s">
        <v>4003</v>
      </c>
      <c r="B59" s="9" t="s">
        <v>4004</v>
      </c>
      <c r="C59" s="9" t="s">
        <v>4005</v>
      </c>
      <c r="D59" s="9" t="s">
        <v>4006</v>
      </c>
      <c r="E59" s="9" t="s">
        <v>3729</v>
      </c>
      <c r="F59" s="9" t="s">
        <v>4006</v>
      </c>
      <c r="G59" s="9" t="s">
        <v>4007</v>
      </c>
      <c r="H59" s="9" t="s">
        <v>4008</v>
      </c>
      <c r="I59" s="9" t="s">
        <v>189</v>
      </c>
      <c r="J59" s="9" t="s">
        <v>203</v>
      </c>
      <c r="K59" s="9" t="s">
        <v>234</v>
      </c>
      <c r="L59" s="9" t="s">
        <v>235</v>
      </c>
      <c r="M59" s="9" t="n">
        <f aca="false">COUNTIF($A$5:$A$69,A59)</f>
        <v>1</v>
      </c>
    </row>
    <row r="60" customFormat="false" ht="68" hidden="false" customHeight="true" outlineLevel="0" collapsed="false">
      <c r="A60" s="9" t="s">
        <v>4009</v>
      </c>
      <c r="B60" s="9" t="s">
        <v>4010</v>
      </c>
      <c r="C60" s="9" t="s">
        <v>4011</v>
      </c>
      <c r="D60" s="9" t="s">
        <v>4012</v>
      </c>
      <c r="E60" s="9" t="s">
        <v>3729</v>
      </c>
      <c r="F60" s="9" t="s">
        <v>4012</v>
      </c>
      <c r="G60" s="9" t="s">
        <v>4013</v>
      </c>
      <c r="H60" s="9" t="s">
        <v>584</v>
      </c>
      <c r="I60" s="9" t="s">
        <v>120</v>
      </c>
      <c r="J60" s="9" t="s">
        <v>120</v>
      </c>
      <c r="K60" s="9" t="s">
        <v>234</v>
      </c>
      <c r="L60" s="9" t="s">
        <v>235</v>
      </c>
      <c r="M60" s="9" t="n">
        <f aca="false">COUNTIF($A$5:$A$69,A60)</f>
        <v>1</v>
      </c>
    </row>
    <row r="61" customFormat="false" ht="68" hidden="false" customHeight="true" outlineLevel="0" collapsed="false">
      <c r="A61" s="9" t="s">
        <v>4014</v>
      </c>
      <c r="B61" s="9" t="s">
        <v>4015</v>
      </c>
      <c r="C61" s="9" t="s">
        <v>3829</v>
      </c>
      <c r="D61" s="9" t="s">
        <v>4016</v>
      </c>
      <c r="E61" s="9" t="s">
        <v>3729</v>
      </c>
      <c r="F61" s="9" t="s">
        <v>4016</v>
      </c>
      <c r="G61" s="9" t="s">
        <v>4017</v>
      </c>
      <c r="H61" s="9" t="s">
        <v>925</v>
      </c>
      <c r="I61" s="9" t="s">
        <v>139</v>
      </c>
      <c r="J61" s="9" t="s">
        <v>63</v>
      </c>
      <c r="K61" s="9" t="s">
        <v>234</v>
      </c>
      <c r="L61" s="9" t="s">
        <v>235</v>
      </c>
      <c r="M61" s="9" t="n">
        <f aca="false">COUNTIF($A$5:$A$69,A61)</f>
        <v>1</v>
      </c>
    </row>
    <row r="62" customFormat="false" ht="68" hidden="false" customHeight="true" outlineLevel="0" collapsed="false">
      <c r="A62" s="9" t="s">
        <v>4018</v>
      </c>
      <c r="B62" s="9" t="s">
        <v>4019</v>
      </c>
      <c r="C62" s="9" t="s">
        <v>4020</v>
      </c>
      <c r="D62" s="9" t="s">
        <v>4021</v>
      </c>
      <c r="E62" s="9" t="s">
        <v>3729</v>
      </c>
      <c r="F62" s="9" t="s">
        <v>4021</v>
      </c>
      <c r="G62" s="9" t="s">
        <v>4022</v>
      </c>
      <c r="H62" s="9" t="s">
        <v>4023</v>
      </c>
      <c r="I62" s="9" t="s">
        <v>120</v>
      </c>
      <c r="J62" s="9" t="s">
        <v>176</v>
      </c>
      <c r="K62" s="9" t="s">
        <v>234</v>
      </c>
      <c r="L62" s="9" t="s">
        <v>235</v>
      </c>
      <c r="M62" s="9" t="n">
        <f aca="false">COUNTIF($A$5:$A$69,A62)</f>
        <v>1</v>
      </c>
    </row>
    <row r="63" customFormat="false" ht="68" hidden="false" customHeight="true" outlineLevel="0" collapsed="false">
      <c r="A63" s="9" t="s">
        <v>4024</v>
      </c>
      <c r="B63" s="9" t="s">
        <v>4025</v>
      </c>
      <c r="C63" s="9" t="s">
        <v>4026</v>
      </c>
      <c r="D63" s="9" t="s">
        <v>4027</v>
      </c>
      <c r="E63" s="9" t="s">
        <v>3729</v>
      </c>
      <c r="F63" s="9" t="s">
        <v>4027</v>
      </c>
      <c r="G63" s="9" t="s">
        <v>4028</v>
      </c>
      <c r="H63" s="9" t="s">
        <v>4029</v>
      </c>
      <c r="I63" s="9" t="s">
        <v>114</v>
      </c>
      <c r="J63" s="9" t="s">
        <v>183</v>
      </c>
      <c r="K63" s="9" t="s">
        <v>234</v>
      </c>
      <c r="L63" s="9" t="s">
        <v>235</v>
      </c>
      <c r="M63" s="9" t="n">
        <f aca="false">COUNTIF($A$5:$A$69,A63)</f>
        <v>1</v>
      </c>
    </row>
    <row r="64" customFormat="false" ht="68" hidden="false" customHeight="true" outlineLevel="0" collapsed="false">
      <c r="A64" s="9" t="s">
        <v>4030</v>
      </c>
      <c r="B64" s="9" t="s">
        <v>4031</v>
      </c>
      <c r="C64" s="9" t="s">
        <v>4032</v>
      </c>
      <c r="D64" s="9" t="s">
        <v>4033</v>
      </c>
      <c r="E64" s="9" t="s">
        <v>3729</v>
      </c>
      <c r="F64" s="9" t="s">
        <v>4033</v>
      </c>
      <c r="G64" s="9" t="s">
        <v>4034</v>
      </c>
      <c r="H64" s="9" t="s">
        <v>3690</v>
      </c>
      <c r="I64" s="9" t="s">
        <v>63</v>
      </c>
      <c r="J64" s="9" t="s">
        <v>70</v>
      </c>
      <c r="K64" s="9" t="s">
        <v>234</v>
      </c>
      <c r="L64" s="9" t="s">
        <v>235</v>
      </c>
      <c r="M64" s="9" t="n">
        <f aca="false">COUNTIF($A$5:$A$69,A64)</f>
        <v>1</v>
      </c>
    </row>
    <row r="65" customFormat="false" ht="68" hidden="false" customHeight="true" outlineLevel="0" collapsed="false">
      <c r="A65" s="9" t="s">
        <v>4035</v>
      </c>
      <c r="B65" s="9" t="s">
        <v>4036</v>
      </c>
      <c r="C65" s="9" t="s">
        <v>4037</v>
      </c>
      <c r="D65" s="9" t="s">
        <v>4038</v>
      </c>
      <c r="E65" s="9" t="s">
        <v>3729</v>
      </c>
      <c r="F65" s="9" t="s">
        <v>4038</v>
      </c>
      <c r="G65" s="9" t="s">
        <v>4039</v>
      </c>
      <c r="H65" s="9" t="s">
        <v>4040</v>
      </c>
      <c r="I65" s="9" t="s">
        <v>63</v>
      </c>
      <c r="J65" s="9" t="s">
        <v>70</v>
      </c>
      <c r="K65" s="9" t="s">
        <v>234</v>
      </c>
      <c r="L65" s="9" t="s">
        <v>235</v>
      </c>
      <c r="M65" s="9" t="n">
        <f aca="false">COUNTIF($A$5:$A$69,A65)</f>
        <v>1</v>
      </c>
    </row>
    <row r="66" customFormat="false" ht="68" hidden="false" customHeight="true" outlineLevel="0" collapsed="false">
      <c r="A66" s="9" t="s">
        <v>4041</v>
      </c>
      <c r="B66" s="9" t="s">
        <v>4042</v>
      </c>
      <c r="C66" s="9" t="s">
        <v>3829</v>
      </c>
      <c r="D66" s="9" t="s">
        <v>4043</v>
      </c>
      <c r="E66" s="9" t="s">
        <v>3729</v>
      </c>
      <c r="F66" s="9" t="s">
        <v>4043</v>
      </c>
      <c r="G66" s="9" t="s">
        <v>4044</v>
      </c>
      <c r="H66" s="9" t="s">
        <v>4045</v>
      </c>
      <c r="I66" s="9" t="s">
        <v>63</v>
      </c>
      <c r="J66" s="9" t="s">
        <v>100</v>
      </c>
      <c r="K66" s="9" t="s">
        <v>234</v>
      </c>
      <c r="L66" s="9" t="s">
        <v>235</v>
      </c>
      <c r="M66" s="9" t="n">
        <f aca="false">COUNTIF($A$5:$A$69,A66)</f>
        <v>1</v>
      </c>
    </row>
    <row r="67" customFormat="false" ht="68" hidden="false" customHeight="true" outlineLevel="0" collapsed="false">
      <c r="A67" s="9" t="s">
        <v>4046</v>
      </c>
      <c r="B67" s="9" t="s">
        <v>4047</v>
      </c>
      <c r="C67" s="9" t="s">
        <v>4048</v>
      </c>
      <c r="D67" s="9" t="s">
        <v>4049</v>
      </c>
      <c r="E67" s="9" t="s">
        <v>3729</v>
      </c>
      <c r="F67" s="9" t="s">
        <v>4049</v>
      </c>
      <c r="G67" s="9" t="s">
        <v>4050</v>
      </c>
      <c r="H67" s="9" t="s">
        <v>4051</v>
      </c>
      <c r="I67" s="9" t="s">
        <v>196</v>
      </c>
      <c r="J67" s="9" t="s">
        <v>189</v>
      </c>
      <c r="K67" s="9" t="s">
        <v>234</v>
      </c>
      <c r="L67" s="9" t="s">
        <v>235</v>
      </c>
      <c r="M67" s="9" t="n">
        <f aca="false">COUNTIF($A$5:$A$69,A67)</f>
        <v>1</v>
      </c>
    </row>
    <row r="68" customFormat="false" ht="68" hidden="false" customHeight="true" outlineLevel="0" collapsed="false">
      <c r="A68" s="9" t="s">
        <v>4052</v>
      </c>
      <c r="B68" s="9" t="s">
        <v>4053</v>
      </c>
      <c r="C68" s="9" t="s">
        <v>4054</v>
      </c>
      <c r="D68" s="9" t="s">
        <v>4055</v>
      </c>
      <c r="E68" s="9" t="s">
        <v>3729</v>
      </c>
      <c r="F68" s="9" t="s">
        <v>4055</v>
      </c>
      <c r="G68" s="9" t="s">
        <v>4056</v>
      </c>
      <c r="H68" s="9" t="s">
        <v>4057</v>
      </c>
      <c r="I68" s="9" t="s">
        <v>76</v>
      </c>
      <c r="J68" s="9" t="s">
        <v>100</v>
      </c>
      <c r="K68" s="9" t="s">
        <v>234</v>
      </c>
      <c r="L68" s="9" t="s">
        <v>235</v>
      </c>
      <c r="M68" s="9" t="n">
        <f aca="false">COUNTIF($A$5:$A$69,A68)</f>
        <v>1</v>
      </c>
    </row>
    <row r="69" customFormat="false" ht="68" hidden="false" customHeight="true" outlineLevel="0" collapsed="false">
      <c r="A69" s="9" t="s">
        <v>4058</v>
      </c>
      <c r="B69" s="9" t="s">
        <v>4059</v>
      </c>
      <c r="C69" s="9" t="s">
        <v>4060</v>
      </c>
      <c r="D69" s="9" t="s">
        <v>4061</v>
      </c>
      <c r="E69" s="9" t="s">
        <v>3729</v>
      </c>
      <c r="F69" s="9" t="s">
        <v>4061</v>
      </c>
      <c r="G69" s="9" t="s">
        <v>4062</v>
      </c>
      <c r="H69" s="9" t="s">
        <v>4063</v>
      </c>
      <c r="I69" s="9" t="s">
        <v>63</v>
      </c>
      <c r="J69" s="9" t="s">
        <v>196</v>
      </c>
      <c r="K69" s="9" t="s">
        <v>234</v>
      </c>
      <c r="L69" s="9" t="s">
        <v>235</v>
      </c>
      <c r="M69" s="9" t="n">
        <f aca="false">COUNTIF($A$5:$A$69,A69)</f>
        <v>1</v>
      </c>
    </row>
    <row r="70" customFormat="false" ht="68" hidden="false" customHeight="true" outlineLevel="0" collapsed="false">
      <c r="A70" s="0" t="s">
        <v>4064</v>
      </c>
      <c r="B70" s="0" t="s">
        <v>4065</v>
      </c>
      <c r="C70" s="0" t="s">
        <v>4066</v>
      </c>
      <c r="D70" s="0" t="s">
        <v>4067</v>
      </c>
      <c r="E70" s="0" t="s">
        <v>3729</v>
      </c>
      <c r="F70" s="0" t="s">
        <v>4067</v>
      </c>
      <c r="G70" s="0" t="s">
        <v>4068</v>
      </c>
      <c r="H70" s="0" t="s">
        <v>3545</v>
      </c>
      <c r="I70" s="0" t="s">
        <v>151</v>
      </c>
      <c r="J70" s="0" t="s">
        <v>151</v>
      </c>
      <c r="K70" s="0" t="s">
        <v>234</v>
      </c>
      <c r="L70" s="0" t="s">
        <v>235</v>
      </c>
      <c r="M70" s="0" t="n">
        <f aca="false">COUNTIF($A$5:$A$71,A70)</f>
        <v>1</v>
      </c>
    </row>
    <row r="71" customFormat="false" ht="68" hidden="false" customHeight="true" outlineLevel="0" collapsed="false">
      <c r="A71" s="0" t="s">
        <v>4069</v>
      </c>
      <c r="B71" s="0" t="s">
        <v>4070</v>
      </c>
      <c r="C71" s="0" t="s">
        <v>4071</v>
      </c>
      <c r="D71" s="0" t="s">
        <v>4072</v>
      </c>
      <c r="E71" s="0" t="s">
        <v>3729</v>
      </c>
      <c r="F71" s="0" t="s">
        <v>4072</v>
      </c>
      <c r="G71" s="0" t="s">
        <v>4073</v>
      </c>
      <c r="H71" s="0" t="s">
        <v>4074</v>
      </c>
      <c r="I71" s="0" t="s">
        <v>120</v>
      </c>
      <c r="J71" s="0" t="s">
        <v>120</v>
      </c>
      <c r="K71" s="0" t="s">
        <v>234</v>
      </c>
      <c r="L71" s="0" t="s">
        <v>235</v>
      </c>
      <c r="M71" s="0" t="n">
        <f aca="false">COUNTIF($A$5:$A$71,A71)</f>
        <v>1</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3" min="2" style="0" width="28"/>
    <col collapsed="false" customWidth="true" hidden="false" outlineLevel="0" max="4" min="4" style="0" width="42"/>
    <col collapsed="false" customWidth="true" hidden="false" outlineLevel="0" max="5" min="5" style="0" width="48"/>
    <col collapsed="false" customWidth="true" hidden="false" outlineLevel="0" max="6" min="6" style="0" width="58"/>
    <col collapsed="false" customWidth="true" hidden="false" outlineLevel="0" max="7" min="7" style="0" width="54"/>
    <col collapsed="false" customWidth="true" hidden="false" outlineLevel="0" max="8" min="8" style="0" width="36"/>
    <col collapsed="false" customWidth="true" hidden="false" outlineLevel="0" max="9" min="9" style="0" width="18"/>
    <col collapsed="false" customWidth="true" hidden="false" outlineLevel="0" max="10" min="10" style="0" width="10"/>
  </cols>
  <sheetData>
    <row r="1" customFormat="false" ht="30" hidden="false" customHeight="true" outlineLevel="0" collapsed="false">
      <c r="A1" s="1" t="s">
        <v>4075</v>
      </c>
      <c r="B1" s="1"/>
      <c r="C1" s="1"/>
      <c r="D1" s="1"/>
      <c r="E1" s="1"/>
      <c r="F1" s="1"/>
      <c r="G1" s="1"/>
      <c r="H1" s="1"/>
      <c r="I1" s="1"/>
      <c r="J1" s="1"/>
    </row>
    <row r="2" customFormat="false" ht="34" hidden="false" customHeight="true" outlineLevel="0" collapsed="false">
      <c r="A2" s="2" t="s">
        <v>4076</v>
      </c>
      <c r="B2" s="2"/>
      <c r="C2" s="2"/>
      <c r="D2" s="2"/>
      <c r="E2" s="2"/>
      <c r="F2" s="2"/>
      <c r="G2" s="2"/>
      <c r="H2" s="2"/>
      <c r="I2" s="2"/>
      <c r="J2" s="2"/>
    </row>
    <row r="4" customFormat="false" ht="34" hidden="false" customHeight="true" outlineLevel="0" collapsed="false">
      <c r="A4" s="8" t="s">
        <v>4077</v>
      </c>
      <c r="B4" s="8" t="s">
        <v>3724</v>
      </c>
      <c r="C4" s="8" t="s">
        <v>3725</v>
      </c>
      <c r="D4" s="8" t="s">
        <v>4078</v>
      </c>
      <c r="E4" s="8" t="s">
        <v>4079</v>
      </c>
      <c r="F4" s="8" t="s">
        <v>4080</v>
      </c>
      <c r="G4" s="8" t="s">
        <v>4081</v>
      </c>
      <c r="H4" s="8" t="s">
        <v>224</v>
      </c>
      <c r="I4" s="8" t="s">
        <v>647</v>
      </c>
      <c r="J4" s="8" t="s">
        <v>4082</v>
      </c>
    </row>
    <row r="5" customFormat="false" ht="48" hidden="false" customHeight="true" outlineLevel="0" collapsed="false">
      <c r="A5" s="9" t="s">
        <v>4083</v>
      </c>
      <c r="B5" s="9" t="s">
        <v>63</v>
      </c>
      <c r="C5" s="9" t="s">
        <v>63</v>
      </c>
      <c r="D5" s="9" t="s">
        <v>4084</v>
      </c>
      <c r="E5" s="9" t="s">
        <v>4085</v>
      </c>
      <c r="F5" s="9" t="s">
        <v>3839</v>
      </c>
      <c r="G5" s="9" t="s">
        <v>2636</v>
      </c>
      <c r="H5" s="9" t="s">
        <v>4086</v>
      </c>
      <c r="I5" s="9" t="s">
        <v>235</v>
      </c>
      <c r="J5" s="9" t="n">
        <f aca="false">COUNTIFS($B$5:$B$304,B5,$C$5:$C$304,C5)</f>
        <v>1</v>
      </c>
    </row>
    <row r="6" customFormat="false" ht="48" hidden="false" customHeight="true" outlineLevel="0" collapsed="false">
      <c r="A6" s="9" t="s">
        <v>4087</v>
      </c>
      <c r="B6" s="9" t="s">
        <v>63</v>
      </c>
      <c r="C6" s="9" t="s">
        <v>70</v>
      </c>
      <c r="D6" s="9" t="s">
        <v>4088</v>
      </c>
      <c r="E6" s="9" t="s">
        <v>4085</v>
      </c>
      <c r="F6" s="9" t="s">
        <v>4089</v>
      </c>
      <c r="G6" s="9" t="s">
        <v>4090</v>
      </c>
      <c r="H6" s="9" t="s">
        <v>4086</v>
      </c>
      <c r="I6" s="9" t="s">
        <v>235</v>
      </c>
      <c r="J6" s="9" t="n">
        <f aca="false">COUNTIFS($B$5:$B$304,B6,$C$5:$C$304,C6)</f>
        <v>1</v>
      </c>
    </row>
    <row r="7" customFormat="false" ht="48" hidden="false" customHeight="true" outlineLevel="0" collapsed="false">
      <c r="A7" s="9" t="s">
        <v>4091</v>
      </c>
      <c r="B7" s="9" t="s">
        <v>63</v>
      </c>
      <c r="C7" s="9" t="s">
        <v>76</v>
      </c>
      <c r="D7" s="9" t="s">
        <v>4088</v>
      </c>
      <c r="E7" s="9" t="s">
        <v>4092</v>
      </c>
      <c r="F7" s="9"/>
      <c r="G7" s="9" t="s">
        <v>4093</v>
      </c>
      <c r="H7" s="9" t="s">
        <v>4086</v>
      </c>
      <c r="I7" s="9" t="s">
        <v>235</v>
      </c>
      <c r="J7" s="9" t="n">
        <f aca="false">COUNTIFS($B$5:$B$304,B7,$C$5:$C$304,C7)</f>
        <v>1</v>
      </c>
    </row>
    <row r="8" customFormat="false" ht="48" hidden="false" customHeight="true" outlineLevel="0" collapsed="false">
      <c r="A8" s="9" t="s">
        <v>4094</v>
      </c>
      <c r="B8" s="9" t="s">
        <v>63</v>
      </c>
      <c r="C8" s="9" t="s">
        <v>83</v>
      </c>
      <c r="D8" s="9" t="s">
        <v>4088</v>
      </c>
      <c r="E8" s="9" t="s">
        <v>4092</v>
      </c>
      <c r="F8" s="9"/>
      <c r="G8" s="9" t="s">
        <v>4093</v>
      </c>
      <c r="H8" s="9" t="s">
        <v>4086</v>
      </c>
      <c r="I8" s="9" t="s">
        <v>235</v>
      </c>
      <c r="J8" s="9" t="n">
        <f aca="false">COUNTIFS($B$5:$B$304,B8,$C$5:$C$304,C8)</f>
        <v>1</v>
      </c>
    </row>
    <row r="9" customFormat="false" ht="48" hidden="false" customHeight="true" outlineLevel="0" collapsed="false">
      <c r="A9" s="9" t="s">
        <v>4095</v>
      </c>
      <c r="B9" s="9" t="s">
        <v>63</v>
      </c>
      <c r="C9" s="9" t="s">
        <v>89</v>
      </c>
      <c r="D9" s="9" t="s">
        <v>4088</v>
      </c>
      <c r="E9" s="9" t="s">
        <v>4092</v>
      </c>
      <c r="F9" s="9"/>
      <c r="G9" s="9" t="s">
        <v>4093</v>
      </c>
      <c r="H9" s="9" t="s">
        <v>4086</v>
      </c>
      <c r="I9" s="9" t="s">
        <v>235</v>
      </c>
      <c r="J9" s="9" t="n">
        <f aca="false">COUNTIFS($B$5:$B$304,B9,$C$5:$C$304,C9)</f>
        <v>1</v>
      </c>
    </row>
    <row r="10" customFormat="false" ht="48" hidden="false" customHeight="true" outlineLevel="0" collapsed="false">
      <c r="A10" s="9" t="s">
        <v>4096</v>
      </c>
      <c r="B10" s="9" t="s">
        <v>63</v>
      </c>
      <c r="C10" s="9" t="s">
        <v>94</v>
      </c>
      <c r="D10" s="9" t="s">
        <v>4088</v>
      </c>
      <c r="E10" s="9" t="s">
        <v>4092</v>
      </c>
      <c r="F10" s="9"/>
      <c r="G10" s="9" t="s">
        <v>4093</v>
      </c>
      <c r="H10" s="9" t="s">
        <v>4086</v>
      </c>
      <c r="I10" s="9" t="s">
        <v>235</v>
      </c>
      <c r="J10" s="9" t="n">
        <f aca="false">COUNTIFS($B$5:$B$304,B10,$C$5:$C$304,C10)</f>
        <v>1</v>
      </c>
    </row>
    <row r="11" customFormat="false" ht="48" hidden="false" customHeight="true" outlineLevel="0" collapsed="false">
      <c r="A11" s="9" t="s">
        <v>4097</v>
      </c>
      <c r="B11" s="9" t="s">
        <v>63</v>
      </c>
      <c r="C11" s="9" t="s">
        <v>100</v>
      </c>
      <c r="D11" s="9" t="s">
        <v>4088</v>
      </c>
      <c r="E11" s="9" t="s">
        <v>4085</v>
      </c>
      <c r="F11" s="9" t="s">
        <v>4041</v>
      </c>
      <c r="G11" s="9" t="s">
        <v>4045</v>
      </c>
      <c r="H11" s="9" t="s">
        <v>4086</v>
      </c>
      <c r="I11" s="9" t="s">
        <v>235</v>
      </c>
      <c r="J11" s="9" t="n">
        <f aca="false">COUNTIFS($B$5:$B$304,B11,$C$5:$C$304,C11)</f>
        <v>1</v>
      </c>
    </row>
    <row r="12" customFormat="false" ht="48" hidden="false" customHeight="true" outlineLevel="0" collapsed="false">
      <c r="A12" s="9" t="s">
        <v>4098</v>
      </c>
      <c r="B12" s="9" t="s">
        <v>63</v>
      </c>
      <c r="C12" s="9" t="s">
        <v>107</v>
      </c>
      <c r="D12" s="9" t="s">
        <v>4088</v>
      </c>
      <c r="E12" s="9" t="s">
        <v>4092</v>
      </c>
      <c r="F12" s="9"/>
      <c r="G12" s="9" t="s">
        <v>4093</v>
      </c>
      <c r="H12" s="9" t="s">
        <v>4086</v>
      </c>
      <c r="I12" s="9" t="s">
        <v>235</v>
      </c>
      <c r="J12" s="9" t="n">
        <f aca="false">COUNTIFS($B$5:$B$304,B12,$C$5:$C$304,C12)</f>
        <v>1</v>
      </c>
    </row>
    <row r="13" customFormat="false" ht="48" hidden="false" customHeight="true" outlineLevel="0" collapsed="false">
      <c r="A13" s="9" t="s">
        <v>4099</v>
      </c>
      <c r="B13" s="9" t="s">
        <v>63</v>
      </c>
      <c r="C13" s="9" t="s">
        <v>114</v>
      </c>
      <c r="D13" s="9" t="s">
        <v>4088</v>
      </c>
      <c r="E13" s="9" t="s">
        <v>4092</v>
      </c>
      <c r="F13" s="9"/>
      <c r="G13" s="9" t="s">
        <v>4093</v>
      </c>
      <c r="H13" s="9" t="s">
        <v>4086</v>
      </c>
      <c r="I13" s="9" t="s">
        <v>235</v>
      </c>
      <c r="J13" s="9" t="n">
        <f aca="false">COUNTIFS($B$5:$B$304,B13,$C$5:$C$304,C13)</f>
        <v>1</v>
      </c>
    </row>
    <row r="14" customFormat="false" ht="48" hidden="false" customHeight="true" outlineLevel="0" collapsed="false">
      <c r="A14" s="9" t="s">
        <v>4100</v>
      </c>
      <c r="B14" s="9" t="s">
        <v>63</v>
      </c>
      <c r="C14" s="9" t="s">
        <v>120</v>
      </c>
      <c r="D14" s="9" t="s">
        <v>4088</v>
      </c>
      <c r="E14" s="9" t="s">
        <v>4092</v>
      </c>
      <c r="F14" s="9"/>
      <c r="G14" s="9" t="s">
        <v>4093</v>
      </c>
      <c r="H14" s="9" t="s">
        <v>4086</v>
      </c>
      <c r="I14" s="9" t="s">
        <v>235</v>
      </c>
      <c r="J14" s="9" t="n">
        <f aca="false">COUNTIFS($B$5:$B$304,B14,$C$5:$C$304,C14)</f>
        <v>1</v>
      </c>
    </row>
    <row r="15" customFormat="false" ht="48" hidden="false" customHeight="true" outlineLevel="0" collapsed="false">
      <c r="A15" s="9" t="s">
        <v>4101</v>
      </c>
      <c r="B15" s="9" t="s">
        <v>63</v>
      </c>
      <c r="C15" s="9" t="s">
        <v>127</v>
      </c>
      <c r="D15" s="9" t="s">
        <v>4088</v>
      </c>
      <c r="E15" s="9" t="s">
        <v>4092</v>
      </c>
      <c r="F15" s="9"/>
      <c r="G15" s="9" t="s">
        <v>4093</v>
      </c>
      <c r="H15" s="9" t="s">
        <v>4086</v>
      </c>
      <c r="I15" s="9" t="s">
        <v>235</v>
      </c>
      <c r="J15" s="9" t="n">
        <f aca="false">COUNTIFS($B$5:$B$304,B15,$C$5:$C$304,C15)</f>
        <v>1</v>
      </c>
    </row>
    <row r="16" customFormat="false" ht="48" hidden="false" customHeight="true" outlineLevel="0" collapsed="false">
      <c r="A16" s="9" t="s">
        <v>4102</v>
      </c>
      <c r="B16" s="9" t="s">
        <v>63</v>
      </c>
      <c r="C16" s="9" t="s">
        <v>133</v>
      </c>
      <c r="D16" s="9" t="s">
        <v>4088</v>
      </c>
      <c r="E16" s="9" t="s">
        <v>4085</v>
      </c>
      <c r="F16" s="9" t="s">
        <v>4103</v>
      </c>
      <c r="G16" s="9" t="s">
        <v>4104</v>
      </c>
      <c r="H16" s="9" t="s">
        <v>4086</v>
      </c>
      <c r="I16" s="9" t="s">
        <v>235</v>
      </c>
      <c r="J16" s="9" t="n">
        <f aca="false">COUNTIFS($B$5:$B$304,B16,$C$5:$C$304,C16)</f>
        <v>1</v>
      </c>
    </row>
    <row r="17" customFormat="false" ht="48" hidden="false" customHeight="true" outlineLevel="0" collapsed="false">
      <c r="A17" s="9" t="s">
        <v>4105</v>
      </c>
      <c r="B17" s="9" t="s">
        <v>63</v>
      </c>
      <c r="C17" s="9" t="s">
        <v>139</v>
      </c>
      <c r="D17" s="9" t="s">
        <v>4088</v>
      </c>
      <c r="E17" s="9" t="s">
        <v>4085</v>
      </c>
      <c r="F17" s="9" t="s">
        <v>4106</v>
      </c>
      <c r="G17" s="9" t="s">
        <v>4107</v>
      </c>
      <c r="H17" s="9" t="s">
        <v>4086</v>
      </c>
      <c r="I17" s="9" t="s">
        <v>235</v>
      </c>
      <c r="J17" s="9" t="n">
        <f aca="false">COUNTIFS($B$5:$B$304,B17,$C$5:$C$304,C17)</f>
        <v>1</v>
      </c>
    </row>
    <row r="18" customFormat="false" ht="48" hidden="false" customHeight="true" outlineLevel="0" collapsed="false">
      <c r="A18" s="9" t="s">
        <v>4108</v>
      </c>
      <c r="B18" s="9" t="s">
        <v>63</v>
      </c>
      <c r="C18" s="9" t="s">
        <v>145</v>
      </c>
      <c r="D18" s="9" t="s">
        <v>4088</v>
      </c>
      <c r="E18" s="9" t="s">
        <v>4092</v>
      </c>
      <c r="F18" s="9"/>
      <c r="G18" s="9" t="s">
        <v>4093</v>
      </c>
      <c r="H18" s="9" t="s">
        <v>4086</v>
      </c>
      <c r="I18" s="9" t="s">
        <v>235</v>
      </c>
      <c r="J18" s="9" t="n">
        <f aca="false">COUNTIFS($B$5:$B$304,B18,$C$5:$C$304,C18)</f>
        <v>1</v>
      </c>
    </row>
    <row r="19" customFormat="false" ht="48" hidden="false" customHeight="true" outlineLevel="0" collapsed="false">
      <c r="A19" s="9" t="s">
        <v>4109</v>
      </c>
      <c r="B19" s="9" t="s">
        <v>63</v>
      </c>
      <c r="C19" s="9" t="s">
        <v>151</v>
      </c>
      <c r="D19" s="9" t="s">
        <v>4088</v>
      </c>
      <c r="E19" s="9" t="s">
        <v>4085</v>
      </c>
      <c r="F19" s="9" t="s">
        <v>3843</v>
      </c>
      <c r="G19" s="9" t="s">
        <v>2440</v>
      </c>
      <c r="H19" s="9" t="s">
        <v>4086</v>
      </c>
      <c r="I19" s="9" t="s">
        <v>235</v>
      </c>
      <c r="J19" s="9" t="n">
        <f aca="false">COUNTIFS($B$5:$B$304,B19,$C$5:$C$304,C19)</f>
        <v>1</v>
      </c>
    </row>
    <row r="20" customFormat="false" ht="48" hidden="false" customHeight="true" outlineLevel="0" collapsed="false">
      <c r="A20" s="9" t="s">
        <v>4110</v>
      </c>
      <c r="B20" s="9" t="s">
        <v>63</v>
      </c>
      <c r="C20" s="9" t="s">
        <v>157</v>
      </c>
      <c r="D20" s="9" t="s">
        <v>4088</v>
      </c>
      <c r="E20" s="9" t="s">
        <v>4092</v>
      </c>
      <c r="F20" s="9"/>
      <c r="G20" s="9" t="s">
        <v>4093</v>
      </c>
      <c r="H20" s="9" t="s">
        <v>4086</v>
      </c>
      <c r="I20" s="9" t="s">
        <v>235</v>
      </c>
      <c r="J20" s="9" t="n">
        <f aca="false">COUNTIFS($B$5:$B$304,B20,$C$5:$C$304,C20)</f>
        <v>1</v>
      </c>
    </row>
    <row r="21" customFormat="false" ht="48" hidden="false" customHeight="true" outlineLevel="0" collapsed="false">
      <c r="A21" s="9" t="s">
        <v>4111</v>
      </c>
      <c r="B21" s="9" t="s">
        <v>63</v>
      </c>
      <c r="C21" s="9" t="s">
        <v>163</v>
      </c>
      <c r="D21" s="9" t="s">
        <v>4088</v>
      </c>
      <c r="E21" s="9" t="s">
        <v>4092</v>
      </c>
      <c r="F21" s="9"/>
      <c r="G21" s="9" t="s">
        <v>4093</v>
      </c>
      <c r="H21" s="9" t="s">
        <v>4086</v>
      </c>
      <c r="I21" s="9" t="s">
        <v>235</v>
      </c>
      <c r="J21" s="9" t="n">
        <f aca="false">COUNTIFS($B$5:$B$304,B21,$C$5:$C$304,C21)</f>
        <v>1</v>
      </c>
    </row>
    <row r="22" customFormat="false" ht="48" hidden="false" customHeight="true" outlineLevel="0" collapsed="false">
      <c r="A22" s="9" t="s">
        <v>4112</v>
      </c>
      <c r="B22" s="9" t="s">
        <v>63</v>
      </c>
      <c r="C22" s="9" t="s">
        <v>169</v>
      </c>
      <c r="D22" s="9" t="s">
        <v>4088</v>
      </c>
      <c r="E22" s="9" t="s">
        <v>4092</v>
      </c>
      <c r="F22" s="9"/>
      <c r="G22" s="9" t="s">
        <v>4093</v>
      </c>
      <c r="H22" s="9" t="s">
        <v>4086</v>
      </c>
      <c r="I22" s="9" t="s">
        <v>235</v>
      </c>
      <c r="J22" s="9" t="n">
        <f aca="false">COUNTIFS($B$5:$B$304,B22,$C$5:$C$304,C22)</f>
        <v>1</v>
      </c>
    </row>
    <row r="23" customFormat="false" ht="48" hidden="false" customHeight="true" outlineLevel="0" collapsed="false">
      <c r="A23" s="9" t="s">
        <v>4113</v>
      </c>
      <c r="B23" s="9" t="s">
        <v>63</v>
      </c>
      <c r="C23" s="9" t="s">
        <v>176</v>
      </c>
      <c r="D23" s="9" t="s">
        <v>4088</v>
      </c>
      <c r="E23" s="9" t="s">
        <v>4092</v>
      </c>
      <c r="F23" s="9"/>
      <c r="G23" s="9" t="s">
        <v>4093</v>
      </c>
      <c r="H23" s="9" t="s">
        <v>4086</v>
      </c>
      <c r="I23" s="9" t="s">
        <v>235</v>
      </c>
      <c r="J23" s="9" t="n">
        <f aca="false">COUNTIFS($B$5:$B$304,B23,$C$5:$C$304,C23)</f>
        <v>1</v>
      </c>
    </row>
    <row r="24" customFormat="false" ht="48" hidden="false" customHeight="true" outlineLevel="0" collapsed="false">
      <c r="A24" s="9" t="s">
        <v>4114</v>
      </c>
      <c r="B24" s="9" t="s">
        <v>63</v>
      </c>
      <c r="C24" s="9" t="s">
        <v>183</v>
      </c>
      <c r="D24" s="9" t="s">
        <v>4088</v>
      </c>
      <c r="E24" s="9" t="s">
        <v>4092</v>
      </c>
      <c r="F24" s="9"/>
      <c r="G24" s="9" t="s">
        <v>4093</v>
      </c>
      <c r="H24" s="9" t="s">
        <v>4086</v>
      </c>
      <c r="I24" s="9" t="s">
        <v>235</v>
      </c>
      <c r="J24" s="9" t="n">
        <f aca="false">COUNTIFS($B$5:$B$304,B24,$C$5:$C$304,C24)</f>
        <v>1</v>
      </c>
    </row>
    <row r="25" customFormat="false" ht="48" hidden="false" customHeight="true" outlineLevel="0" collapsed="false">
      <c r="A25" s="9" t="s">
        <v>4115</v>
      </c>
      <c r="B25" s="9" t="s">
        <v>63</v>
      </c>
      <c r="C25" s="9" t="s">
        <v>189</v>
      </c>
      <c r="D25" s="9" t="s">
        <v>4088</v>
      </c>
      <c r="E25" s="9" t="s">
        <v>4085</v>
      </c>
      <c r="F25" s="9" t="s">
        <v>4116</v>
      </c>
      <c r="G25" s="9" t="s">
        <v>4117</v>
      </c>
      <c r="H25" s="9" t="s">
        <v>4086</v>
      </c>
      <c r="I25" s="9" t="s">
        <v>235</v>
      </c>
      <c r="J25" s="9" t="n">
        <f aca="false">COUNTIFS($B$5:$B$304,B25,$C$5:$C$304,C25)</f>
        <v>1</v>
      </c>
    </row>
    <row r="26" customFormat="false" ht="48" hidden="false" customHeight="true" outlineLevel="0" collapsed="false">
      <c r="A26" s="9" t="s">
        <v>4118</v>
      </c>
      <c r="B26" s="9" t="s">
        <v>63</v>
      </c>
      <c r="C26" s="9" t="s">
        <v>196</v>
      </c>
      <c r="D26" s="9" t="s">
        <v>4088</v>
      </c>
      <c r="E26" s="9" t="s">
        <v>4085</v>
      </c>
      <c r="F26" s="9" t="s">
        <v>4119</v>
      </c>
      <c r="G26" s="9" t="s">
        <v>4120</v>
      </c>
      <c r="H26" s="9" t="s">
        <v>4086</v>
      </c>
      <c r="I26" s="9" t="s">
        <v>235</v>
      </c>
      <c r="J26" s="9" t="n">
        <f aca="false">COUNTIFS($B$5:$B$304,B26,$C$5:$C$304,C26)</f>
        <v>1</v>
      </c>
    </row>
    <row r="27" customFormat="false" ht="48" hidden="false" customHeight="true" outlineLevel="0" collapsed="false">
      <c r="A27" s="9" t="s">
        <v>4121</v>
      </c>
      <c r="B27" s="9" t="s">
        <v>63</v>
      </c>
      <c r="C27" s="9" t="s">
        <v>203</v>
      </c>
      <c r="D27" s="9" t="s">
        <v>4088</v>
      </c>
      <c r="E27" s="9" t="s">
        <v>4092</v>
      </c>
      <c r="F27" s="9"/>
      <c r="G27" s="9" t="s">
        <v>4093</v>
      </c>
      <c r="H27" s="9" t="s">
        <v>4086</v>
      </c>
      <c r="I27" s="9" t="s">
        <v>235</v>
      </c>
      <c r="J27" s="9" t="n">
        <f aca="false">COUNTIFS($B$5:$B$304,B27,$C$5:$C$304,C27)</f>
        <v>1</v>
      </c>
    </row>
    <row r="28" customFormat="false" ht="48" hidden="false" customHeight="true" outlineLevel="0" collapsed="false">
      <c r="A28" s="9" t="s">
        <v>4122</v>
      </c>
      <c r="B28" s="9" t="s">
        <v>63</v>
      </c>
      <c r="C28" s="9" t="s">
        <v>210</v>
      </c>
      <c r="D28" s="9" t="s">
        <v>4088</v>
      </c>
      <c r="E28" s="9" t="s">
        <v>4092</v>
      </c>
      <c r="F28" s="9"/>
      <c r="G28" s="9" t="s">
        <v>4093</v>
      </c>
      <c r="H28" s="9" t="s">
        <v>4086</v>
      </c>
      <c r="I28" s="9" t="s">
        <v>235</v>
      </c>
      <c r="J28" s="9" t="n">
        <f aca="false">COUNTIFS($B$5:$B$304,B28,$C$5:$C$304,C28)</f>
        <v>1</v>
      </c>
    </row>
    <row r="29" customFormat="false" ht="48" hidden="false" customHeight="true" outlineLevel="0" collapsed="false">
      <c r="A29" s="9" t="s">
        <v>4123</v>
      </c>
      <c r="B29" s="9" t="s">
        <v>70</v>
      </c>
      <c r="C29" s="9" t="s">
        <v>70</v>
      </c>
      <c r="D29" s="9" t="s">
        <v>4084</v>
      </c>
      <c r="E29" s="9" t="s">
        <v>4124</v>
      </c>
      <c r="F29" s="9"/>
      <c r="G29" s="9" t="s">
        <v>4093</v>
      </c>
      <c r="H29" s="9" t="s">
        <v>4086</v>
      </c>
      <c r="I29" s="9" t="s">
        <v>235</v>
      </c>
      <c r="J29" s="9" t="n">
        <f aca="false">COUNTIFS($B$5:$B$304,B29,$C$5:$C$304,C29)</f>
        <v>1</v>
      </c>
    </row>
    <row r="30" customFormat="false" ht="48" hidden="false" customHeight="true" outlineLevel="0" collapsed="false">
      <c r="A30" s="9" t="s">
        <v>4125</v>
      </c>
      <c r="B30" s="9" t="s">
        <v>70</v>
      </c>
      <c r="C30" s="9" t="s">
        <v>76</v>
      </c>
      <c r="D30" s="9" t="s">
        <v>4088</v>
      </c>
      <c r="E30" s="9" t="s">
        <v>4085</v>
      </c>
      <c r="F30" s="9" t="s">
        <v>4126</v>
      </c>
      <c r="G30" s="9" t="s">
        <v>4127</v>
      </c>
      <c r="H30" s="9" t="s">
        <v>4086</v>
      </c>
      <c r="I30" s="9" t="s">
        <v>235</v>
      </c>
      <c r="J30" s="9" t="n">
        <f aca="false">COUNTIFS($B$5:$B$304,B30,$C$5:$C$304,C30)</f>
        <v>1</v>
      </c>
    </row>
    <row r="31" customFormat="false" ht="48" hidden="false" customHeight="true" outlineLevel="0" collapsed="false">
      <c r="A31" s="9" t="s">
        <v>4128</v>
      </c>
      <c r="B31" s="9" t="s">
        <v>70</v>
      </c>
      <c r="C31" s="9" t="s">
        <v>83</v>
      </c>
      <c r="D31" s="9" t="s">
        <v>4088</v>
      </c>
      <c r="E31" s="9" t="s">
        <v>4085</v>
      </c>
      <c r="F31" s="9" t="s">
        <v>3822</v>
      </c>
      <c r="G31" s="9" t="s">
        <v>3827</v>
      </c>
      <c r="H31" s="9" t="s">
        <v>4086</v>
      </c>
      <c r="I31" s="9" t="s">
        <v>235</v>
      </c>
      <c r="J31" s="9" t="n">
        <f aca="false">COUNTIFS($B$5:$B$304,B31,$C$5:$C$304,C31)</f>
        <v>1</v>
      </c>
    </row>
    <row r="32" customFormat="false" ht="48" hidden="false" customHeight="true" outlineLevel="0" collapsed="false">
      <c r="A32" s="9" t="s">
        <v>4129</v>
      </c>
      <c r="B32" s="9" t="s">
        <v>70</v>
      </c>
      <c r="C32" s="9" t="s">
        <v>89</v>
      </c>
      <c r="D32" s="9" t="s">
        <v>4088</v>
      </c>
      <c r="E32" s="9" t="s">
        <v>4092</v>
      </c>
      <c r="F32" s="9"/>
      <c r="G32" s="9" t="s">
        <v>4093</v>
      </c>
      <c r="H32" s="9" t="s">
        <v>4086</v>
      </c>
      <c r="I32" s="9" t="s">
        <v>235</v>
      </c>
      <c r="J32" s="9" t="n">
        <f aca="false">COUNTIFS($B$5:$B$304,B32,$C$5:$C$304,C32)</f>
        <v>1</v>
      </c>
    </row>
    <row r="33" customFormat="false" ht="48" hidden="false" customHeight="true" outlineLevel="0" collapsed="false">
      <c r="A33" s="9" t="s">
        <v>4130</v>
      </c>
      <c r="B33" s="9" t="s">
        <v>70</v>
      </c>
      <c r="C33" s="9" t="s">
        <v>94</v>
      </c>
      <c r="D33" s="9" t="s">
        <v>4088</v>
      </c>
      <c r="E33" s="9" t="s">
        <v>4092</v>
      </c>
      <c r="F33" s="9"/>
      <c r="G33" s="9" t="s">
        <v>4093</v>
      </c>
      <c r="H33" s="9" t="s">
        <v>4086</v>
      </c>
      <c r="I33" s="9" t="s">
        <v>235</v>
      </c>
      <c r="J33" s="9" t="n">
        <f aca="false">COUNTIFS($B$5:$B$304,B33,$C$5:$C$304,C33)</f>
        <v>1</v>
      </c>
    </row>
    <row r="34" customFormat="false" ht="48" hidden="false" customHeight="true" outlineLevel="0" collapsed="false">
      <c r="A34" s="9" t="s">
        <v>4131</v>
      </c>
      <c r="B34" s="9" t="s">
        <v>70</v>
      </c>
      <c r="C34" s="9" t="s">
        <v>100</v>
      </c>
      <c r="D34" s="9" t="s">
        <v>4088</v>
      </c>
      <c r="E34" s="9" t="s">
        <v>4092</v>
      </c>
      <c r="F34" s="9"/>
      <c r="G34" s="9" t="s">
        <v>4093</v>
      </c>
      <c r="H34" s="9" t="s">
        <v>4086</v>
      </c>
      <c r="I34" s="9" t="s">
        <v>235</v>
      </c>
      <c r="J34" s="9" t="n">
        <f aca="false">COUNTIFS($B$5:$B$304,B34,$C$5:$C$304,C34)</f>
        <v>1</v>
      </c>
    </row>
    <row r="35" customFormat="false" ht="48" hidden="false" customHeight="true" outlineLevel="0" collapsed="false">
      <c r="A35" s="9" t="s">
        <v>4132</v>
      </c>
      <c r="B35" s="9" t="s">
        <v>70</v>
      </c>
      <c r="C35" s="9" t="s">
        <v>107</v>
      </c>
      <c r="D35" s="9" t="s">
        <v>4088</v>
      </c>
      <c r="E35" s="9" t="s">
        <v>4092</v>
      </c>
      <c r="F35" s="9"/>
      <c r="G35" s="9" t="s">
        <v>4093</v>
      </c>
      <c r="H35" s="9" t="s">
        <v>4086</v>
      </c>
      <c r="I35" s="9" t="s">
        <v>235</v>
      </c>
      <c r="J35" s="9" t="n">
        <f aca="false">COUNTIFS($B$5:$B$304,B35,$C$5:$C$304,C35)</f>
        <v>1</v>
      </c>
    </row>
    <row r="36" customFormat="false" ht="48" hidden="false" customHeight="true" outlineLevel="0" collapsed="false">
      <c r="A36" s="9" t="s">
        <v>4133</v>
      </c>
      <c r="B36" s="9" t="s">
        <v>70</v>
      </c>
      <c r="C36" s="9" t="s">
        <v>114</v>
      </c>
      <c r="D36" s="9" t="s">
        <v>4088</v>
      </c>
      <c r="E36" s="9" t="s">
        <v>4092</v>
      </c>
      <c r="F36" s="9"/>
      <c r="G36" s="9" t="s">
        <v>4093</v>
      </c>
      <c r="H36" s="9" t="s">
        <v>4086</v>
      </c>
      <c r="I36" s="9" t="s">
        <v>235</v>
      </c>
      <c r="J36" s="9" t="n">
        <f aca="false">COUNTIFS($B$5:$B$304,B36,$C$5:$C$304,C36)</f>
        <v>1</v>
      </c>
    </row>
    <row r="37" customFormat="false" ht="48" hidden="false" customHeight="true" outlineLevel="0" collapsed="false">
      <c r="A37" s="9" t="s">
        <v>4134</v>
      </c>
      <c r="B37" s="9" t="s">
        <v>70</v>
      </c>
      <c r="C37" s="9" t="s">
        <v>120</v>
      </c>
      <c r="D37" s="9" t="s">
        <v>4088</v>
      </c>
      <c r="E37" s="9" t="s">
        <v>4092</v>
      </c>
      <c r="F37" s="9"/>
      <c r="G37" s="9" t="s">
        <v>4093</v>
      </c>
      <c r="H37" s="9" t="s">
        <v>4086</v>
      </c>
      <c r="I37" s="9" t="s">
        <v>235</v>
      </c>
      <c r="J37" s="9" t="n">
        <f aca="false">COUNTIFS($B$5:$B$304,B37,$C$5:$C$304,C37)</f>
        <v>1</v>
      </c>
    </row>
    <row r="38" customFormat="false" ht="48" hidden="false" customHeight="true" outlineLevel="0" collapsed="false">
      <c r="A38" s="9" t="s">
        <v>4135</v>
      </c>
      <c r="B38" s="9" t="s">
        <v>70</v>
      </c>
      <c r="C38" s="9" t="s">
        <v>127</v>
      </c>
      <c r="D38" s="9" t="s">
        <v>4088</v>
      </c>
      <c r="E38" s="9" t="s">
        <v>4085</v>
      </c>
      <c r="F38" s="9" t="s">
        <v>3793</v>
      </c>
      <c r="G38" s="9" t="s">
        <v>3797</v>
      </c>
      <c r="H38" s="9" t="s">
        <v>4086</v>
      </c>
      <c r="I38" s="9" t="s">
        <v>235</v>
      </c>
      <c r="J38" s="9" t="n">
        <f aca="false">COUNTIFS($B$5:$B$304,B38,$C$5:$C$304,C38)</f>
        <v>1</v>
      </c>
    </row>
    <row r="39" customFormat="false" ht="48" hidden="false" customHeight="true" outlineLevel="0" collapsed="false">
      <c r="A39" s="9" t="s">
        <v>4136</v>
      </c>
      <c r="B39" s="9" t="s">
        <v>70</v>
      </c>
      <c r="C39" s="9" t="s">
        <v>133</v>
      </c>
      <c r="D39" s="9" t="s">
        <v>4088</v>
      </c>
      <c r="E39" s="9" t="s">
        <v>4085</v>
      </c>
      <c r="F39" s="9" t="s">
        <v>3802</v>
      </c>
      <c r="G39" s="9" t="s">
        <v>2397</v>
      </c>
      <c r="H39" s="9" t="s">
        <v>4086</v>
      </c>
      <c r="I39" s="9" t="s">
        <v>235</v>
      </c>
      <c r="J39" s="9" t="n">
        <f aca="false">COUNTIFS($B$5:$B$304,B39,$C$5:$C$304,C39)</f>
        <v>1</v>
      </c>
    </row>
    <row r="40" customFormat="false" ht="48" hidden="false" customHeight="true" outlineLevel="0" collapsed="false">
      <c r="A40" s="9" t="s">
        <v>4137</v>
      </c>
      <c r="B40" s="9" t="s">
        <v>70</v>
      </c>
      <c r="C40" s="9" t="s">
        <v>139</v>
      </c>
      <c r="D40" s="9" t="s">
        <v>4088</v>
      </c>
      <c r="E40" s="9" t="s">
        <v>4092</v>
      </c>
      <c r="F40" s="9"/>
      <c r="G40" s="9" t="s">
        <v>4093</v>
      </c>
      <c r="H40" s="9" t="s">
        <v>4086</v>
      </c>
      <c r="I40" s="9" t="s">
        <v>235</v>
      </c>
      <c r="J40" s="9" t="n">
        <f aca="false">COUNTIFS($B$5:$B$304,B40,$C$5:$C$304,C40)</f>
        <v>1</v>
      </c>
    </row>
    <row r="41" customFormat="false" ht="48" hidden="false" customHeight="true" outlineLevel="0" collapsed="false">
      <c r="A41" s="9" t="s">
        <v>4138</v>
      </c>
      <c r="B41" s="9" t="s">
        <v>70</v>
      </c>
      <c r="C41" s="9" t="s">
        <v>145</v>
      </c>
      <c r="D41" s="9" t="s">
        <v>4088</v>
      </c>
      <c r="E41" s="9" t="s">
        <v>4092</v>
      </c>
      <c r="F41" s="9"/>
      <c r="G41" s="9" t="s">
        <v>4093</v>
      </c>
      <c r="H41" s="9" t="s">
        <v>4086</v>
      </c>
      <c r="I41" s="9" t="s">
        <v>235</v>
      </c>
      <c r="J41" s="9" t="n">
        <f aca="false">COUNTIFS($B$5:$B$304,B41,$C$5:$C$304,C41)</f>
        <v>1</v>
      </c>
    </row>
    <row r="42" customFormat="false" ht="48" hidden="false" customHeight="true" outlineLevel="0" collapsed="false">
      <c r="A42" s="9" t="s">
        <v>4139</v>
      </c>
      <c r="B42" s="9" t="s">
        <v>70</v>
      </c>
      <c r="C42" s="9" t="s">
        <v>151</v>
      </c>
      <c r="D42" s="9" t="s">
        <v>4088</v>
      </c>
      <c r="E42" s="9" t="s">
        <v>4092</v>
      </c>
      <c r="F42" s="9"/>
      <c r="G42" s="9" t="s">
        <v>4093</v>
      </c>
      <c r="H42" s="9" t="s">
        <v>4086</v>
      </c>
      <c r="I42" s="9" t="s">
        <v>235</v>
      </c>
      <c r="J42" s="9" t="n">
        <f aca="false">COUNTIFS($B$5:$B$304,B42,$C$5:$C$304,C42)</f>
        <v>1</v>
      </c>
    </row>
    <row r="43" customFormat="false" ht="48" hidden="false" customHeight="true" outlineLevel="0" collapsed="false">
      <c r="A43" s="9" t="s">
        <v>4140</v>
      </c>
      <c r="B43" s="9" t="s">
        <v>70</v>
      </c>
      <c r="C43" s="9" t="s">
        <v>157</v>
      </c>
      <c r="D43" s="9" t="s">
        <v>4088</v>
      </c>
      <c r="E43" s="9" t="s">
        <v>4092</v>
      </c>
      <c r="F43" s="9"/>
      <c r="G43" s="9" t="s">
        <v>4093</v>
      </c>
      <c r="H43" s="9" t="s">
        <v>4086</v>
      </c>
      <c r="I43" s="9" t="s">
        <v>235</v>
      </c>
      <c r="J43" s="9" t="n">
        <f aca="false">COUNTIFS($B$5:$B$304,B43,$C$5:$C$304,C43)</f>
        <v>1</v>
      </c>
    </row>
    <row r="44" customFormat="false" ht="48" hidden="false" customHeight="true" outlineLevel="0" collapsed="false">
      <c r="A44" s="9" t="s">
        <v>4141</v>
      </c>
      <c r="B44" s="9" t="s">
        <v>70</v>
      </c>
      <c r="C44" s="9" t="s">
        <v>163</v>
      </c>
      <c r="D44" s="9" t="s">
        <v>4088</v>
      </c>
      <c r="E44" s="9" t="s">
        <v>4092</v>
      </c>
      <c r="F44" s="9"/>
      <c r="G44" s="9" t="s">
        <v>4093</v>
      </c>
      <c r="H44" s="9" t="s">
        <v>4086</v>
      </c>
      <c r="I44" s="9" t="s">
        <v>235</v>
      </c>
      <c r="J44" s="9" t="n">
        <f aca="false">COUNTIFS($B$5:$B$304,B44,$C$5:$C$304,C44)</f>
        <v>1</v>
      </c>
    </row>
    <row r="45" customFormat="false" ht="48" hidden="false" customHeight="true" outlineLevel="0" collapsed="false">
      <c r="A45" s="9" t="s">
        <v>4142</v>
      </c>
      <c r="B45" s="9" t="s">
        <v>70</v>
      </c>
      <c r="C45" s="9" t="s">
        <v>169</v>
      </c>
      <c r="D45" s="9" t="s">
        <v>4088</v>
      </c>
      <c r="E45" s="9" t="s">
        <v>4092</v>
      </c>
      <c r="F45" s="9"/>
      <c r="G45" s="9" t="s">
        <v>4093</v>
      </c>
      <c r="H45" s="9" t="s">
        <v>4086</v>
      </c>
      <c r="I45" s="9" t="s">
        <v>235</v>
      </c>
      <c r="J45" s="9" t="n">
        <f aca="false">COUNTIFS($B$5:$B$304,B45,$C$5:$C$304,C45)</f>
        <v>1</v>
      </c>
    </row>
    <row r="46" customFormat="false" ht="48" hidden="false" customHeight="true" outlineLevel="0" collapsed="false">
      <c r="A46" s="9" t="s">
        <v>4143</v>
      </c>
      <c r="B46" s="9" t="s">
        <v>70</v>
      </c>
      <c r="C46" s="9" t="s">
        <v>176</v>
      </c>
      <c r="D46" s="9" t="s">
        <v>4088</v>
      </c>
      <c r="E46" s="9" t="s">
        <v>4092</v>
      </c>
      <c r="F46" s="9"/>
      <c r="G46" s="9" t="s">
        <v>4093</v>
      </c>
      <c r="H46" s="9" t="s">
        <v>4086</v>
      </c>
      <c r="I46" s="9" t="s">
        <v>235</v>
      </c>
      <c r="J46" s="9" t="n">
        <f aca="false">COUNTIFS($B$5:$B$304,B46,$C$5:$C$304,C46)</f>
        <v>1</v>
      </c>
    </row>
    <row r="47" customFormat="false" ht="48" hidden="false" customHeight="true" outlineLevel="0" collapsed="false">
      <c r="A47" s="9" t="s">
        <v>4144</v>
      </c>
      <c r="B47" s="9" t="s">
        <v>70</v>
      </c>
      <c r="C47" s="9" t="s">
        <v>183</v>
      </c>
      <c r="D47" s="9" t="s">
        <v>4088</v>
      </c>
      <c r="E47" s="9" t="s">
        <v>4092</v>
      </c>
      <c r="F47" s="9"/>
      <c r="G47" s="9" t="s">
        <v>4093</v>
      </c>
      <c r="H47" s="9" t="s">
        <v>4086</v>
      </c>
      <c r="I47" s="9" t="s">
        <v>235</v>
      </c>
      <c r="J47" s="9" t="n">
        <f aca="false">COUNTIFS($B$5:$B$304,B47,$C$5:$C$304,C47)</f>
        <v>1</v>
      </c>
    </row>
    <row r="48" customFormat="false" ht="48" hidden="false" customHeight="true" outlineLevel="0" collapsed="false">
      <c r="A48" s="9" t="s">
        <v>4145</v>
      </c>
      <c r="B48" s="9" t="s">
        <v>70</v>
      </c>
      <c r="C48" s="9" t="s">
        <v>189</v>
      </c>
      <c r="D48" s="9" t="s">
        <v>4088</v>
      </c>
      <c r="E48" s="9" t="s">
        <v>4092</v>
      </c>
      <c r="F48" s="9"/>
      <c r="G48" s="9" t="s">
        <v>4093</v>
      </c>
      <c r="H48" s="9" t="s">
        <v>4086</v>
      </c>
      <c r="I48" s="9" t="s">
        <v>235</v>
      </c>
      <c r="J48" s="9" t="n">
        <f aca="false">COUNTIFS($B$5:$B$304,B48,$C$5:$C$304,C48)</f>
        <v>1</v>
      </c>
    </row>
    <row r="49" customFormat="false" ht="48" hidden="false" customHeight="true" outlineLevel="0" collapsed="false">
      <c r="A49" s="9" t="s">
        <v>4146</v>
      </c>
      <c r="B49" s="9" t="s">
        <v>70</v>
      </c>
      <c r="C49" s="9" t="s">
        <v>196</v>
      </c>
      <c r="D49" s="9" t="s">
        <v>4088</v>
      </c>
      <c r="E49" s="9" t="s">
        <v>4092</v>
      </c>
      <c r="F49" s="9"/>
      <c r="G49" s="9" t="s">
        <v>4093</v>
      </c>
      <c r="H49" s="9" t="s">
        <v>4086</v>
      </c>
      <c r="I49" s="9" t="s">
        <v>235</v>
      </c>
      <c r="J49" s="9" t="n">
        <f aca="false">COUNTIFS($B$5:$B$304,B49,$C$5:$C$304,C49)</f>
        <v>1</v>
      </c>
    </row>
    <row r="50" customFormat="false" ht="48" hidden="false" customHeight="true" outlineLevel="0" collapsed="false">
      <c r="A50" s="9" t="s">
        <v>4147</v>
      </c>
      <c r="B50" s="9" t="s">
        <v>70</v>
      </c>
      <c r="C50" s="9" t="s">
        <v>203</v>
      </c>
      <c r="D50" s="9" t="s">
        <v>4088</v>
      </c>
      <c r="E50" s="9" t="s">
        <v>4092</v>
      </c>
      <c r="F50" s="9"/>
      <c r="G50" s="9" t="s">
        <v>4093</v>
      </c>
      <c r="H50" s="9" t="s">
        <v>4086</v>
      </c>
      <c r="I50" s="9" t="s">
        <v>235</v>
      </c>
      <c r="J50" s="9" t="n">
        <f aca="false">COUNTIFS($B$5:$B$304,B50,$C$5:$C$304,C50)</f>
        <v>1</v>
      </c>
    </row>
    <row r="51" customFormat="false" ht="48" hidden="false" customHeight="true" outlineLevel="0" collapsed="false">
      <c r="A51" s="9" t="s">
        <v>4148</v>
      </c>
      <c r="B51" s="9" t="s">
        <v>70</v>
      </c>
      <c r="C51" s="9" t="s">
        <v>210</v>
      </c>
      <c r="D51" s="9" t="s">
        <v>4088</v>
      </c>
      <c r="E51" s="9" t="s">
        <v>4092</v>
      </c>
      <c r="F51" s="9"/>
      <c r="G51" s="9" t="s">
        <v>4093</v>
      </c>
      <c r="H51" s="9" t="s">
        <v>4086</v>
      </c>
      <c r="I51" s="9" t="s">
        <v>235</v>
      </c>
      <c r="J51" s="9" t="n">
        <f aca="false">COUNTIFS($B$5:$B$304,B51,$C$5:$C$304,C51)</f>
        <v>1</v>
      </c>
    </row>
    <row r="52" customFormat="false" ht="48" hidden="false" customHeight="true" outlineLevel="0" collapsed="false">
      <c r="A52" s="9" t="s">
        <v>4149</v>
      </c>
      <c r="B52" s="9" t="s">
        <v>76</v>
      </c>
      <c r="C52" s="9" t="s">
        <v>76</v>
      </c>
      <c r="D52" s="9" t="s">
        <v>4084</v>
      </c>
      <c r="E52" s="9" t="s">
        <v>4085</v>
      </c>
      <c r="F52" s="9" t="s">
        <v>4150</v>
      </c>
      <c r="G52" s="9" t="s">
        <v>4151</v>
      </c>
      <c r="H52" s="9" t="s">
        <v>4086</v>
      </c>
      <c r="I52" s="9" t="s">
        <v>235</v>
      </c>
      <c r="J52" s="9" t="n">
        <f aca="false">COUNTIFS($B$5:$B$304,B52,$C$5:$C$304,C52)</f>
        <v>1</v>
      </c>
    </row>
    <row r="53" customFormat="false" ht="48" hidden="false" customHeight="true" outlineLevel="0" collapsed="false">
      <c r="A53" s="9" t="s">
        <v>4152</v>
      </c>
      <c r="B53" s="9" t="s">
        <v>76</v>
      </c>
      <c r="C53" s="9" t="s">
        <v>83</v>
      </c>
      <c r="D53" s="9" t="s">
        <v>4088</v>
      </c>
      <c r="E53" s="9" t="s">
        <v>4092</v>
      </c>
      <c r="F53" s="9"/>
      <c r="G53" s="9" t="s">
        <v>4093</v>
      </c>
      <c r="H53" s="9" t="s">
        <v>4086</v>
      </c>
      <c r="I53" s="9" t="s">
        <v>235</v>
      </c>
      <c r="J53" s="9" t="n">
        <f aca="false">COUNTIFS($B$5:$B$304,B53,$C$5:$C$304,C53)</f>
        <v>1</v>
      </c>
    </row>
    <row r="54" customFormat="false" ht="48" hidden="false" customHeight="true" outlineLevel="0" collapsed="false">
      <c r="A54" s="9" t="s">
        <v>4153</v>
      </c>
      <c r="B54" s="9" t="s">
        <v>76</v>
      </c>
      <c r="C54" s="9" t="s">
        <v>89</v>
      </c>
      <c r="D54" s="9" t="s">
        <v>4088</v>
      </c>
      <c r="E54" s="9" t="s">
        <v>4092</v>
      </c>
      <c r="F54" s="9"/>
      <c r="G54" s="9" t="s">
        <v>4093</v>
      </c>
      <c r="H54" s="9" t="s">
        <v>4086</v>
      </c>
      <c r="I54" s="9" t="s">
        <v>235</v>
      </c>
      <c r="J54" s="9" t="n">
        <f aca="false">COUNTIFS($B$5:$B$304,B54,$C$5:$C$304,C54)</f>
        <v>1</v>
      </c>
    </row>
    <row r="55" customFormat="false" ht="48" hidden="false" customHeight="true" outlineLevel="0" collapsed="false">
      <c r="A55" s="9" t="s">
        <v>4154</v>
      </c>
      <c r="B55" s="9" t="s">
        <v>76</v>
      </c>
      <c r="C55" s="9" t="s">
        <v>94</v>
      </c>
      <c r="D55" s="9" t="s">
        <v>4088</v>
      </c>
      <c r="E55" s="9" t="s">
        <v>4092</v>
      </c>
      <c r="F55" s="9"/>
      <c r="G55" s="9" t="s">
        <v>4093</v>
      </c>
      <c r="H55" s="9" t="s">
        <v>4086</v>
      </c>
      <c r="I55" s="9" t="s">
        <v>235</v>
      </c>
      <c r="J55" s="9" t="n">
        <f aca="false">COUNTIFS($B$5:$B$304,B55,$C$5:$C$304,C55)</f>
        <v>1</v>
      </c>
    </row>
    <row r="56" customFormat="false" ht="48" hidden="false" customHeight="true" outlineLevel="0" collapsed="false">
      <c r="A56" s="9" t="s">
        <v>4155</v>
      </c>
      <c r="B56" s="9" t="s">
        <v>76</v>
      </c>
      <c r="C56" s="9" t="s">
        <v>100</v>
      </c>
      <c r="D56" s="9" t="s">
        <v>4088</v>
      </c>
      <c r="E56" s="9" t="s">
        <v>4085</v>
      </c>
      <c r="F56" s="9" t="s">
        <v>4052</v>
      </c>
      <c r="G56" s="9" t="s">
        <v>4156</v>
      </c>
      <c r="H56" s="9" t="s">
        <v>4086</v>
      </c>
      <c r="I56" s="9" t="s">
        <v>235</v>
      </c>
      <c r="J56" s="9" t="n">
        <f aca="false">COUNTIFS($B$5:$B$304,B56,$C$5:$C$304,C56)</f>
        <v>1</v>
      </c>
    </row>
    <row r="57" customFormat="false" ht="48" hidden="false" customHeight="true" outlineLevel="0" collapsed="false">
      <c r="A57" s="9" t="s">
        <v>4157</v>
      </c>
      <c r="B57" s="9" t="s">
        <v>76</v>
      </c>
      <c r="C57" s="9" t="s">
        <v>107</v>
      </c>
      <c r="D57" s="9" t="s">
        <v>4088</v>
      </c>
      <c r="E57" s="9" t="s">
        <v>4092</v>
      </c>
      <c r="F57" s="9"/>
      <c r="G57" s="9" t="s">
        <v>4093</v>
      </c>
      <c r="H57" s="9" t="s">
        <v>4086</v>
      </c>
      <c r="I57" s="9" t="s">
        <v>235</v>
      </c>
      <c r="J57" s="9" t="n">
        <f aca="false">COUNTIFS($B$5:$B$304,B57,$C$5:$C$304,C57)</f>
        <v>1</v>
      </c>
    </row>
    <row r="58" customFormat="false" ht="48" hidden="false" customHeight="true" outlineLevel="0" collapsed="false">
      <c r="A58" s="9" t="s">
        <v>4158</v>
      </c>
      <c r="B58" s="9" t="s">
        <v>76</v>
      </c>
      <c r="C58" s="9" t="s">
        <v>114</v>
      </c>
      <c r="D58" s="9" t="s">
        <v>4088</v>
      </c>
      <c r="E58" s="9" t="s">
        <v>4092</v>
      </c>
      <c r="F58" s="9"/>
      <c r="G58" s="9" t="s">
        <v>4093</v>
      </c>
      <c r="H58" s="9" t="s">
        <v>4086</v>
      </c>
      <c r="I58" s="9" t="s">
        <v>235</v>
      </c>
      <c r="J58" s="9" t="n">
        <f aca="false">COUNTIFS($B$5:$B$304,B58,$C$5:$C$304,C58)</f>
        <v>1</v>
      </c>
    </row>
    <row r="59" customFormat="false" ht="48" hidden="false" customHeight="true" outlineLevel="0" collapsed="false">
      <c r="A59" s="9" t="s">
        <v>4159</v>
      </c>
      <c r="B59" s="9" t="s">
        <v>76</v>
      </c>
      <c r="C59" s="9" t="s">
        <v>120</v>
      </c>
      <c r="D59" s="9" t="s">
        <v>4088</v>
      </c>
      <c r="E59" s="9" t="s">
        <v>4085</v>
      </c>
      <c r="F59" s="9" t="s">
        <v>3893</v>
      </c>
      <c r="G59" s="9" t="s">
        <v>3898</v>
      </c>
      <c r="H59" s="9" t="s">
        <v>4086</v>
      </c>
      <c r="I59" s="9" t="s">
        <v>235</v>
      </c>
      <c r="J59" s="9" t="n">
        <f aca="false">COUNTIFS($B$5:$B$304,B59,$C$5:$C$304,C59)</f>
        <v>1</v>
      </c>
    </row>
    <row r="60" customFormat="false" ht="48" hidden="false" customHeight="true" outlineLevel="0" collapsed="false">
      <c r="A60" s="9" t="s">
        <v>4160</v>
      </c>
      <c r="B60" s="9" t="s">
        <v>76</v>
      </c>
      <c r="C60" s="9" t="s">
        <v>127</v>
      </c>
      <c r="D60" s="9" t="s">
        <v>4088</v>
      </c>
      <c r="E60" s="9" t="s">
        <v>4092</v>
      </c>
      <c r="F60" s="9"/>
      <c r="G60" s="9" t="s">
        <v>4093</v>
      </c>
      <c r="H60" s="9" t="s">
        <v>4086</v>
      </c>
      <c r="I60" s="9" t="s">
        <v>235</v>
      </c>
      <c r="J60" s="9" t="n">
        <f aca="false">COUNTIFS($B$5:$B$304,B60,$C$5:$C$304,C60)</f>
        <v>1</v>
      </c>
    </row>
    <row r="61" customFormat="false" ht="48" hidden="false" customHeight="true" outlineLevel="0" collapsed="false">
      <c r="A61" s="9" t="s">
        <v>4161</v>
      </c>
      <c r="B61" s="9" t="s">
        <v>76</v>
      </c>
      <c r="C61" s="9" t="s">
        <v>133</v>
      </c>
      <c r="D61" s="9" t="s">
        <v>4088</v>
      </c>
      <c r="E61" s="9" t="s">
        <v>4085</v>
      </c>
      <c r="F61" s="9" t="s">
        <v>3807</v>
      </c>
      <c r="G61" s="9" t="s">
        <v>2406</v>
      </c>
      <c r="H61" s="9" t="s">
        <v>4086</v>
      </c>
      <c r="I61" s="9" t="s">
        <v>235</v>
      </c>
      <c r="J61" s="9" t="n">
        <f aca="false">COUNTIFS($B$5:$B$304,B61,$C$5:$C$304,C61)</f>
        <v>1</v>
      </c>
    </row>
    <row r="62" customFormat="false" ht="48" hidden="false" customHeight="true" outlineLevel="0" collapsed="false">
      <c r="A62" s="9" t="s">
        <v>4162</v>
      </c>
      <c r="B62" s="9" t="s">
        <v>76</v>
      </c>
      <c r="C62" s="9" t="s">
        <v>139</v>
      </c>
      <c r="D62" s="9" t="s">
        <v>4088</v>
      </c>
      <c r="E62" s="9" t="s">
        <v>4092</v>
      </c>
      <c r="F62" s="9"/>
      <c r="G62" s="9" t="s">
        <v>4093</v>
      </c>
      <c r="H62" s="9" t="s">
        <v>4086</v>
      </c>
      <c r="I62" s="9" t="s">
        <v>235</v>
      </c>
      <c r="J62" s="9" t="n">
        <f aca="false">COUNTIFS($B$5:$B$304,B62,$C$5:$C$304,C62)</f>
        <v>1</v>
      </c>
    </row>
    <row r="63" customFormat="false" ht="48" hidden="false" customHeight="true" outlineLevel="0" collapsed="false">
      <c r="A63" s="9" t="s">
        <v>4163</v>
      </c>
      <c r="B63" s="9" t="s">
        <v>76</v>
      </c>
      <c r="C63" s="9" t="s">
        <v>145</v>
      </c>
      <c r="D63" s="9" t="s">
        <v>4088</v>
      </c>
      <c r="E63" s="9" t="s">
        <v>4092</v>
      </c>
      <c r="F63" s="9"/>
      <c r="G63" s="9" t="s">
        <v>4093</v>
      </c>
      <c r="H63" s="9" t="s">
        <v>4086</v>
      </c>
      <c r="I63" s="9" t="s">
        <v>235</v>
      </c>
      <c r="J63" s="9" t="n">
        <f aca="false">COUNTIFS($B$5:$B$304,B63,$C$5:$C$304,C63)</f>
        <v>1</v>
      </c>
    </row>
    <row r="64" customFormat="false" ht="48" hidden="false" customHeight="true" outlineLevel="0" collapsed="false">
      <c r="A64" s="9" t="s">
        <v>4164</v>
      </c>
      <c r="B64" s="9" t="s">
        <v>76</v>
      </c>
      <c r="C64" s="9" t="s">
        <v>151</v>
      </c>
      <c r="D64" s="9" t="s">
        <v>4088</v>
      </c>
      <c r="E64" s="9" t="s">
        <v>4092</v>
      </c>
      <c r="F64" s="9"/>
      <c r="G64" s="9" t="s">
        <v>4093</v>
      </c>
      <c r="H64" s="9" t="s">
        <v>4086</v>
      </c>
      <c r="I64" s="9" t="s">
        <v>235</v>
      </c>
      <c r="J64" s="9" t="n">
        <f aca="false">COUNTIFS($B$5:$B$304,B64,$C$5:$C$304,C64)</f>
        <v>1</v>
      </c>
    </row>
    <row r="65" customFormat="false" ht="48" hidden="false" customHeight="true" outlineLevel="0" collapsed="false">
      <c r="A65" s="9" t="s">
        <v>4165</v>
      </c>
      <c r="B65" s="9" t="s">
        <v>76</v>
      </c>
      <c r="C65" s="9" t="s">
        <v>157</v>
      </c>
      <c r="D65" s="9" t="s">
        <v>4088</v>
      </c>
      <c r="E65" s="9" t="s">
        <v>4092</v>
      </c>
      <c r="F65" s="9"/>
      <c r="G65" s="9" t="s">
        <v>4093</v>
      </c>
      <c r="H65" s="9" t="s">
        <v>4086</v>
      </c>
      <c r="I65" s="9" t="s">
        <v>235</v>
      </c>
      <c r="J65" s="9" t="n">
        <f aca="false">COUNTIFS($B$5:$B$304,B65,$C$5:$C$304,C65)</f>
        <v>1</v>
      </c>
    </row>
    <row r="66" customFormat="false" ht="48" hidden="false" customHeight="true" outlineLevel="0" collapsed="false">
      <c r="A66" s="9" t="s">
        <v>4166</v>
      </c>
      <c r="B66" s="9" t="s">
        <v>76</v>
      </c>
      <c r="C66" s="9" t="s">
        <v>163</v>
      </c>
      <c r="D66" s="9" t="s">
        <v>4088</v>
      </c>
      <c r="E66" s="9" t="s">
        <v>4092</v>
      </c>
      <c r="F66" s="9"/>
      <c r="G66" s="9" t="s">
        <v>4093</v>
      </c>
      <c r="H66" s="9" t="s">
        <v>4086</v>
      </c>
      <c r="I66" s="9" t="s">
        <v>235</v>
      </c>
      <c r="J66" s="9" t="n">
        <f aca="false">COUNTIFS($B$5:$B$304,B66,$C$5:$C$304,C66)</f>
        <v>1</v>
      </c>
    </row>
    <row r="67" customFormat="false" ht="48" hidden="false" customHeight="true" outlineLevel="0" collapsed="false">
      <c r="A67" s="9" t="s">
        <v>4167</v>
      </c>
      <c r="B67" s="9" t="s">
        <v>76</v>
      </c>
      <c r="C67" s="9" t="s">
        <v>169</v>
      </c>
      <c r="D67" s="9" t="s">
        <v>4088</v>
      </c>
      <c r="E67" s="9" t="s">
        <v>4092</v>
      </c>
      <c r="F67" s="9"/>
      <c r="G67" s="9" t="s">
        <v>4093</v>
      </c>
      <c r="H67" s="9" t="s">
        <v>4086</v>
      </c>
      <c r="I67" s="9" t="s">
        <v>235</v>
      </c>
      <c r="J67" s="9" t="n">
        <f aca="false">COUNTIFS($B$5:$B$304,B67,$C$5:$C$304,C67)</f>
        <v>1</v>
      </c>
    </row>
    <row r="68" customFormat="false" ht="48" hidden="false" customHeight="true" outlineLevel="0" collapsed="false">
      <c r="A68" s="9" t="s">
        <v>4168</v>
      </c>
      <c r="B68" s="9" t="s">
        <v>76</v>
      </c>
      <c r="C68" s="9" t="s">
        <v>176</v>
      </c>
      <c r="D68" s="9" t="s">
        <v>4088</v>
      </c>
      <c r="E68" s="9" t="s">
        <v>4085</v>
      </c>
      <c r="F68" s="9" t="s">
        <v>3914</v>
      </c>
      <c r="G68" s="9" t="s">
        <v>3919</v>
      </c>
      <c r="H68" s="9" t="s">
        <v>4086</v>
      </c>
      <c r="I68" s="9" t="s">
        <v>235</v>
      </c>
      <c r="J68" s="9" t="n">
        <f aca="false">COUNTIFS($B$5:$B$304,B68,$C$5:$C$304,C68)</f>
        <v>1</v>
      </c>
    </row>
    <row r="69" customFormat="false" ht="48" hidden="false" customHeight="true" outlineLevel="0" collapsed="false">
      <c r="A69" s="9" t="s">
        <v>4169</v>
      </c>
      <c r="B69" s="9" t="s">
        <v>76</v>
      </c>
      <c r="C69" s="9" t="s">
        <v>183</v>
      </c>
      <c r="D69" s="9" t="s">
        <v>4088</v>
      </c>
      <c r="E69" s="9" t="s">
        <v>4092</v>
      </c>
      <c r="F69" s="9"/>
      <c r="G69" s="9" t="s">
        <v>4093</v>
      </c>
      <c r="H69" s="9" t="s">
        <v>4086</v>
      </c>
      <c r="I69" s="9" t="s">
        <v>235</v>
      </c>
      <c r="J69" s="9" t="n">
        <f aca="false">COUNTIFS($B$5:$B$304,B69,$C$5:$C$304,C69)</f>
        <v>1</v>
      </c>
    </row>
    <row r="70" customFormat="false" ht="48" hidden="false" customHeight="true" outlineLevel="0" collapsed="false">
      <c r="A70" s="9" t="s">
        <v>4170</v>
      </c>
      <c r="B70" s="9" t="s">
        <v>76</v>
      </c>
      <c r="C70" s="9" t="s">
        <v>189</v>
      </c>
      <c r="D70" s="9" t="s">
        <v>4088</v>
      </c>
      <c r="E70" s="9" t="s">
        <v>4085</v>
      </c>
      <c r="F70" s="9" t="s">
        <v>3904</v>
      </c>
      <c r="G70" s="9" t="s">
        <v>308</v>
      </c>
      <c r="H70" s="9" t="s">
        <v>4086</v>
      </c>
      <c r="I70" s="9" t="s">
        <v>235</v>
      </c>
      <c r="J70" s="9" t="n">
        <f aca="false">COUNTIFS($B$5:$B$304,B70,$C$5:$C$304,C70)</f>
        <v>1</v>
      </c>
    </row>
    <row r="71" customFormat="false" ht="48" hidden="false" customHeight="true" outlineLevel="0" collapsed="false">
      <c r="A71" s="9" t="s">
        <v>4171</v>
      </c>
      <c r="B71" s="9" t="s">
        <v>76</v>
      </c>
      <c r="C71" s="9" t="s">
        <v>196</v>
      </c>
      <c r="D71" s="9" t="s">
        <v>4088</v>
      </c>
      <c r="E71" s="9" t="s">
        <v>4092</v>
      </c>
      <c r="F71" s="9"/>
      <c r="G71" s="9" t="s">
        <v>4093</v>
      </c>
      <c r="H71" s="9" t="s">
        <v>4086</v>
      </c>
      <c r="I71" s="9" t="s">
        <v>235</v>
      </c>
      <c r="J71" s="9" t="n">
        <f aca="false">COUNTIFS($B$5:$B$304,B71,$C$5:$C$304,C71)</f>
        <v>1</v>
      </c>
    </row>
    <row r="72" customFormat="false" ht="48" hidden="false" customHeight="true" outlineLevel="0" collapsed="false">
      <c r="A72" s="9" t="s">
        <v>4172</v>
      </c>
      <c r="B72" s="9" t="s">
        <v>76</v>
      </c>
      <c r="C72" s="9" t="s">
        <v>203</v>
      </c>
      <c r="D72" s="9" t="s">
        <v>4088</v>
      </c>
      <c r="E72" s="9" t="s">
        <v>4092</v>
      </c>
      <c r="F72" s="9"/>
      <c r="G72" s="9" t="s">
        <v>4093</v>
      </c>
      <c r="H72" s="9" t="s">
        <v>4086</v>
      </c>
      <c r="I72" s="9" t="s">
        <v>235</v>
      </c>
      <c r="J72" s="9" t="n">
        <f aca="false">COUNTIFS($B$5:$B$304,B72,$C$5:$C$304,C72)</f>
        <v>1</v>
      </c>
    </row>
    <row r="73" customFormat="false" ht="48" hidden="false" customHeight="true" outlineLevel="0" collapsed="false">
      <c r="A73" s="9" t="s">
        <v>4173</v>
      </c>
      <c r="B73" s="9" t="s">
        <v>76</v>
      </c>
      <c r="C73" s="9" t="s">
        <v>210</v>
      </c>
      <c r="D73" s="9" t="s">
        <v>4088</v>
      </c>
      <c r="E73" s="9" t="s">
        <v>4092</v>
      </c>
      <c r="F73" s="9"/>
      <c r="G73" s="9" t="s">
        <v>4093</v>
      </c>
      <c r="H73" s="9" t="s">
        <v>4086</v>
      </c>
      <c r="I73" s="9" t="s">
        <v>235</v>
      </c>
      <c r="J73" s="9" t="n">
        <f aca="false">COUNTIFS($B$5:$B$304,B73,$C$5:$C$304,C73)</f>
        <v>1</v>
      </c>
    </row>
    <row r="74" customFormat="false" ht="48" hidden="false" customHeight="true" outlineLevel="0" collapsed="false">
      <c r="A74" s="9" t="s">
        <v>4174</v>
      </c>
      <c r="B74" s="9" t="s">
        <v>83</v>
      </c>
      <c r="C74" s="9" t="s">
        <v>83</v>
      </c>
      <c r="D74" s="9" t="s">
        <v>4084</v>
      </c>
      <c r="E74" s="9" t="s">
        <v>4085</v>
      </c>
      <c r="F74" s="9" t="s">
        <v>3967</v>
      </c>
      <c r="G74" s="9" t="s">
        <v>3972</v>
      </c>
      <c r="H74" s="9" t="s">
        <v>4086</v>
      </c>
      <c r="I74" s="9" t="s">
        <v>235</v>
      </c>
      <c r="J74" s="9" t="n">
        <f aca="false">COUNTIFS($B$5:$B$304,B74,$C$5:$C$304,C74)</f>
        <v>1</v>
      </c>
    </row>
    <row r="75" customFormat="false" ht="48" hidden="false" customHeight="true" outlineLevel="0" collapsed="false">
      <c r="A75" s="9" t="s">
        <v>4175</v>
      </c>
      <c r="B75" s="9" t="s">
        <v>83</v>
      </c>
      <c r="C75" s="9" t="s">
        <v>89</v>
      </c>
      <c r="D75" s="9" t="s">
        <v>4088</v>
      </c>
      <c r="E75" s="9" t="s">
        <v>4092</v>
      </c>
      <c r="F75" s="9"/>
      <c r="G75" s="9" t="s">
        <v>4093</v>
      </c>
      <c r="H75" s="9" t="s">
        <v>4086</v>
      </c>
      <c r="I75" s="9" t="s">
        <v>235</v>
      </c>
      <c r="J75" s="9" t="n">
        <f aca="false">COUNTIFS($B$5:$B$304,B75,$C$5:$C$304,C75)</f>
        <v>1</v>
      </c>
    </row>
    <row r="76" customFormat="false" ht="48" hidden="false" customHeight="true" outlineLevel="0" collapsed="false">
      <c r="A76" s="9" t="s">
        <v>4176</v>
      </c>
      <c r="B76" s="9" t="s">
        <v>83</v>
      </c>
      <c r="C76" s="9" t="s">
        <v>94</v>
      </c>
      <c r="D76" s="9" t="s">
        <v>4088</v>
      </c>
      <c r="E76" s="9" t="s">
        <v>4092</v>
      </c>
      <c r="F76" s="9"/>
      <c r="G76" s="9" t="s">
        <v>4093</v>
      </c>
      <c r="H76" s="9" t="s">
        <v>4086</v>
      </c>
      <c r="I76" s="9" t="s">
        <v>235</v>
      </c>
      <c r="J76" s="9" t="n">
        <f aca="false">COUNTIFS($B$5:$B$304,B76,$C$5:$C$304,C76)</f>
        <v>1</v>
      </c>
    </row>
    <row r="77" customFormat="false" ht="48" hidden="false" customHeight="true" outlineLevel="0" collapsed="false">
      <c r="A77" s="9" t="s">
        <v>4177</v>
      </c>
      <c r="B77" s="9" t="s">
        <v>83</v>
      </c>
      <c r="C77" s="9" t="s">
        <v>100</v>
      </c>
      <c r="D77" s="9" t="s">
        <v>4088</v>
      </c>
      <c r="E77" s="9" t="s">
        <v>4092</v>
      </c>
      <c r="F77" s="9"/>
      <c r="G77" s="9" t="s">
        <v>4093</v>
      </c>
      <c r="H77" s="9" t="s">
        <v>4086</v>
      </c>
      <c r="I77" s="9" t="s">
        <v>235</v>
      </c>
      <c r="J77" s="9" t="n">
        <f aca="false">COUNTIFS($B$5:$B$304,B77,$C$5:$C$304,C77)</f>
        <v>1</v>
      </c>
    </row>
    <row r="78" customFormat="false" ht="48" hidden="false" customHeight="true" outlineLevel="0" collapsed="false">
      <c r="A78" s="9" t="s">
        <v>4178</v>
      </c>
      <c r="B78" s="9" t="s">
        <v>83</v>
      </c>
      <c r="C78" s="9" t="s">
        <v>107</v>
      </c>
      <c r="D78" s="9" t="s">
        <v>4088</v>
      </c>
      <c r="E78" s="9" t="s">
        <v>4092</v>
      </c>
      <c r="F78" s="9"/>
      <c r="G78" s="9" t="s">
        <v>4093</v>
      </c>
      <c r="H78" s="9" t="s">
        <v>4086</v>
      </c>
      <c r="I78" s="9" t="s">
        <v>235</v>
      </c>
      <c r="J78" s="9" t="n">
        <f aca="false">COUNTIFS($B$5:$B$304,B78,$C$5:$C$304,C78)</f>
        <v>1</v>
      </c>
    </row>
    <row r="79" customFormat="false" ht="48" hidden="false" customHeight="true" outlineLevel="0" collapsed="false">
      <c r="A79" s="9" t="s">
        <v>4179</v>
      </c>
      <c r="B79" s="9" t="s">
        <v>83</v>
      </c>
      <c r="C79" s="9" t="s">
        <v>114</v>
      </c>
      <c r="D79" s="9" t="s">
        <v>4088</v>
      </c>
      <c r="E79" s="9" t="s">
        <v>4092</v>
      </c>
      <c r="F79" s="9"/>
      <c r="G79" s="9" t="s">
        <v>4093</v>
      </c>
      <c r="H79" s="9" t="s">
        <v>4086</v>
      </c>
      <c r="I79" s="9" t="s">
        <v>235</v>
      </c>
      <c r="J79" s="9" t="n">
        <f aca="false">COUNTIFS($B$5:$B$304,B79,$C$5:$C$304,C79)</f>
        <v>1</v>
      </c>
    </row>
    <row r="80" customFormat="false" ht="48" hidden="false" customHeight="true" outlineLevel="0" collapsed="false">
      <c r="A80" s="9" t="s">
        <v>4180</v>
      </c>
      <c r="B80" s="9" t="s">
        <v>83</v>
      </c>
      <c r="C80" s="9" t="s">
        <v>120</v>
      </c>
      <c r="D80" s="9" t="s">
        <v>4088</v>
      </c>
      <c r="E80" s="9" t="s">
        <v>4092</v>
      </c>
      <c r="F80" s="9"/>
      <c r="G80" s="9" t="s">
        <v>4093</v>
      </c>
      <c r="H80" s="9" t="s">
        <v>4086</v>
      </c>
      <c r="I80" s="9" t="s">
        <v>235</v>
      </c>
      <c r="J80" s="9" t="n">
        <f aca="false">COUNTIFS($B$5:$B$304,B80,$C$5:$C$304,C80)</f>
        <v>1</v>
      </c>
    </row>
    <row r="81" customFormat="false" ht="48" hidden="false" customHeight="true" outlineLevel="0" collapsed="false">
      <c r="A81" s="9" t="s">
        <v>4181</v>
      </c>
      <c r="B81" s="9" t="s">
        <v>83</v>
      </c>
      <c r="C81" s="9" t="s">
        <v>127</v>
      </c>
      <c r="D81" s="9" t="s">
        <v>4088</v>
      </c>
      <c r="E81" s="9" t="s">
        <v>4092</v>
      </c>
      <c r="F81" s="9"/>
      <c r="G81" s="9" t="s">
        <v>4093</v>
      </c>
      <c r="H81" s="9" t="s">
        <v>4086</v>
      </c>
      <c r="I81" s="9" t="s">
        <v>235</v>
      </c>
      <c r="J81" s="9" t="n">
        <f aca="false">COUNTIFS($B$5:$B$304,B81,$C$5:$C$304,C81)</f>
        <v>1</v>
      </c>
    </row>
    <row r="82" customFormat="false" ht="48" hidden="false" customHeight="true" outlineLevel="0" collapsed="false">
      <c r="A82" s="9" t="s">
        <v>4182</v>
      </c>
      <c r="B82" s="9" t="s">
        <v>83</v>
      </c>
      <c r="C82" s="9" t="s">
        <v>133</v>
      </c>
      <c r="D82" s="9" t="s">
        <v>4088</v>
      </c>
      <c r="E82" s="9" t="s">
        <v>4092</v>
      </c>
      <c r="F82" s="9"/>
      <c r="G82" s="9" t="s">
        <v>4093</v>
      </c>
      <c r="H82" s="9" t="s">
        <v>4086</v>
      </c>
      <c r="I82" s="9" t="s">
        <v>235</v>
      </c>
      <c r="J82" s="9" t="n">
        <f aca="false">COUNTIFS($B$5:$B$304,B82,$C$5:$C$304,C82)</f>
        <v>1</v>
      </c>
    </row>
    <row r="83" customFormat="false" ht="48" hidden="false" customHeight="true" outlineLevel="0" collapsed="false">
      <c r="A83" s="9" t="s">
        <v>4183</v>
      </c>
      <c r="B83" s="9" t="s">
        <v>83</v>
      </c>
      <c r="C83" s="9" t="s">
        <v>139</v>
      </c>
      <c r="D83" s="9" t="s">
        <v>4088</v>
      </c>
      <c r="E83" s="9" t="s">
        <v>4092</v>
      </c>
      <c r="F83" s="9"/>
      <c r="G83" s="9" t="s">
        <v>4093</v>
      </c>
      <c r="H83" s="9" t="s">
        <v>4086</v>
      </c>
      <c r="I83" s="9" t="s">
        <v>235</v>
      </c>
      <c r="J83" s="9" t="n">
        <f aca="false">COUNTIFS($B$5:$B$304,B83,$C$5:$C$304,C83)</f>
        <v>1</v>
      </c>
    </row>
    <row r="84" customFormat="false" ht="48" hidden="false" customHeight="true" outlineLevel="0" collapsed="false">
      <c r="A84" s="9" t="s">
        <v>4184</v>
      </c>
      <c r="B84" s="9" t="s">
        <v>83</v>
      </c>
      <c r="C84" s="9" t="s">
        <v>145</v>
      </c>
      <c r="D84" s="9" t="s">
        <v>4088</v>
      </c>
      <c r="E84" s="9" t="s">
        <v>4092</v>
      </c>
      <c r="F84" s="9"/>
      <c r="G84" s="9" t="s">
        <v>4093</v>
      </c>
      <c r="H84" s="9" t="s">
        <v>4086</v>
      </c>
      <c r="I84" s="9" t="s">
        <v>235</v>
      </c>
      <c r="J84" s="9" t="n">
        <f aca="false">COUNTIFS($B$5:$B$304,B84,$C$5:$C$304,C84)</f>
        <v>1</v>
      </c>
    </row>
    <row r="85" customFormat="false" ht="48" hidden="false" customHeight="true" outlineLevel="0" collapsed="false">
      <c r="A85" s="9" t="s">
        <v>4185</v>
      </c>
      <c r="B85" s="9" t="s">
        <v>83</v>
      </c>
      <c r="C85" s="9" t="s">
        <v>151</v>
      </c>
      <c r="D85" s="9" t="s">
        <v>4088</v>
      </c>
      <c r="E85" s="9" t="s">
        <v>4092</v>
      </c>
      <c r="F85" s="9"/>
      <c r="G85" s="9" t="s">
        <v>4093</v>
      </c>
      <c r="H85" s="9" t="s">
        <v>4086</v>
      </c>
      <c r="I85" s="9" t="s">
        <v>235</v>
      </c>
      <c r="J85" s="9" t="n">
        <f aca="false">COUNTIFS($B$5:$B$304,B85,$C$5:$C$304,C85)</f>
        <v>1</v>
      </c>
    </row>
    <row r="86" customFormat="false" ht="48" hidden="false" customHeight="true" outlineLevel="0" collapsed="false">
      <c r="A86" s="9" t="s">
        <v>4186</v>
      </c>
      <c r="B86" s="9" t="s">
        <v>83</v>
      </c>
      <c r="C86" s="9" t="s">
        <v>157</v>
      </c>
      <c r="D86" s="9" t="s">
        <v>4088</v>
      </c>
      <c r="E86" s="9" t="s">
        <v>4092</v>
      </c>
      <c r="F86" s="9"/>
      <c r="G86" s="9" t="s">
        <v>4093</v>
      </c>
      <c r="H86" s="9" t="s">
        <v>4086</v>
      </c>
      <c r="I86" s="9" t="s">
        <v>235</v>
      </c>
      <c r="J86" s="9" t="n">
        <f aca="false">COUNTIFS($B$5:$B$304,B86,$C$5:$C$304,C86)</f>
        <v>1</v>
      </c>
    </row>
    <row r="87" customFormat="false" ht="48" hidden="false" customHeight="true" outlineLevel="0" collapsed="false">
      <c r="A87" s="9" t="s">
        <v>4187</v>
      </c>
      <c r="B87" s="9" t="s">
        <v>83</v>
      </c>
      <c r="C87" s="9" t="s">
        <v>163</v>
      </c>
      <c r="D87" s="9" t="s">
        <v>4088</v>
      </c>
      <c r="E87" s="9" t="s">
        <v>4092</v>
      </c>
      <c r="F87" s="9"/>
      <c r="G87" s="9" t="s">
        <v>4093</v>
      </c>
      <c r="H87" s="9" t="s">
        <v>4086</v>
      </c>
      <c r="I87" s="9" t="s">
        <v>235</v>
      </c>
      <c r="J87" s="9" t="n">
        <f aca="false">COUNTIFS($B$5:$B$304,B87,$C$5:$C$304,C87)</f>
        <v>1</v>
      </c>
    </row>
    <row r="88" customFormat="false" ht="48" hidden="false" customHeight="true" outlineLevel="0" collapsed="false">
      <c r="A88" s="9" t="s">
        <v>4188</v>
      </c>
      <c r="B88" s="9" t="s">
        <v>83</v>
      </c>
      <c r="C88" s="9" t="s">
        <v>169</v>
      </c>
      <c r="D88" s="9" t="s">
        <v>4088</v>
      </c>
      <c r="E88" s="9" t="s">
        <v>4092</v>
      </c>
      <c r="F88" s="9"/>
      <c r="G88" s="9" t="s">
        <v>4093</v>
      </c>
      <c r="H88" s="9" t="s">
        <v>4086</v>
      </c>
      <c r="I88" s="9" t="s">
        <v>235</v>
      </c>
      <c r="J88" s="9" t="n">
        <f aca="false">COUNTIFS($B$5:$B$304,B88,$C$5:$C$304,C88)</f>
        <v>1</v>
      </c>
    </row>
    <row r="89" customFormat="false" ht="48" hidden="false" customHeight="true" outlineLevel="0" collapsed="false">
      <c r="A89" s="9" t="s">
        <v>4189</v>
      </c>
      <c r="B89" s="9" t="s">
        <v>83</v>
      </c>
      <c r="C89" s="9" t="s">
        <v>176</v>
      </c>
      <c r="D89" s="9" t="s">
        <v>4088</v>
      </c>
      <c r="E89" s="9" t="s">
        <v>4085</v>
      </c>
      <c r="F89" s="9" t="s">
        <v>3909</v>
      </c>
      <c r="G89" s="9" t="s">
        <v>2128</v>
      </c>
      <c r="H89" s="9" t="s">
        <v>4086</v>
      </c>
      <c r="I89" s="9" t="s">
        <v>235</v>
      </c>
      <c r="J89" s="9" t="n">
        <f aca="false">COUNTIFS($B$5:$B$304,B89,$C$5:$C$304,C89)</f>
        <v>1</v>
      </c>
    </row>
    <row r="90" customFormat="false" ht="48" hidden="false" customHeight="true" outlineLevel="0" collapsed="false">
      <c r="A90" s="9" t="s">
        <v>4190</v>
      </c>
      <c r="B90" s="9" t="s">
        <v>83</v>
      </c>
      <c r="C90" s="9" t="s">
        <v>183</v>
      </c>
      <c r="D90" s="9" t="s">
        <v>4088</v>
      </c>
      <c r="E90" s="9" t="s">
        <v>4092</v>
      </c>
      <c r="F90" s="9"/>
      <c r="G90" s="9" t="s">
        <v>4093</v>
      </c>
      <c r="H90" s="9" t="s">
        <v>4086</v>
      </c>
      <c r="I90" s="9" t="s">
        <v>235</v>
      </c>
      <c r="J90" s="9" t="n">
        <f aca="false">COUNTIFS($B$5:$B$304,B90,$C$5:$C$304,C90)</f>
        <v>1</v>
      </c>
    </row>
    <row r="91" customFormat="false" ht="48" hidden="false" customHeight="true" outlineLevel="0" collapsed="false">
      <c r="A91" s="9" t="s">
        <v>4191</v>
      </c>
      <c r="B91" s="9" t="s">
        <v>83</v>
      </c>
      <c r="C91" s="9" t="s">
        <v>189</v>
      </c>
      <c r="D91" s="9" t="s">
        <v>4088</v>
      </c>
      <c r="E91" s="9" t="s">
        <v>4092</v>
      </c>
      <c r="F91" s="9"/>
      <c r="G91" s="9" t="s">
        <v>4093</v>
      </c>
      <c r="H91" s="9" t="s">
        <v>4086</v>
      </c>
      <c r="I91" s="9" t="s">
        <v>235</v>
      </c>
      <c r="J91" s="9" t="n">
        <f aca="false">COUNTIFS($B$5:$B$304,B91,$C$5:$C$304,C91)</f>
        <v>1</v>
      </c>
    </row>
    <row r="92" customFormat="false" ht="48" hidden="false" customHeight="true" outlineLevel="0" collapsed="false">
      <c r="A92" s="9" t="s">
        <v>4192</v>
      </c>
      <c r="B92" s="9" t="s">
        <v>83</v>
      </c>
      <c r="C92" s="9" t="s">
        <v>196</v>
      </c>
      <c r="D92" s="9" t="s">
        <v>4088</v>
      </c>
      <c r="E92" s="9" t="s">
        <v>4092</v>
      </c>
      <c r="F92" s="9"/>
      <c r="G92" s="9" t="s">
        <v>4093</v>
      </c>
      <c r="H92" s="9" t="s">
        <v>4086</v>
      </c>
      <c r="I92" s="9" t="s">
        <v>235</v>
      </c>
      <c r="J92" s="9" t="n">
        <f aca="false">COUNTIFS($B$5:$B$304,B92,$C$5:$C$304,C92)</f>
        <v>1</v>
      </c>
    </row>
    <row r="93" customFormat="false" ht="48" hidden="false" customHeight="true" outlineLevel="0" collapsed="false">
      <c r="A93" s="9" t="s">
        <v>4193</v>
      </c>
      <c r="B93" s="9" t="s">
        <v>83</v>
      </c>
      <c r="C93" s="9" t="s">
        <v>203</v>
      </c>
      <c r="D93" s="9" t="s">
        <v>4088</v>
      </c>
      <c r="E93" s="9" t="s">
        <v>4092</v>
      </c>
      <c r="F93" s="9"/>
      <c r="G93" s="9" t="s">
        <v>4093</v>
      </c>
      <c r="H93" s="9" t="s">
        <v>4086</v>
      </c>
      <c r="I93" s="9" t="s">
        <v>235</v>
      </c>
      <c r="J93" s="9" t="n">
        <f aca="false">COUNTIFS($B$5:$B$304,B93,$C$5:$C$304,C93)</f>
        <v>1</v>
      </c>
    </row>
    <row r="94" customFormat="false" ht="48" hidden="false" customHeight="true" outlineLevel="0" collapsed="false">
      <c r="A94" s="9" t="s">
        <v>4194</v>
      </c>
      <c r="B94" s="9" t="s">
        <v>83</v>
      </c>
      <c r="C94" s="9" t="s">
        <v>210</v>
      </c>
      <c r="D94" s="9" t="s">
        <v>4088</v>
      </c>
      <c r="E94" s="9" t="s">
        <v>4092</v>
      </c>
      <c r="F94" s="9"/>
      <c r="G94" s="9" t="s">
        <v>4093</v>
      </c>
      <c r="H94" s="9" t="s">
        <v>4086</v>
      </c>
      <c r="I94" s="9" t="s">
        <v>235</v>
      </c>
      <c r="J94" s="9" t="n">
        <f aca="false">COUNTIFS($B$5:$B$304,B94,$C$5:$C$304,C94)</f>
        <v>1</v>
      </c>
    </row>
    <row r="95" customFormat="false" ht="48" hidden="false" customHeight="true" outlineLevel="0" collapsed="false">
      <c r="A95" s="9" t="s">
        <v>4195</v>
      </c>
      <c r="B95" s="9" t="s">
        <v>89</v>
      </c>
      <c r="C95" s="9" t="s">
        <v>89</v>
      </c>
      <c r="D95" s="9" t="s">
        <v>4084</v>
      </c>
      <c r="E95" s="9" t="s">
        <v>4124</v>
      </c>
      <c r="F95" s="9"/>
      <c r="G95" s="9" t="s">
        <v>4093</v>
      </c>
      <c r="H95" s="9" t="s">
        <v>4086</v>
      </c>
      <c r="I95" s="9" t="s">
        <v>235</v>
      </c>
      <c r="J95" s="9" t="n">
        <f aca="false">COUNTIFS($B$5:$B$304,B95,$C$5:$C$304,C95)</f>
        <v>1</v>
      </c>
    </row>
    <row r="96" customFormat="false" ht="48" hidden="false" customHeight="true" outlineLevel="0" collapsed="false">
      <c r="A96" s="9" t="s">
        <v>4196</v>
      </c>
      <c r="B96" s="9" t="s">
        <v>89</v>
      </c>
      <c r="C96" s="9" t="s">
        <v>94</v>
      </c>
      <c r="D96" s="9" t="s">
        <v>4088</v>
      </c>
      <c r="E96" s="9" t="s">
        <v>4092</v>
      </c>
      <c r="F96" s="9"/>
      <c r="G96" s="9" t="s">
        <v>4093</v>
      </c>
      <c r="H96" s="9" t="s">
        <v>4086</v>
      </c>
      <c r="I96" s="9" t="s">
        <v>235</v>
      </c>
      <c r="J96" s="9" t="n">
        <f aca="false">COUNTIFS($B$5:$B$304,B96,$C$5:$C$304,C96)</f>
        <v>1</v>
      </c>
    </row>
    <row r="97" customFormat="false" ht="48" hidden="false" customHeight="true" outlineLevel="0" collapsed="false">
      <c r="A97" s="9" t="s">
        <v>4197</v>
      </c>
      <c r="B97" s="9" t="s">
        <v>89</v>
      </c>
      <c r="C97" s="9" t="s">
        <v>100</v>
      </c>
      <c r="D97" s="9" t="s">
        <v>4088</v>
      </c>
      <c r="E97" s="9" t="s">
        <v>4092</v>
      </c>
      <c r="F97" s="9"/>
      <c r="G97" s="9" t="s">
        <v>4093</v>
      </c>
      <c r="H97" s="9" t="s">
        <v>4086</v>
      </c>
      <c r="I97" s="9" t="s">
        <v>235</v>
      </c>
      <c r="J97" s="9" t="n">
        <f aca="false">COUNTIFS($B$5:$B$304,B97,$C$5:$C$304,C97)</f>
        <v>1</v>
      </c>
    </row>
    <row r="98" customFormat="false" ht="48" hidden="false" customHeight="true" outlineLevel="0" collapsed="false">
      <c r="A98" s="9" t="s">
        <v>4198</v>
      </c>
      <c r="B98" s="9" t="s">
        <v>89</v>
      </c>
      <c r="C98" s="9" t="s">
        <v>107</v>
      </c>
      <c r="D98" s="9" t="s">
        <v>4088</v>
      </c>
      <c r="E98" s="9" t="s">
        <v>4092</v>
      </c>
      <c r="F98" s="9"/>
      <c r="G98" s="9" t="s">
        <v>4093</v>
      </c>
      <c r="H98" s="9" t="s">
        <v>4086</v>
      </c>
      <c r="I98" s="9" t="s">
        <v>235</v>
      </c>
      <c r="J98" s="9" t="n">
        <f aca="false">COUNTIFS($B$5:$B$304,B98,$C$5:$C$304,C98)</f>
        <v>1</v>
      </c>
    </row>
    <row r="99" customFormat="false" ht="48" hidden="false" customHeight="true" outlineLevel="0" collapsed="false">
      <c r="A99" s="9" t="s">
        <v>4199</v>
      </c>
      <c r="B99" s="9" t="s">
        <v>89</v>
      </c>
      <c r="C99" s="9" t="s">
        <v>114</v>
      </c>
      <c r="D99" s="9" t="s">
        <v>4088</v>
      </c>
      <c r="E99" s="9" t="s">
        <v>4092</v>
      </c>
      <c r="F99" s="9"/>
      <c r="G99" s="9" t="s">
        <v>4093</v>
      </c>
      <c r="H99" s="9" t="s">
        <v>4086</v>
      </c>
      <c r="I99" s="9" t="s">
        <v>235</v>
      </c>
      <c r="J99" s="9" t="n">
        <f aca="false">COUNTIFS($B$5:$B$304,B99,$C$5:$C$304,C99)</f>
        <v>1</v>
      </c>
    </row>
    <row r="100" customFormat="false" ht="48" hidden="false" customHeight="true" outlineLevel="0" collapsed="false">
      <c r="A100" s="9" t="s">
        <v>4200</v>
      </c>
      <c r="B100" s="9" t="s">
        <v>89</v>
      </c>
      <c r="C100" s="9" t="s">
        <v>120</v>
      </c>
      <c r="D100" s="9" t="s">
        <v>4088</v>
      </c>
      <c r="E100" s="9" t="s">
        <v>4092</v>
      </c>
      <c r="F100" s="9"/>
      <c r="G100" s="9" t="s">
        <v>4093</v>
      </c>
      <c r="H100" s="9" t="s">
        <v>4086</v>
      </c>
      <c r="I100" s="9" t="s">
        <v>235</v>
      </c>
      <c r="J100" s="9" t="n">
        <f aca="false">COUNTIFS($B$5:$B$304,B100,$C$5:$C$304,C100)</f>
        <v>1</v>
      </c>
    </row>
    <row r="101" customFormat="false" ht="48" hidden="false" customHeight="true" outlineLevel="0" collapsed="false">
      <c r="A101" s="9" t="s">
        <v>4201</v>
      </c>
      <c r="B101" s="9" t="s">
        <v>89</v>
      </c>
      <c r="C101" s="9" t="s">
        <v>127</v>
      </c>
      <c r="D101" s="9" t="s">
        <v>4088</v>
      </c>
      <c r="E101" s="9" t="s">
        <v>4092</v>
      </c>
      <c r="F101" s="9"/>
      <c r="G101" s="9" t="s">
        <v>4093</v>
      </c>
      <c r="H101" s="9" t="s">
        <v>4086</v>
      </c>
      <c r="I101" s="9" t="s">
        <v>235</v>
      </c>
      <c r="J101" s="9" t="n">
        <f aca="false">COUNTIFS($B$5:$B$304,B101,$C$5:$C$304,C101)</f>
        <v>1</v>
      </c>
    </row>
    <row r="102" customFormat="false" ht="48" hidden="false" customHeight="true" outlineLevel="0" collapsed="false">
      <c r="A102" s="9" t="s">
        <v>4202</v>
      </c>
      <c r="B102" s="9" t="s">
        <v>89</v>
      </c>
      <c r="C102" s="9" t="s">
        <v>133</v>
      </c>
      <c r="D102" s="9" t="s">
        <v>4088</v>
      </c>
      <c r="E102" s="9" t="s">
        <v>4092</v>
      </c>
      <c r="F102" s="9"/>
      <c r="G102" s="9" t="s">
        <v>4093</v>
      </c>
      <c r="H102" s="9" t="s">
        <v>4086</v>
      </c>
      <c r="I102" s="9" t="s">
        <v>235</v>
      </c>
      <c r="J102" s="9" t="n">
        <f aca="false">COUNTIFS($B$5:$B$304,B102,$C$5:$C$304,C102)</f>
        <v>1</v>
      </c>
    </row>
    <row r="103" customFormat="false" ht="48" hidden="false" customHeight="true" outlineLevel="0" collapsed="false">
      <c r="A103" s="9" t="s">
        <v>4203</v>
      </c>
      <c r="B103" s="9" t="s">
        <v>89</v>
      </c>
      <c r="C103" s="9" t="s">
        <v>139</v>
      </c>
      <c r="D103" s="9" t="s">
        <v>4088</v>
      </c>
      <c r="E103" s="9" t="s">
        <v>4092</v>
      </c>
      <c r="F103" s="9"/>
      <c r="G103" s="9" t="s">
        <v>4093</v>
      </c>
      <c r="H103" s="9" t="s">
        <v>4086</v>
      </c>
      <c r="I103" s="9" t="s">
        <v>235</v>
      </c>
      <c r="J103" s="9" t="n">
        <f aca="false">COUNTIFS($B$5:$B$304,B103,$C$5:$C$304,C103)</f>
        <v>1</v>
      </c>
    </row>
    <row r="104" customFormat="false" ht="48" hidden="false" customHeight="true" outlineLevel="0" collapsed="false">
      <c r="A104" s="9" t="s">
        <v>4204</v>
      </c>
      <c r="B104" s="9" t="s">
        <v>89</v>
      </c>
      <c r="C104" s="9" t="s">
        <v>145</v>
      </c>
      <c r="D104" s="9" t="s">
        <v>4088</v>
      </c>
      <c r="E104" s="9" t="s">
        <v>4092</v>
      </c>
      <c r="F104" s="9"/>
      <c r="G104" s="9" t="s">
        <v>4093</v>
      </c>
      <c r="H104" s="9" t="s">
        <v>4086</v>
      </c>
      <c r="I104" s="9" t="s">
        <v>235</v>
      </c>
      <c r="J104" s="9" t="n">
        <f aca="false">COUNTIFS($B$5:$B$304,B104,$C$5:$C$304,C104)</f>
        <v>1</v>
      </c>
    </row>
    <row r="105" customFormat="false" ht="48" hidden="false" customHeight="true" outlineLevel="0" collapsed="false">
      <c r="A105" s="9" t="s">
        <v>4205</v>
      </c>
      <c r="B105" s="9" t="s">
        <v>89</v>
      </c>
      <c r="C105" s="9" t="s">
        <v>151</v>
      </c>
      <c r="D105" s="9" t="s">
        <v>4088</v>
      </c>
      <c r="E105" s="9" t="s">
        <v>4092</v>
      </c>
      <c r="F105" s="9"/>
      <c r="G105" s="9" t="s">
        <v>4093</v>
      </c>
      <c r="H105" s="9" t="s">
        <v>4086</v>
      </c>
      <c r="I105" s="9" t="s">
        <v>235</v>
      </c>
      <c r="J105" s="9" t="n">
        <f aca="false">COUNTIFS($B$5:$B$304,B105,$C$5:$C$304,C105)</f>
        <v>1</v>
      </c>
    </row>
    <row r="106" customFormat="false" ht="48" hidden="false" customHeight="true" outlineLevel="0" collapsed="false">
      <c r="A106" s="9" t="s">
        <v>4206</v>
      </c>
      <c r="B106" s="9" t="s">
        <v>89</v>
      </c>
      <c r="C106" s="9" t="s">
        <v>157</v>
      </c>
      <c r="D106" s="9" t="s">
        <v>4088</v>
      </c>
      <c r="E106" s="9" t="s">
        <v>4092</v>
      </c>
      <c r="F106" s="9"/>
      <c r="G106" s="9" t="s">
        <v>4093</v>
      </c>
      <c r="H106" s="9" t="s">
        <v>4086</v>
      </c>
      <c r="I106" s="9" t="s">
        <v>235</v>
      </c>
      <c r="J106" s="9" t="n">
        <f aca="false">COUNTIFS($B$5:$B$304,B106,$C$5:$C$304,C106)</f>
        <v>1</v>
      </c>
    </row>
    <row r="107" customFormat="false" ht="48" hidden="false" customHeight="true" outlineLevel="0" collapsed="false">
      <c r="A107" s="9" t="s">
        <v>4207</v>
      </c>
      <c r="B107" s="9" t="s">
        <v>89</v>
      </c>
      <c r="C107" s="9" t="s">
        <v>163</v>
      </c>
      <c r="D107" s="9" t="s">
        <v>4088</v>
      </c>
      <c r="E107" s="9" t="s">
        <v>4092</v>
      </c>
      <c r="F107" s="9"/>
      <c r="G107" s="9" t="s">
        <v>4093</v>
      </c>
      <c r="H107" s="9" t="s">
        <v>4086</v>
      </c>
      <c r="I107" s="9" t="s">
        <v>235</v>
      </c>
      <c r="J107" s="9" t="n">
        <f aca="false">COUNTIFS($B$5:$B$304,B107,$C$5:$C$304,C107)</f>
        <v>1</v>
      </c>
    </row>
    <row r="108" customFormat="false" ht="48" hidden="false" customHeight="true" outlineLevel="0" collapsed="false">
      <c r="A108" s="9" t="s">
        <v>4208</v>
      </c>
      <c r="B108" s="9" t="s">
        <v>89</v>
      </c>
      <c r="C108" s="9" t="s">
        <v>169</v>
      </c>
      <c r="D108" s="9" t="s">
        <v>4088</v>
      </c>
      <c r="E108" s="9" t="s">
        <v>4092</v>
      </c>
      <c r="F108" s="9"/>
      <c r="G108" s="9" t="s">
        <v>4093</v>
      </c>
      <c r="H108" s="9" t="s">
        <v>4086</v>
      </c>
      <c r="I108" s="9" t="s">
        <v>235</v>
      </c>
      <c r="J108" s="9" t="n">
        <f aca="false">COUNTIFS($B$5:$B$304,B108,$C$5:$C$304,C108)</f>
        <v>1</v>
      </c>
    </row>
    <row r="109" customFormat="false" ht="48" hidden="false" customHeight="true" outlineLevel="0" collapsed="false">
      <c r="A109" s="9" t="s">
        <v>4209</v>
      </c>
      <c r="B109" s="9" t="s">
        <v>89</v>
      </c>
      <c r="C109" s="9" t="s">
        <v>176</v>
      </c>
      <c r="D109" s="9" t="s">
        <v>4088</v>
      </c>
      <c r="E109" s="9" t="s">
        <v>4092</v>
      </c>
      <c r="F109" s="9"/>
      <c r="G109" s="9" t="s">
        <v>4093</v>
      </c>
      <c r="H109" s="9" t="s">
        <v>4086</v>
      </c>
      <c r="I109" s="9" t="s">
        <v>235</v>
      </c>
      <c r="J109" s="9" t="n">
        <f aca="false">COUNTIFS($B$5:$B$304,B109,$C$5:$C$304,C109)</f>
        <v>1</v>
      </c>
    </row>
    <row r="110" customFormat="false" ht="48" hidden="false" customHeight="true" outlineLevel="0" collapsed="false">
      <c r="A110" s="9" t="s">
        <v>4210</v>
      </c>
      <c r="B110" s="9" t="s">
        <v>89</v>
      </c>
      <c r="C110" s="9" t="s">
        <v>183</v>
      </c>
      <c r="D110" s="9" t="s">
        <v>4088</v>
      </c>
      <c r="E110" s="9" t="s">
        <v>4092</v>
      </c>
      <c r="F110" s="9"/>
      <c r="G110" s="9" t="s">
        <v>4093</v>
      </c>
      <c r="H110" s="9" t="s">
        <v>4086</v>
      </c>
      <c r="I110" s="9" t="s">
        <v>235</v>
      </c>
      <c r="J110" s="9" t="n">
        <f aca="false">COUNTIFS($B$5:$B$304,B110,$C$5:$C$304,C110)</f>
        <v>1</v>
      </c>
    </row>
    <row r="111" customFormat="false" ht="48" hidden="false" customHeight="true" outlineLevel="0" collapsed="false">
      <c r="A111" s="9" t="s">
        <v>4211</v>
      </c>
      <c r="B111" s="9" t="s">
        <v>89</v>
      </c>
      <c r="C111" s="9" t="s">
        <v>189</v>
      </c>
      <c r="D111" s="9" t="s">
        <v>4088</v>
      </c>
      <c r="E111" s="9" t="s">
        <v>4092</v>
      </c>
      <c r="F111" s="9"/>
      <c r="G111" s="9" t="s">
        <v>4093</v>
      </c>
      <c r="H111" s="9" t="s">
        <v>4086</v>
      </c>
      <c r="I111" s="9" t="s">
        <v>235</v>
      </c>
      <c r="J111" s="9" t="n">
        <f aca="false">COUNTIFS($B$5:$B$304,B111,$C$5:$C$304,C111)</f>
        <v>1</v>
      </c>
    </row>
    <row r="112" customFormat="false" ht="48" hidden="false" customHeight="true" outlineLevel="0" collapsed="false">
      <c r="A112" s="9" t="s">
        <v>4212</v>
      </c>
      <c r="B112" s="9" t="s">
        <v>89</v>
      </c>
      <c r="C112" s="9" t="s">
        <v>196</v>
      </c>
      <c r="D112" s="9" t="s">
        <v>4088</v>
      </c>
      <c r="E112" s="9" t="s">
        <v>4092</v>
      </c>
      <c r="F112" s="9"/>
      <c r="G112" s="9" t="s">
        <v>4093</v>
      </c>
      <c r="H112" s="9" t="s">
        <v>4086</v>
      </c>
      <c r="I112" s="9" t="s">
        <v>235</v>
      </c>
      <c r="J112" s="9" t="n">
        <f aca="false">COUNTIFS($B$5:$B$304,B112,$C$5:$C$304,C112)</f>
        <v>1</v>
      </c>
    </row>
    <row r="113" customFormat="false" ht="48" hidden="false" customHeight="true" outlineLevel="0" collapsed="false">
      <c r="A113" s="9" t="s">
        <v>4213</v>
      </c>
      <c r="B113" s="9" t="s">
        <v>89</v>
      </c>
      <c r="C113" s="9" t="s">
        <v>203</v>
      </c>
      <c r="D113" s="9" t="s">
        <v>4088</v>
      </c>
      <c r="E113" s="9" t="s">
        <v>4092</v>
      </c>
      <c r="F113" s="9"/>
      <c r="G113" s="9" t="s">
        <v>4093</v>
      </c>
      <c r="H113" s="9" t="s">
        <v>4086</v>
      </c>
      <c r="I113" s="9" t="s">
        <v>235</v>
      </c>
      <c r="J113" s="9" t="n">
        <f aca="false">COUNTIFS($B$5:$B$304,B113,$C$5:$C$304,C113)</f>
        <v>1</v>
      </c>
    </row>
    <row r="114" customFormat="false" ht="48" hidden="false" customHeight="true" outlineLevel="0" collapsed="false">
      <c r="A114" s="9" t="s">
        <v>4214</v>
      </c>
      <c r="B114" s="9" t="s">
        <v>89</v>
      </c>
      <c r="C114" s="9" t="s">
        <v>210</v>
      </c>
      <c r="D114" s="9" t="s">
        <v>4088</v>
      </c>
      <c r="E114" s="9" t="s">
        <v>4092</v>
      </c>
      <c r="F114" s="9"/>
      <c r="G114" s="9" t="s">
        <v>4093</v>
      </c>
      <c r="H114" s="9" t="s">
        <v>4086</v>
      </c>
      <c r="I114" s="9" t="s">
        <v>235</v>
      </c>
      <c r="J114" s="9" t="n">
        <f aca="false">COUNTIFS($B$5:$B$304,B114,$C$5:$C$304,C114)</f>
        <v>1</v>
      </c>
    </row>
    <row r="115" customFormat="false" ht="48" hidden="false" customHeight="true" outlineLevel="0" collapsed="false">
      <c r="A115" s="9" t="s">
        <v>4215</v>
      </c>
      <c r="B115" s="9" t="s">
        <v>94</v>
      </c>
      <c r="C115" s="9" t="s">
        <v>94</v>
      </c>
      <c r="D115" s="9" t="s">
        <v>4084</v>
      </c>
      <c r="E115" s="9" t="s">
        <v>4085</v>
      </c>
      <c r="F115" s="9" t="s">
        <v>3997</v>
      </c>
      <c r="G115" s="9" t="s">
        <v>4002</v>
      </c>
      <c r="H115" s="9" t="s">
        <v>4086</v>
      </c>
      <c r="I115" s="9" t="s">
        <v>235</v>
      </c>
      <c r="J115" s="9" t="n">
        <f aca="false">COUNTIFS($B$5:$B$304,B115,$C$5:$C$304,C115)</f>
        <v>1</v>
      </c>
    </row>
    <row r="116" customFormat="false" ht="48" hidden="false" customHeight="true" outlineLevel="0" collapsed="false">
      <c r="A116" s="9" t="s">
        <v>4216</v>
      </c>
      <c r="B116" s="9" t="s">
        <v>94</v>
      </c>
      <c r="C116" s="9" t="s">
        <v>100</v>
      </c>
      <c r="D116" s="9" t="s">
        <v>4088</v>
      </c>
      <c r="E116" s="9" t="s">
        <v>4092</v>
      </c>
      <c r="F116" s="9"/>
      <c r="G116" s="9" t="s">
        <v>4093</v>
      </c>
      <c r="H116" s="9" t="s">
        <v>4086</v>
      </c>
      <c r="I116" s="9" t="s">
        <v>235</v>
      </c>
      <c r="J116" s="9" t="n">
        <f aca="false">COUNTIFS($B$5:$B$304,B116,$C$5:$C$304,C116)</f>
        <v>1</v>
      </c>
    </row>
    <row r="117" customFormat="false" ht="48" hidden="false" customHeight="true" outlineLevel="0" collapsed="false">
      <c r="A117" s="9" t="s">
        <v>4217</v>
      </c>
      <c r="B117" s="9" t="s">
        <v>94</v>
      </c>
      <c r="C117" s="9" t="s">
        <v>107</v>
      </c>
      <c r="D117" s="9" t="s">
        <v>4088</v>
      </c>
      <c r="E117" s="9" t="s">
        <v>4092</v>
      </c>
      <c r="F117" s="9"/>
      <c r="G117" s="9" t="s">
        <v>4093</v>
      </c>
      <c r="H117" s="9" t="s">
        <v>4086</v>
      </c>
      <c r="I117" s="9" t="s">
        <v>235</v>
      </c>
      <c r="J117" s="9" t="n">
        <f aca="false">COUNTIFS($B$5:$B$304,B117,$C$5:$C$304,C117)</f>
        <v>1</v>
      </c>
    </row>
    <row r="118" customFormat="false" ht="48" hidden="false" customHeight="true" outlineLevel="0" collapsed="false">
      <c r="A118" s="9" t="s">
        <v>4218</v>
      </c>
      <c r="B118" s="9" t="s">
        <v>94</v>
      </c>
      <c r="C118" s="9" t="s">
        <v>114</v>
      </c>
      <c r="D118" s="9" t="s">
        <v>4088</v>
      </c>
      <c r="E118" s="9" t="s">
        <v>4092</v>
      </c>
      <c r="F118" s="9"/>
      <c r="G118" s="9" t="s">
        <v>4093</v>
      </c>
      <c r="H118" s="9" t="s">
        <v>4086</v>
      </c>
      <c r="I118" s="9" t="s">
        <v>235</v>
      </c>
      <c r="J118" s="9" t="n">
        <f aca="false">COUNTIFS($B$5:$B$304,B118,$C$5:$C$304,C118)</f>
        <v>1</v>
      </c>
    </row>
    <row r="119" customFormat="false" ht="48" hidden="false" customHeight="true" outlineLevel="0" collapsed="false">
      <c r="A119" s="9" t="s">
        <v>4219</v>
      </c>
      <c r="B119" s="9" t="s">
        <v>94</v>
      </c>
      <c r="C119" s="9" t="s">
        <v>120</v>
      </c>
      <c r="D119" s="9" t="s">
        <v>4088</v>
      </c>
      <c r="E119" s="9" t="s">
        <v>4085</v>
      </c>
      <c r="F119" s="9" t="s">
        <v>3899</v>
      </c>
      <c r="G119" s="9" t="s">
        <v>584</v>
      </c>
      <c r="H119" s="9" t="s">
        <v>4086</v>
      </c>
      <c r="I119" s="9" t="s">
        <v>235</v>
      </c>
      <c r="J119" s="9" t="n">
        <f aca="false">COUNTIFS($B$5:$B$304,B119,$C$5:$C$304,C119)</f>
        <v>1</v>
      </c>
    </row>
    <row r="120" customFormat="false" ht="48" hidden="false" customHeight="true" outlineLevel="0" collapsed="false">
      <c r="A120" s="9" t="s">
        <v>4220</v>
      </c>
      <c r="B120" s="9" t="s">
        <v>94</v>
      </c>
      <c r="C120" s="9" t="s">
        <v>127</v>
      </c>
      <c r="D120" s="9" t="s">
        <v>4088</v>
      </c>
      <c r="E120" s="9" t="s">
        <v>4092</v>
      </c>
      <c r="F120" s="9"/>
      <c r="G120" s="9" t="s">
        <v>4093</v>
      </c>
      <c r="H120" s="9" t="s">
        <v>4086</v>
      </c>
      <c r="I120" s="9" t="s">
        <v>235</v>
      </c>
      <c r="J120" s="9" t="n">
        <f aca="false">COUNTIFS($B$5:$B$304,B120,$C$5:$C$304,C120)</f>
        <v>1</v>
      </c>
    </row>
    <row r="121" customFormat="false" ht="48" hidden="false" customHeight="true" outlineLevel="0" collapsed="false">
      <c r="A121" s="9" t="s">
        <v>4221</v>
      </c>
      <c r="B121" s="9" t="s">
        <v>94</v>
      </c>
      <c r="C121" s="9" t="s">
        <v>133</v>
      </c>
      <c r="D121" s="9" t="s">
        <v>4088</v>
      </c>
      <c r="E121" s="9" t="s">
        <v>4092</v>
      </c>
      <c r="F121" s="9"/>
      <c r="G121" s="9" t="s">
        <v>4093</v>
      </c>
      <c r="H121" s="9" t="s">
        <v>4086</v>
      </c>
      <c r="I121" s="9" t="s">
        <v>235</v>
      </c>
      <c r="J121" s="9" t="n">
        <f aca="false">COUNTIFS($B$5:$B$304,B121,$C$5:$C$304,C121)</f>
        <v>1</v>
      </c>
    </row>
    <row r="122" customFormat="false" ht="48" hidden="false" customHeight="true" outlineLevel="0" collapsed="false">
      <c r="A122" s="9" t="s">
        <v>4222</v>
      </c>
      <c r="B122" s="9" t="s">
        <v>94</v>
      </c>
      <c r="C122" s="9" t="s">
        <v>139</v>
      </c>
      <c r="D122" s="9" t="s">
        <v>4088</v>
      </c>
      <c r="E122" s="9" t="s">
        <v>4092</v>
      </c>
      <c r="F122" s="9"/>
      <c r="G122" s="9" t="s">
        <v>4093</v>
      </c>
      <c r="H122" s="9" t="s">
        <v>4086</v>
      </c>
      <c r="I122" s="9" t="s">
        <v>235</v>
      </c>
      <c r="J122" s="9" t="n">
        <f aca="false">COUNTIFS($B$5:$B$304,B122,$C$5:$C$304,C122)</f>
        <v>1</v>
      </c>
    </row>
    <row r="123" customFormat="false" ht="48" hidden="false" customHeight="true" outlineLevel="0" collapsed="false">
      <c r="A123" s="9" t="s">
        <v>4223</v>
      </c>
      <c r="B123" s="9" t="s">
        <v>94</v>
      </c>
      <c r="C123" s="9" t="s">
        <v>145</v>
      </c>
      <c r="D123" s="9" t="s">
        <v>4088</v>
      </c>
      <c r="E123" s="9" t="s">
        <v>4092</v>
      </c>
      <c r="F123" s="9"/>
      <c r="G123" s="9" t="s">
        <v>4093</v>
      </c>
      <c r="H123" s="9" t="s">
        <v>4086</v>
      </c>
      <c r="I123" s="9" t="s">
        <v>235</v>
      </c>
      <c r="J123" s="9" t="n">
        <f aca="false">COUNTIFS($B$5:$B$304,B123,$C$5:$C$304,C123)</f>
        <v>1</v>
      </c>
    </row>
    <row r="124" customFormat="false" ht="48" hidden="false" customHeight="true" outlineLevel="0" collapsed="false">
      <c r="A124" s="9" t="s">
        <v>4224</v>
      </c>
      <c r="B124" s="9" t="s">
        <v>94</v>
      </c>
      <c r="C124" s="9" t="s">
        <v>151</v>
      </c>
      <c r="D124" s="9" t="s">
        <v>4088</v>
      </c>
      <c r="E124" s="9" t="s">
        <v>4092</v>
      </c>
      <c r="F124" s="9"/>
      <c r="G124" s="9" t="s">
        <v>4093</v>
      </c>
      <c r="H124" s="9" t="s">
        <v>4086</v>
      </c>
      <c r="I124" s="9" t="s">
        <v>235</v>
      </c>
      <c r="J124" s="9" t="n">
        <f aca="false">COUNTIFS($B$5:$B$304,B124,$C$5:$C$304,C124)</f>
        <v>1</v>
      </c>
    </row>
    <row r="125" customFormat="false" ht="48" hidden="false" customHeight="true" outlineLevel="0" collapsed="false">
      <c r="A125" s="9" t="s">
        <v>4225</v>
      </c>
      <c r="B125" s="9" t="s">
        <v>94</v>
      </c>
      <c r="C125" s="9" t="s">
        <v>157</v>
      </c>
      <c r="D125" s="9" t="s">
        <v>4088</v>
      </c>
      <c r="E125" s="9" t="s">
        <v>4092</v>
      </c>
      <c r="F125" s="9"/>
      <c r="G125" s="9" t="s">
        <v>4093</v>
      </c>
      <c r="H125" s="9" t="s">
        <v>4086</v>
      </c>
      <c r="I125" s="9" t="s">
        <v>235</v>
      </c>
      <c r="J125" s="9" t="n">
        <f aca="false">COUNTIFS($B$5:$B$304,B125,$C$5:$C$304,C125)</f>
        <v>1</v>
      </c>
    </row>
    <row r="126" customFormat="false" ht="48" hidden="false" customHeight="true" outlineLevel="0" collapsed="false">
      <c r="A126" s="9" t="s">
        <v>4226</v>
      </c>
      <c r="B126" s="9" t="s">
        <v>94</v>
      </c>
      <c r="C126" s="9" t="s">
        <v>163</v>
      </c>
      <c r="D126" s="9" t="s">
        <v>4088</v>
      </c>
      <c r="E126" s="9" t="s">
        <v>4092</v>
      </c>
      <c r="F126" s="9"/>
      <c r="G126" s="9" t="s">
        <v>4093</v>
      </c>
      <c r="H126" s="9" t="s">
        <v>4086</v>
      </c>
      <c r="I126" s="9" t="s">
        <v>235</v>
      </c>
      <c r="J126" s="9" t="n">
        <f aca="false">COUNTIFS($B$5:$B$304,B126,$C$5:$C$304,C126)</f>
        <v>1</v>
      </c>
    </row>
    <row r="127" customFormat="false" ht="48" hidden="false" customHeight="true" outlineLevel="0" collapsed="false">
      <c r="A127" s="9" t="s">
        <v>4227</v>
      </c>
      <c r="B127" s="9" t="s">
        <v>94</v>
      </c>
      <c r="C127" s="9" t="s">
        <v>169</v>
      </c>
      <c r="D127" s="9" t="s">
        <v>4088</v>
      </c>
      <c r="E127" s="9" t="s">
        <v>4092</v>
      </c>
      <c r="F127" s="9"/>
      <c r="G127" s="9" t="s">
        <v>4093</v>
      </c>
      <c r="H127" s="9" t="s">
        <v>4086</v>
      </c>
      <c r="I127" s="9" t="s">
        <v>235</v>
      </c>
      <c r="J127" s="9" t="n">
        <f aca="false">COUNTIFS($B$5:$B$304,B127,$C$5:$C$304,C127)</f>
        <v>1</v>
      </c>
    </row>
    <row r="128" customFormat="false" ht="48" hidden="false" customHeight="true" outlineLevel="0" collapsed="false">
      <c r="A128" s="9" t="s">
        <v>4228</v>
      </c>
      <c r="B128" s="9" t="s">
        <v>94</v>
      </c>
      <c r="C128" s="9" t="s">
        <v>176</v>
      </c>
      <c r="D128" s="9" t="s">
        <v>4088</v>
      </c>
      <c r="E128" s="9" t="s">
        <v>4092</v>
      </c>
      <c r="F128" s="9"/>
      <c r="G128" s="9" t="s">
        <v>4093</v>
      </c>
      <c r="H128" s="9" t="s">
        <v>4086</v>
      </c>
      <c r="I128" s="9" t="s">
        <v>235</v>
      </c>
      <c r="J128" s="9" t="n">
        <f aca="false">COUNTIFS($B$5:$B$304,B128,$C$5:$C$304,C128)</f>
        <v>1</v>
      </c>
    </row>
    <row r="129" customFormat="false" ht="48" hidden="false" customHeight="true" outlineLevel="0" collapsed="false">
      <c r="A129" s="9" t="s">
        <v>4229</v>
      </c>
      <c r="B129" s="9" t="s">
        <v>94</v>
      </c>
      <c r="C129" s="9" t="s">
        <v>183</v>
      </c>
      <c r="D129" s="9" t="s">
        <v>4088</v>
      </c>
      <c r="E129" s="9" t="s">
        <v>4092</v>
      </c>
      <c r="F129" s="9"/>
      <c r="G129" s="9" t="s">
        <v>4093</v>
      </c>
      <c r="H129" s="9" t="s">
        <v>4086</v>
      </c>
      <c r="I129" s="9" t="s">
        <v>235</v>
      </c>
      <c r="J129" s="9" t="n">
        <f aca="false">COUNTIFS($B$5:$B$304,B129,$C$5:$C$304,C129)</f>
        <v>1</v>
      </c>
    </row>
    <row r="130" customFormat="false" ht="48" hidden="false" customHeight="true" outlineLevel="0" collapsed="false">
      <c r="A130" s="9" t="s">
        <v>4230</v>
      </c>
      <c r="B130" s="9" t="s">
        <v>94</v>
      </c>
      <c r="C130" s="9" t="s">
        <v>189</v>
      </c>
      <c r="D130" s="9" t="s">
        <v>4088</v>
      </c>
      <c r="E130" s="9" t="s">
        <v>4092</v>
      </c>
      <c r="F130" s="9"/>
      <c r="G130" s="9" t="s">
        <v>4093</v>
      </c>
      <c r="H130" s="9" t="s">
        <v>4086</v>
      </c>
      <c r="I130" s="9" t="s">
        <v>235</v>
      </c>
      <c r="J130" s="9" t="n">
        <f aca="false">COUNTIFS($B$5:$B$304,B130,$C$5:$C$304,C130)</f>
        <v>1</v>
      </c>
    </row>
    <row r="131" customFormat="false" ht="48" hidden="false" customHeight="true" outlineLevel="0" collapsed="false">
      <c r="A131" s="9" t="s">
        <v>4231</v>
      </c>
      <c r="B131" s="9" t="s">
        <v>94</v>
      </c>
      <c r="C131" s="9" t="s">
        <v>196</v>
      </c>
      <c r="D131" s="9" t="s">
        <v>4088</v>
      </c>
      <c r="E131" s="9" t="s">
        <v>4092</v>
      </c>
      <c r="F131" s="9"/>
      <c r="G131" s="9" t="s">
        <v>4093</v>
      </c>
      <c r="H131" s="9" t="s">
        <v>4086</v>
      </c>
      <c r="I131" s="9" t="s">
        <v>235</v>
      </c>
      <c r="J131" s="9" t="n">
        <f aca="false">COUNTIFS($B$5:$B$304,B131,$C$5:$C$304,C131)</f>
        <v>1</v>
      </c>
    </row>
    <row r="132" customFormat="false" ht="48" hidden="false" customHeight="true" outlineLevel="0" collapsed="false">
      <c r="A132" s="9" t="s">
        <v>4232</v>
      </c>
      <c r="B132" s="9" t="s">
        <v>94</v>
      </c>
      <c r="C132" s="9" t="s">
        <v>203</v>
      </c>
      <c r="D132" s="9" t="s">
        <v>4088</v>
      </c>
      <c r="E132" s="9" t="s">
        <v>4092</v>
      </c>
      <c r="F132" s="9"/>
      <c r="G132" s="9" t="s">
        <v>4093</v>
      </c>
      <c r="H132" s="9" t="s">
        <v>4086</v>
      </c>
      <c r="I132" s="9" t="s">
        <v>235</v>
      </c>
      <c r="J132" s="9" t="n">
        <f aca="false">COUNTIFS($B$5:$B$304,B132,$C$5:$C$304,C132)</f>
        <v>1</v>
      </c>
    </row>
    <row r="133" customFormat="false" ht="48" hidden="false" customHeight="true" outlineLevel="0" collapsed="false">
      <c r="A133" s="9" t="s">
        <v>4233</v>
      </c>
      <c r="B133" s="9" t="s">
        <v>94</v>
      </c>
      <c r="C133" s="9" t="s">
        <v>210</v>
      </c>
      <c r="D133" s="9" t="s">
        <v>4088</v>
      </c>
      <c r="E133" s="9" t="s">
        <v>4092</v>
      </c>
      <c r="F133" s="9"/>
      <c r="G133" s="9" t="s">
        <v>4093</v>
      </c>
      <c r="H133" s="9" t="s">
        <v>4086</v>
      </c>
      <c r="I133" s="9" t="s">
        <v>235</v>
      </c>
      <c r="J133" s="9" t="n">
        <f aca="false">COUNTIFS($B$5:$B$304,B133,$C$5:$C$304,C133)</f>
        <v>1</v>
      </c>
    </row>
    <row r="134" customFormat="false" ht="48" hidden="false" customHeight="true" outlineLevel="0" collapsed="false">
      <c r="A134" s="9" t="s">
        <v>4234</v>
      </c>
      <c r="B134" s="9" t="s">
        <v>100</v>
      </c>
      <c r="C134" s="9" t="s">
        <v>100</v>
      </c>
      <c r="D134" s="9" t="s">
        <v>4084</v>
      </c>
      <c r="E134" s="9" t="s">
        <v>4085</v>
      </c>
      <c r="F134" s="9" t="s">
        <v>4235</v>
      </c>
      <c r="G134" s="9" t="s">
        <v>2531</v>
      </c>
      <c r="H134" s="9" t="s">
        <v>4086</v>
      </c>
      <c r="I134" s="9" t="s">
        <v>235</v>
      </c>
      <c r="J134" s="9" t="n">
        <f aca="false">COUNTIFS($B$5:$B$304,B134,$C$5:$C$304,C134)</f>
        <v>1</v>
      </c>
    </row>
    <row r="135" customFormat="false" ht="48" hidden="false" customHeight="true" outlineLevel="0" collapsed="false">
      <c r="A135" s="9" t="s">
        <v>4236</v>
      </c>
      <c r="B135" s="9" t="s">
        <v>100</v>
      </c>
      <c r="C135" s="9" t="s">
        <v>107</v>
      </c>
      <c r="D135" s="9" t="s">
        <v>4088</v>
      </c>
      <c r="E135" s="9" t="s">
        <v>4092</v>
      </c>
      <c r="F135" s="9"/>
      <c r="G135" s="9" t="s">
        <v>4093</v>
      </c>
      <c r="H135" s="9" t="s">
        <v>4086</v>
      </c>
      <c r="I135" s="9" t="s">
        <v>235</v>
      </c>
      <c r="J135" s="9" t="n">
        <f aca="false">COUNTIFS($B$5:$B$304,B135,$C$5:$C$304,C135)</f>
        <v>1</v>
      </c>
    </row>
    <row r="136" customFormat="false" ht="48" hidden="false" customHeight="true" outlineLevel="0" collapsed="false">
      <c r="A136" s="9" t="s">
        <v>4237</v>
      </c>
      <c r="B136" s="9" t="s">
        <v>100</v>
      </c>
      <c r="C136" s="9" t="s">
        <v>114</v>
      </c>
      <c r="D136" s="9" t="s">
        <v>4088</v>
      </c>
      <c r="E136" s="9" t="s">
        <v>4092</v>
      </c>
      <c r="F136" s="9"/>
      <c r="G136" s="9" t="s">
        <v>4093</v>
      </c>
      <c r="H136" s="9" t="s">
        <v>4086</v>
      </c>
      <c r="I136" s="9" t="s">
        <v>235</v>
      </c>
      <c r="J136" s="9" t="n">
        <f aca="false">COUNTIFS($B$5:$B$304,B136,$C$5:$C$304,C136)</f>
        <v>1</v>
      </c>
    </row>
    <row r="137" customFormat="false" ht="48" hidden="false" customHeight="true" outlineLevel="0" collapsed="false">
      <c r="A137" s="9" t="s">
        <v>4238</v>
      </c>
      <c r="B137" s="9" t="s">
        <v>100</v>
      </c>
      <c r="C137" s="9" t="s">
        <v>120</v>
      </c>
      <c r="D137" s="9" t="s">
        <v>4088</v>
      </c>
      <c r="E137" s="9" t="s">
        <v>4085</v>
      </c>
      <c r="F137" s="9" t="s">
        <v>4239</v>
      </c>
      <c r="G137" s="9" t="s">
        <v>4240</v>
      </c>
      <c r="H137" s="9" t="s">
        <v>4241</v>
      </c>
      <c r="I137" s="9" t="s">
        <v>235</v>
      </c>
      <c r="J137" s="9" t="n">
        <f aca="false">COUNTIFS($B$5:$B$304,B137,$C$5:$C$304,C137)</f>
        <v>1</v>
      </c>
    </row>
    <row r="138" customFormat="false" ht="48" hidden="false" customHeight="true" outlineLevel="0" collapsed="false">
      <c r="A138" s="9" t="s">
        <v>4242</v>
      </c>
      <c r="B138" s="9" t="s">
        <v>100</v>
      </c>
      <c r="C138" s="9" t="s">
        <v>127</v>
      </c>
      <c r="D138" s="9" t="s">
        <v>4088</v>
      </c>
      <c r="E138" s="9" t="s">
        <v>4092</v>
      </c>
      <c r="F138" s="9"/>
      <c r="G138" s="9" t="s">
        <v>4093</v>
      </c>
      <c r="H138" s="9" t="s">
        <v>4086</v>
      </c>
      <c r="I138" s="9" t="s">
        <v>235</v>
      </c>
      <c r="J138" s="9" t="n">
        <f aca="false">COUNTIFS($B$5:$B$304,B138,$C$5:$C$304,C138)</f>
        <v>1</v>
      </c>
    </row>
    <row r="139" customFormat="false" ht="48" hidden="false" customHeight="true" outlineLevel="0" collapsed="false">
      <c r="A139" s="9" t="s">
        <v>4243</v>
      </c>
      <c r="B139" s="9" t="s">
        <v>100</v>
      </c>
      <c r="C139" s="9" t="s">
        <v>133</v>
      </c>
      <c r="D139" s="9" t="s">
        <v>4088</v>
      </c>
      <c r="E139" s="9" t="s">
        <v>4092</v>
      </c>
      <c r="F139" s="9"/>
      <c r="G139" s="9" t="s">
        <v>4093</v>
      </c>
      <c r="H139" s="9" t="s">
        <v>4086</v>
      </c>
      <c r="I139" s="9" t="s">
        <v>235</v>
      </c>
      <c r="J139" s="9" t="n">
        <f aca="false">COUNTIFS($B$5:$B$304,B139,$C$5:$C$304,C139)</f>
        <v>1</v>
      </c>
    </row>
    <row r="140" customFormat="false" ht="48" hidden="false" customHeight="true" outlineLevel="0" collapsed="false">
      <c r="A140" s="9" t="s">
        <v>4244</v>
      </c>
      <c r="B140" s="9" t="s">
        <v>100</v>
      </c>
      <c r="C140" s="9" t="s">
        <v>139</v>
      </c>
      <c r="D140" s="9" t="s">
        <v>4088</v>
      </c>
      <c r="E140" s="9" t="s">
        <v>4092</v>
      </c>
      <c r="F140" s="9"/>
      <c r="G140" s="9" t="s">
        <v>4093</v>
      </c>
      <c r="H140" s="9" t="s">
        <v>4086</v>
      </c>
      <c r="I140" s="9" t="s">
        <v>235</v>
      </c>
      <c r="J140" s="9" t="n">
        <f aca="false">COUNTIFS($B$5:$B$304,B140,$C$5:$C$304,C140)</f>
        <v>1</v>
      </c>
    </row>
    <row r="141" customFormat="false" ht="48" hidden="false" customHeight="true" outlineLevel="0" collapsed="false">
      <c r="A141" s="9" t="s">
        <v>4245</v>
      </c>
      <c r="B141" s="9" t="s">
        <v>100</v>
      </c>
      <c r="C141" s="9" t="s">
        <v>145</v>
      </c>
      <c r="D141" s="9" t="s">
        <v>4088</v>
      </c>
      <c r="E141" s="9" t="s">
        <v>4092</v>
      </c>
      <c r="F141" s="9"/>
      <c r="G141" s="9" t="s">
        <v>4093</v>
      </c>
      <c r="H141" s="9" t="s">
        <v>4086</v>
      </c>
      <c r="I141" s="9" t="s">
        <v>235</v>
      </c>
      <c r="J141" s="9" t="n">
        <f aca="false">COUNTIFS($B$5:$B$304,B141,$C$5:$C$304,C141)</f>
        <v>1</v>
      </c>
    </row>
    <row r="142" customFormat="false" ht="48" hidden="false" customHeight="true" outlineLevel="0" collapsed="false">
      <c r="A142" s="9" t="s">
        <v>4246</v>
      </c>
      <c r="B142" s="9" t="s">
        <v>100</v>
      </c>
      <c r="C142" s="9" t="s">
        <v>151</v>
      </c>
      <c r="D142" s="9" t="s">
        <v>4088</v>
      </c>
      <c r="E142" s="9" t="s">
        <v>4092</v>
      </c>
      <c r="F142" s="9"/>
      <c r="G142" s="9" t="s">
        <v>4093</v>
      </c>
      <c r="H142" s="9" t="s">
        <v>4086</v>
      </c>
      <c r="I142" s="9" t="s">
        <v>235</v>
      </c>
      <c r="J142" s="9" t="n">
        <f aca="false">COUNTIFS($B$5:$B$304,B142,$C$5:$C$304,C142)</f>
        <v>1</v>
      </c>
    </row>
    <row r="143" customFormat="false" ht="48" hidden="false" customHeight="true" outlineLevel="0" collapsed="false">
      <c r="A143" s="9" t="s">
        <v>4247</v>
      </c>
      <c r="B143" s="9" t="s">
        <v>100</v>
      </c>
      <c r="C143" s="9" t="s">
        <v>157</v>
      </c>
      <c r="D143" s="9" t="s">
        <v>4088</v>
      </c>
      <c r="E143" s="9" t="s">
        <v>4092</v>
      </c>
      <c r="F143" s="9"/>
      <c r="G143" s="9" t="s">
        <v>4093</v>
      </c>
      <c r="H143" s="9" t="s">
        <v>4086</v>
      </c>
      <c r="I143" s="9" t="s">
        <v>235</v>
      </c>
      <c r="J143" s="9" t="n">
        <f aca="false">COUNTIFS($B$5:$B$304,B143,$C$5:$C$304,C143)</f>
        <v>1</v>
      </c>
    </row>
    <row r="144" customFormat="false" ht="48" hidden="false" customHeight="true" outlineLevel="0" collapsed="false">
      <c r="A144" s="9" t="s">
        <v>4248</v>
      </c>
      <c r="B144" s="9" t="s">
        <v>100</v>
      </c>
      <c r="C144" s="9" t="s">
        <v>163</v>
      </c>
      <c r="D144" s="9" t="s">
        <v>4088</v>
      </c>
      <c r="E144" s="9" t="s">
        <v>4092</v>
      </c>
      <c r="F144" s="9"/>
      <c r="G144" s="9" t="s">
        <v>4093</v>
      </c>
      <c r="H144" s="9" t="s">
        <v>4086</v>
      </c>
      <c r="I144" s="9" t="s">
        <v>235</v>
      </c>
      <c r="J144" s="9" t="n">
        <f aca="false">COUNTIFS($B$5:$B$304,B144,$C$5:$C$304,C144)</f>
        <v>1</v>
      </c>
    </row>
    <row r="145" customFormat="false" ht="48" hidden="false" customHeight="true" outlineLevel="0" collapsed="false">
      <c r="A145" s="9" t="s">
        <v>4249</v>
      </c>
      <c r="B145" s="9" t="s">
        <v>100</v>
      </c>
      <c r="C145" s="9" t="s">
        <v>169</v>
      </c>
      <c r="D145" s="9" t="s">
        <v>4088</v>
      </c>
      <c r="E145" s="9" t="s">
        <v>4092</v>
      </c>
      <c r="F145" s="9"/>
      <c r="G145" s="9" t="s">
        <v>4093</v>
      </c>
      <c r="H145" s="9" t="s">
        <v>4086</v>
      </c>
      <c r="I145" s="9" t="s">
        <v>235</v>
      </c>
      <c r="J145" s="9" t="n">
        <f aca="false">COUNTIFS($B$5:$B$304,B145,$C$5:$C$304,C145)</f>
        <v>1</v>
      </c>
    </row>
    <row r="146" customFormat="false" ht="48" hidden="false" customHeight="true" outlineLevel="0" collapsed="false">
      <c r="A146" s="9" t="s">
        <v>4250</v>
      </c>
      <c r="B146" s="9" t="s">
        <v>100</v>
      </c>
      <c r="C146" s="9" t="s">
        <v>176</v>
      </c>
      <c r="D146" s="9" t="s">
        <v>4088</v>
      </c>
      <c r="E146" s="9" t="s">
        <v>4092</v>
      </c>
      <c r="F146" s="9"/>
      <c r="G146" s="9" t="s">
        <v>4093</v>
      </c>
      <c r="H146" s="9" t="s">
        <v>4086</v>
      </c>
      <c r="I146" s="9" t="s">
        <v>235</v>
      </c>
      <c r="J146" s="9" t="n">
        <f aca="false">COUNTIFS($B$5:$B$304,B146,$C$5:$C$304,C146)</f>
        <v>1</v>
      </c>
    </row>
    <row r="147" customFormat="false" ht="48" hidden="false" customHeight="true" outlineLevel="0" collapsed="false">
      <c r="A147" s="9" t="s">
        <v>4251</v>
      </c>
      <c r="B147" s="9" t="s">
        <v>100</v>
      </c>
      <c r="C147" s="9" t="s">
        <v>183</v>
      </c>
      <c r="D147" s="9" t="s">
        <v>4088</v>
      </c>
      <c r="E147" s="9" t="s">
        <v>4092</v>
      </c>
      <c r="F147" s="9"/>
      <c r="G147" s="9" t="s">
        <v>4093</v>
      </c>
      <c r="H147" s="9" t="s">
        <v>4086</v>
      </c>
      <c r="I147" s="9" t="s">
        <v>235</v>
      </c>
      <c r="J147" s="9" t="n">
        <f aca="false">COUNTIFS($B$5:$B$304,B147,$C$5:$C$304,C147)</f>
        <v>1</v>
      </c>
    </row>
    <row r="148" customFormat="false" ht="48" hidden="false" customHeight="true" outlineLevel="0" collapsed="false">
      <c r="A148" s="9" t="s">
        <v>4252</v>
      </c>
      <c r="B148" s="9" t="s">
        <v>100</v>
      </c>
      <c r="C148" s="9" t="s">
        <v>189</v>
      </c>
      <c r="D148" s="9" t="s">
        <v>4088</v>
      </c>
      <c r="E148" s="9" t="s">
        <v>4092</v>
      </c>
      <c r="F148" s="9"/>
      <c r="G148" s="9" t="s">
        <v>4093</v>
      </c>
      <c r="H148" s="9" t="s">
        <v>4086</v>
      </c>
      <c r="I148" s="9" t="s">
        <v>235</v>
      </c>
      <c r="J148" s="9" t="n">
        <f aca="false">COUNTIFS($B$5:$B$304,B148,$C$5:$C$304,C148)</f>
        <v>1</v>
      </c>
    </row>
    <row r="149" customFormat="false" ht="48" hidden="false" customHeight="true" outlineLevel="0" collapsed="false">
      <c r="A149" s="9" t="s">
        <v>4253</v>
      </c>
      <c r="B149" s="9" t="s">
        <v>100</v>
      </c>
      <c r="C149" s="9" t="s">
        <v>196</v>
      </c>
      <c r="D149" s="9" t="s">
        <v>4088</v>
      </c>
      <c r="E149" s="9" t="s">
        <v>4092</v>
      </c>
      <c r="F149" s="9"/>
      <c r="G149" s="9" t="s">
        <v>4093</v>
      </c>
      <c r="H149" s="9" t="s">
        <v>4086</v>
      </c>
      <c r="I149" s="9" t="s">
        <v>235</v>
      </c>
      <c r="J149" s="9" t="n">
        <f aca="false">COUNTIFS($B$5:$B$304,B149,$C$5:$C$304,C149)</f>
        <v>1</v>
      </c>
    </row>
    <row r="150" customFormat="false" ht="48" hidden="false" customHeight="true" outlineLevel="0" collapsed="false">
      <c r="A150" s="9" t="s">
        <v>4254</v>
      </c>
      <c r="B150" s="9" t="s">
        <v>100</v>
      </c>
      <c r="C150" s="9" t="s">
        <v>203</v>
      </c>
      <c r="D150" s="9" t="s">
        <v>4088</v>
      </c>
      <c r="E150" s="9" t="s">
        <v>4092</v>
      </c>
      <c r="F150" s="9"/>
      <c r="G150" s="9" t="s">
        <v>4093</v>
      </c>
      <c r="H150" s="9" t="s">
        <v>4086</v>
      </c>
      <c r="I150" s="9" t="s">
        <v>235</v>
      </c>
      <c r="J150" s="9" t="n">
        <f aca="false">COUNTIFS($B$5:$B$304,B150,$C$5:$C$304,C150)</f>
        <v>1</v>
      </c>
    </row>
    <row r="151" customFormat="false" ht="48" hidden="false" customHeight="true" outlineLevel="0" collapsed="false">
      <c r="A151" s="9" t="s">
        <v>4255</v>
      </c>
      <c r="B151" s="9" t="s">
        <v>100</v>
      </c>
      <c r="C151" s="9" t="s">
        <v>210</v>
      </c>
      <c r="D151" s="9" t="s">
        <v>4088</v>
      </c>
      <c r="E151" s="9" t="s">
        <v>4092</v>
      </c>
      <c r="F151" s="9"/>
      <c r="G151" s="9" t="s">
        <v>4093</v>
      </c>
      <c r="H151" s="9" t="s">
        <v>4086</v>
      </c>
      <c r="I151" s="9" t="s">
        <v>235</v>
      </c>
      <c r="J151" s="9" t="n">
        <f aca="false">COUNTIFS($B$5:$B$304,B151,$C$5:$C$304,C151)</f>
        <v>1</v>
      </c>
    </row>
    <row r="152" customFormat="false" ht="48" hidden="false" customHeight="true" outlineLevel="0" collapsed="false">
      <c r="A152" s="9" t="s">
        <v>4256</v>
      </c>
      <c r="B152" s="9" t="s">
        <v>107</v>
      </c>
      <c r="C152" s="9" t="s">
        <v>107</v>
      </c>
      <c r="D152" s="9" t="s">
        <v>4084</v>
      </c>
      <c r="E152" s="9" t="s">
        <v>4124</v>
      </c>
      <c r="F152" s="9"/>
      <c r="G152" s="9" t="s">
        <v>4093</v>
      </c>
      <c r="H152" s="9" t="s">
        <v>4086</v>
      </c>
      <c r="I152" s="9" t="s">
        <v>235</v>
      </c>
      <c r="J152" s="9" t="n">
        <f aca="false">COUNTIFS($B$5:$B$304,B152,$C$5:$C$304,C152)</f>
        <v>1</v>
      </c>
    </row>
    <row r="153" customFormat="false" ht="48" hidden="false" customHeight="true" outlineLevel="0" collapsed="false">
      <c r="A153" s="9" t="s">
        <v>4257</v>
      </c>
      <c r="B153" s="9" t="s">
        <v>107</v>
      </c>
      <c r="C153" s="9" t="s">
        <v>114</v>
      </c>
      <c r="D153" s="9" t="s">
        <v>4088</v>
      </c>
      <c r="E153" s="9" t="s">
        <v>4085</v>
      </c>
      <c r="F153" s="9" t="s">
        <v>3978</v>
      </c>
      <c r="G153" s="9" t="s">
        <v>389</v>
      </c>
      <c r="H153" s="9" t="s">
        <v>4086</v>
      </c>
      <c r="I153" s="9" t="s">
        <v>235</v>
      </c>
      <c r="J153" s="9" t="n">
        <f aca="false">COUNTIFS($B$5:$B$304,B153,$C$5:$C$304,C153)</f>
        <v>1</v>
      </c>
    </row>
    <row r="154" customFormat="false" ht="48" hidden="false" customHeight="true" outlineLevel="0" collapsed="false">
      <c r="A154" s="9" t="s">
        <v>4258</v>
      </c>
      <c r="B154" s="9" t="s">
        <v>107</v>
      </c>
      <c r="C154" s="9" t="s">
        <v>120</v>
      </c>
      <c r="D154" s="9" t="s">
        <v>4088</v>
      </c>
      <c r="E154" s="9" t="s">
        <v>4092</v>
      </c>
      <c r="F154" s="9"/>
      <c r="G154" s="9" t="s">
        <v>4093</v>
      </c>
      <c r="H154" s="9" t="s">
        <v>4086</v>
      </c>
      <c r="I154" s="9" t="s">
        <v>235</v>
      </c>
      <c r="J154" s="9" t="n">
        <f aca="false">COUNTIFS($B$5:$B$304,B154,$C$5:$C$304,C154)</f>
        <v>1</v>
      </c>
    </row>
    <row r="155" customFormat="false" ht="48" hidden="false" customHeight="true" outlineLevel="0" collapsed="false">
      <c r="A155" s="9" t="s">
        <v>4259</v>
      </c>
      <c r="B155" s="9" t="s">
        <v>107</v>
      </c>
      <c r="C155" s="9" t="s">
        <v>127</v>
      </c>
      <c r="D155" s="9" t="s">
        <v>4088</v>
      </c>
      <c r="E155" s="9" t="s">
        <v>4092</v>
      </c>
      <c r="F155" s="9"/>
      <c r="G155" s="9" t="s">
        <v>4093</v>
      </c>
      <c r="H155" s="9" t="s">
        <v>4086</v>
      </c>
      <c r="I155" s="9" t="s">
        <v>235</v>
      </c>
      <c r="J155" s="9" t="n">
        <f aca="false">COUNTIFS($B$5:$B$304,B155,$C$5:$C$304,C155)</f>
        <v>1</v>
      </c>
    </row>
    <row r="156" customFormat="false" ht="48" hidden="false" customHeight="true" outlineLevel="0" collapsed="false">
      <c r="A156" s="9" t="s">
        <v>4260</v>
      </c>
      <c r="B156" s="9" t="s">
        <v>107</v>
      </c>
      <c r="C156" s="9" t="s">
        <v>133</v>
      </c>
      <c r="D156" s="9" t="s">
        <v>4088</v>
      </c>
      <c r="E156" s="9" t="s">
        <v>4092</v>
      </c>
      <c r="F156" s="9"/>
      <c r="G156" s="9" t="s">
        <v>4093</v>
      </c>
      <c r="H156" s="9" t="s">
        <v>4086</v>
      </c>
      <c r="I156" s="9" t="s">
        <v>235</v>
      </c>
      <c r="J156" s="9" t="n">
        <f aca="false">COUNTIFS($B$5:$B$304,B156,$C$5:$C$304,C156)</f>
        <v>1</v>
      </c>
    </row>
    <row r="157" customFormat="false" ht="48" hidden="false" customHeight="true" outlineLevel="0" collapsed="false">
      <c r="A157" s="9" t="s">
        <v>4261</v>
      </c>
      <c r="B157" s="9" t="s">
        <v>107</v>
      </c>
      <c r="C157" s="9" t="s">
        <v>139</v>
      </c>
      <c r="D157" s="9" t="s">
        <v>4088</v>
      </c>
      <c r="E157" s="9" t="s">
        <v>4092</v>
      </c>
      <c r="F157" s="9"/>
      <c r="G157" s="9" t="s">
        <v>4093</v>
      </c>
      <c r="H157" s="9" t="s">
        <v>4086</v>
      </c>
      <c r="I157" s="9" t="s">
        <v>235</v>
      </c>
      <c r="J157" s="9" t="n">
        <f aca="false">COUNTIFS($B$5:$B$304,B157,$C$5:$C$304,C157)</f>
        <v>1</v>
      </c>
    </row>
    <row r="158" customFormat="false" ht="48" hidden="false" customHeight="true" outlineLevel="0" collapsed="false">
      <c r="A158" s="9" t="s">
        <v>4262</v>
      </c>
      <c r="B158" s="9" t="s">
        <v>107</v>
      </c>
      <c r="C158" s="9" t="s">
        <v>145</v>
      </c>
      <c r="D158" s="9" t="s">
        <v>4088</v>
      </c>
      <c r="E158" s="9" t="s">
        <v>4092</v>
      </c>
      <c r="F158" s="9"/>
      <c r="G158" s="9" t="s">
        <v>4093</v>
      </c>
      <c r="H158" s="9" t="s">
        <v>4086</v>
      </c>
      <c r="I158" s="9" t="s">
        <v>235</v>
      </c>
      <c r="J158" s="9" t="n">
        <f aca="false">COUNTIFS($B$5:$B$304,B158,$C$5:$C$304,C158)</f>
        <v>1</v>
      </c>
    </row>
    <row r="159" customFormat="false" ht="48" hidden="false" customHeight="true" outlineLevel="0" collapsed="false">
      <c r="A159" s="9" t="s">
        <v>4263</v>
      </c>
      <c r="B159" s="9" t="s">
        <v>107</v>
      </c>
      <c r="C159" s="9" t="s">
        <v>151</v>
      </c>
      <c r="D159" s="9" t="s">
        <v>4088</v>
      </c>
      <c r="E159" s="9" t="s">
        <v>4092</v>
      </c>
      <c r="F159" s="9"/>
      <c r="G159" s="9" t="s">
        <v>4093</v>
      </c>
      <c r="H159" s="9" t="s">
        <v>4086</v>
      </c>
      <c r="I159" s="9" t="s">
        <v>235</v>
      </c>
      <c r="J159" s="9" t="n">
        <f aca="false">COUNTIFS($B$5:$B$304,B159,$C$5:$C$304,C159)</f>
        <v>1</v>
      </c>
    </row>
    <row r="160" customFormat="false" ht="48" hidden="false" customHeight="true" outlineLevel="0" collapsed="false">
      <c r="A160" s="9" t="s">
        <v>4264</v>
      </c>
      <c r="B160" s="9" t="s">
        <v>107</v>
      </c>
      <c r="C160" s="9" t="s">
        <v>157</v>
      </c>
      <c r="D160" s="9" t="s">
        <v>4088</v>
      </c>
      <c r="E160" s="9" t="s">
        <v>4092</v>
      </c>
      <c r="F160" s="9"/>
      <c r="G160" s="9" t="s">
        <v>4093</v>
      </c>
      <c r="H160" s="9" t="s">
        <v>4086</v>
      </c>
      <c r="I160" s="9" t="s">
        <v>235</v>
      </c>
      <c r="J160" s="9" t="n">
        <f aca="false">COUNTIFS($B$5:$B$304,B160,$C$5:$C$304,C160)</f>
        <v>1</v>
      </c>
    </row>
    <row r="161" customFormat="false" ht="48" hidden="false" customHeight="true" outlineLevel="0" collapsed="false">
      <c r="A161" s="9" t="s">
        <v>4265</v>
      </c>
      <c r="B161" s="9" t="s">
        <v>107</v>
      </c>
      <c r="C161" s="9" t="s">
        <v>163</v>
      </c>
      <c r="D161" s="9" t="s">
        <v>4088</v>
      </c>
      <c r="E161" s="9" t="s">
        <v>4092</v>
      </c>
      <c r="F161" s="9"/>
      <c r="G161" s="9" t="s">
        <v>4093</v>
      </c>
      <c r="H161" s="9" t="s">
        <v>4086</v>
      </c>
      <c r="I161" s="9" t="s">
        <v>235</v>
      </c>
      <c r="J161" s="9" t="n">
        <f aca="false">COUNTIFS($B$5:$B$304,B161,$C$5:$C$304,C161)</f>
        <v>1</v>
      </c>
    </row>
    <row r="162" customFormat="false" ht="48" hidden="false" customHeight="true" outlineLevel="0" collapsed="false">
      <c r="A162" s="9" t="s">
        <v>4266</v>
      </c>
      <c r="B162" s="9" t="s">
        <v>107</v>
      </c>
      <c r="C162" s="9" t="s">
        <v>169</v>
      </c>
      <c r="D162" s="9" t="s">
        <v>4088</v>
      </c>
      <c r="E162" s="9" t="s">
        <v>4092</v>
      </c>
      <c r="F162" s="9"/>
      <c r="G162" s="9" t="s">
        <v>4093</v>
      </c>
      <c r="H162" s="9" t="s">
        <v>4086</v>
      </c>
      <c r="I162" s="9" t="s">
        <v>235</v>
      </c>
      <c r="J162" s="9" t="n">
        <f aca="false">COUNTIFS($B$5:$B$304,B162,$C$5:$C$304,C162)</f>
        <v>1</v>
      </c>
    </row>
    <row r="163" customFormat="false" ht="48" hidden="false" customHeight="true" outlineLevel="0" collapsed="false">
      <c r="A163" s="9" t="s">
        <v>4267</v>
      </c>
      <c r="B163" s="9" t="s">
        <v>107</v>
      </c>
      <c r="C163" s="9" t="s">
        <v>176</v>
      </c>
      <c r="D163" s="9" t="s">
        <v>4088</v>
      </c>
      <c r="E163" s="9" t="s">
        <v>4092</v>
      </c>
      <c r="F163" s="9"/>
      <c r="G163" s="9" t="s">
        <v>4093</v>
      </c>
      <c r="H163" s="9" t="s">
        <v>4086</v>
      </c>
      <c r="I163" s="9" t="s">
        <v>235</v>
      </c>
      <c r="J163" s="9" t="n">
        <f aca="false">COUNTIFS($B$5:$B$304,B163,$C$5:$C$304,C163)</f>
        <v>1</v>
      </c>
    </row>
    <row r="164" customFormat="false" ht="48" hidden="false" customHeight="true" outlineLevel="0" collapsed="false">
      <c r="A164" s="9" t="s">
        <v>4268</v>
      </c>
      <c r="B164" s="9" t="s">
        <v>107</v>
      </c>
      <c r="C164" s="9" t="s">
        <v>183</v>
      </c>
      <c r="D164" s="9" t="s">
        <v>4088</v>
      </c>
      <c r="E164" s="9" t="s">
        <v>4092</v>
      </c>
      <c r="F164" s="9"/>
      <c r="G164" s="9" t="s">
        <v>4093</v>
      </c>
      <c r="H164" s="9" t="s">
        <v>4086</v>
      </c>
      <c r="I164" s="9" t="s">
        <v>235</v>
      </c>
      <c r="J164" s="9" t="n">
        <f aca="false">COUNTIFS($B$5:$B$304,B164,$C$5:$C$304,C164)</f>
        <v>1</v>
      </c>
    </row>
    <row r="165" customFormat="false" ht="48" hidden="false" customHeight="true" outlineLevel="0" collapsed="false">
      <c r="A165" s="9" t="s">
        <v>4269</v>
      </c>
      <c r="B165" s="9" t="s">
        <v>107</v>
      </c>
      <c r="C165" s="9" t="s">
        <v>189</v>
      </c>
      <c r="D165" s="9" t="s">
        <v>4088</v>
      </c>
      <c r="E165" s="9" t="s">
        <v>4085</v>
      </c>
      <c r="F165" s="9" t="s">
        <v>3973</v>
      </c>
      <c r="G165" s="9" t="s">
        <v>395</v>
      </c>
      <c r="H165" s="9" t="s">
        <v>4086</v>
      </c>
      <c r="I165" s="9" t="s">
        <v>235</v>
      </c>
      <c r="J165" s="9" t="n">
        <f aca="false">COUNTIFS($B$5:$B$304,B165,$C$5:$C$304,C165)</f>
        <v>1</v>
      </c>
    </row>
    <row r="166" customFormat="false" ht="48" hidden="false" customHeight="true" outlineLevel="0" collapsed="false">
      <c r="A166" s="9" t="s">
        <v>4270</v>
      </c>
      <c r="B166" s="9" t="s">
        <v>107</v>
      </c>
      <c r="C166" s="9" t="s">
        <v>196</v>
      </c>
      <c r="D166" s="9" t="s">
        <v>4088</v>
      </c>
      <c r="E166" s="9" t="s">
        <v>4092</v>
      </c>
      <c r="F166" s="9"/>
      <c r="G166" s="9" t="s">
        <v>4093</v>
      </c>
      <c r="H166" s="9" t="s">
        <v>4086</v>
      </c>
      <c r="I166" s="9" t="s">
        <v>235</v>
      </c>
      <c r="J166" s="9" t="n">
        <f aca="false">COUNTIFS($B$5:$B$304,B166,$C$5:$C$304,C166)</f>
        <v>1</v>
      </c>
    </row>
    <row r="167" customFormat="false" ht="48" hidden="false" customHeight="true" outlineLevel="0" collapsed="false">
      <c r="A167" s="9" t="s">
        <v>4271</v>
      </c>
      <c r="B167" s="9" t="s">
        <v>107</v>
      </c>
      <c r="C167" s="9" t="s">
        <v>203</v>
      </c>
      <c r="D167" s="9" t="s">
        <v>4088</v>
      </c>
      <c r="E167" s="9" t="s">
        <v>4092</v>
      </c>
      <c r="F167" s="9"/>
      <c r="G167" s="9" t="s">
        <v>4093</v>
      </c>
      <c r="H167" s="9" t="s">
        <v>4086</v>
      </c>
      <c r="I167" s="9" t="s">
        <v>235</v>
      </c>
      <c r="J167" s="9" t="n">
        <f aca="false">COUNTIFS($B$5:$B$304,B167,$C$5:$C$304,C167)</f>
        <v>1</v>
      </c>
    </row>
    <row r="168" customFormat="false" ht="48" hidden="false" customHeight="true" outlineLevel="0" collapsed="false">
      <c r="A168" s="9" t="s">
        <v>4272</v>
      </c>
      <c r="B168" s="9" t="s">
        <v>107</v>
      </c>
      <c r="C168" s="9" t="s">
        <v>210</v>
      </c>
      <c r="D168" s="9" t="s">
        <v>4088</v>
      </c>
      <c r="E168" s="9" t="s">
        <v>4092</v>
      </c>
      <c r="F168" s="9"/>
      <c r="G168" s="9" t="s">
        <v>4093</v>
      </c>
      <c r="H168" s="9" t="s">
        <v>4086</v>
      </c>
      <c r="I168" s="9" t="s">
        <v>235</v>
      </c>
      <c r="J168" s="9" t="n">
        <f aca="false">COUNTIFS($B$5:$B$304,B168,$C$5:$C$304,C168)</f>
        <v>1</v>
      </c>
    </row>
    <row r="169" customFormat="false" ht="48" hidden="false" customHeight="true" outlineLevel="0" collapsed="false">
      <c r="A169" s="9" t="s">
        <v>4273</v>
      </c>
      <c r="B169" s="9" t="s">
        <v>114</v>
      </c>
      <c r="C169" s="9" t="s">
        <v>114</v>
      </c>
      <c r="D169" s="9" t="s">
        <v>4084</v>
      </c>
      <c r="E169" s="9" t="s">
        <v>4085</v>
      </c>
      <c r="F169" s="9" t="s">
        <v>4274</v>
      </c>
      <c r="G169" s="9" t="s">
        <v>3442</v>
      </c>
      <c r="H169" s="9" t="s">
        <v>4086</v>
      </c>
      <c r="I169" s="9" t="s">
        <v>235</v>
      </c>
      <c r="J169" s="9" t="n">
        <f aca="false">COUNTIFS($B$5:$B$304,B169,$C$5:$C$304,C169)</f>
        <v>1</v>
      </c>
    </row>
    <row r="170" customFormat="false" ht="48" hidden="false" customHeight="true" outlineLevel="0" collapsed="false">
      <c r="A170" s="9" t="s">
        <v>4275</v>
      </c>
      <c r="B170" s="9" t="s">
        <v>114</v>
      </c>
      <c r="C170" s="9" t="s">
        <v>120</v>
      </c>
      <c r="D170" s="9" t="s">
        <v>4088</v>
      </c>
      <c r="E170" s="9" t="s">
        <v>4092</v>
      </c>
      <c r="F170" s="9"/>
      <c r="G170" s="9" t="s">
        <v>4093</v>
      </c>
      <c r="H170" s="9" t="s">
        <v>4086</v>
      </c>
      <c r="I170" s="9" t="s">
        <v>235</v>
      </c>
      <c r="J170" s="9" t="n">
        <f aca="false">COUNTIFS($B$5:$B$304,B170,$C$5:$C$304,C170)</f>
        <v>1</v>
      </c>
    </row>
    <row r="171" customFormat="false" ht="48" hidden="false" customHeight="true" outlineLevel="0" collapsed="false">
      <c r="A171" s="9" t="s">
        <v>4276</v>
      </c>
      <c r="B171" s="9" t="s">
        <v>114</v>
      </c>
      <c r="C171" s="9" t="s">
        <v>127</v>
      </c>
      <c r="D171" s="9" t="s">
        <v>4088</v>
      </c>
      <c r="E171" s="9" t="s">
        <v>4092</v>
      </c>
      <c r="F171" s="9"/>
      <c r="G171" s="9" t="s">
        <v>4093</v>
      </c>
      <c r="H171" s="9" t="s">
        <v>4086</v>
      </c>
      <c r="I171" s="9" t="s">
        <v>235</v>
      </c>
      <c r="J171" s="9" t="n">
        <f aca="false">COUNTIFS($B$5:$B$304,B171,$C$5:$C$304,C171)</f>
        <v>1</v>
      </c>
    </row>
    <row r="172" customFormat="false" ht="48" hidden="false" customHeight="true" outlineLevel="0" collapsed="false">
      <c r="A172" s="9" t="s">
        <v>4277</v>
      </c>
      <c r="B172" s="9" t="s">
        <v>114</v>
      </c>
      <c r="C172" s="9" t="s">
        <v>133</v>
      </c>
      <c r="D172" s="9" t="s">
        <v>4088</v>
      </c>
      <c r="E172" s="9" t="s">
        <v>4092</v>
      </c>
      <c r="F172" s="9"/>
      <c r="G172" s="9" t="s">
        <v>4093</v>
      </c>
      <c r="H172" s="9" t="s">
        <v>4086</v>
      </c>
      <c r="I172" s="9" t="s">
        <v>235</v>
      </c>
      <c r="J172" s="9" t="n">
        <f aca="false">COUNTIFS($B$5:$B$304,B172,$C$5:$C$304,C172)</f>
        <v>1</v>
      </c>
    </row>
    <row r="173" customFormat="false" ht="48" hidden="false" customHeight="true" outlineLevel="0" collapsed="false">
      <c r="A173" s="9" t="s">
        <v>4278</v>
      </c>
      <c r="B173" s="9" t="s">
        <v>114</v>
      </c>
      <c r="C173" s="9" t="s">
        <v>139</v>
      </c>
      <c r="D173" s="9" t="s">
        <v>4088</v>
      </c>
      <c r="E173" s="9" t="s">
        <v>4092</v>
      </c>
      <c r="F173" s="9"/>
      <c r="G173" s="9" t="s">
        <v>4093</v>
      </c>
      <c r="H173" s="9" t="s">
        <v>4086</v>
      </c>
      <c r="I173" s="9" t="s">
        <v>235</v>
      </c>
      <c r="J173" s="9" t="n">
        <f aca="false">COUNTIFS($B$5:$B$304,B173,$C$5:$C$304,C173)</f>
        <v>1</v>
      </c>
    </row>
    <row r="174" customFormat="false" ht="48" hidden="false" customHeight="true" outlineLevel="0" collapsed="false">
      <c r="A174" s="9" t="s">
        <v>4279</v>
      </c>
      <c r="B174" s="9" t="s">
        <v>114</v>
      </c>
      <c r="C174" s="9" t="s">
        <v>145</v>
      </c>
      <c r="D174" s="9" t="s">
        <v>4088</v>
      </c>
      <c r="E174" s="9" t="s">
        <v>4085</v>
      </c>
      <c r="F174" s="9" t="s">
        <v>3744</v>
      </c>
      <c r="G174" s="9" t="s">
        <v>3749</v>
      </c>
      <c r="H174" s="9" t="s">
        <v>4086</v>
      </c>
      <c r="I174" s="9" t="s">
        <v>235</v>
      </c>
      <c r="J174" s="9" t="n">
        <f aca="false">COUNTIFS($B$5:$B$304,B174,$C$5:$C$304,C174)</f>
        <v>1</v>
      </c>
    </row>
    <row r="175" customFormat="false" ht="48" hidden="false" customHeight="true" outlineLevel="0" collapsed="false">
      <c r="A175" s="9" t="s">
        <v>4280</v>
      </c>
      <c r="B175" s="9" t="s">
        <v>114</v>
      </c>
      <c r="C175" s="9" t="s">
        <v>151</v>
      </c>
      <c r="D175" s="9" t="s">
        <v>4088</v>
      </c>
      <c r="E175" s="9" t="s">
        <v>4092</v>
      </c>
      <c r="F175" s="9"/>
      <c r="G175" s="9" t="s">
        <v>4093</v>
      </c>
      <c r="H175" s="9" t="s">
        <v>4086</v>
      </c>
      <c r="I175" s="9" t="s">
        <v>235</v>
      </c>
      <c r="J175" s="9" t="n">
        <f aca="false">COUNTIFS($B$5:$B$304,B175,$C$5:$C$304,C175)</f>
        <v>1</v>
      </c>
    </row>
    <row r="176" customFormat="false" ht="48" hidden="false" customHeight="true" outlineLevel="0" collapsed="false">
      <c r="A176" s="9" t="s">
        <v>4281</v>
      </c>
      <c r="B176" s="9" t="s">
        <v>114</v>
      </c>
      <c r="C176" s="9" t="s">
        <v>157</v>
      </c>
      <c r="D176" s="9" t="s">
        <v>4088</v>
      </c>
      <c r="E176" s="9" t="s">
        <v>4092</v>
      </c>
      <c r="F176" s="9"/>
      <c r="G176" s="9" t="s">
        <v>4093</v>
      </c>
      <c r="H176" s="9" t="s">
        <v>4086</v>
      </c>
      <c r="I176" s="9" t="s">
        <v>235</v>
      </c>
      <c r="J176" s="9" t="n">
        <f aca="false">COUNTIFS($B$5:$B$304,B176,$C$5:$C$304,C176)</f>
        <v>1</v>
      </c>
    </row>
    <row r="177" customFormat="false" ht="48" hidden="false" customHeight="true" outlineLevel="0" collapsed="false">
      <c r="A177" s="9" t="s">
        <v>4282</v>
      </c>
      <c r="B177" s="9" t="s">
        <v>114</v>
      </c>
      <c r="C177" s="9" t="s">
        <v>163</v>
      </c>
      <c r="D177" s="9" t="s">
        <v>4088</v>
      </c>
      <c r="E177" s="9" t="s">
        <v>4092</v>
      </c>
      <c r="F177" s="9"/>
      <c r="G177" s="9" t="s">
        <v>4093</v>
      </c>
      <c r="H177" s="9" t="s">
        <v>4086</v>
      </c>
      <c r="I177" s="9" t="s">
        <v>235</v>
      </c>
      <c r="J177" s="9" t="n">
        <f aca="false">COUNTIFS($B$5:$B$304,B177,$C$5:$C$304,C177)</f>
        <v>1</v>
      </c>
    </row>
    <row r="178" customFormat="false" ht="48" hidden="false" customHeight="true" outlineLevel="0" collapsed="false">
      <c r="A178" s="9" t="s">
        <v>4283</v>
      </c>
      <c r="B178" s="9" t="s">
        <v>114</v>
      </c>
      <c r="C178" s="9" t="s">
        <v>169</v>
      </c>
      <c r="D178" s="9" t="s">
        <v>4088</v>
      </c>
      <c r="E178" s="9" t="s">
        <v>4092</v>
      </c>
      <c r="F178" s="9"/>
      <c r="G178" s="9" t="s">
        <v>4093</v>
      </c>
      <c r="H178" s="9" t="s">
        <v>4086</v>
      </c>
      <c r="I178" s="9" t="s">
        <v>235</v>
      </c>
      <c r="J178" s="9" t="n">
        <f aca="false">COUNTIFS($B$5:$B$304,B178,$C$5:$C$304,C178)</f>
        <v>1</v>
      </c>
    </row>
    <row r="179" customFormat="false" ht="48" hidden="false" customHeight="true" outlineLevel="0" collapsed="false">
      <c r="A179" s="9" t="s">
        <v>4284</v>
      </c>
      <c r="B179" s="9" t="s">
        <v>114</v>
      </c>
      <c r="C179" s="9" t="s">
        <v>176</v>
      </c>
      <c r="D179" s="9" t="s">
        <v>4088</v>
      </c>
      <c r="E179" s="9" t="s">
        <v>4085</v>
      </c>
      <c r="F179" s="9" t="s">
        <v>3750</v>
      </c>
      <c r="G179" s="9" t="s">
        <v>3754</v>
      </c>
      <c r="H179" s="9" t="s">
        <v>4086</v>
      </c>
      <c r="I179" s="9" t="s">
        <v>235</v>
      </c>
      <c r="J179" s="9" t="n">
        <f aca="false">COUNTIFS($B$5:$B$304,B179,$C$5:$C$304,C179)</f>
        <v>1</v>
      </c>
    </row>
    <row r="180" customFormat="false" ht="48" hidden="false" customHeight="true" outlineLevel="0" collapsed="false">
      <c r="A180" s="9" t="s">
        <v>4285</v>
      </c>
      <c r="B180" s="9" t="s">
        <v>114</v>
      </c>
      <c r="C180" s="9" t="s">
        <v>183</v>
      </c>
      <c r="D180" s="9" t="s">
        <v>4088</v>
      </c>
      <c r="E180" s="9" t="s">
        <v>4085</v>
      </c>
      <c r="F180" s="9" t="s">
        <v>4024</v>
      </c>
      <c r="G180" s="9" t="s">
        <v>4029</v>
      </c>
      <c r="H180" s="9" t="s">
        <v>4086</v>
      </c>
      <c r="I180" s="9" t="s">
        <v>235</v>
      </c>
      <c r="J180" s="9" t="n">
        <f aca="false">COUNTIFS($B$5:$B$304,B180,$C$5:$C$304,C180)</f>
        <v>1</v>
      </c>
    </row>
    <row r="181" customFormat="false" ht="48" hidden="false" customHeight="true" outlineLevel="0" collapsed="false">
      <c r="A181" s="9" t="s">
        <v>4286</v>
      </c>
      <c r="B181" s="9" t="s">
        <v>114</v>
      </c>
      <c r="C181" s="9" t="s">
        <v>189</v>
      </c>
      <c r="D181" s="9" t="s">
        <v>4088</v>
      </c>
      <c r="E181" s="9" t="s">
        <v>4092</v>
      </c>
      <c r="F181" s="9"/>
      <c r="G181" s="9" t="s">
        <v>4093</v>
      </c>
      <c r="H181" s="9" t="s">
        <v>4086</v>
      </c>
      <c r="I181" s="9" t="s">
        <v>235</v>
      </c>
      <c r="J181" s="9" t="n">
        <f aca="false">COUNTIFS($B$5:$B$304,B181,$C$5:$C$304,C181)</f>
        <v>1</v>
      </c>
    </row>
    <row r="182" customFormat="false" ht="48" hidden="false" customHeight="true" outlineLevel="0" collapsed="false">
      <c r="A182" s="9" t="s">
        <v>4287</v>
      </c>
      <c r="B182" s="9" t="s">
        <v>114</v>
      </c>
      <c r="C182" s="9" t="s">
        <v>196</v>
      </c>
      <c r="D182" s="9" t="s">
        <v>4088</v>
      </c>
      <c r="E182" s="9" t="s">
        <v>4092</v>
      </c>
      <c r="F182" s="9"/>
      <c r="G182" s="9" t="s">
        <v>4093</v>
      </c>
      <c r="H182" s="9" t="s">
        <v>4086</v>
      </c>
      <c r="I182" s="9" t="s">
        <v>235</v>
      </c>
      <c r="J182" s="9" t="n">
        <f aca="false">COUNTIFS($B$5:$B$304,B182,$C$5:$C$304,C182)</f>
        <v>1</v>
      </c>
    </row>
    <row r="183" customFormat="false" ht="48" hidden="false" customHeight="true" outlineLevel="0" collapsed="false">
      <c r="A183" s="9" t="s">
        <v>4288</v>
      </c>
      <c r="B183" s="9" t="s">
        <v>114</v>
      </c>
      <c r="C183" s="9" t="s">
        <v>203</v>
      </c>
      <c r="D183" s="9" t="s">
        <v>4088</v>
      </c>
      <c r="E183" s="9" t="s">
        <v>4092</v>
      </c>
      <c r="F183" s="9"/>
      <c r="G183" s="9" t="s">
        <v>4093</v>
      </c>
      <c r="H183" s="9" t="s">
        <v>4086</v>
      </c>
      <c r="I183" s="9" t="s">
        <v>235</v>
      </c>
      <c r="J183" s="9" t="n">
        <f aca="false">COUNTIFS($B$5:$B$304,B183,$C$5:$C$304,C183)</f>
        <v>1</v>
      </c>
    </row>
    <row r="184" customFormat="false" ht="48" hidden="false" customHeight="true" outlineLevel="0" collapsed="false">
      <c r="A184" s="9" t="s">
        <v>4289</v>
      </c>
      <c r="B184" s="9" t="s">
        <v>114</v>
      </c>
      <c r="C184" s="9" t="s">
        <v>210</v>
      </c>
      <c r="D184" s="9" t="s">
        <v>4088</v>
      </c>
      <c r="E184" s="9" t="s">
        <v>4092</v>
      </c>
      <c r="F184" s="9"/>
      <c r="G184" s="9" t="s">
        <v>4093</v>
      </c>
      <c r="H184" s="9" t="s">
        <v>4086</v>
      </c>
      <c r="I184" s="9" t="s">
        <v>235</v>
      </c>
      <c r="J184" s="9" t="n">
        <f aca="false">COUNTIFS($B$5:$B$304,B184,$C$5:$C$304,C184)</f>
        <v>1</v>
      </c>
    </row>
    <row r="185" customFormat="false" ht="48" hidden="false" customHeight="true" outlineLevel="0" collapsed="false">
      <c r="A185" s="9" t="s">
        <v>4290</v>
      </c>
      <c r="B185" s="9" t="s">
        <v>120</v>
      </c>
      <c r="C185" s="9" t="s">
        <v>120</v>
      </c>
      <c r="D185" s="9" t="s">
        <v>4084</v>
      </c>
      <c r="E185" s="9" t="s">
        <v>4085</v>
      </c>
      <c r="F185" s="9" t="s">
        <v>4291</v>
      </c>
      <c r="G185" s="9" t="s">
        <v>4292</v>
      </c>
      <c r="H185" s="9" t="s">
        <v>4086</v>
      </c>
      <c r="I185" s="9" t="s">
        <v>235</v>
      </c>
      <c r="J185" s="9" t="n">
        <f aca="false">COUNTIFS($B$5:$B$304,B185,$C$5:$C$304,C185)</f>
        <v>1</v>
      </c>
    </row>
    <row r="186" customFormat="false" ht="48" hidden="false" customHeight="true" outlineLevel="0" collapsed="false">
      <c r="A186" s="9" t="s">
        <v>4293</v>
      </c>
      <c r="B186" s="9" t="s">
        <v>120</v>
      </c>
      <c r="C186" s="9" t="s">
        <v>127</v>
      </c>
      <c r="D186" s="9" t="s">
        <v>4088</v>
      </c>
      <c r="E186" s="9" t="s">
        <v>4092</v>
      </c>
      <c r="F186" s="9"/>
      <c r="G186" s="9" t="s">
        <v>4093</v>
      </c>
      <c r="H186" s="9" t="s">
        <v>4086</v>
      </c>
      <c r="I186" s="9" t="s">
        <v>235</v>
      </c>
      <c r="J186" s="9" t="n">
        <f aca="false">COUNTIFS($B$5:$B$304,B186,$C$5:$C$304,C186)</f>
        <v>1</v>
      </c>
    </row>
    <row r="187" customFormat="false" ht="48" hidden="false" customHeight="true" outlineLevel="0" collapsed="false">
      <c r="A187" s="9" t="s">
        <v>4294</v>
      </c>
      <c r="B187" s="9" t="s">
        <v>120</v>
      </c>
      <c r="C187" s="9" t="s">
        <v>133</v>
      </c>
      <c r="D187" s="9" t="s">
        <v>4088</v>
      </c>
      <c r="E187" s="9" t="s">
        <v>4092</v>
      </c>
      <c r="F187" s="9"/>
      <c r="G187" s="9" t="s">
        <v>4093</v>
      </c>
      <c r="H187" s="9" t="s">
        <v>4086</v>
      </c>
      <c r="I187" s="9" t="s">
        <v>235</v>
      </c>
      <c r="J187" s="9" t="n">
        <f aca="false">COUNTIFS($B$5:$B$304,B187,$C$5:$C$304,C187)</f>
        <v>1</v>
      </c>
    </row>
    <row r="188" customFormat="false" ht="48" hidden="false" customHeight="true" outlineLevel="0" collapsed="false">
      <c r="A188" s="9" t="s">
        <v>4295</v>
      </c>
      <c r="B188" s="9" t="s">
        <v>120</v>
      </c>
      <c r="C188" s="9" t="s">
        <v>139</v>
      </c>
      <c r="D188" s="9" t="s">
        <v>4088</v>
      </c>
      <c r="E188" s="9" t="s">
        <v>4092</v>
      </c>
      <c r="F188" s="9"/>
      <c r="G188" s="9" t="s">
        <v>4093</v>
      </c>
      <c r="H188" s="9" t="s">
        <v>4086</v>
      </c>
      <c r="I188" s="9" t="s">
        <v>235</v>
      </c>
      <c r="J188" s="9" t="n">
        <f aca="false">COUNTIFS($B$5:$B$304,B188,$C$5:$C$304,C188)</f>
        <v>1</v>
      </c>
    </row>
    <row r="189" customFormat="false" ht="48" hidden="false" customHeight="true" outlineLevel="0" collapsed="false">
      <c r="A189" s="9" t="s">
        <v>4296</v>
      </c>
      <c r="B189" s="9" t="s">
        <v>120</v>
      </c>
      <c r="C189" s="9" t="s">
        <v>145</v>
      </c>
      <c r="D189" s="9" t="s">
        <v>4088</v>
      </c>
      <c r="E189" s="9" t="s">
        <v>4092</v>
      </c>
      <c r="F189" s="9"/>
      <c r="G189" s="9" t="s">
        <v>4093</v>
      </c>
      <c r="H189" s="9" t="s">
        <v>4086</v>
      </c>
      <c r="I189" s="9" t="s">
        <v>235</v>
      </c>
      <c r="J189" s="9" t="n">
        <f aca="false">COUNTIFS($B$5:$B$304,B189,$C$5:$C$304,C189)</f>
        <v>1</v>
      </c>
    </row>
    <row r="190" customFormat="false" ht="48" hidden="false" customHeight="true" outlineLevel="0" collapsed="false">
      <c r="A190" s="9" t="s">
        <v>4297</v>
      </c>
      <c r="B190" s="9" t="s">
        <v>120</v>
      </c>
      <c r="C190" s="9" t="s">
        <v>151</v>
      </c>
      <c r="D190" s="9" t="s">
        <v>4088</v>
      </c>
      <c r="E190" s="9" t="s">
        <v>4092</v>
      </c>
      <c r="F190" s="9"/>
      <c r="G190" s="9" t="s">
        <v>4093</v>
      </c>
      <c r="H190" s="9" t="s">
        <v>4086</v>
      </c>
      <c r="I190" s="9" t="s">
        <v>235</v>
      </c>
      <c r="J190" s="9" t="n">
        <f aca="false">COUNTIFS($B$5:$B$304,B190,$C$5:$C$304,C190)</f>
        <v>1</v>
      </c>
    </row>
    <row r="191" customFormat="false" ht="48" hidden="false" customHeight="true" outlineLevel="0" collapsed="false">
      <c r="A191" s="9" t="s">
        <v>4298</v>
      </c>
      <c r="B191" s="9" t="s">
        <v>120</v>
      </c>
      <c r="C191" s="9" t="s">
        <v>157</v>
      </c>
      <c r="D191" s="9" t="s">
        <v>4088</v>
      </c>
      <c r="E191" s="9" t="s">
        <v>4092</v>
      </c>
      <c r="F191" s="9"/>
      <c r="G191" s="9" t="s">
        <v>4093</v>
      </c>
      <c r="H191" s="9" t="s">
        <v>4086</v>
      </c>
      <c r="I191" s="9" t="s">
        <v>235</v>
      </c>
      <c r="J191" s="9" t="n">
        <f aca="false">COUNTIFS($B$5:$B$304,B191,$C$5:$C$304,C191)</f>
        <v>1</v>
      </c>
    </row>
    <row r="192" customFormat="false" ht="48" hidden="false" customHeight="true" outlineLevel="0" collapsed="false">
      <c r="A192" s="9" t="s">
        <v>4299</v>
      </c>
      <c r="B192" s="9" t="s">
        <v>120</v>
      </c>
      <c r="C192" s="9" t="s">
        <v>163</v>
      </c>
      <c r="D192" s="9" t="s">
        <v>4088</v>
      </c>
      <c r="E192" s="9" t="s">
        <v>4092</v>
      </c>
      <c r="F192" s="9"/>
      <c r="G192" s="9" t="s">
        <v>4093</v>
      </c>
      <c r="H192" s="9" t="s">
        <v>4086</v>
      </c>
      <c r="I192" s="9" t="s">
        <v>235</v>
      </c>
      <c r="J192" s="9" t="n">
        <f aca="false">COUNTIFS($B$5:$B$304,B192,$C$5:$C$304,C192)</f>
        <v>1</v>
      </c>
    </row>
    <row r="193" customFormat="false" ht="48" hidden="false" customHeight="true" outlineLevel="0" collapsed="false">
      <c r="A193" s="9" t="s">
        <v>4300</v>
      </c>
      <c r="B193" s="9" t="s">
        <v>120</v>
      </c>
      <c r="C193" s="9" t="s">
        <v>169</v>
      </c>
      <c r="D193" s="9" t="s">
        <v>4088</v>
      </c>
      <c r="E193" s="9" t="s">
        <v>4085</v>
      </c>
      <c r="F193" s="9" t="s">
        <v>3777</v>
      </c>
      <c r="G193" s="9" t="s">
        <v>3782</v>
      </c>
      <c r="H193" s="9" t="s">
        <v>4086</v>
      </c>
      <c r="I193" s="9" t="s">
        <v>235</v>
      </c>
      <c r="J193" s="9" t="n">
        <f aca="false">COUNTIFS($B$5:$B$304,B193,$C$5:$C$304,C193)</f>
        <v>1</v>
      </c>
    </row>
    <row r="194" customFormat="false" ht="48" hidden="false" customHeight="true" outlineLevel="0" collapsed="false">
      <c r="A194" s="9" t="s">
        <v>4301</v>
      </c>
      <c r="B194" s="9" t="s">
        <v>120</v>
      </c>
      <c r="C194" s="9" t="s">
        <v>176</v>
      </c>
      <c r="D194" s="9" t="s">
        <v>4088</v>
      </c>
      <c r="E194" s="9" t="s">
        <v>4085</v>
      </c>
      <c r="F194" s="9" t="s">
        <v>4302</v>
      </c>
      <c r="G194" s="9" t="s">
        <v>4303</v>
      </c>
      <c r="H194" s="9" t="s">
        <v>4086</v>
      </c>
      <c r="I194" s="9" t="s">
        <v>235</v>
      </c>
      <c r="J194" s="9" t="n">
        <f aca="false">COUNTIFS($B$5:$B$304,B194,$C$5:$C$304,C194)</f>
        <v>1</v>
      </c>
    </row>
    <row r="195" customFormat="false" ht="48" hidden="false" customHeight="true" outlineLevel="0" collapsed="false">
      <c r="A195" s="9" t="s">
        <v>4304</v>
      </c>
      <c r="B195" s="9" t="s">
        <v>120</v>
      </c>
      <c r="C195" s="9" t="s">
        <v>183</v>
      </c>
      <c r="D195" s="9" t="s">
        <v>4088</v>
      </c>
      <c r="E195" s="9" t="s">
        <v>4092</v>
      </c>
      <c r="F195" s="9"/>
      <c r="G195" s="9" t="s">
        <v>4093</v>
      </c>
      <c r="H195" s="9" t="s">
        <v>4086</v>
      </c>
      <c r="I195" s="9" t="s">
        <v>235</v>
      </c>
      <c r="J195" s="9" t="n">
        <f aca="false">COUNTIFS($B$5:$B$304,B195,$C$5:$C$304,C195)</f>
        <v>1</v>
      </c>
    </row>
    <row r="196" customFormat="false" ht="48" hidden="false" customHeight="true" outlineLevel="0" collapsed="false">
      <c r="A196" s="9" t="s">
        <v>4305</v>
      </c>
      <c r="B196" s="9" t="s">
        <v>120</v>
      </c>
      <c r="C196" s="9" t="s">
        <v>189</v>
      </c>
      <c r="D196" s="9" t="s">
        <v>4088</v>
      </c>
      <c r="E196" s="9" t="s">
        <v>4092</v>
      </c>
      <c r="F196" s="9"/>
      <c r="G196" s="9" t="s">
        <v>4093</v>
      </c>
      <c r="H196" s="9" t="s">
        <v>4086</v>
      </c>
      <c r="I196" s="9" t="s">
        <v>235</v>
      </c>
      <c r="J196" s="9" t="n">
        <f aca="false">COUNTIFS($B$5:$B$304,B196,$C$5:$C$304,C196)</f>
        <v>1</v>
      </c>
    </row>
    <row r="197" customFormat="false" ht="48" hidden="false" customHeight="true" outlineLevel="0" collapsed="false">
      <c r="A197" s="9" t="s">
        <v>4306</v>
      </c>
      <c r="B197" s="9" t="s">
        <v>120</v>
      </c>
      <c r="C197" s="9" t="s">
        <v>196</v>
      </c>
      <c r="D197" s="9" t="s">
        <v>4088</v>
      </c>
      <c r="E197" s="9" t="s">
        <v>4092</v>
      </c>
      <c r="F197" s="9"/>
      <c r="G197" s="9" t="s">
        <v>4093</v>
      </c>
      <c r="H197" s="9" t="s">
        <v>4086</v>
      </c>
      <c r="I197" s="9" t="s">
        <v>235</v>
      </c>
      <c r="J197" s="9" t="n">
        <f aca="false">COUNTIFS($B$5:$B$304,B197,$C$5:$C$304,C197)</f>
        <v>1</v>
      </c>
    </row>
    <row r="198" customFormat="false" ht="48" hidden="false" customHeight="true" outlineLevel="0" collapsed="false">
      <c r="A198" s="9" t="s">
        <v>4307</v>
      </c>
      <c r="B198" s="9" t="s">
        <v>120</v>
      </c>
      <c r="C198" s="9" t="s">
        <v>203</v>
      </c>
      <c r="D198" s="9" t="s">
        <v>4088</v>
      </c>
      <c r="E198" s="9" t="s">
        <v>4092</v>
      </c>
      <c r="F198" s="9"/>
      <c r="G198" s="9" t="s">
        <v>4093</v>
      </c>
      <c r="H198" s="9" t="s">
        <v>4086</v>
      </c>
      <c r="I198" s="9" t="s">
        <v>235</v>
      </c>
      <c r="J198" s="9" t="n">
        <f aca="false">COUNTIFS($B$5:$B$304,B198,$C$5:$C$304,C198)</f>
        <v>1</v>
      </c>
    </row>
    <row r="199" customFormat="false" ht="48" hidden="false" customHeight="true" outlineLevel="0" collapsed="false">
      <c r="A199" s="9" t="s">
        <v>4308</v>
      </c>
      <c r="B199" s="9" t="s">
        <v>120</v>
      </c>
      <c r="C199" s="9" t="s">
        <v>210</v>
      </c>
      <c r="D199" s="9" t="s">
        <v>4088</v>
      </c>
      <c r="E199" s="9" t="s">
        <v>4092</v>
      </c>
      <c r="F199" s="9"/>
      <c r="G199" s="9" t="s">
        <v>4093</v>
      </c>
      <c r="H199" s="9" t="s">
        <v>4086</v>
      </c>
      <c r="I199" s="9" t="s">
        <v>235</v>
      </c>
      <c r="J199" s="9" t="n">
        <f aca="false">COUNTIFS($B$5:$B$304,B199,$C$5:$C$304,C199)</f>
        <v>1</v>
      </c>
    </row>
    <row r="200" customFormat="false" ht="48" hidden="false" customHeight="true" outlineLevel="0" collapsed="false">
      <c r="A200" s="9" t="s">
        <v>4309</v>
      </c>
      <c r="B200" s="9" t="s">
        <v>127</v>
      </c>
      <c r="C200" s="9" t="s">
        <v>127</v>
      </c>
      <c r="D200" s="9" t="s">
        <v>4084</v>
      </c>
      <c r="E200" s="9" t="s">
        <v>4085</v>
      </c>
      <c r="F200" s="9" t="s">
        <v>3783</v>
      </c>
      <c r="G200" s="9" t="s">
        <v>2503</v>
      </c>
      <c r="H200" s="9" t="s">
        <v>4086</v>
      </c>
      <c r="I200" s="9" t="s">
        <v>235</v>
      </c>
      <c r="J200" s="9" t="n">
        <f aca="false">COUNTIFS($B$5:$B$304,B200,$C$5:$C$304,C200)</f>
        <v>1</v>
      </c>
    </row>
    <row r="201" customFormat="false" ht="48" hidden="false" customHeight="true" outlineLevel="0" collapsed="false">
      <c r="A201" s="9" t="s">
        <v>4310</v>
      </c>
      <c r="B201" s="9" t="s">
        <v>127</v>
      </c>
      <c r="C201" s="9" t="s">
        <v>133</v>
      </c>
      <c r="D201" s="9" t="s">
        <v>4088</v>
      </c>
      <c r="E201" s="9" t="s">
        <v>4092</v>
      </c>
      <c r="F201" s="9"/>
      <c r="G201" s="9" t="s">
        <v>4093</v>
      </c>
      <c r="H201" s="9" t="s">
        <v>4086</v>
      </c>
      <c r="I201" s="9" t="s">
        <v>235</v>
      </c>
      <c r="J201" s="9" t="n">
        <f aca="false">COUNTIFS($B$5:$B$304,B201,$C$5:$C$304,C201)</f>
        <v>1</v>
      </c>
    </row>
    <row r="202" customFormat="false" ht="48" hidden="false" customHeight="true" outlineLevel="0" collapsed="false">
      <c r="A202" s="9" t="s">
        <v>4311</v>
      </c>
      <c r="B202" s="9" t="s">
        <v>127</v>
      </c>
      <c r="C202" s="9" t="s">
        <v>139</v>
      </c>
      <c r="D202" s="9" t="s">
        <v>4088</v>
      </c>
      <c r="E202" s="9" t="s">
        <v>4092</v>
      </c>
      <c r="F202" s="9"/>
      <c r="G202" s="9" t="s">
        <v>4093</v>
      </c>
      <c r="H202" s="9" t="s">
        <v>4086</v>
      </c>
      <c r="I202" s="9" t="s">
        <v>235</v>
      </c>
      <c r="J202" s="9" t="n">
        <f aca="false">COUNTIFS($B$5:$B$304,B202,$C$5:$C$304,C202)</f>
        <v>1</v>
      </c>
    </row>
    <row r="203" customFormat="false" ht="48" hidden="false" customHeight="true" outlineLevel="0" collapsed="false">
      <c r="A203" s="9" t="s">
        <v>4312</v>
      </c>
      <c r="B203" s="9" t="s">
        <v>127</v>
      </c>
      <c r="C203" s="9" t="s">
        <v>145</v>
      </c>
      <c r="D203" s="9" t="s">
        <v>4088</v>
      </c>
      <c r="E203" s="9" t="s">
        <v>4092</v>
      </c>
      <c r="F203" s="9"/>
      <c r="G203" s="9" t="s">
        <v>4093</v>
      </c>
      <c r="H203" s="9" t="s">
        <v>4086</v>
      </c>
      <c r="I203" s="9" t="s">
        <v>235</v>
      </c>
      <c r="J203" s="9" t="n">
        <f aca="false">COUNTIFS($B$5:$B$304,B203,$C$5:$C$304,C203)</f>
        <v>1</v>
      </c>
    </row>
    <row r="204" customFormat="false" ht="48" hidden="false" customHeight="true" outlineLevel="0" collapsed="false">
      <c r="A204" s="9" t="s">
        <v>4313</v>
      </c>
      <c r="B204" s="9" t="s">
        <v>127</v>
      </c>
      <c r="C204" s="9" t="s">
        <v>151</v>
      </c>
      <c r="D204" s="9" t="s">
        <v>4088</v>
      </c>
      <c r="E204" s="9" t="s">
        <v>4092</v>
      </c>
      <c r="F204" s="9"/>
      <c r="G204" s="9" t="s">
        <v>4093</v>
      </c>
      <c r="H204" s="9" t="s">
        <v>4086</v>
      </c>
      <c r="I204" s="9" t="s">
        <v>235</v>
      </c>
      <c r="J204" s="9" t="n">
        <f aca="false">COUNTIFS($B$5:$B$304,B204,$C$5:$C$304,C204)</f>
        <v>1</v>
      </c>
    </row>
    <row r="205" customFormat="false" ht="48" hidden="false" customHeight="true" outlineLevel="0" collapsed="false">
      <c r="A205" s="9" t="s">
        <v>4314</v>
      </c>
      <c r="B205" s="9" t="s">
        <v>127</v>
      </c>
      <c r="C205" s="9" t="s">
        <v>157</v>
      </c>
      <c r="D205" s="9" t="s">
        <v>4088</v>
      </c>
      <c r="E205" s="9" t="s">
        <v>4092</v>
      </c>
      <c r="F205" s="9"/>
      <c r="G205" s="9" t="s">
        <v>4093</v>
      </c>
      <c r="H205" s="9" t="s">
        <v>4086</v>
      </c>
      <c r="I205" s="9" t="s">
        <v>235</v>
      </c>
      <c r="J205" s="9" t="n">
        <f aca="false">COUNTIFS($B$5:$B$304,B205,$C$5:$C$304,C205)</f>
        <v>1</v>
      </c>
    </row>
    <row r="206" customFormat="false" ht="48" hidden="false" customHeight="true" outlineLevel="0" collapsed="false">
      <c r="A206" s="9" t="s">
        <v>4315</v>
      </c>
      <c r="B206" s="9" t="s">
        <v>127</v>
      </c>
      <c r="C206" s="9" t="s">
        <v>163</v>
      </c>
      <c r="D206" s="9" t="s">
        <v>4088</v>
      </c>
      <c r="E206" s="9" t="s">
        <v>4085</v>
      </c>
      <c r="F206" s="9" t="s">
        <v>3798</v>
      </c>
      <c r="G206" s="9" t="s">
        <v>466</v>
      </c>
      <c r="H206" s="9" t="s">
        <v>4086</v>
      </c>
      <c r="I206" s="9" t="s">
        <v>235</v>
      </c>
      <c r="J206" s="9" t="n">
        <f aca="false">COUNTIFS($B$5:$B$304,B206,$C$5:$C$304,C206)</f>
        <v>1</v>
      </c>
    </row>
    <row r="207" customFormat="false" ht="48" hidden="false" customHeight="true" outlineLevel="0" collapsed="false">
      <c r="A207" s="9" t="s">
        <v>4316</v>
      </c>
      <c r="B207" s="9" t="s">
        <v>127</v>
      </c>
      <c r="C207" s="9" t="s">
        <v>169</v>
      </c>
      <c r="D207" s="9" t="s">
        <v>4088</v>
      </c>
      <c r="E207" s="9" t="s">
        <v>4092</v>
      </c>
      <c r="F207" s="9"/>
      <c r="G207" s="9" t="s">
        <v>4093</v>
      </c>
      <c r="H207" s="9" t="s">
        <v>4086</v>
      </c>
      <c r="I207" s="9" t="s">
        <v>235</v>
      </c>
      <c r="J207" s="9" t="n">
        <f aca="false">COUNTIFS($B$5:$B$304,B207,$C$5:$C$304,C207)</f>
        <v>1</v>
      </c>
    </row>
    <row r="208" customFormat="false" ht="48" hidden="false" customHeight="true" outlineLevel="0" collapsed="false">
      <c r="A208" s="9" t="s">
        <v>4317</v>
      </c>
      <c r="B208" s="9" t="s">
        <v>127</v>
      </c>
      <c r="C208" s="9" t="s">
        <v>176</v>
      </c>
      <c r="D208" s="9" t="s">
        <v>4088</v>
      </c>
      <c r="E208" s="9" t="s">
        <v>4085</v>
      </c>
      <c r="F208" s="9" t="s">
        <v>3788</v>
      </c>
      <c r="G208" s="9" t="s">
        <v>3499</v>
      </c>
      <c r="H208" s="9" t="s">
        <v>4086</v>
      </c>
      <c r="I208" s="9" t="s">
        <v>235</v>
      </c>
      <c r="J208" s="9" t="n">
        <f aca="false">COUNTIFS($B$5:$B$304,B208,$C$5:$C$304,C208)</f>
        <v>1</v>
      </c>
    </row>
    <row r="209" customFormat="false" ht="48" hidden="false" customHeight="true" outlineLevel="0" collapsed="false">
      <c r="A209" s="9" t="s">
        <v>4318</v>
      </c>
      <c r="B209" s="9" t="s">
        <v>127</v>
      </c>
      <c r="C209" s="9" t="s">
        <v>183</v>
      </c>
      <c r="D209" s="9" t="s">
        <v>4088</v>
      </c>
      <c r="E209" s="9" t="s">
        <v>4092</v>
      </c>
      <c r="F209" s="9"/>
      <c r="G209" s="9" t="s">
        <v>4093</v>
      </c>
      <c r="H209" s="9" t="s">
        <v>4086</v>
      </c>
      <c r="I209" s="9" t="s">
        <v>235</v>
      </c>
      <c r="J209" s="9" t="n">
        <f aca="false">COUNTIFS($B$5:$B$304,B209,$C$5:$C$304,C209)</f>
        <v>1</v>
      </c>
    </row>
    <row r="210" customFormat="false" ht="48" hidden="false" customHeight="true" outlineLevel="0" collapsed="false">
      <c r="A210" s="9" t="s">
        <v>4319</v>
      </c>
      <c r="B210" s="9" t="s">
        <v>127</v>
      </c>
      <c r="C210" s="9" t="s">
        <v>189</v>
      </c>
      <c r="D210" s="9" t="s">
        <v>4088</v>
      </c>
      <c r="E210" s="9" t="s">
        <v>4092</v>
      </c>
      <c r="F210" s="9"/>
      <c r="G210" s="9" t="s">
        <v>4093</v>
      </c>
      <c r="H210" s="9" t="s">
        <v>4086</v>
      </c>
      <c r="I210" s="9" t="s">
        <v>235</v>
      </c>
      <c r="J210" s="9" t="n">
        <f aca="false">COUNTIFS($B$5:$B$304,B210,$C$5:$C$304,C210)</f>
        <v>1</v>
      </c>
    </row>
    <row r="211" customFormat="false" ht="48" hidden="false" customHeight="true" outlineLevel="0" collapsed="false">
      <c r="A211" s="9" t="s">
        <v>4320</v>
      </c>
      <c r="B211" s="9" t="s">
        <v>127</v>
      </c>
      <c r="C211" s="9" t="s">
        <v>196</v>
      </c>
      <c r="D211" s="9" t="s">
        <v>4088</v>
      </c>
      <c r="E211" s="9" t="s">
        <v>4092</v>
      </c>
      <c r="F211" s="9"/>
      <c r="G211" s="9" t="s">
        <v>4093</v>
      </c>
      <c r="H211" s="9" t="s">
        <v>4086</v>
      </c>
      <c r="I211" s="9" t="s">
        <v>235</v>
      </c>
      <c r="J211" s="9" t="n">
        <f aca="false">COUNTIFS($B$5:$B$304,B211,$C$5:$C$304,C211)</f>
        <v>1</v>
      </c>
    </row>
    <row r="212" customFormat="false" ht="48" hidden="false" customHeight="true" outlineLevel="0" collapsed="false">
      <c r="A212" s="9" t="s">
        <v>4321</v>
      </c>
      <c r="B212" s="9" t="s">
        <v>127</v>
      </c>
      <c r="C212" s="9" t="s">
        <v>203</v>
      </c>
      <c r="D212" s="9" t="s">
        <v>4088</v>
      </c>
      <c r="E212" s="9" t="s">
        <v>4092</v>
      </c>
      <c r="F212" s="9"/>
      <c r="G212" s="9" t="s">
        <v>4093</v>
      </c>
      <c r="H212" s="9" t="s">
        <v>4086</v>
      </c>
      <c r="I212" s="9" t="s">
        <v>235</v>
      </c>
      <c r="J212" s="9" t="n">
        <f aca="false">COUNTIFS($B$5:$B$304,B212,$C$5:$C$304,C212)</f>
        <v>1</v>
      </c>
    </row>
    <row r="213" customFormat="false" ht="48" hidden="false" customHeight="true" outlineLevel="0" collapsed="false">
      <c r="A213" s="9" t="s">
        <v>4322</v>
      </c>
      <c r="B213" s="9" t="s">
        <v>127</v>
      </c>
      <c r="C213" s="9" t="s">
        <v>210</v>
      </c>
      <c r="D213" s="9" t="s">
        <v>4088</v>
      </c>
      <c r="E213" s="9" t="s">
        <v>4092</v>
      </c>
      <c r="F213" s="9"/>
      <c r="G213" s="9" t="s">
        <v>4093</v>
      </c>
      <c r="H213" s="9" t="s">
        <v>4086</v>
      </c>
      <c r="I213" s="9" t="s">
        <v>235</v>
      </c>
      <c r="J213" s="9" t="n">
        <f aca="false">COUNTIFS($B$5:$B$304,B213,$C$5:$C$304,C213)</f>
        <v>1</v>
      </c>
    </row>
    <row r="214" customFormat="false" ht="48" hidden="false" customHeight="true" outlineLevel="0" collapsed="false">
      <c r="A214" s="9" t="s">
        <v>4323</v>
      </c>
      <c r="B214" s="9" t="s">
        <v>133</v>
      </c>
      <c r="C214" s="9" t="s">
        <v>133</v>
      </c>
      <c r="D214" s="9" t="s">
        <v>4084</v>
      </c>
      <c r="E214" s="9" t="s">
        <v>4124</v>
      </c>
      <c r="F214" s="9"/>
      <c r="G214" s="9" t="s">
        <v>4093</v>
      </c>
      <c r="H214" s="9" t="s">
        <v>4086</v>
      </c>
      <c r="I214" s="9" t="s">
        <v>235</v>
      </c>
      <c r="J214" s="9" t="n">
        <f aca="false">COUNTIFS($B$5:$B$304,B214,$C$5:$C$304,C214)</f>
        <v>1</v>
      </c>
    </row>
    <row r="215" customFormat="false" ht="48" hidden="false" customHeight="true" outlineLevel="0" collapsed="false">
      <c r="A215" s="9" t="s">
        <v>4324</v>
      </c>
      <c r="B215" s="9" t="s">
        <v>133</v>
      </c>
      <c r="C215" s="9" t="s">
        <v>139</v>
      </c>
      <c r="D215" s="9" t="s">
        <v>4088</v>
      </c>
      <c r="E215" s="9" t="s">
        <v>4085</v>
      </c>
      <c r="F215" s="9" t="s">
        <v>3946</v>
      </c>
      <c r="G215" s="9" t="s">
        <v>2213</v>
      </c>
      <c r="H215" s="9" t="s">
        <v>4086</v>
      </c>
      <c r="I215" s="9" t="s">
        <v>235</v>
      </c>
      <c r="J215" s="9" t="n">
        <f aca="false">COUNTIFS($B$5:$B$304,B215,$C$5:$C$304,C215)</f>
        <v>1</v>
      </c>
    </row>
    <row r="216" customFormat="false" ht="48" hidden="false" customHeight="true" outlineLevel="0" collapsed="false">
      <c r="A216" s="9" t="s">
        <v>4325</v>
      </c>
      <c r="B216" s="9" t="s">
        <v>133</v>
      </c>
      <c r="C216" s="9" t="s">
        <v>145</v>
      </c>
      <c r="D216" s="9" t="s">
        <v>4088</v>
      </c>
      <c r="E216" s="9" t="s">
        <v>4092</v>
      </c>
      <c r="F216" s="9"/>
      <c r="G216" s="9" t="s">
        <v>4093</v>
      </c>
      <c r="H216" s="9" t="s">
        <v>4086</v>
      </c>
      <c r="I216" s="9" t="s">
        <v>235</v>
      </c>
      <c r="J216" s="9" t="n">
        <f aca="false">COUNTIFS($B$5:$B$304,B216,$C$5:$C$304,C216)</f>
        <v>1</v>
      </c>
    </row>
    <row r="217" customFormat="false" ht="48" hidden="false" customHeight="true" outlineLevel="0" collapsed="false">
      <c r="A217" s="9" t="s">
        <v>4326</v>
      </c>
      <c r="B217" s="9" t="s">
        <v>133</v>
      </c>
      <c r="C217" s="9" t="s">
        <v>151</v>
      </c>
      <c r="D217" s="9" t="s">
        <v>4088</v>
      </c>
      <c r="E217" s="9" t="s">
        <v>4092</v>
      </c>
      <c r="F217" s="9"/>
      <c r="G217" s="9" t="s">
        <v>4093</v>
      </c>
      <c r="H217" s="9" t="s">
        <v>4086</v>
      </c>
      <c r="I217" s="9" t="s">
        <v>235</v>
      </c>
      <c r="J217" s="9" t="n">
        <f aca="false">COUNTIFS($B$5:$B$304,B217,$C$5:$C$304,C217)</f>
        <v>1</v>
      </c>
    </row>
    <row r="218" customFormat="false" ht="48" hidden="false" customHeight="true" outlineLevel="0" collapsed="false">
      <c r="A218" s="9" t="s">
        <v>4327</v>
      </c>
      <c r="B218" s="9" t="s">
        <v>133</v>
      </c>
      <c r="C218" s="9" t="s">
        <v>157</v>
      </c>
      <c r="D218" s="9" t="s">
        <v>4088</v>
      </c>
      <c r="E218" s="9" t="s">
        <v>4092</v>
      </c>
      <c r="F218" s="9"/>
      <c r="G218" s="9" t="s">
        <v>4093</v>
      </c>
      <c r="H218" s="9" t="s">
        <v>4086</v>
      </c>
      <c r="I218" s="9" t="s">
        <v>235</v>
      </c>
      <c r="J218" s="9" t="n">
        <f aca="false">COUNTIFS($B$5:$B$304,B218,$C$5:$C$304,C218)</f>
        <v>1</v>
      </c>
    </row>
    <row r="219" customFormat="false" ht="48" hidden="false" customHeight="true" outlineLevel="0" collapsed="false">
      <c r="A219" s="9" t="s">
        <v>4328</v>
      </c>
      <c r="B219" s="9" t="s">
        <v>133</v>
      </c>
      <c r="C219" s="9" t="s">
        <v>163</v>
      </c>
      <c r="D219" s="9" t="s">
        <v>4088</v>
      </c>
      <c r="E219" s="9" t="s">
        <v>4092</v>
      </c>
      <c r="F219" s="9"/>
      <c r="G219" s="9" t="s">
        <v>4093</v>
      </c>
      <c r="H219" s="9" t="s">
        <v>4086</v>
      </c>
      <c r="I219" s="9" t="s">
        <v>235</v>
      </c>
      <c r="J219" s="9" t="n">
        <f aca="false">COUNTIFS($B$5:$B$304,B219,$C$5:$C$304,C219)</f>
        <v>1</v>
      </c>
    </row>
    <row r="220" customFormat="false" ht="48" hidden="false" customHeight="true" outlineLevel="0" collapsed="false">
      <c r="A220" s="9" t="s">
        <v>4329</v>
      </c>
      <c r="B220" s="9" t="s">
        <v>133</v>
      </c>
      <c r="C220" s="9" t="s">
        <v>169</v>
      </c>
      <c r="D220" s="9" t="s">
        <v>4088</v>
      </c>
      <c r="E220" s="9" t="s">
        <v>4092</v>
      </c>
      <c r="F220" s="9"/>
      <c r="G220" s="9" t="s">
        <v>4093</v>
      </c>
      <c r="H220" s="9" t="s">
        <v>4086</v>
      </c>
      <c r="I220" s="9" t="s">
        <v>235</v>
      </c>
      <c r="J220" s="9" t="n">
        <f aca="false">COUNTIFS($B$5:$B$304,B220,$C$5:$C$304,C220)</f>
        <v>1</v>
      </c>
    </row>
    <row r="221" customFormat="false" ht="48" hidden="false" customHeight="true" outlineLevel="0" collapsed="false">
      <c r="A221" s="9" t="s">
        <v>4330</v>
      </c>
      <c r="B221" s="9" t="s">
        <v>133</v>
      </c>
      <c r="C221" s="9" t="s">
        <v>176</v>
      </c>
      <c r="D221" s="9" t="s">
        <v>4088</v>
      </c>
      <c r="E221" s="9" t="s">
        <v>4092</v>
      </c>
      <c r="F221" s="9"/>
      <c r="G221" s="9" t="s">
        <v>4093</v>
      </c>
      <c r="H221" s="9" t="s">
        <v>4086</v>
      </c>
      <c r="I221" s="9" t="s">
        <v>235</v>
      </c>
      <c r="J221" s="9" t="n">
        <f aca="false">COUNTIFS($B$5:$B$304,B221,$C$5:$C$304,C221)</f>
        <v>1</v>
      </c>
    </row>
    <row r="222" customFormat="false" ht="48" hidden="false" customHeight="true" outlineLevel="0" collapsed="false">
      <c r="A222" s="9" t="s">
        <v>4331</v>
      </c>
      <c r="B222" s="9" t="s">
        <v>133</v>
      </c>
      <c r="C222" s="9" t="s">
        <v>183</v>
      </c>
      <c r="D222" s="9" t="s">
        <v>4088</v>
      </c>
      <c r="E222" s="9" t="s">
        <v>4092</v>
      </c>
      <c r="F222" s="9"/>
      <c r="G222" s="9" t="s">
        <v>4093</v>
      </c>
      <c r="H222" s="9" t="s">
        <v>4086</v>
      </c>
      <c r="I222" s="9" t="s">
        <v>235</v>
      </c>
      <c r="J222" s="9" t="n">
        <f aca="false">COUNTIFS($B$5:$B$304,B222,$C$5:$C$304,C222)</f>
        <v>1</v>
      </c>
    </row>
    <row r="223" customFormat="false" ht="48" hidden="false" customHeight="true" outlineLevel="0" collapsed="false">
      <c r="A223" s="9" t="s">
        <v>4332</v>
      </c>
      <c r="B223" s="9" t="s">
        <v>133</v>
      </c>
      <c r="C223" s="9" t="s">
        <v>189</v>
      </c>
      <c r="D223" s="9" t="s">
        <v>4088</v>
      </c>
      <c r="E223" s="9" t="s">
        <v>4085</v>
      </c>
      <c r="F223" s="9" t="s">
        <v>3951</v>
      </c>
      <c r="G223" s="9" t="s">
        <v>138</v>
      </c>
      <c r="H223" s="9" t="s">
        <v>4086</v>
      </c>
      <c r="I223" s="9" t="s">
        <v>235</v>
      </c>
      <c r="J223" s="9" t="n">
        <f aca="false">COUNTIFS($B$5:$B$304,B223,$C$5:$C$304,C223)</f>
        <v>1</v>
      </c>
    </row>
    <row r="224" customFormat="false" ht="48" hidden="false" customHeight="true" outlineLevel="0" collapsed="false">
      <c r="A224" s="9" t="s">
        <v>4333</v>
      </c>
      <c r="B224" s="9" t="s">
        <v>133</v>
      </c>
      <c r="C224" s="9" t="s">
        <v>196</v>
      </c>
      <c r="D224" s="9" t="s">
        <v>4088</v>
      </c>
      <c r="E224" s="9" t="s">
        <v>4092</v>
      </c>
      <c r="F224" s="9"/>
      <c r="G224" s="9" t="s">
        <v>4093</v>
      </c>
      <c r="H224" s="9" t="s">
        <v>4086</v>
      </c>
      <c r="I224" s="9" t="s">
        <v>235</v>
      </c>
      <c r="J224" s="9" t="n">
        <f aca="false">COUNTIFS($B$5:$B$304,B224,$C$5:$C$304,C224)</f>
        <v>1</v>
      </c>
    </row>
    <row r="225" customFormat="false" ht="48" hidden="false" customHeight="true" outlineLevel="0" collapsed="false">
      <c r="A225" s="9" t="s">
        <v>4334</v>
      </c>
      <c r="B225" s="9" t="s">
        <v>133</v>
      </c>
      <c r="C225" s="9" t="s">
        <v>203</v>
      </c>
      <c r="D225" s="9" t="s">
        <v>4088</v>
      </c>
      <c r="E225" s="9" t="s">
        <v>4092</v>
      </c>
      <c r="F225" s="9"/>
      <c r="G225" s="9" t="s">
        <v>4093</v>
      </c>
      <c r="H225" s="9" t="s">
        <v>4086</v>
      </c>
      <c r="I225" s="9" t="s">
        <v>235</v>
      </c>
      <c r="J225" s="9" t="n">
        <f aca="false">COUNTIFS($B$5:$B$304,B225,$C$5:$C$304,C225)</f>
        <v>1</v>
      </c>
    </row>
    <row r="226" customFormat="false" ht="48" hidden="false" customHeight="true" outlineLevel="0" collapsed="false">
      <c r="A226" s="9" t="s">
        <v>4335</v>
      </c>
      <c r="B226" s="9" t="s">
        <v>133</v>
      </c>
      <c r="C226" s="9" t="s">
        <v>210</v>
      </c>
      <c r="D226" s="9" t="s">
        <v>4088</v>
      </c>
      <c r="E226" s="9" t="s">
        <v>4092</v>
      </c>
      <c r="F226" s="9"/>
      <c r="G226" s="9" t="s">
        <v>4093</v>
      </c>
      <c r="H226" s="9" t="s">
        <v>4086</v>
      </c>
      <c r="I226" s="9" t="s">
        <v>235</v>
      </c>
      <c r="J226" s="9" t="n">
        <f aca="false">COUNTIFS($B$5:$B$304,B226,$C$5:$C$304,C226)</f>
        <v>1</v>
      </c>
    </row>
    <row r="227" customFormat="false" ht="48" hidden="false" customHeight="true" outlineLevel="0" collapsed="false">
      <c r="A227" s="9" t="s">
        <v>4336</v>
      </c>
      <c r="B227" s="9" t="s">
        <v>139</v>
      </c>
      <c r="C227" s="9" t="s">
        <v>139</v>
      </c>
      <c r="D227" s="9" t="s">
        <v>4084</v>
      </c>
      <c r="E227" s="9" t="s">
        <v>4124</v>
      </c>
      <c r="F227" s="9"/>
      <c r="G227" s="9" t="s">
        <v>4093</v>
      </c>
      <c r="H227" s="9" t="s">
        <v>4086</v>
      </c>
      <c r="I227" s="9" t="s">
        <v>235</v>
      </c>
      <c r="J227" s="9" t="n">
        <f aca="false">COUNTIFS($B$5:$B$304,B227,$C$5:$C$304,C227)</f>
        <v>1</v>
      </c>
    </row>
    <row r="228" customFormat="false" ht="48" hidden="false" customHeight="true" outlineLevel="0" collapsed="false">
      <c r="A228" s="9" t="s">
        <v>4337</v>
      </c>
      <c r="B228" s="9" t="s">
        <v>139</v>
      </c>
      <c r="C228" s="9" t="s">
        <v>145</v>
      </c>
      <c r="D228" s="9" t="s">
        <v>4088</v>
      </c>
      <c r="E228" s="9" t="s">
        <v>4092</v>
      </c>
      <c r="F228" s="9"/>
      <c r="G228" s="9" t="s">
        <v>4093</v>
      </c>
      <c r="H228" s="9" t="s">
        <v>4086</v>
      </c>
      <c r="I228" s="9" t="s">
        <v>235</v>
      </c>
      <c r="J228" s="9" t="n">
        <f aca="false">COUNTIFS($B$5:$B$304,B228,$C$5:$C$304,C228)</f>
        <v>1</v>
      </c>
    </row>
    <row r="229" customFormat="false" ht="48" hidden="false" customHeight="true" outlineLevel="0" collapsed="false">
      <c r="A229" s="9" t="s">
        <v>4338</v>
      </c>
      <c r="B229" s="9" t="s">
        <v>139</v>
      </c>
      <c r="C229" s="9" t="s">
        <v>151</v>
      </c>
      <c r="D229" s="9" t="s">
        <v>4088</v>
      </c>
      <c r="E229" s="9" t="s">
        <v>4092</v>
      </c>
      <c r="F229" s="9"/>
      <c r="G229" s="9" t="s">
        <v>4093</v>
      </c>
      <c r="H229" s="9" t="s">
        <v>4086</v>
      </c>
      <c r="I229" s="9" t="s">
        <v>235</v>
      </c>
      <c r="J229" s="9" t="n">
        <f aca="false">COUNTIFS($B$5:$B$304,B229,$C$5:$C$304,C229)</f>
        <v>1</v>
      </c>
    </row>
    <row r="230" customFormat="false" ht="48" hidden="false" customHeight="true" outlineLevel="0" collapsed="false">
      <c r="A230" s="9" t="s">
        <v>4339</v>
      </c>
      <c r="B230" s="9" t="s">
        <v>139</v>
      </c>
      <c r="C230" s="9" t="s">
        <v>157</v>
      </c>
      <c r="D230" s="9" t="s">
        <v>4088</v>
      </c>
      <c r="E230" s="9" t="s">
        <v>4092</v>
      </c>
      <c r="F230" s="9"/>
      <c r="G230" s="9" t="s">
        <v>4093</v>
      </c>
      <c r="H230" s="9" t="s">
        <v>4086</v>
      </c>
      <c r="I230" s="9" t="s">
        <v>235</v>
      </c>
      <c r="J230" s="9" t="n">
        <f aca="false">COUNTIFS($B$5:$B$304,B230,$C$5:$C$304,C230)</f>
        <v>1</v>
      </c>
    </row>
    <row r="231" customFormat="false" ht="48" hidden="false" customHeight="true" outlineLevel="0" collapsed="false">
      <c r="A231" s="9" t="s">
        <v>4340</v>
      </c>
      <c r="B231" s="9" t="s">
        <v>139</v>
      </c>
      <c r="C231" s="9" t="s">
        <v>163</v>
      </c>
      <c r="D231" s="9" t="s">
        <v>4088</v>
      </c>
      <c r="E231" s="9" t="s">
        <v>4092</v>
      </c>
      <c r="F231" s="9"/>
      <c r="G231" s="9" t="s">
        <v>4093</v>
      </c>
      <c r="H231" s="9" t="s">
        <v>4086</v>
      </c>
      <c r="I231" s="9" t="s">
        <v>235</v>
      </c>
      <c r="J231" s="9" t="n">
        <f aca="false">COUNTIFS($B$5:$B$304,B231,$C$5:$C$304,C231)</f>
        <v>1</v>
      </c>
    </row>
    <row r="232" customFormat="false" ht="48" hidden="false" customHeight="true" outlineLevel="0" collapsed="false">
      <c r="A232" s="9" t="s">
        <v>4341</v>
      </c>
      <c r="B232" s="9" t="s">
        <v>139</v>
      </c>
      <c r="C232" s="9" t="s">
        <v>169</v>
      </c>
      <c r="D232" s="9" t="s">
        <v>4088</v>
      </c>
      <c r="E232" s="9" t="s">
        <v>4092</v>
      </c>
      <c r="F232" s="9"/>
      <c r="G232" s="9" t="s">
        <v>4093</v>
      </c>
      <c r="H232" s="9" t="s">
        <v>4086</v>
      </c>
      <c r="I232" s="9" t="s">
        <v>235</v>
      </c>
      <c r="J232" s="9" t="n">
        <f aca="false">COUNTIFS($B$5:$B$304,B232,$C$5:$C$304,C232)</f>
        <v>1</v>
      </c>
    </row>
    <row r="233" customFormat="false" ht="48" hidden="false" customHeight="true" outlineLevel="0" collapsed="false">
      <c r="A233" s="9" t="s">
        <v>4342</v>
      </c>
      <c r="B233" s="9" t="s">
        <v>139</v>
      </c>
      <c r="C233" s="9" t="s">
        <v>176</v>
      </c>
      <c r="D233" s="9" t="s">
        <v>4088</v>
      </c>
      <c r="E233" s="9" t="s">
        <v>4092</v>
      </c>
      <c r="F233" s="9"/>
      <c r="G233" s="9" t="s">
        <v>4093</v>
      </c>
      <c r="H233" s="9" t="s">
        <v>4086</v>
      </c>
      <c r="I233" s="9" t="s">
        <v>235</v>
      </c>
      <c r="J233" s="9" t="n">
        <f aca="false">COUNTIFS($B$5:$B$304,B233,$C$5:$C$304,C233)</f>
        <v>1</v>
      </c>
    </row>
    <row r="234" customFormat="false" ht="48" hidden="false" customHeight="true" outlineLevel="0" collapsed="false">
      <c r="A234" s="9" t="s">
        <v>4343</v>
      </c>
      <c r="B234" s="9" t="s">
        <v>139</v>
      </c>
      <c r="C234" s="9" t="s">
        <v>183</v>
      </c>
      <c r="D234" s="9" t="s">
        <v>4088</v>
      </c>
      <c r="E234" s="9" t="s">
        <v>4092</v>
      </c>
      <c r="F234" s="9"/>
      <c r="G234" s="9" t="s">
        <v>4093</v>
      </c>
      <c r="H234" s="9" t="s">
        <v>4086</v>
      </c>
      <c r="I234" s="9" t="s">
        <v>235</v>
      </c>
      <c r="J234" s="9" t="n">
        <f aca="false">COUNTIFS($B$5:$B$304,B234,$C$5:$C$304,C234)</f>
        <v>1</v>
      </c>
    </row>
    <row r="235" customFormat="false" ht="48" hidden="false" customHeight="true" outlineLevel="0" collapsed="false">
      <c r="A235" s="9" t="s">
        <v>4344</v>
      </c>
      <c r="B235" s="9" t="s">
        <v>139</v>
      </c>
      <c r="C235" s="9" t="s">
        <v>189</v>
      </c>
      <c r="D235" s="9" t="s">
        <v>4088</v>
      </c>
      <c r="E235" s="9" t="s">
        <v>4092</v>
      </c>
      <c r="F235" s="9"/>
      <c r="G235" s="9" t="s">
        <v>4093</v>
      </c>
      <c r="H235" s="9" t="s">
        <v>4086</v>
      </c>
      <c r="I235" s="9" t="s">
        <v>235</v>
      </c>
      <c r="J235" s="9" t="n">
        <f aca="false">COUNTIFS($B$5:$B$304,B235,$C$5:$C$304,C235)</f>
        <v>1</v>
      </c>
    </row>
    <row r="236" customFormat="false" ht="48" hidden="false" customHeight="true" outlineLevel="0" collapsed="false">
      <c r="A236" s="9" t="s">
        <v>4345</v>
      </c>
      <c r="B236" s="9" t="s">
        <v>139</v>
      </c>
      <c r="C236" s="9" t="s">
        <v>196</v>
      </c>
      <c r="D236" s="9" t="s">
        <v>4088</v>
      </c>
      <c r="E236" s="9" t="s">
        <v>4092</v>
      </c>
      <c r="F236" s="9"/>
      <c r="G236" s="9" t="s">
        <v>4093</v>
      </c>
      <c r="H236" s="9" t="s">
        <v>4086</v>
      </c>
      <c r="I236" s="9" t="s">
        <v>235</v>
      </c>
      <c r="J236" s="9" t="n">
        <f aca="false">COUNTIFS($B$5:$B$304,B236,$C$5:$C$304,C236)</f>
        <v>1</v>
      </c>
    </row>
    <row r="237" customFormat="false" ht="48" hidden="false" customHeight="true" outlineLevel="0" collapsed="false">
      <c r="A237" s="9" t="s">
        <v>4346</v>
      </c>
      <c r="B237" s="9" t="s">
        <v>139</v>
      </c>
      <c r="C237" s="9" t="s">
        <v>203</v>
      </c>
      <c r="D237" s="9" t="s">
        <v>4088</v>
      </c>
      <c r="E237" s="9" t="s">
        <v>4092</v>
      </c>
      <c r="F237" s="9"/>
      <c r="G237" s="9" t="s">
        <v>4093</v>
      </c>
      <c r="H237" s="9" t="s">
        <v>4086</v>
      </c>
      <c r="I237" s="9" t="s">
        <v>235</v>
      </c>
      <c r="J237" s="9" t="n">
        <f aca="false">COUNTIFS($B$5:$B$304,B237,$C$5:$C$304,C237)</f>
        <v>1</v>
      </c>
    </row>
    <row r="238" customFormat="false" ht="48" hidden="false" customHeight="true" outlineLevel="0" collapsed="false">
      <c r="A238" s="9" t="s">
        <v>4347</v>
      </c>
      <c r="B238" s="9" t="s">
        <v>139</v>
      </c>
      <c r="C238" s="9" t="s">
        <v>210</v>
      </c>
      <c r="D238" s="9" t="s">
        <v>4088</v>
      </c>
      <c r="E238" s="9" t="s">
        <v>4092</v>
      </c>
      <c r="F238" s="9"/>
      <c r="G238" s="9" t="s">
        <v>4093</v>
      </c>
      <c r="H238" s="9" t="s">
        <v>4086</v>
      </c>
      <c r="I238" s="9" t="s">
        <v>235</v>
      </c>
      <c r="J238" s="9" t="n">
        <f aca="false">COUNTIFS($B$5:$B$304,B238,$C$5:$C$304,C238)</f>
        <v>1</v>
      </c>
    </row>
    <row r="239" customFormat="false" ht="48" hidden="false" customHeight="true" outlineLevel="0" collapsed="false">
      <c r="A239" s="9" t="s">
        <v>4348</v>
      </c>
      <c r="B239" s="9" t="s">
        <v>145</v>
      </c>
      <c r="C239" s="9" t="s">
        <v>145</v>
      </c>
      <c r="D239" s="9" t="s">
        <v>4084</v>
      </c>
      <c r="E239" s="9" t="s">
        <v>4085</v>
      </c>
      <c r="F239" s="9" t="s">
        <v>3726</v>
      </c>
      <c r="G239" s="9" t="s">
        <v>2457</v>
      </c>
      <c r="H239" s="9" t="s">
        <v>4086</v>
      </c>
      <c r="I239" s="9" t="s">
        <v>235</v>
      </c>
      <c r="J239" s="9" t="n">
        <f aca="false">COUNTIFS($B$5:$B$304,B239,$C$5:$C$304,C239)</f>
        <v>1</v>
      </c>
    </row>
    <row r="240" customFormat="false" ht="48" hidden="false" customHeight="true" outlineLevel="0" collapsed="false">
      <c r="A240" s="9" t="s">
        <v>4349</v>
      </c>
      <c r="B240" s="9" t="s">
        <v>145</v>
      </c>
      <c r="C240" s="9" t="s">
        <v>151</v>
      </c>
      <c r="D240" s="9" t="s">
        <v>4088</v>
      </c>
      <c r="E240" s="9" t="s">
        <v>4092</v>
      </c>
      <c r="F240" s="9"/>
      <c r="G240" s="9" t="s">
        <v>4093</v>
      </c>
      <c r="H240" s="9" t="s">
        <v>4086</v>
      </c>
      <c r="I240" s="9" t="s">
        <v>235</v>
      </c>
      <c r="J240" s="9" t="n">
        <f aca="false">COUNTIFS($B$5:$B$304,B240,$C$5:$C$304,C240)</f>
        <v>1</v>
      </c>
    </row>
    <row r="241" customFormat="false" ht="48" hidden="false" customHeight="true" outlineLevel="0" collapsed="false">
      <c r="A241" s="9" t="s">
        <v>4350</v>
      </c>
      <c r="B241" s="9" t="s">
        <v>145</v>
      </c>
      <c r="C241" s="9" t="s">
        <v>157</v>
      </c>
      <c r="D241" s="9" t="s">
        <v>4088</v>
      </c>
      <c r="E241" s="9" t="s">
        <v>4092</v>
      </c>
      <c r="F241" s="9"/>
      <c r="G241" s="9" t="s">
        <v>4093</v>
      </c>
      <c r="H241" s="9" t="s">
        <v>4086</v>
      </c>
      <c r="I241" s="9" t="s">
        <v>235</v>
      </c>
      <c r="J241" s="9" t="n">
        <f aca="false">COUNTIFS($B$5:$B$304,B241,$C$5:$C$304,C241)</f>
        <v>1</v>
      </c>
    </row>
    <row r="242" customFormat="false" ht="48" hidden="false" customHeight="true" outlineLevel="0" collapsed="false">
      <c r="A242" s="9" t="s">
        <v>4351</v>
      </c>
      <c r="B242" s="9" t="s">
        <v>145</v>
      </c>
      <c r="C242" s="9" t="s">
        <v>163</v>
      </c>
      <c r="D242" s="9" t="s">
        <v>4088</v>
      </c>
      <c r="E242" s="9" t="s">
        <v>4092</v>
      </c>
      <c r="F242" s="9"/>
      <c r="G242" s="9" t="s">
        <v>4093</v>
      </c>
      <c r="H242" s="9" t="s">
        <v>4086</v>
      </c>
      <c r="I242" s="9" t="s">
        <v>235</v>
      </c>
      <c r="J242" s="9" t="n">
        <f aca="false">COUNTIFS($B$5:$B$304,B242,$C$5:$C$304,C242)</f>
        <v>1</v>
      </c>
    </row>
    <row r="243" customFormat="false" ht="48" hidden="false" customHeight="true" outlineLevel="0" collapsed="false">
      <c r="A243" s="9" t="s">
        <v>4352</v>
      </c>
      <c r="B243" s="9" t="s">
        <v>145</v>
      </c>
      <c r="C243" s="9" t="s">
        <v>169</v>
      </c>
      <c r="D243" s="9" t="s">
        <v>4088</v>
      </c>
      <c r="E243" s="9" t="s">
        <v>4092</v>
      </c>
      <c r="F243" s="9"/>
      <c r="G243" s="9" t="s">
        <v>4093</v>
      </c>
      <c r="H243" s="9" t="s">
        <v>4086</v>
      </c>
      <c r="I243" s="9" t="s">
        <v>235</v>
      </c>
      <c r="J243" s="9" t="n">
        <f aca="false">COUNTIFS($B$5:$B$304,B243,$C$5:$C$304,C243)</f>
        <v>1</v>
      </c>
    </row>
    <row r="244" customFormat="false" ht="48" hidden="false" customHeight="true" outlineLevel="0" collapsed="false">
      <c r="A244" s="9" t="s">
        <v>4353</v>
      </c>
      <c r="B244" s="9" t="s">
        <v>145</v>
      </c>
      <c r="C244" s="9" t="s">
        <v>176</v>
      </c>
      <c r="D244" s="9" t="s">
        <v>4088</v>
      </c>
      <c r="E244" s="9" t="s">
        <v>4092</v>
      </c>
      <c r="F244" s="9"/>
      <c r="G244" s="9" t="s">
        <v>4093</v>
      </c>
      <c r="H244" s="9" t="s">
        <v>4086</v>
      </c>
      <c r="I244" s="9" t="s">
        <v>235</v>
      </c>
      <c r="J244" s="9" t="n">
        <f aca="false">COUNTIFS($B$5:$B$304,B244,$C$5:$C$304,C244)</f>
        <v>1</v>
      </c>
    </row>
    <row r="245" customFormat="false" ht="48" hidden="false" customHeight="true" outlineLevel="0" collapsed="false">
      <c r="A245" s="9" t="s">
        <v>4354</v>
      </c>
      <c r="B245" s="9" t="s">
        <v>145</v>
      </c>
      <c r="C245" s="9" t="s">
        <v>183</v>
      </c>
      <c r="D245" s="9" t="s">
        <v>4088</v>
      </c>
      <c r="E245" s="9" t="s">
        <v>4092</v>
      </c>
      <c r="F245" s="9"/>
      <c r="G245" s="9" t="s">
        <v>4093</v>
      </c>
      <c r="H245" s="9" t="s">
        <v>4086</v>
      </c>
      <c r="I245" s="9" t="s">
        <v>235</v>
      </c>
      <c r="J245" s="9" t="n">
        <f aca="false">COUNTIFS($B$5:$B$304,B245,$C$5:$C$304,C245)</f>
        <v>1</v>
      </c>
    </row>
    <row r="246" customFormat="false" ht="48" hidden="false" customHeight="true" outlineLevel="0" collapsed="false">
      <c r="A246" s="9" t="s">
        <v>4355</v>
      </c>
      <c r="B246" s="9" t="s">
        <v>145</v>
      </c>
      <c r="C246" s="9" t="s">
        <v>189</v>
      </c>
      <c r="D246" s="9" t="s">
        <v>4088</v>
      </c>
      <c r="E246" s="9" t="s">
        <v>4085</v>
      </c>
      <c r="F246" s="9" t="s">
        <v>3731</v>
      </c>
      <c r="G246" s="9" t="s">
        <v>597</v>
      </c>
      <c r="H246" s="9" t="s">
        <v>4086</v>
      </c>
      <c r="I246" s="9" t="s">
        <v>235</v>
      </c>
      <c r="J246" s="9" t="n">
        <f aca="false">COUNTIFS($B$5:$B$304,B246,$C$5:$C$304,C246)</f>
        <v>1</v>
      </c>
    </row>
    <row r="247" customFormat="false" ht="48" hidden="false" customHeight="true" outlineLevel="0" collapsed="false">
      <c r="A247" s="9" t="s">
        <v>4356</v>
      </c>
      <c r="B247" s="9" t="s">
        <v>145</v>
      </c>
      <c r="C247" s="9" t="s">
        <v>196</v>
      </c>
      <c r="D247" s="9" t="s">
        <v>4088</v>
      </c>
      <c r="E247" s="9" t="s">
        <v>4092</v>
      </c>
      <c r="F247" s="9"/>
      <c r="G247" s="9" t="s">
        <v>4093</v>
      </c>
      <c r="H247" s="9" t="s">
        <v>4086</v>
      </c>
      <c r="I247" s="9" t="s">
        <v>235</v>
      </c>
      <c r="J247" s="9" t="n">
        <f aca="false">COUNTIFS($B$5:$B$304,B247,$C$5:$C$304,C247)</f>
        <v>1</v>
      </c>
    </row>
    <row r="248" customFormat="false" ht="48" hidden="false" customHeight="true" outlineLevel="0" collapsed="false">
      <c r="A248" s="9" t="s">
        <v>4357</v>
      </c>
      <c r="B248" s="9" t="s">
        <v>145</v>
      </c>
      <c r="C248" s="9" t="s">
        <v>203</v>
      </c>
      <c r="D248" s="9" t="s">
        <v>4088</v>
      </c>
      <c r="E248" s="9" t="s">
        <v>4092</v>
      </c>
      <c r="F248" s="9"/>
      <c r="G248" s="9" t="s">
        <v>4093</v>
      </c>
      <c r="H248" s="9" t="s">
        <v>4086</v>
      </c>
      <c r="I248" s="9" t="s">
        <v>235</v>
      </c>
      <c r="J248" s="9" t="n">
        <f aca="false">COUNTIFS($B$5:$B$304,B248,$C$5:$C$304,C248)</f>
        <v>1</v>
      </c>
    </row>
    <row r="249" customFormat="false" ht="48" hidden="false" customHeight="true" outlineLevel="0" collapsed="false">
      <c r="A249" s="9" t="s">
        <v>4358</v>
      </c>
      <c r="B249" s="9" t="s">
        <v>145</v>
      </c>
      <c r="C249" s="9" t="s">
        <v>210</v>
      </c>
      <c r="D249" s="9" t="s">
        <v>4088</v>
      </c>
      <c r="E249" s="9" t="s">
        <v>4092</v>
      </c>
      <c r="F249" s="9"/>
      <c r="G249" s="9" t="s">
        <v>4093</v>
      </c>
      <c r="H249" s="9" t="s">
        <v>4086</v>
      </c>
      <c r="I249" s="9" t="s">
        <v>235</v>
      </c>
      <c r="J249" s="9" t="n">
        <f aca="false">COUNTIFS($B$5:$B$304,B249,$C$5:$C$304,C249)</f>
        <v>1</v>
      </c>
    </row>
    <row r="250" customFormat="false" ht="48" hidden="false" customHeight="true" outlineLevel="0" collapsed="false">
      <c r="A250" s="9" t="s">
        <v>4359</v>
      </c>
      <c r="B250" s="9" t="s">
        <v>151</v>
      </c>
      <c r="C250" s="9" t="s">
        <v>151</v>
      </c>
      <c r="D250" s="9" t="s">
        <v>4084</v>
      </c>
      <c r="E250" s="9" t="s">
        <v>4085</v>
      </c>
      <c r="F250" s="9" t="s">
        <v>4064</v>
      </c>
      <c r="G250" s="9" t="s">
        <v>4360</v>
      </c>
      <c r="H250" s="9" t="s">
        <v>4086</v>
      </c>
      <c r="I250" s="9" t="s">
        <v>235</v>
      </c>
      <c r="J250" s="9" t="n">
        <f aca="false">COUNTIFS($B$5:$B$304,B250,$C$5:$C$304,C250)</f>
        <v>1</v>
      </c>
    </row>
    <row r="251" customFormat="false" ht="48" hidden="false" customHeight="true" outlineLevel="0" collapsed="false">
      <c r="A251" s="9" t="s">
        <v>4361</v>
      </c>
      <c r="B251" s="9" t="s">
        <v>151</v>
      </c>
      <c r="C251" s="9" t="s">
        <v>157</v>
      </c>
      <c r="D251" s="9" t="s">
        <v>4088</v>
      </c>
      <c r="E251" s="9" t="s">
        <v>4092</v>
      </c>
      <c r="F251" s="9"/>
      <c r="G251" s="9" t="s">
        <v>4093</v>
      </c>
      <c r="H251" s="9" t="s">
        <v>4086</v>
      </c>
      <c r="I251" s="9" t="s">
        <v>235</v>
      </c>
      <c r="J251" s="9" t="n">
        <f aca="false">COUNTIFS($B$5:$B$304,B251,$C$5:$C$304,C251)</f>
        <v>1</v>
      </c>
    </row>
    <row r="252" customFormat="false" ht="48" hidden="false" customHeight="true" outlineLevel="0" collapsed="false">
      <c r="A252" s="9" t="s">
        <v>4362</v>
      </c>
      <c r="B252" s="9" t="s">
        <v>151</v>
      </c>
      <c r="C252" s="9" t="s">
        <v>163</v>
      </c>
      <c r="D252" s="9" t="s">
        <v>4088</v>
      </c>
      <c r="E252" s="9" t="s">
        <v>4092</v>
      </c>
      <c r="F252" s="9"/>
      <c r="G252" s="9" t="s">
        <v>4093</v>
      </c>
      <c r="H252" s="9" t="s">
        <v>4086</v>
      </c>
      <c r="I252" s="9" t="s">
        <v>235</v>
      </c>
      <c r="J252" s="9" t="n">
        <f aca="false">COUNTIFS($B$5:$B$304,B252,$C$5:$C$304,C252)</f>
        <v>1</v>
      </c>
    </row>
    <row r="253" customFormat="false" ht="48" hidden="false" customHeight="true" outlineLevel="0" collapsed="false">
      <c r="A253" s="9" t="s">
        <v>4363</v>
      </c>
      <c r="B253" s="9" t="s">
        <v>151</v>
      </c>
      <c r="C253" s="9" t="s">
        <v>169</v>
      </c>
      <c r="D253" s="9" t="s">
        <v>4088</v>
      </c>
      <c r="E253" s="9" t="s">
        <v>4092</v>
      </c>
      <c r="F253" s="9"/>
      <c r="G253" s="9" t="s">
        <v>4093</v>
      </c>
      <c r="H253" s="9" t="s">
        <v>4086</v>
      </c>
      <c r="I253" s="9" t="s">
        <v>235</v>
      </c>
      <c r="J253" s="9" t="n">
        <f aca="false">COUNTIFS($B$5:$B$304,B253,$C$5:$C$304,C253)</f>
        <v>1</v>
      </c>
    </row>
    <row r="254" customFormat="false" ht="48" hidden="false" customHeight="true" outlineLevel="0" collapsed="false">
      <c r="A254" s="9" t="s">
        <v>4364</v>
      </c>
      <c r="B254" s="9" t="s">
        <v>151</v>
      </c>
      <c r="C254" s="9" t="s">
        <v>176</v>
      </c>
      <c r="D254" s="9" t="s">
        <v>4088</v>
      </c>
      <c r="E254" s="9" t="s">
        <v>4085</v>
      </c>
      <c r="F254" s="9" t="s">
        <v>3920</v>
      </c>
      <c r="G254" s="9" t="s">
        <v>2448</v>
      </c>
      <c r="H254" s="9" t="s">
        <v>4086</v>
      </c>
      <c r="I254" s="9" t="s">
        <v>235</v>
      </c>
      <c r="J254" s="9" t="n">
        <f aca="false">COUNTIFS($B$5:$B$304,B254,$C$5:$C$304,C254)</f>
        <v>1</v>
      </c>
    </row>
    <row r="255" customFormat="false" ht="48" hidden="false" customHeight="true" outlineLevel="0" collapsed="false">
      <c r="A255" s="9" t="s">
        <v>4365</v>
      </c>
      <c r="B255" s="9" t="s">
        <v>151</v>
      </c>
      <c r="C255" s="9" t="s">
        <v>183</v>
      </c>
      <c r="D255" s="9" t="s">
        <v>4088</v>
      </c>
      <c r="E255" s="9" t="s">
        <v>4092</v>
      </c>
      <c r="F255" s="9"/>
      <c r="G255" s="9" t="s">
        <v>4093</v>
      </c>
      <c r="H255" s="9" t="s">
        <v>4086</v>
      </c>
      <c r="I255" s="9" t="s">
        <v>235</v>
      </c>
      <c r="J255" s="9" t="n">
        <f aca="false">COUNTIFS($B$5:$B$304,B255,$C$5:$C$304,C255)</f>
        <v>1</v>
      </c>
    </row>
    <row r="256" customFormat="false" ht="48" hidden="false" customHeight="true" outlineLevel="0" collapsed="false">
      <c r="A256" s="9" t="s">
        <v>4366</v>
      </c>
      <c r="B256" s="9" t="s">
        <v>151</v>
      </c>
      <c r="C256" s="9" t="s">
        <v>189</v>
      </c>
      <c r="D256" s="9" t="s">
        <v>4088</v>
      </c>
      <c r="E256" s="9" t="s">
        <v>4085</v>
      </c>
      <c r="F256" s="9" t="s">
        <v>3993</v>
      </c>
      <c r="G256" s="9" t="s">
        <v>597</v>
      </c>
      <c r="H256" s="9" t="s">
        <v>4086</v>
      </c>
      <c r="I256" s="9" t="s">
        <v>235</v>
      </c>
      <c r="J256" s="9" t="n">
        <f aca="false">COUNTIFS($B$5:$B$304,B256,$C$5:$C$304,C256)</f>
        <v>1</v>
      </c>
    </row>
    <row r="257" customFormat="false" ht="48" hidden="false" customHeight="true" outlineLevel="0" collapsed="false">
      <c r="A257" s="9" t="s">
        <v>4367</v>
      </c>
      <c r="B257" s="9" t="s">
        <v>151</v>
      </c>
      <c r="C257" s="9" t="s">
        <v>196</v>
      </c>
      <c r="D257" s="9" t="s">
        <v>4088</v>
      </c>
      <c r="E257" s="9" t="s">
        <v>4092</v>
      </c>
      <c r="F257" s="9"/>
      <c r="G257" s="9" t="s">
        <v>4093</v>
      </c>
      <c r="H257" s="9" t="s">
        <v>4086</v>
      </c>
      <c r="I257" s="9" t="s">
        <v>235</v>
      </c>
      <c r="J257" s="9" t="n">
        <f aca="false">COUNTIFS($B$5:$B$304,B257,$C$5:$C$304,C257)</f>
        <v>1</v>
      </c>
    </row>
    <row r="258" customFormat="false" ht="48" hidden="false" customHeight="true" outlineLevel="0" collapsed="false">
      <c r="A258" s="9" t="s">
        <v>4368</v>
      </c>
      <c r="B258" s="9" t="s">
        <v>151</v>
      </c>
      <c r="C258" s="9" t="s">
        <v>203</v>
      </c>
      <c r="D258" s="9" t="s">
        <v>4088</v>
      </c>
      <c r="E258" s="9" t="s">
        <v>4092</v>
      </c>
      <c r="F258" s="9"/>
      <c r="G258" s="9" t="s">
        <v>4093</v>
      </c>
      <c r="H258" s="9" t="s">
        <v>4086</v>
      </c>
      <c r="I258" s="9" t="s">
        <v>235</v>
      </c>
      <c r="J258" s="9" t="n">
        <f aca="false">COUNTIFS($B$5:$B$304,B258,$C$5:$C$304,C258)</f>
        <v>1</v>
      </c>
    </row>
    <row r="259" customFormat="false" ht="48" hidden="false" customHeight="true" outlineLevel="0" collapsed="false">
      <c r="A259" s="9" t="s">
        <v>4369</v>
      </c>
      <c r="B259" s="9" t="s">
        <v>151</v>
      </c>
      <c r="C259" s="9" t="s">
        <v>210</v>
      </c>
      <c r="D259" s="9" t="s">
        <v>4088</v>
      </c>
      <c r="E259" s="9" t="s">
        <v>4092</v>
      </c>
      <c r="F259" s="9"/>
      <c r="G259" s="9" t="s">
        <v>4093</v>
      </c>
      <c r="H259" s="9" t="s">
        <v>4086</v>
      </c>
      <c r="I259" s="9" t="s">
        <v>235</v>
      </c>
      <c r="J259" s="9" t="n">
        <f aca="false">COUNTIFS($B$5:$B$304,B259,$C$5:$C$304,C259)</f>
        <v>1</v>
      </c>
    </row>
    <row r="260" customFormat="false" ht="48" hidden="false" customHeight="true" outlineLevel="0" collapsed="false">
      <c r="A260" s="9" t="s">
        <v>4370</v>
      </c>
      <c r="B260" s="9" t="s">
        <v>157</v>
      </c>
      <c r="C260" s="9" t="s">
        <v>157</v>
      </c>
      <c r="D260" s="9" t="s">
        <v>4084</v>
      </c>
      <c r="E260" s="9" t="s">
        <v>4085</v>
      </c>
      <c r="F260" s="9" t="s">
        <v>3962</v>
      </c>
      <c r="G260" s="9" t="s">
        <v>3602</v>
      </c>
      <c r="H260" s="9" t="s">
        <v>4086</v>
      </c>
      <c r="I260" s="9" t="s">
        <v>235</v>
      </c>
      <c r="J260" s="9" t="n">
        <f aca="false">COUNTIFS($B$5:$B$304,B260,$C$5:$C$304,C260)</f>
        <v>1</v>
      </c>
    </row>
    <row r="261" customFormat="false" ht="48" hidden="false" customHeight="true" outlineLevel="0" collapsed="false">
      <c r="A261" s="9" t="s">
        <v>4371</v>
      </c>
      <c r="B261" s="9" t="s">
        <v>157</v>
      </c>
      <c r="C261" s="9" t="s">
        <v>163</v>
      </c>
      <c r="D261" s="9" t="s">
        <v>4088</v>
      </c>
      <c r="E261" s="9" t="s">
        <v>4092</v>
      </c>
      <c r="F261" s="9"/>
      <c r="G261" s="9" t="s">
        <v>4093</v>
      </c>
      <c r="H261" s="9" t="s">
        <v>4086</v>
      </c>
      <c r="I261" s="9" t="s">
        <v>235</v>
      </c>
      <c r="J261" s="9" t="n">
        <f aca="false">COUNTIFS($B$5:$B$304,B261,$C$5:$C$304,C261)</f>
        <v>1</v>
      </c>
    </row>
    <row r="262" customFormat="false" ht="48" hidden="false" customHeight="true" outlineLevel="0" collapsed="false">
      <c r="A262" s="9" t="s">
        <v>4372</v>
      </c>
      <c r="B262" s="9" t="s">
        <v>157</v>
      </c>
      <c r="C262" s="9" t="s">
        <v>169</v>
      </c>
      <c r="D262" s="9" t="s">
        <v>4088</v>
      </c>
      <c r="E262" s="9" t="s">
        <v>4092</v>
      </c>
      <c r="F262" s="9"/>
      <c r="G262" s="9" t="s">
        <v>4093</v>
      </c>
      <c r="H262" s="9" t="s">
        <v>4086</v>
      </c>
      <c r="I262" s="9" t="s">
        <v>235</v>
      </c>
      <c r="J262" s="9" t="n">
        <f aca="false">COUNTIFS($B$5:$B$304,B262,$C$5:$C$304,C262)</f>
        <v>1</v>
      </c>
    </row>
    <row r="263" customFormat="false" ht="48" hidden="false" customHeight="true" outlineLevel="0" collapsed="false">
      <c r="A263" s="9" t="s">
        <v>4373</v>
      </c>
      <c r="B263" s="9" t="s">
        <v>157</v>
      </c>
      <c r="C263" s="9" t="s">
        <v>176</v>
      </c>
      <c r="D263" s="9" t="s">
        <v>4088</v>
      </c>
      <c r="E263" s="9" t="s">
        <v>4092</v>
      </c>
      <c r="F263" s="9"/>
      <c r="G263" s="9" t="s">
        <v>4093</v>
      </c>
      <c r="H263" s="9" t="s">
        <v>4086</v>
      </c>
      <c r="I263" s="9" t="s">
        <v>235</v>
      </c>
      <c r="J263" s="9" t="n">
        <f aca="false">COUNTIFS($B$5:$B$304,B263,$C$5:$C$304,C263)</f>
        <v>1</v>
      </c>
    </row>
    <row r="264" customFormat="false" ht="48" hidden="false" customHeight="true" outlineLevel="0" collapsed="false">
      <c r="A264" s="9" t="s">
        <v>4374</v>
      </c>
      <c r="B264" s="9" t="s">
        <v>157</v>
      </c>
      <c r="C264" s="9" t="s">
        <v>183</v>
      </c>
      <c r="D264" s="9" t="s">
        <v>4088</v>
      </c>
      <c r="E264" s="9" t="s">
        <v>4092</v>
      </c>
      <c r="F264" s="9"/>
      <c r="G264" s="9" t="s">
        <v>4093</v>
      </c>
      <c r="H264" s="9" t="s">
        <v>4086</v>
      </c>
      <c r="I264" s="9" t="s">
        <v>235</v>
      </c>
      <c r="J264" s="9" t="n">
        <f aca="false">COUNTIFS($B$5:$B$304,B264,$C$5:$C$304,C264)</f>
        <v>1</v>
      </c>
    </row>
    <row r="265" customFormat="false" ht="48" hidden="false" customHeight="true" outlineLevel="0" collapsed="false">
      <c r="A265" s="9" t="s">
        <v>4375</v>
      </c>
      <c r="B265" s="9" t="s">
        <v>157</v>
      </c>
      <c r="C265" s="9" t="s">
        <v>189</v>
      </c>
      <c r="D265" s="9" t="s">
        <v>4088</v>
      </c>
      <c r="E265" s="9" t="s">
        <v>4092</v>
      </c>
      <c r="F265" s="9"/>
      <c r="G265" s="9" t="s">
        <v>4093</v>
      </c>
      <c r="H265" s="9" t="s">
        <v>4086</v>
      </c>
      <c r="I265" s="9" t="s">
        <v>235</v>
      </c>
      <c r="J265" s="9" t="n">
        <f aca="false">COUNTIFS($B$5:$B$304,B265,$C$5:$C$304,C265)</f>
        <v>1</v>
      </c>
    </row>
    <row r="266" customFormat="false" ht="48" hidden="false" customHeight="true" outlineLevel="0" collapsed="false">
      <c r="A266" s="9" t="s">
        <v>4376</v>
      </c>
      <c r="B266" s="9" t="s">
        <v>157</v>
      </c>
      <c r="C266" s="9" t="s">
        <v>196</v>
      </c>
      <c r="D266" s="9" t="s">
        <v>4088</v>
      </c>
      <c r="E266" s="9" t="s">
        <v>4092</v>
      </c>
      <c r="F266" s="9"/>
      <c r="G266" s="9" t="s">
        <v>4093</v>
      </c>
      <c r="H266" s="9" t="s">
        <v>4086</v>
      </c>
      <c r="I266" s="9" t="s">
        <v>235</v>
      </c>
      <c r="J266" s="9" t="n">
        <f aca="false">COUNTIFS($B$5:$B$304,B266,$C$5:$C$304,C266)</f>
        <v>1</v>
      </c>
    </row>
    <row r="267" customFormat="false" ht="48" hidden="false" customHeight="true" outlineLevel="0" collapsed="false">
      <c r="A267" s="9" t="s">
        <v>4377</v>
      </c>
      <c r="B267" s="9" t="s">
        <v>157</v>
      </c>
      <c r="C267" s="9" t="s">
        <v>203</v>
      </c>
      <c r="D267" s="9" t="s">
        <v>4088</v>
      </c>
      <c r="E267" s="9" t="s">
        <v>4092</v>
      </c>
      <c r="F267" s="9"/>
      <c r="G267" s="9" t="s">
        <v>4093</v>
      </c>
      <c r="H267" s="9" t="s">
        <v>4086</v>
      </c>
      <c r="I267" s="9" t="s">
        <v>235</v>
      </c>
      <c r="J267" s="9" t="n">
        <f aca="false">COUNTIFS($B$5:$B$304,B267,$C$5:$C$304,C267)</f>
        <v>1</v>
      </c>
    </row>
    <row r="268" customFormat="false" ht="48" hidden="false" customHeight="true" outlineLevel="0" collapsed="false">
      <c r="A268" s="9" t="s">
        <v>4378</v>
      </c>
      <c r="B268" s="9" t="s">
        <v>157</v>
      </c>
      <c r="C268" s="9" t="s">
        <v>210</v>
      </c>
      <c r="D268" s="9" t="s">
        <v>4088</v>
      </c>
      <c r="E268" s="9" t="s">
        <v>4092</v>
      </c>
      <c r="F268" s="9"/>
      <c r="G268" s="9" t="s">
        <v>4093</v>
      </c>
      <c r="H268" s="9" t="s">
        <v>4086</v>
      </c>
      <c r="I268" s="9" t="s">
        <v>235</v>
      </c>
      <c r="J268" s="9" t="n">
        <f aca="false">COUNTIFS($B$5:$B$304,B268,$C$5:$C$304,C268)</f>
        <v>1</v>
      </c>
    </row>
    <row r="269" customFormat="false" ht="48" hidden="false" customHeight="true" outlineLevel="0" collapsed="false">
      <c r="A269" s="9" t="s">
        <v>4379</v>
      </c>
      <c r="B269" s="9" t="s">
        <v>163</v>
      </c>
      <c r="C269" s="9" t="s">
        <v>163</v>
      </c>
      <c r="D269" s="9" t="s">
        <v>4084</v>
      </c>
      <c r="E269" s="9" t="s">
        <v>4124</v>
      </c>
      <c r="F269" s="9"/>
      <c r="G269" s="9" t="s">
        <v>4093</v>
      </c>
      <c r="H269" s="9" t="s">
        <v>4086</v>
      </c>
      <c r="I269" s="9" t="s">
        <v>235</v>
      </c>
      <c r="J269" s="9" t="n">
        <f aca="false">COUNTIFS($B$5:$B$304,B269,$C$5:$C$304,C269)</f>
        <v>1</v>
      </c>
    </row>
    <row r="270" customFormat="false" ht="48" hidden="false" customHeight="true" outlineLevel="0" collapsed="false">
      <c r="A270" s="9" t="s">
        <v>4380</v>
      </c>
      <c r="B270" s="9" t="s">
        <v>163</v>
      </c>
      <c r="C270" s="9" t="s">
        <v>169</v>
      </c>
      <c r="D270" s="9" t="s">
        <v>4088</v>
      </c>
      <c r="E270" s="9" t="s">
        <v>4092</v>
      </c>
      <c r="F270" s="9"/>
      <c r="G270" s="9" t="s">
        <v>4093</v>
      </c>
      <c r="H270" s="9" t="s">
        <v>4086</v>
      </c>
      <c r="I270" s="9" t="s">
        <v>235</v>
      </c>
      <c r="J270" s="9" t="n">
        <f aca="false">COUNTIFS($B$5:$B$304,B270,$C$5:$C$304,C270)</f>
        <v>1</v>
      </c>
    </row>
    <row r="271" customFormat="false" ht="48" hidden="false" customHeight="true" outlineLevel="0" collapsed="false">
      <c r="A271" s="9" t="s">
        <v>4381</v>
      </c>
      <c r="B271" s="9" t="s">
        <v>163</v>
      </c>
      <c r="C271" s="9" t="s">
        <v>176</v>
      </c>
      <c r="D271" s="9" t="s">
        <v>4088</v>
      </c>
      <c r="E271" s="9" t="s">
        <v>4092</v>
      </c>
      <c r="F271" s="9"/>
      <c r="G271" s="9" t="s">
        <v>4093</v>
      </c>
      <c r="H271" s="9" t="s">
        <v>4086</v>
      </c>
      <c r="I271" s="9" t="s">
        <v>235</v>
      </c>
      <c r="J271" s="9" t="n">
        <f aca="false">COUNTIFS($B$5:$B$304,B271,$C$5:$C$304,C271)</f>
        <v>1</v>
      </c>
    </row>
    <row r="272" customFormat="false" ht="48" hidden="false" customHeight="true" outlineLevel="0" collapsed="false">
      <c r="A272" s="9" t="s">
        <v>4382</v>
      </c>
      <c r="B272" s="9" t="s">
        <v>163</v>
      </c>
      <c r="C272" s="9" t="s">
        <v>183</v>
      </c>
      <c r="D272" s="9" t="s">
        <v>4088</v>
      </c>
      <c r="E272" s="9" t="s">
        <v>4092</v>
      </c>
      <c r="F272" s="9"/>
      <c r="G272" s="9" t="s">
        <v>4093</v>
      </c>
      <c r="H272" s="9" t="s">
        <v>4086</v>
      </c>
      <c r="I272" s="9" t="s">
        <v>235</v>
      </c>
      <c r="J272" s="9" t="n">
        <f aca="false">COUNTIFS($B$5:$B$304,B272,$C$5:$C$304,C272)</f>
        <v>1</v>
      </c>
    </row>
    <row r="273" customFormat="false" ht="48" hidden="false" customHeight="true" outlineLevel="0" collapsed="false">
      <c r="A273" s="9" t="s">
        <v>4383</v>
      </c>
      <c r="B273" s="9" t="s">
        <v>163</v>
      </c>
      <c r="C273" s="9" t="s">
        <v>189</v>
      </c>
      <c r="D273" s="9" t="s">
        <v>4088</v>
      </c>
      <c r="E273" s="9" t="s">
        <v>4092</v>
      </c>
      <c r="F273" s="9"/>
      <c r="G273" s="9" t="s">
        <v>4093</v>
      </c>
      <c r="H273" s="9" t="s">
        <v>4086</v>
      </c>
      <c r="I273" s="9" t="s">
        <v>235</v>
      </c>
      <c r="J273" s="9" t="n">
        <f aca="false">COUNTIFS($B$5:$B$304,B273,$C$5:$C$304,C273)</f>
        <v>1</v>
      </c>
    </row>
    <row r="274" customFormat="false" ht="48" hidden="false" customHeight="true" outlineLevel="0" collapsed="false">
      <c r="A274" s="9" t="s">
        <v>4384</v>
      </c>
      <c r="B274" s="9" t="s">
        <v>163</v>
      </c>
      <c r="C274" s="9" t="s">
        <v>196</v>
      </c>
      <c r="D274" s="9" t="s">
        <v>4088</v>
      </c>
      <c r="E274" s="9" t="s">
        <v>4092</v>
      </c>
      <c r="F274" s="9"/>
      <c r="G274" s="9" t="s">
        <v>4093</v>
      </c>
      <c r="H274" s="9" t="s">
        <v>4086</v>
      </c>
      <c r="I274" s="9" t="s">
        <v>235</v>
      </c>
      <c r="J274" s="9" t="n">
        <f aca="false">COUNTIFS($B$5:$B$304,B274,$C$5:$C$304,C274)</f>
        <v>1</v>
      </c>
    </row>
    <row r="275" customFormat="false" ht="48" hidden="false" customHeight="true" outlineLevel="0" collapsed="false">
      <c r="A275" s="9" t="s">
        <v>4385</v>
      </c>
      <c r="B275" s="9" t="s">
        <v>163</v>
      </c>
      <c r="C275" s="9" t="s">
        <v>203</v>
      </c>
      <c r="D275" s="9" t="s">
        <v>4088</v>
      </c>
      <c r="E275" s="9" t="s">
        <v>4092</v>
      </c>
      <c r="F275" s="9"/>
      <c r="G275" s="9" t="s">
        <v>4093</v>
      </c>
      <c r="H275" s="9" t="s">
        <v>4086</v>
      </c>
      <c r="I275" s="9" t="s">
        <v>235</v>
      </c>
      <c r="J275" s="9" t="n">
        <f aca="false">COUNTIFS($B$5:$B$304,B275,$C$5:$C$304,C275)</f>
        <v>1</v>
      </c>
    </row>
    <row r="276" customFormat="false" ht="48" hidden="false" customHeight="true" outlineLevel="0" collapsed="false">
      <c r="A276" s="9" t="s">
        <v>4386</v>
      </c>
      <c r="B276" s="9" t="s">
        <v>163</v>
      </c>
      <c r="C276" s="9" t="s">
        <v>210</v>
      </c>
      <c r="D276" s="9" t="s">
        <v>4088</v>
      </c>
      <c r="E276" s="9" t="s">
        <v>4092</v>
      </c>
      <c r="F276" s="9"/>
      <c r="G276" s="9" t="s">
        <v>4093</v>
      </c>
      <c r="H276" s="9" t="s">
        <v>4086</v>
      </c>
      <c r="I276" s="9" t="s">
        <v>235</v>
      </c>
      <c r="J276" s="9" t="n">
        <f aca="false">COUNTIFS($B$5:$B$304,B276,$C$5:$C$304,C276)</f>
        <v>1</v>
      </c>
    </row>
    <row r="277" customFormat="false" ht="48" hidden="false" customHeight="true" outlineLevel="0" collapsed="false">
      <c r="A277" s="9" t="s">
        <v>4387</v>
      </c>
      <c r="B277" s="9" t="s">
        <v>169</v>
      </c>
      <c r="C277" s="9" t="s">
        <v>169</v>
      </c>
      <c r="D277" s="9" t="s">
        <v>4084</v>
      </c>
      <c r="E277" s="9" t="s">
        <v>4124</v>
      </c>
      <c r="F277" s="9"/>
      <c r="G277" s="9" t="s">
        <v>4093</v>
      </c>
      <c r="H277" s="9" t="s">
        <v>4086</v>
      </c>
      <c r="I277" s="9" t="s">
        <v>235</v>
      </c>
      <c r="J277" s="9" t="n">
        <f aca="false">COUNTIFS($B$5:$B$304,B277,$C$5:$C$304,C277)</f>
        <v>1</v>
      </c>
    </row>
    <row r="278" customFormat="false" ht="48" hidden="false" customHeight="true" outlineLevel="0" collapsed="false">
      <c r="A278" s="9" t="s">
        <v>4388</v>
      </c>
      <c r="B278" s="9" t="s">
        <v>169</v>
      </c>
      <c r="C278" s="9" t="s">
        <v>176</v>
      </c>
      <c r="D278" s="9" t="s">
        <v>4088</v>
      </c>
      <c r="E278" s="9" t="s">
        <v>4092</v>
      </c>
      <c r="F278" s="9"/>
      <c r="G278" s="9" t="s">
        <v>4093</v>
      </c>
      <c r="H278" s="9" t="s">
        <v>4086</v>
      </c>
      <c r="I278" s="9" t="s">
        <v>235</v>
      </c>
      <c r="J278" s="9" t="n">
        <f aca="false">COUNTIFS($B$5:$B$304,B278,$C$5:$C$304,C278)</f>
        <v>1</v>
      </c>
    </row>
    <row r="279" customFormat="false" ht="48" hidden="false" customHeight="true" outlineLevel="0" collapsed="false">
      <c r="A279" s="9" t="s">
        <v>4389</v>
      </c>
      <c r="B279" s="9" t="s">
        <v>169</v>
      </c>
      <c r="C279" s="9" t="s">
        <v>183</v>
      </c>
      <c r="D279" s="9" t="s">
        <v>4088</v>
      </c>
      <c r="E279" s="9" t="s">
        <v>4092</v>
      </c>
      <c r="F279" s="9"/>
      <c r="G279" s="9" t="s">
        <v>4093</v>
      </c>
      <c r="H279" s="9" t="s">
        <v>4086</v>
      </c>
      <c r="I279" s="9" t="s">
        <v>235</v>
      </c>
      <c r="J279" s="9" t="n">
        <f aca="false">COUNTIFS($B$5:$B$304,B279,$C$5:$C$304,C279)</f>
        <v>1</v>
      </c>
    </row>
    <row r="280" customFormat="false" ht="48" hidden="false" customHeight="true" outlineLevel="0" collapsed="false">
      <c r="A280" s="9" t="s">
        <v>4390</v>
      </c>
      <c r="B280" s="9" t="s">
        <v>169</v>
      </c>
      <c r="C280" s="9" t="s">
        <v>189</v>
      </c>
      <c r="D280" s="9" t="s">
        <v>4088</v>
      </c>
      <c r="E280" s="9" t="s">
        <v>4092</v>
      </c>
      <c r="F280" s="9"/>
      <c r="G280" s="9" t="s">
        <v>4093</v>
      </c>
      <c r="H280" s="9" t="s">
        <v>4086</v>
      </c>
      <c r="I280" s="9" t="s">
        <v>235</v>
      </c>
      <c r="J280" s="9" t="n">
        <f aca="false">COUNTIFS($B$5:$B$304,B280,$C$5:$C$304,C280)</f>
        <v>1</v>
      </c>
    </row>
    <row r="281" customFormat="false" ht="48" hidden="false" customHeight="true" outlineLevel="0" collapsed="false">
      <c r="A281" s="9" t="s">
        <v>4391</v>
      </c>
      <c r="B281" s="9" t="s">
        <v>169</v>
      </c>
      <c r="C281" s="9" t="s">
        <v>196</v>
      </c>
      <c r="D281" s="9" t="s">
        <v>4088</v>
      </c>
      <c r="E281" s="9" t="s">
        <v>4085</v>
      </c>
      <c r="F281" s="9" t="s">
        <v>3935</v>
      </c>
      <c r="G281" s="9" t="s">
        <v>3940</v>
      </c>
      <c r="H281" s="9" t="s">
        <v>4086</v>
      </c>
      <c r="I281" s="9" t="s">
        <v>235</v>
      </c>
      <c r="J281" s="9" t="n">
        <f aca="false">COUNTIFS($B$5:$B$304,B281,$C$5:$C$304,C281)</f>
        <v>1</v>
      </c>
    </row>
    <row r="282" customFormat="false" ht="48" hidden="false" customHeight="true" outlineLevel="0" collapsed="false">
      <c r="A282" s="9" t="s">
        <v>4392</v>
      </c>
      <c r="B282" s="9" t="s">
        <v>169</v>
      </c>
      <c r="C282" s="9" t="s">
        <v>203</v>
      </c>
      <c r="D282" s="9" t="s">
        <v>4088</v>
      </c>
      <c r="E282" s="9" t="s">
        <v>4092</v>
      </c>
      <c r="F282" s="9"/>
      <c r="G282" s="9" t="s">
        <v>4093</v>
      </c>
      <c r="H282" s="9" t="s">
        <v>4086</v>
      </c>
      <c r="I282" s="9" t="s">
        <v>235</v>
      </c>
      <c r="J282" s="9" t="n">
        <f aca="false">COUNTIFS($B$5:$B$304,B282,$C$5:$C$304,C282)</f>
        <v>1</v>
      </c>
    </row>
    <row r="283" customFormat="false" ht="48" hidden="false" customHeight="true" outlineLevel="0" collapsed="false">
      <c r="A283" s="9" t="s">
        <v>4393</v>
      </c>
      <c r="B283" s="9" t="s">
        <v>169</v>
      </c>
      <c r="C283" s="9" t="s">
        <v>210</v>
      </c>
      <c r="D283" s="9" t="s">
        <v>4088</v>
      </c>
      <c r="E283" s="9" t="s">
        <v>4092</v>
      </c>
      <c r="F283" s="9"/>
      <c r="G283" s="9" t="s">
        <v>4093</v>
      </c>
      <c r="H283" s="9" t="s">
        <v>4086</v>
      </c>
      <c r="I283" s="9" t="s">
        <v>235</v>
      </c>
      <c r="J283" s="9" t="n">
        <f aca="false">COUNTIFS($B$5:$B$304,B283,$C$5:$C$304,C283)</f>
        <v>1</v>
      </c>
    </row>
    <row r="284" customFormat="false" ht="48" hidden="false" customHeight="true" outlineLevel="0" collapsed="false">
      <c r="A284" s="9" t="s">
        <v>4394</v>
      </c>
      <c r="B284" s="9" t="s">
        <v>176</v>
      </c>
      <c r="C284" s="9" t="s">
        <v>176</v>
      </c>
      <c r="D284" s="9" t="s">
        <v>4084</v>
      </c>
      <c r="E284" s="9" t="s">
        <v>4124</v>
      </c>
      <c r="F284" s="9"/>
      <c r="G284" s="9" t="s">
        <v>4093</v>
      </c>
      <c r="H284" s="9" t="s">
        <v>4086</v>
      </c>
      <c r="I284" s="9" t="s">
        <v>235</v>
      </c>
      <c r="J284" s="9" t="n">
        <f aca="false">COUNTIFS($B$5:$B$304,B284,$C$5:$C$304,C284)</f>
        <v>1</v>
      </c>
    </row>
    <row r="285" customFormat="false" ht="48" hidden="false" customHeight="true" outlineLevel="0" collapsed="false">
      <c r="A285" s="9" t="s">
        <v>4395</v>
      </c>
      <c r="B285" s="9" t="s">
        <v>176</v>
      </c>
      <c r="C285" s="9" t="s">
        <v>183</v>
      </c>
      <c r="D285" s="9" t="s">
        <v>4088</v>
      </c>
      <c r="E285" s="9" t="s">
        <v>4092</v>
      </c>
      <c r="F285" s="9"/>
      <c r="G285" s="9" t="s">
        <v>4093</v>
      </c>
      <c r="H285" s="9" t="s">
        <v>4086</v>
      </c>
      <c r="I285" s="9" t="s">
        <v>235</v>
      </c>
      <c r="J285" s="9" t="n">
        <f aca="false">COUNTIFS($B$5:$B$304,B285,$C$5:$C$304,C285)</f>
        <v>1</v>
      </c>
    </row>
    <row r="286" customFormat="false" ht="48" hidden="false" customHeight="true" outlineLevel="0" collapsed="false">
      <c r="A286" s="9" t="s">
        <v>4396</v>
      </c>
      <c r="B286" s="9" t="s">
        <v>176</v>
      </c>
      <c r="C286" s="9" t="s">
        <v>189</v>
      </c>
      <c r="D286" s="9" t="s">
        <v>4088</v>
      </c>
      <c r="E286" s="9" t="s">
        <v>4092</v>
      </c>
      <c r="F286" s="9"/>
      <c r="G286" s="9" t="s">
        <v>4093</v>
      </c>
      <c r="H286" s="9" t="s">
        <v>4086</v>
      </c>
      <c r="I286" s="9" t="s">
        <v>235</v>
      </c>
      <c r="J286" s="9" t="n">
        <f aca="false">COUNTIFS($B$5:$B$304,B286,$C$5:$C$304,C286)</f>
        <v>1</v>
      </c>
    </row>
    <row r="287" customFormat="false" ht="48" hidden="false" customHeight="true" outlineLevel="0" collapsed="false">
      <c r="A287" s="9" t="s">
        <v>4397</v>
      </c>
      <c r="B287" s="9" t="s">
        <v>176</v>
      </c>
      <c r="C287" s="9" t="s">
        <v>196</v>
      </c>
      <c r="D287" s="9" t="s">
        <v>4088</v>
      </c>
      <c r="E287" s="9" t="s">
        <v>4092</v>
      </c>
      <c r="F287" s="9"/>
      <c r="G287" s="9" t="s">
        <v>4093</v>
      </c>
      <c r="H287" s="9" t="s">
        <v>4086</v>
      </c>
      <c r="I287" s="9" t="s">
        <v>235</v>
      </c>
      <c r="J287" s="9" t="n">
        <f aca="false">COUNTIFS($B$5:$B$304,B287,$C$5:$C$304,C287)</f>
        <v>1</v>
      </c>
    </row>
    <row r="288" customFormat="false" ht="48" hidden="false" customHeight="true" outlineLevel="0" collapsed="false">
      <c r="A288" s="9" t="s">
        <v>4398</v>
      </c>
      <c r="B288" s="9" t="s">
        <v>176</v>
      </c>
      <c r="C288" s="9" t="s">
        <v>203</v>
      </c>
      <c r="D288" s="9" t="s">
        <v>4088</v>
      </c>
      <c r="E288" s="9" t="s">
        <v>4085</v>
      </c>
      <c r="F288" s="9" t="s">
        <v>3983</v>
      </c>
      <c r="G288" s="9" t="s">
        <v>571</v>
      </c>
      <c r="H288" s="9" t="s">
        <v>4086</v>
      </c>
      <c r="I288" s="9" t="s">
        <v>235</v>
      </c>
      <c r="J288" s="9" t="n">
        <f aca="false">COUNTIFS($B$5:$B$304,B288,$C$5:$C$304,C288)</f>
        <v>1</v>
      </c>
    </row>
    <row r="289" customFormat="false" ht="48" hidden="false" customHeight="true" outlineLevel="0" collapsed="false">
      <c r="A289" s="9" t="s">
        <v>4399</v>
      </c>
      <c r="B289" s="9" t="s">
        <v>176</v>
      </c>
      <c r="C289" s="9" t="s">
        <v>210</v>
      </c>
      <c r="D289" s="9" t="s">
        <v>4088</v>
      </c>
      <c r="E289" s="9" t="s">
        <v>4092</v>
      </c>
      <c r="F289" s="9"/>
      <c r="G289" s="9" t="s">
        <v>4093</v>
      </c>
      <c r="H289" s="9" t="s">
        <v>4086</v>
      </c>
      <c r="I289" s="9" t="s">
        <v>235</v>
      </c>
      <c r="J289" s="9" t="n">
        <f aca="false">COUNTIFS($B$5:$B$304,B289,$C$5:$C$304,C289)</f>
        <v>1</v>
      </c>
    </row>
    <row r="290" customFormat="false" ht="48" hidden="false" customHeight="true" outlineLevel="0" collapsed="false">
      <c r="A290" s="9" t="s">
        <v>4400</v>
      </c>
      <c r="B290" s="9" t="s">
        <v>183</v>
      </c>
      <c r="C290" s="9" t="s">
        <v>183</v>
      </c>
      <c r="D290" s="9" t="s">
        <v>4084</v>
      </c>
      <c r="E290" s="9" t="s">
        <v>4124</v>
      </c>
      <c r="F290" s="9"/>
      <c r="G290" s="9" t="s">
        <v>4093</v>
      </c>
      <c r="H290" s="9" t="s">
        <v>4086</v>
      </c>
      <c r="I290" s="9" t="s">
        <v>235</v>
      </c>
      <c r="J290" s="9" t="n">
        <f aca="false">COUNTIFS($B$5:$B$304,B290,$C$5:$C$304,C290)</f>
        <v>1</v>
      </c>
    </row>
    <row r="291" customFormat="false" ht="48" hidden="false" customHeight="true" outlineLevel="0" collapsed="false">
      <c r="A291" s="9" t="s">
        <v>4401</v>
      </c>
      <c r="B291" s="9" t="s">
        <v>183</v>
      </c>
      <c r="C291" s="9" t="s">
        <v>189</v>
      </c>
      <c r="D291" s="9" t="s">
        <v>4088</v>
      </c>
      <c r="E291" s="9" t="s">
        <v>4092</v>
      </c>
      <c r="F291" s="9"/>
      <c r="G291" s="9" t="s">
        <v>4093</v>
      </c>
      <c r="H291" s="9" t="s">
        <v>4086</v>
      </c>
      <c r="I291" s="9" t="s">
        <v>235</v>
      </c>
      <c r="J291" s="9" t="n">
        <f aca="false">COUNTIFS($B$5:$B$304,B291,$C$5:$C$304,C291)</f>
        <v>1</v>
      </c>
    </row>
    <row r="292" customFormat="false" ht="48" hidden="false" customHeight="true" outlineLevel="0" collapsed="false">
      <c r="A292" s="9" t="s">
        <v>4402</v>
      </c>
      <c r="B292" s="9" t="s">
        <v>183</v>
      </c>
      <c r="C292" s="9" t="s">
        <v>196</v>
      </c>
      <c r="D292" s="9" t="s">
        <v>4088</v>
      </c>
      <c r="E292" s="9" t="s">
        <v>4092</v>
      </c>
      <c r="F292" s="9"/>
      <c r="G292" s="9" t="s">
        <v>4093</v>
      </c>
      <c r="H292" s="9" t="s">
        <v>4086</v>
      </c>
      <c r="I292" s="9" t="s">
        <v>235</v>
      </c>
      <c r="J292" s="9" t="n">
        <f aca="false">COUNTIFS($B$5:$B$304,B292,$C$5:$C$304,C292)</f>
        <v>1</v>
      </c>
    </row>
    <row r="293" customFormat="false" ht="48" hidden="false" customHeight="true" outlineLevel="0" collapsed="false">
      <c r="A293" s="9" t="s">
        <v>4403</v>
      </c>
      <c r="B293" s="9" t="s">
        <v>183</v>
      </c>
      <c r="C293" s="9" t="s">
        <v>203</v>
      </c>
      <c r="D293" s="9" t="s">
        <v>4088</v>
      </c>
      <c r="E293" s="9" t="s">
        <v>4092</v>
      </c>
      <c r="F293" s="9"/>
      <c r="G293" s="9" t="s">
        <v>4093</v>
      </c>
      <c r="H293" s="9" t="s">
        <v>4086</v>
      </c>
      <c r="I293" s="9" t="s">
        <v>235</v>
      </c>
      <c r="J293" s="9" t="n">
        <f aca="false">COUNTIFS($B$5:$B$304,B293,$C$5:$C$304,C293)</f>
        <v>1</v>
      </c>
    </row>
    <row r="294" customFormat="false" ht="48" hidden="false" customHeight="true" outlineLevel="0" collapsed="false">
      <c r="A294" s="9" t="s">
        <v>4404</v>
      </c>
      <c r="B294" s="9" t="s">
        <v>183</v>
      </c>
      <c r="C294" s="9" t="s">
        <v>210</v>
      </c>
      <c r="D294" s="9" t="s">
        <v>4088</v>
      </c>
      <c r="E294" s="9" t="s">
        <v>4092</v>
      </c>
      <c r="F294" s="9"/>
      <c r="G294" s="9" t="s">
        <v>4093</v>
      </c>
      <c r="H294" s="9" t="s">
        <v>4086</v>
      </c>
      <c r="I294" s="9" t="s">
        <v>235</v>
      </c>
      <c r="J294" s="9" t="n">
        <f aca="false">COUNTIFS($B$5:$B$304,B294,$C$5:$C$304,C294)</f>
        <v>1</v>
      </c>
    </row>
    <row r="295" customFormat="false" ht="48" hidden="false" customHeight="true" outlineLevel="0" collapsed="false">
      <c r="A295" s="9" t="s">
        <v>4405</v>
      </c>
      <c r="B295" s="9" t="s">
        <v>189</v>
      </c>
      <c r="C295" s="9" t="s">
        <v>189</v>
      </c>
      <c r="D295" s="9" t="s">
        <v>4084</v>
      </c>
      <c r="E295" s="9" t="s">
        <v>4124</v>
      </c>
      <c r="F295" s="9"/>
      <c r="G295" s="9" t="s">
        <v>4093</v>
      </c>
      <c r="H295" s="9" t="s">
        <v>4086</v>
      </c>
      <c r="I295" s="9" t="s">
        <v>235</v>
      </c>
      <c r="J295" s="9" t="n">
        <f aca="false">COUNTIFS($B$5:$B$304,B295,$C$5:$C$304,C295)</f>
        <v>1</v>
      </c>
    </row>
    <row r="296" customFormat="false" ht="48" hidden="false" customHeight="true" outlineLevel="0" collapsed="false">
      <c r="A296" s="9" t="s">
        <v>4406</v>
      </c>
      <c r="B296" s="9" t="s">
        <v>189</v>
      </c>
      <c r="C296" s="9" t="s">
        <v>196</v>
      </c>
      <c r="D296" s="9" t="s">
        <v>4088</v>
      </c>
      <c r="E296" s="9" t="s">
        <v>4085</v>
      </c>
      <c r="F296" s="9" t="s">
        <v>4407</v>
      </c>
      <c r="G296" s="9" t="s">
        <v>4408</v>
      </c>
      <c r="H296" s="9" t="s">
        <v>4086</v>
      </c>
      <c r="I296" s="9" t="s">
        <v>235</v>
      </c>
      <c r="J296" s="9" t="n">
        <f aca="false">COUNTIFS($B$5:$B$304,B296,$C$5:$C$304,C296)</f>
        <v>1</v>
      </c>
    </row>
    <row r="297" customFormat="false" ht="48" hidden="false" customHeight="true" outlineLevel="0" collapsed="false">
      <c r="A297" s="9" t="s">
        <v>4409</v>
      </c>
      <c r="B297" s="9" t="s">
        <v>189</v>
      </c>
      <c r="C297" s="9" t="s">
        <v>203</v>
      </c>
      <c r="D297" s="9" t="s">
        <v>4088</v>
      </c>
      <c r="E297" s="9" t="s">
        <v>4085</v>
      </c>
      <c r="F297" s="9" t="s">
        <v>4003</v>
      </c>
      <c r="G297" s="9" t="s">
        <v>4008</v>
      </c>
      <c r="H297" s="9" t="s">
        <v>4086</v>
      </c>
      <c r="I297" s="9" t="s">
        <v>235</v>
      </c>
      <c r="J297" s="9" t="n">
        <f aca="false">COUNTIFS($B$5:$B$304,B297,$C$5:$C$304,C297)</f>
        <v>1</v>
      </c>
    </row>
    <row r="298" customFormat="false" ht="48" hidden="false" customHeight="true" outlineLevel="0" collapsed="false">
      <c r="A298" s="9" t="s">
        <v>4410</v>
      </c>
      <c r="B298" s="9" t="s">
        <v>189</v>
      </c>
      <c r="C298" s="9" t="s">
        <v>210</v>
      </c>
      <c r="D298" s="9" t="s">
        <v>4088</v>
      </c>
      <c r="E298" s="9" t="s">
        <v>4092</v>
      </c>
      <c r="F298" s="9"/>
      <c r="G298" s="9" t="s">
        <v>4093</v>
      </c>
      <c r="H298" s="9" t="s">
        <v>4086</v>
      </c>
      <c r="I298" s="9" t="s">
        <v>235</v>
      </c>
      <c r="J298" s="9" t="n">
        <f aca="false">COUNTIFS($B$5:$B$304,B298,$C$5:$C$304,C298)</f>
        <v>1</v>
      </c>
    </row>
    <row r="299" customFormat="false" ht="48" hidden="false" customHeight="true" outlineLevel="0" collapsed="false">
      <c r="A299" s="9" t="s">
        <v>4411</v>
      </c>
      <c r="B299" s="9" t="s">
        <v>196</v>
      </c>
      <c r="C299" s="9" t="s">
        <v>196</v>
      </c>
      <c r="D299" s="9" t="s">
        <v>4084</v>
      </c>
      <c r="E299" s="9" t="s">
        <v>4124</v>
      </c>
      <c r="F299" s="9"/>
      <c r="G299" s="9" t="s">
        <v>4093</v>
      </c>
      <c r="H299" s="9" t="s">
        <v>4086</v>
      </c>
      <c r="I299" s="9" t="s">
        <v>235</v>
      </c>
      <c r="J299" s="9" t="n">
        <f aca="false">COUNTIFS($B$5:$B$304,B299,$C$5:$C$304,C299)</f>
        <v>1</v>
      </c>
    </row>
    <row r="300" customFormat="false" ht="48" hidden="false" customHeight="true" outlineLevel="0" collapsed="false">
      <c r="A300" s="9" t="s">
        <v>4412</v>
      </c>
      <c r="B300" s="9" t="s">
        <v>196</v>
      </c>
      <c r="C300" s="9" t="s">
        <v>203</v>
      </c>
      <c r="D300" s="9" t="s">
        <v>4088</v>
      </c>
      <c r="E300" s="9" t="s">
        <v>4085</v>
      </c>
      <c r="F300" s="9" t="s">
        <v>3988</v>
      </c>
      <c r="G300" s="9" t="s">
        <v>571</v>
      </c>
      <c r="H300" s="9" t="s">
        <v>4086</v>
      </c>
      <c r="I300" s="9" t="s">
        <v>235</v>
      </c>
      <c r="J300" s="9" t="n">
        <f aca="false">COUNTIFS($B$5:$B$304,B300,$C$5:$C$304,C300)</f>
        <v>1</v>
      </c>
    </row>
    <row r="301" customFormat="false" ht="48" hidden="false" customHeight="true" outlineLevel="0" collapsed="false">
      <c r="A301" s="9" t="s">
        <v>4413</v>
      </c>
      <c r="B301" s="9" t="s">
        <v>196</v>
      </c>
      <c r="C301" s="9" t="s">
        <v>210</v>
      </c>
      <c r="D301" s="9" t="s">
        <v>4088</v>
      </c>
      <c r="E301" s="9" t="s">
        <v>4085</v>
      </c>
      <c r="F301" s="9" t="s">
        <v>3941</v>
      </c>
      <c r="G301" s="9" t="s">
        <v>3622</v>
      </c>
      <c r="H301" s="9" t="s">
        <v>4086</v>
      </c>
      <c r="I301" s="9" t="s">
        <v>235</v>
      </c>
      <c r="J301" s="9" t="n">
        <f aca="false">COUNTIFS($B$5:$B$304,B301,$C$5:$C$304,C301)</f>
        <v>1</v>
      </c>
    </row>
    <row r="302" customFormat="false" ht="48" hidden="false" customHeight="true" outlineLevel="0" collapsed="false">
      <c r="A302" s="9" t="s">
        <v>4414</v>
      </c>
      <c r="B302" s="9" t="s">
        <v>203</v>
      </c>
      <c r="C302" s="9" t="s">
        <v>203</v>
      </c>
      <c r="D302" s="9" t="s">
        <v>4084</v>
      </c>
      <c r="E302" s="9" t="s">
        <v>4124</v>
      </c>
      <c r="F302" s="9"/>
      <c r="G302" s="9" t="s">
        <v>4093</v>
      </c>
      <c r="H302" s="9" t="s">
        <v>4086</v>
      </c>
      <c r="I302" s="9" t="s">
        <v>235</v>
      </c>
      <c r="J302" s="9" t="n">
        <f aca="false">COUNTIFS($B$5:$B$304,B302,$C$5:$C$304,C302)</f>
        <v>1</v>
      </c>
    </row>
    <row r="303" customFormat="false" ht="48" hidden="false" customHeight="true" outlineLevel="0" collapsed="false">
      <c r="A303" s="9" t="s">
        <v>4415</v>
      </c>
      <c r="B303" s="9" t="s">
        <v>203</v>
      </c>
      <c r="C303" s="9" t="s">
        <v>210</v>
      </c>
      <c r="D303" s="9" t="s">
        <v>4088</v>
      </c>
      <c r="E303" s="9" t="s">
        <v>4092</v>
      </c>
      <c r="F303" s="9"/>
      <c r="G303" s="9" t="s">
        <v>4093</v>
      </c>
      <c r="H303" s="9" t="s">
        <v>4086</v>
      </c>
      <c r="I303" s="9" t="s">
        <v>235</v>
      </c>
      <c r="J303" s="9" t="n">
        <f aca="false">COUNTIFS($B$5:$B$304,B303,$C$5:$C$304,C303)</f>
        <v>1</v>
      </c>
    </row>
    <row r="304" customFormat="false" ht="48" hidden="false" customHeight="true" outlineLevel="0" collapsed="false">
      <c r="A304" s="9" t="s">
        <v>4416</v>
      </c>
      <c r="B304" s="9" t="s">
        <v>210</v>
      </c>
      <c r="C304" s="9" t="s">
        <v>210</v>
      </c>
      <c r="D304" s="9" t="s">
        <v>4084</v>
      </c>
      <c r="E304" s="9" t="s">
        <v>4124</v>
      </c>
      <c r="F304" s="9"/>
      <c r="G304" s="9" t="s">
        <v>4093</v>
      </c>
      <c r="H304" s="9" t="s">
        <v>4086</v>
      </c>
      <c r="I304" s="9" t="s">
        <v>235</v>
      </c>
      <c r="J304" s="9" t="n">
        <f aca="false">COUNTIFS($B$5:$B$304,B304,$C$5:$C$304,C304)</f>
        <v>1</v>
      </c>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62"/>
    <col collapsed="false" customWidth="true" hidden="false" outlineLevel="0" max="3" min="3" style="0" width="34"/>
    <col collapsed="false" customWidth="true" hidden="false" outlineLevel="0" max="4" min="4" style="0" width="42"/>
    <col collapsed="false" customWidth="true" hidden="false" outlineLevel="0" max="5" min="5" style="0" width="28"/>
    <col collapsed="false" customWidth="true" hidden="false" outlineLevel="0" max="6" min="6" style="0" width="34"/>
    <col collapsed="false" customWidth="true" hidden="false" outlineLevel="0" max="7" min="7" style="0" width="30"/>
    <col collapsed="false" customWidth="true" hidden="false" outlineLevel="0" max="8" min="8" style="0" width="14"/>
    <col collapsed="false" customWidth="true" hidden="false" outlineLevel="0" max="9" min="9" style="0" width="54"/>
    <col collapsed="false" customWidth="true" hidden="false" outlineLevel="0" max="10" min="10" style="0" width="32"/>
    <col collapsed="false" customWidth="true" hidden="false" outlineLevel="0" max="11" min="11" style="0" width="54"/>
    <col collapsed="false" customWidth="true" hidden="false" outlineLevel="0" max="12" min="12" style="0" width="36"/>
    <col collapsed="false" customWidth="true" hidden="false" outlineLevel="0" max="13" min="13" style="0" width="14"/>
  </cols>
  <sheetData>
    <row r="1" customFormat="false" ht="30" hidden="false" customHeight="true" outlineLevel="0" collapsed="false">
      <c r="A1" s="1" t="s">
        <v>4417</v>
      </c>
      <c r="B1" s="1"/>
      <c r="C1" s="1"/>
      <c r="D1" s="1"/>
      <c r="E1" s="1"/>
      <c r="F1" s="1"/>
      <c r="G1" s="1"/>
      <c r="H1" s="1"/>
      <c r="I1" s="1"/>
      <c r="J1" s="1"/>
      <c r="K1" s="1"/>
      <c r="L1" s="1"/>
      <c r="M1" s="1"/>
    </row>
    <row r="2" customFormat="false" ht="34" hidden="false" customHeight="true" outlineLevel="0" collapsed="false">
      <c r="A2" s="2" t="s">
        <v>4418</v>
      </c>
      <c r="B2" s="2"/>
      <c r="C2" s="2"/>
      <c r="D2" s="2"/>
      <c r="E2" s="2"/>
      <c r="F2" s="2"/>
      <c r="G2" s="2"/>
      <c r="H2" s="2"/>
      <c r="I2" s="2"/>
      <c r="J2" s="2"/>
      <c r="K2" s="2"/>
      <c r="L2" s="2"/>
      <c r="M2" s="2"/>
    </row>
    <row r="4" customFormat="false" ht="34" hidden="false" customHeight="true" outlineLevel="0" collapsed="false">
      <c r="A4" s="8" t="s">
        <v>4419</v>
      </c>
      <c r="B4" s="8" t="s">
        <v>4420</v>
      </c>
      <c r="C4" s="8" t="s">
        <v>4421</v>
      </c>
      <c r="D4" s="8" t="s">
        <v>4422</v>
      </c>
      <c r="E4" s="8" t="s">
        <v>4423</v>
      </c>
      <c r="F4" s="8" t="s">
        <v>4424</v>
      </c>
      <c r="G4" s="8" t="s">
        <v>4425</v>
      </c>
      <c r="H4" s="8" t="s">
        <v>4426</v>
      </c>
      <c r="I4" s="8" t="s">
        <v>4427</v>
      </c>
      <c r="J4" s="8" t="s">
        <v>4428</v>
      </c>
      <c r="K4" s="8" t="s">
        <v>4429</v>
      </c>
      <c r="L4" s="8" t="s">
        <v>61</v>
      </c>
      <c r="M4" s="8" t="s">
        <v>647</v>
      </c>
    </row>
    <row r="5" customFormat="false" ht="62" hidden="false" customHeight="true" outlineLevel="0" collapsed="false">
      <c r="A5" s="9" t="s">
        <v>4430</v>
      </c>
      <c r="B5" s="9" t="s">
        <v>4431</v>
      </c>
      <c r="C5" s="9" t="s">
        <v>4432</v>
      </c>
      <c r="D5" s="9" t="s">
        <v>4432</v>
      </c>
      <c r="E5" s="9" t="s">
        <v>4432</v>
      </c>
      <c r="F5" s="9" t="s">
        <v>4432</v>
      </c>
      <c r="G5" s="9" t="s">
        <v>4432</v>
      </c>
      <c r="H5" s="9" t="s">
        <v>4432</v>
      </c>
      <c r="I5" s="9" t="s">
        <v>4433</v>
      </c>
      <c r="J5" s="9" t="s">
        <v>4434</v>
      </c>
      <c r="K5" s="9" t="s">
        <v>4431</v>
      </c>
      <c r="L5" s="9" t="s">
        <v>2195</v>
      </c>
      <c r="M5" s="9" t="s">
        <v>235</v>
      </c>
    </row>
    <row r="6" customFormat="false" ht="62" hidden="false" customHeight="true" outlineLevel="0" collapsed="false">
      <c r="A6" s="9" t="s">
        <v>4435</v>
      </c>
      <c r="B6" s="9" t="s">
        <v>250</v>
      </c>
      <c r="C6" s="9" t="s">
        <v>4436</v>
      </c>
      <c r="D6" s="9" t="s">
        <v>4436</v>
      </c>
      <c r="E6" s="9" t="s">
        <v>4436</v>
      </c>
      <c r="F6" s="9" t="s">
        <v>4436</v>
      </c>
      <c r="G6" s="9" t="s">
        <v>4436</v>
      </c>
      <c r="H6" s="9" t="s">
        <v>4432</v>
      </c>
      <c r="I6" s="9" t="s">
        <v>4437</v>
      </c>
      <c r="J6" s="9" t="s">
        <v>4438</v>
      </c>
      <c r="K6" s="9" t="s">
        <v>4439</v>
      </c>
      <c r="L6" s="9" t="s">
        <v>964</v>
      </c>
      <c r="M6" s="9" t="s">
        <v>235</v>
      </c>
    </row>
    <row r="7" customFormat="false" ht="62" hidden="false" customHeight="true" outlineLevel="0" collapsed="false">
      <c r="A7" s="9" t="s">
        <v>4440</v>
      </c>
      <c r="B7" s="9" t="s">
        <v>256</v>
      </c>
      <c r="C7" s="9" t="s">
        <v>4436</v>
      </c>
      <c r="D7" s="9" t="s">
        <v>4436</v>
      </c>
      <c r="E7" s="9" t="s">
        <v>4436</v>
      </c>
      <c r="F7" s="9" t="s">
        <v>4436</v>
      </c>
      <c r="G7" s="9" t="s">
        <v>4436</v>
      </c>
      <c r="H7" s="9" t="s">
        <v>4432</v>
      </c>
      <c r="I7" s="9" t="s">
        <v>4437</v>
      </c>
      <c r="J7" s="9" t="s">
        <v>4434</v>
      </c>
      <c r="K7" s="9" t="s">
        <v>4441</v>
      </c>
      <c r="L7" s="9" t="s">
        <v>262</v>
      </c>
      <c r="M7" s="9" t="s">
        <v>235</v>
      </c>
    </row>
    <row r="8" customFormat="false" ht="62" hidden="false" customHeight="true" outlineLevel="0" collapsed="false">
      <c r="A8" s="9" t="s">
        <v>4442</v>
      </c>
      <c r="B8" s="9" t="s">
        <v>263</v>
      </c>
      <c r="C8" s="9" t="s">
        <v>4436</v>
      </c>
      <c r="D8" s="9" t="s">
        <v>4443</v>
      </c>
      <c r="E8" s="9" t="s">
        <v>4444</v>
      </c>
      <c r="F8" s="9" t="s">
        <v>4445</v>
      </c>
      <c r="G8" s="9" t="s">
        <v>4436</v>
      </c>
      <c r="H8" s="9" t="s">
        <v>4432</v>
      </c>
      <c r="I8" s="9" t="s">
        <v>4437</v>
      </c>
      <c r="J8" s="9" t="s">
        <v>4434</v>
      </c>
      <c r="K8" s="9" t="s">
        <v>4446</v>
      </c>
      <c r="L8" s="9" t="s">
        <v>4447</v>
      </c>
      <c r="M8" s="9" t="s">
        <v>235</v>
      </c>
    </row>
    <row r="9" customFormat="false" ht="62" hidden="false" customHeight="true" outlineLevel="0" collapsed="false">
      <c r="A9" s="9" t="s">
        <v>4448</v>
      </c>
      <c r="B9" s="9" t="s">
        <v>267</v>
      </c>
      <c r="C9" s="9" t="s">
        <v>4449</v>
      </c>
      <c r="D9" s="9" t="s">
        <v>112</v>
      </c>
      <c r="E9" s="9" t="s">
        <v>4436</v>
      </c>
      <c r="F9" s="9" t="s">
        <v>112</v>
      </c>
      <c r="G9" s="9" t="s">
        <v>4449</v>
      </c>
      <c r="H9" s="9" t="s">
        <v>4432</v>
      </c>
      <c r="I9" s="9" t="s">
        <v>4437</v>
      </c>
      <c r="J9" s="9" t="s">
        <v>4434</v>
      </c>
      <c r="K9" s="9" t="s">
        <v>4450</v>
      </c>
      <c r="L9" s="9" t="s">
        <v>964</v>
      </c>
      <c r="M9" s="9" t="s">
        <v>235</v>
      </c>
    </row>
    <row r="10" customFormat="false" ht="62" hidden="false" customHeight="true" outlineLevel="0" collapsed="false">
      <c r="A10" s="9" t="s">
        <v>4451</v>
      </c>
      <c r="B10" s="9" t="s">
        <v>277</v>
      </c>
      <c r="C10" s="9" t="s">
        <v>4452</v>
      </c>
      <c r="D10" s="9" t="s">
        <v>4432</v>
      </c>
      <c r="E10" s="9" t="s">
        <v>4453</v>
      </c>
      <c r="F10" s="9" t="s">
        <v>4454</v>
      </c>
      <c r="G10" s="9" t="s">
        <v>4455</v>
      </c>
      <c r="H10" s="9" t="s">
        <v>4432</v>
      </c>
      <c r="I10" s="9" t="s">
        <v>4433</v>
      </c>
      <c r="J10" s="9" t="s">
        <v>4434</v>
      </c>
      <c r="K10" s="9" t="s">
        <v>4456</v>
      </c>
      <c r="L10" s="9" t="s">
        <v>2579</v>
      </c>
      <c r="M10" s="9" t="s">
        <v>235</v>
      </c>
    </row>
    <row r="11" customFormat="false" ht="62" hidden="false" customHeight="true" outlineLevel="0" collapsed="false">
      <c r="A11" s="9" t="s">
        <v>4457</v>
      </c>
      <c r="B11" s="9" t="s">
        <v>299</v>
      </c>
      <c r="C11" s="9" t="s">
        <v>4458</v>
      </c>
      <c r="D11" s="9" t="s">
        <v>4432</v>
      </c>
      <c r="E11" s="9" t="s">
        <v>4458</v>
      </c>
      <c r="F11" s="9" t="s">
        <v>4458</v>
      </c>
      <c r="G11" s="9" t="s">
        <v>112</v>
      </c>
      <c r="H11" s="9" t="s">
        <v>4432</v>
      </c>
      <c r="I11" s="9" t="s">
        <v>4433</v>
      </c>
      <c r="J11" s="9" t="s">
        <v>4434</v>
      </c>
      <c r="K11" s="9" t="s">
        <v>4459</v>
      </c>
      <c r="L11" s="9" t="s">
        <v>303</v>
      </c>
      <c r="M11" s="9" t="s">
        <v>235</v>
      </c>
    </row>
    <row r="12" customFormat="false" ht="62" hidden="false" customHeight="true" outlineLevel="0" collapsed="false">
      <c r="A12" s="9" t="s">
        <v>4460</v>
      </c>
      <c r="B12" s="9" t="s">
        <v>236</v>
      </c>
      <c r="C12" s="9" t="s">
        <v>4461</v>
      </c>
      <c r="D12" s="9" t="s">
        <v>4461</v>
      </c>
      <c r="E12" s="9" t="s">
        <v>4436</v>
      </c>
      <c r="F12" s="9" t="s">
        <v>4436</v>
      </c>
      <c r="G12" s="9" t="s">
        <v>4436</v>
      </c>
      <c r="H12" s="9" t="s">
        <v>4432</v>
      </c>
      <c r="I12" s="9" t="s">
        <v>4462</v>
      </c>
      <c r="J12" s="9" t="s">
        <v>4434</v>
      </c>
      <c r="K12" s="9" t="s">
        <v>4463</v>
      </c>
      <c r="L12" s="9" t="s">
        <v>4464</v>
      </c>
      <c r="M12" s="9" t="s">
        <v>235</v>
      </c>
    </row>
    <row r="13" customFormat="false" ht="62" hidden="false" customHeight="true" outlineLevel="0" collapsed="false">
      <c r="A13" s="9" t="s">
        <v>4465</v>
      </c>
      <c r="B13" s="9" t="s">
        <v>4466</v>
      </c>
      <c r="C13" s="9" t="s">
        <v>4432</v>
      </c>
      <c r="D13" s="9" t="s">
        <v>4432</v>
      </c>
      <c r="E13" s="9" t="s">
        <v>4432</v>
      </c>
      <c r="F13" s="9" t="s">
        <v>4432</v>
      </c>
      <c r="G13" s="9" t="s">
        <v>4432</v>
      </c>
      <c r="H13" s="9" t="s">
        <v>4432</v>
      </c>
      <c r="I13" s="9" t="s">
        <v>4467</v>
      </c>
      <c r="J13" s="9" t="s">
        <v>4434</v>
      </c>
      <c r="K13" s="9" t="s">
        <v>4468</v>
      </c>
      <c r="L13" s="9" t="s">
        <v>4469</v>
      </c>
      <c r="M13" s="9" t="s">
        <v>235</v>
      </c>
    </row>
    <row r="14" customFormat="false" ht="62" hidden="false" customHeight="true" outlineLevel="0" collapsed="false">
      <c r="A14" s="9" t="s">
        <v>4470</v>
      </c>
      <c r="B14" s="9" t="s">
        <v>4471</v>
      </c>
      <c r="C14" s="9" t="s">
        <v>4472</v>
      </c>
      <c r="D14" s="9" t="s">
        <v>4432</v>
      </c>
      <c r="E14" s="9" t="s">
        <v>4432</v>
      </c>
      <c r="F14" s="9" t="s">
        <v>4432</v>
      </c>
      <c r="G14" s="9" t="s">
        <v>4432</v>
      </c>
      <c r="H14" s="9" t="s">
        <v>4432</v>
      </c>
      <c r="I14" s="9" t="s">
        <v>4473</v>
      </c>
      <c r="J14" s="9" t="s">
        <v>4434</v>
      </c>
      <c r="K14" s="9" t="s">
        <v>4474</v>
      </c>
      <c r="L14" s="9" t="s">
        <v>2440</v>
      </c>
      <c r="M14" s="9" t="s">
        <v>235</v>
      </c>
    </row>
    <row r="15" customFormat="false" ht="62" hidden="false" customHeight="true" outlineLevel="0" collapsed="false">
      <c r="A15" s="9" t="s">
        <v>4475</v>
      </c>
      <c r="B15" s="9" t="s">
        <v>226</v>
      </c>
      <c r="C15" s="9" t="s">
        <v>4436</v>
      </c>
      <c r="D15" s="9" t="s">
        <v>4436</v>
      </c>
      <c r="E15" s="9" t="s">
        <v>4436</v>
      </c>
      <c r="F15" s="9" t="s">
        <v>4436</v>
      </c>
      <c r="G15" s="9" t="s">
        <v>4436</v>
      </c>
      <c r="H15" s="9" t="s">
        <v>4476</v>
      </c>
      <c r="I15" s="9" t="s">
        <v>4477</v>
      </c>
      <c r="J15" s="9" t="s">
        <v>214</v>
      </c>
      <c r="K15" s="9" t="s">
        <v>4478</v>
      </c>
      <c r="L15" s="9" t="s">
        <v>4479</v>
      </c>
      <c r="M15" s="9" t="s">
        <v>235</v>
      </c>
    </row>
    <row r="16" customFormat="false" ht="62" hidden="false" customHeight="true" outlineLevel="0" collapsed="false">
      <c r="A16" s="9" t="s">
        <v>4480</v>
      </c>
      <c r="B16" s="9" t="s">
        <v>4481</v>
      </c>
      <c r="C16" s="9" t="s">
        <v>4436</v>
      </c>
      <c r="D16" s="9" t="s">
        <v>4436</v>
      </c>
      <c r="E16" s="9" t="s">
        <v>4436</v>
      </c>
      <c r="F16" s="9" t="s">
        <v>4436</v>
      </c>
      <c r="G16" s="9" t="s">
        <v>4436</v>
      </c>
      <c r="H16" s="9" t="s">
        <v>4432</v>
      </c>
      <c r="I16" s="9" t="s">
        <v>4482</v>
      </c>
      <c r="J16" s="9" t="s">
        <v>4434</v>
      </c>
      <c r="K16" s="9" t="s">
        <v>4483</v>
      </c>
      <c r="L16" s="9" t="s">
        <v>4484</v>
      </c>
      <c r="M16" s="9" t="s">
        <v>235</v>
      </c>
    </row>
    <row r="17" customFormat="false" ht="62" hidden="false" customHeight="true" outlineLevel="0" collapsed="false">
      <c r="A17" s="9" t="s">
        <v>4485</v>
      </c>
      <c r="B17" s="9" t="s">
        <v>4486</v>
      </c>
      <c r="C17" s="9" t="s">
        <v>4436</v>
      </c>
      <c r="D17" s="9" t="s">
        <v>4436</v>
      </c>
      <c r="E17" s="9" t="s">
        <v>4436</v>
      </c>
      <c r="F17" s="9" t="s">
        <v>4436</v>
      </c>
      <c r="G17" s="9" t="s">
        <v>4436</v>
      </c>
      <c r="H17" s="9" t="s">
        <v>4432</v>
      </c>
      <c r="I17" s="9" t="s">
        <v>4487</v>
      </c>
      <c r="J17" s="9" t="s">
        <v>4434</v>
      </c>
      <c r="K17" s="9" t="s">
        <v>4488</v>
      </c>
      <c r="L17" s="9" t="s">
        <v>4489</v>
      </c>
      <c r="M17" s="9" t="s">
        <v>235</v>
      </c>
    </row>
    <row r="18" customFormat="false" ht="62" hidden="false" customHeight="true" outlineLevel="0" collapsed="false">
      <c r="A18" s="9" t="s">
        <v>4490</v>
      </c>
      <c r="B18" s="9" t="s">
        <v>4491</v>
      </c>
      <c r="C18" s="9" t="s">
        <v>4436</v>
      </c>
      <c r="D18" s="9" t="s">
        <v>4436</v>
      </c>
      <c r="E18" s="9" t="s">
        <v>4436</v>
      </c>
      <c r="F18" s="9" t="s">
        <v>4436</v>
      </c>
      <c r="G18" s="9" t="s">
        <v>4436</v>
      </c>
      <c r="H18" s="9" t="s">
        <v>4432</v>
      </c>
      <c r="I18" s="9" t="s">
        <v>4492</v>
      </c>
      <c r="J18" s="9" t="s">
        <v>4434</v>
      </c>
      <c r="K18" s="9" t="s">
        <v>4493</v>
      </c>
      <c r="L18" s="9" t="s">
        <v>4494</v>
      </c>
      <c r="M18" s="9" t="s">
        <v>235</v>
      </c>
    </row>
    <row r="19" customFormat="false" ht="62" hidden="false" customHeight="true" outlineLevel="0" collapsed="false">
      <c r="A19" s="9" t="s">
        <v>4495</v>
      </c>
      <c r="B19" s="9" t="s">
        <v>461</v>
      </c>
      <c r="C19" s="9" t="s">
        <v>4436</v>
      </c>
      <c r="D19" s="9" t="s">
        <v>4496</v>
      </c>
      <c r="E19" s="9" t="s">
        <v>4436</v>
      </c>
      <c r="F19" s="9" t="s">
        <v>4436</v>
      </c>
      <c r="G19" s="9" t="s">
        <v>4436</v>
      </c>
      <c r="H19" s="9" t="s">
        <v>4432</v>
      </c>
      <c r="I19" s="9" t="s">
        <v>4497</v>
      </c>
      <c r="J19" s="9" t="s">
        <v>4434</v>
      </c>
      <c r="K19" s="9" t="s">
        <v>4498</v>
      </c>
      <c r="L19" s="9" t="s">
        <v>466</v>
      </c>
      <c r="M19" s="9" t="s">
        <v>235</v>
      </c>
    </row>
    <row r="20" customFormat="false" ht="62" hidden="false" customHeight="true" outlineLevel="0" collapsed="false">
      <c r="A20" s="9" t="s">
        <v>4499</v>
      </c>
      <c r="B20" s="9" t="s">
        <v>4500</v>
      </c>
      <c r="C20" s="9" t="s">
        <v>4501</v>
      </c>
      <c r="D20" s="9" t="s">
        <v>4432</v>
      </c>
      <c r="E20" s="9" t="s">
        <v>112</v>
      </c>
      <c r="F20" s="9" t="s">
        <v>112</v>
      </c>
      <c r="G20" s="9" t="s">
        <v>112</v>
      </c>
      <c r="H20" s="9" t="s">
        <v>4432</v>
      </c>
      <c r="I20" s="9" t="s">
        <v>4502</v>
      </c>
      <c r="J20" s="9" t="s">
        <v>4503</v>
      </c>
      <c r="K20" s="9" t="s">
        <v>4504</v>
      </c>
      <c r="L20" s="9" t="s">
        <v>3827</v>
      </c>
      <c r="M20" s="9" t="s">
        <v>235</v>
      </c>
    </row>
    <row r="21" customFormat="false" ht="62" hidden="false" customHeight="true" outlineLevel="0" collapsed="false">
      <c r="A21" s="9" t="s">
        <v>4505</v>
      </c>
      <c r="B21" s="9" t="s">
        <v>4506</v>
      </c>
      <c r="C21" s="9" t="s">
        <v>4436</v>
      </c>
      <c r="D21" s="9" t="s">
        <v>4507</v>
      </c>
      <c r="E21" s="9" t="s">
        <v>4436</v>
      </c>
      <c r="F21" s="9" t="s">
        <v>4436</v>
      </c>
      <c r="G21" s="9" t="s">
        <v>4436</v>
      </c>
      <c r="H21" s="9" t="s">
        <v>4432</v>
      </c>
      <c r="I21" s="9" t="s">
        <v>4508</v>
      </c>
      <c r="J21" s="9" t="s">
        <v>4434</v>
      </c>
      <c r="K21" s="9" t="s">
        <v>4509</v>
      </c>
      <c r="L21" s="9" t="s">
        <v>1258</v>
      </c>
      <c r="M21" s="9" t="s">
        <v>235</v>
      </c>
    </row>
    <row r="22" customFormat="false" ht="62" hidden="false" customHeight="true" outlineLevel="0" collapsed="false">
      <c r="A22" s="9" t="s">
        <v>4510</v>
      </c>
      <c r="B22" s="9" t="s">
        <v>319</v>
      </c>
      <c r="C22" s="9" t="s">
        <v>4511</v>
      </c>
      <c r="D22" s="9" t="s">
        <v>4511</v>
      </c>
      <c r="E22" s="9" t="s">
        <v>4511</v>
      </c>
      <c r="F22" s="9" t="s">
        <v>4511</v>
      </c>
      <c r="G22" s="9" t="s">
        <v>4511</v>
      </c>
      <c r="H22" s="9" t="s">
        <v>4432</v>
      </c>
      <c r="I22" s="9" t="s">
        <v>4512</v>
      </c>
      <c r="J22" s="9" t="s">
        <v>4513</v>
      </c>
      <c r="K22" s="9" t="s">
        <v>4514</v>
      </c>
      <c r="L22" s="9" t="s">
        <v>4515</v>
      </c>
      <c r="M22" s="9" t="s">
        <v>235</v>
      </c>
    </row>
    <row r="23" customFormat="false" ht="62" hidden="false" customHeight="true" outlineLevel="0" collapsed="false">
      <c r="A23" s="9" t="s">
        <v>4516</v>
      </c>
      <c r="B23" s="9" t="s">
        <v>4517</v>
      </c>
      <c r="C23" s="9" t="s">
        <v>4518</v>
      </c>
      <c r="D23" s="9" t="s">
        <v>4432</v>
      </c>
      <c r="E23" s="9" t="s">
        <v>4518</v>
      </c>
      <c r="F23" s="9" t="s">
        <v>4518</v>
      </c>
      <c r="G23" s="9" t="s">
        <v>4519</v>
      </c>
      <c r="H23" s="9" t="s">
        <v>4432</v>
      </c>
      <c r="I23" s="9" t="s">
        <v>4520</v>
      </c>
      <c r="J23" s="9" t="s">
        <v>4434</v>
      </c>
      <c r="K23" s="9" t="s">
        <v>4521</v>
      </c>
      <c r="L23" s="9" t="s">
        <v>4522</v>
      </c>
      <c r="M23" s="9" t="s">
        <v>235</v>
      </c>
    </row>
    <row r="24" customFormat="false" ht="62" hidden="false" customHeight="true" outlineLevel="0" collapsed="false">
      <c r="A24" s="9" t="s">
        <v>4523</v>
      </c>
      <c r="B24" s="9" t="s">
        <v>4524</v>
      </c>
      <c r="C24" s="9" t="s">
        <v>4436</v>
      </c>
      <c r="D24" s="9" t="s">
        <v>4436</v>
      </c>
      <c r="E24" s="9" t="s">
        <v>4436</v>
      </c>
      <c r="F24" s="9" t="s">
        <v>4436</v>
      </c>
      <c r="G24" s="9" t="s">
        <v>4436</v>
      </c>
      <c r="H24" s="9" t="s">
        <v>4432</v>
      </c>
      <c r="I24" s="9" t="s">
        <v>4525</v>
      </c>
      <c r="J24" s="9" t="s">
        <v>4526</v>
      </c>
      <c r="K24" s="9" t="s">
        <v>4527</v>
      </c>
      <c r="L24" s="9" t="s">
        <v>3690</v>
      </c>
      <c r="M24" s="9" t="s">
        <v>235</v>
      </c>
    </row>
    <row r="25" customFormat="false" ht="62" hidden="false" customHeight="true" outlineLevel="0" collapsed="false">
      <c r="A25" s="9" t="s">
        <v>4528</v>
      </c>
      <c r="B25" s="9" t="s">
        <v>4529</v>
      </c>
      <c r="C25" s="9" t="s">
        <v>4436</v>
      </c>
      <c r="D25" s="9" t="s">
        <v>4436</v>
      </c>
      <c r="E25" s="9" t="s">
        <v>4436</v>
      </c>
      <c r="F25" s="9" t="s">
        <v>4436</v>
      </c>
      <c r="G25" s="9" t="s">
        <v>4436</v>
      </c>
      <c r="H25" s="9" t="s">
        <v>4476</v>
      </c>
      <c r="I25" s="9" t="s">
        <v>4530</v>
      </c>
      <c r="J25" s="9" t="s">
        <v>214</v>
      </c>
      <c r="K25" s="9" t="s">
        <v>4531</v>
      </c>
      <c r="L25" s="9" t="s">
        <v>3862</v>
      </c>
      <c r="M25" s="9" t="s">
        <v>235</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6"/>
    <col collapsed="false" customWidth="true" hidden="false" outlineLevel="0" max="3" min="3" style="0" width="32"/>
    <col collapsed="false" customWidth="true" hidden="false" outlineLevel="0" max="4" min="4" style="0" width="30"/>
    <col collapsed="false" customWidth="true" hidden="false" outlineLevel="0" max="5" min="5" style="0" width="38"/>
    <col collapsed="false" customWidth="true" hidden="false" outlineLevel="0" max="6" min="6" style="0" width="28"/>
    <col collapsed="false" customWidth="true" hidden="false" outlineLevel="0" max="7" min="7" style="0" width="54"/>
    <col collapsed="false" customWidth="true" hidden="false" outlineLevel="0" max="8" min="8" style="0" width="64"/>
    <col collapsed="false" customWidth="true" hidden="false" outlineLevel="0" max="9" min="9" style="0" width="36"/>
  </cols>
  <sheetData>
    <row r="1" customFormat="false" ht="30" hidden="false" customHeight="true" outlineLevel="0" collapsed="false">
      <c r="A1" s="1" t="s">
        <v>4532</v>
      </c>
      <c r="B1" s="1"/>
      <c r="C1" s="1"/>
      <c r="D1" s="1"/>
      <c r="E1" s="1"/>
      <c r="F1" s="1"/>
      <c r="G1" s="1"/>
      <c r="H1" s="1"/>
      <c r="I1" s="1"/>
    </row>
    <row r="2" customFormat="false" ht="34" hidden="false" customHeight="true" outlineLevel="0" collapsed="false">
      <c r="A2" s="2" t="s">
        <v>4533</v>
      </c>
      <c r="B2" s="2"/>
      <c r="C2" s="2"/>
      <c r="D2" s="2"/>
      <c r="E2" s="2"/>
      <c r="F2" s="2"/>
      <c r="G2" s="2"/>
      <c r="H2" s="2"/>
      <c r="I2" s="2"/>
    </row>
    <row r="4" customFormat="false" ht="34" hidden="false" customHeight="true" outlineLevel="0" collapsed="false">
      <c r="A4" s="8" t="s">
        <v>4534</v>
      </c>
      <c r="B4" s="8" t="s">
        <v>4535</v>
      </c>
      <c r="C4" s="8" t="s">
        <v>655</v>
      </c>
      <c r="D4" s="8" t="s">
        <v>4536</v>
      </c>
      <c r="E4" s="8" t="s">
        <v>4537</v>
      </c>
      <c r="F4" s="8" t="s">
        <v>4538</v>
      </c>
      <c r="G4" s="8" t="s">
        <v>733</v>
      </c>
      <c r="H4" s="8" t="s">
        <v>4539</v>
      </c>
      <c r="I4" s="8" t="s">
        <v>61</v>
      </c>
    </row>
    <row r="5" customFormat="false" ht="56" hidden="false" customHeight="true" outlineLevel="0" collapsed="false">
      <c r="A5" s="9" t="s">
        <v>4540</v>
      </c>
      <c r="B5" s="9" t="s">
        <v>4541</v>
      </c>
      <c r="C5" s="9" t="s">
        <v>736</v>
      </c>
      <c r="D5" s="9" t="s">
        <v>4542</v>
      </c>
      <c r="E5" s="9" t="s">
        <v>742</v>
      </c>
      <c r="F5" s="9" t="s">
        <v>4431</v>
      </c>
      <c r="G5" s="9" t="s">
        <v>743</v>
      </c>
      <c r="H5" s="9" t="s">
        <v>4543</v>
      </c>
      <c r="I5" s="9" t="s">
        <v>4544</v>
      </c>
    </row>
    <row r="6" customFormat="false" ht="56" hidden="false" customHeight="true" outlineLevel="0" collapsed="false">
      <c r="A6" s="9" t="s">
        <v>4545</v>
      </c>
      <c r="B6" s="9" t="s">
        <v>4541</v>
      </c>
      <c r="C6" s="9" t="s">
        <v>667</v>
      </c>
      <c r="D6" s="9" t="s">
        <v>4542</v>
      </c>
      <c r="E6" s="9" t="s">
        <v>4546</v>
      </c>
      <c r="F6" s="9" t="s">
        <v>4547</v>
      </c>
      <c r="G6" s="9" t="s">
        <v>4431</v>
      </c>
      <c r="H6" s="9" t="s">
        <v>4548</v>
      </c>
      <c r="I6" s="9" t="s">
        <v>607</v>
      </c>
    </row>
    <row r="7" customFormat="false" ht="56" hidden="false" customHeight="true" outlineLevel="0" collapsed="false">
      <c r="A7" s="9" t="s">
        <v>4549</v>
      </c>
      <c r="B7" s="9" t="s">
        <v>4541</v>
      </c>
      <c r="C7" s="9" t="s">
        <v>4550</v>
      </c>
      <c r="D7" s="9" t="s">
        <v>4542</v>
      </c>
      <c r="E7" s="9" t="s">
        <v>4546</v>
      </c>
      <c r="F7" s="9" t="s">
        <v>4547</v>
      </c>
      <c r="G7" s="9" t="s">
        <v>4431</v>
      </c>
      <c r="H7" s="9" t="s">
        <v>4551</v>
      </c>
      <c r="I7" s="9" t="s">
        <v>607</v>
      </c>
    </row>
    <row r="8" customFormat="false" ht="56" hidden="false" customHeight="true" outlineLevel="0" collapsed="false">
      <c r="A8" s="9" t="s">
        <v>4552</v>
      </c>
      <c r="B8" s="9" t="s">
        <v>4553</v>
      </c>
      <c r="C8" s="9" t="s">
        <v>736</v>
      </c>
      <c r="D8" s="9" t="s">
        <v>4542</v>
      </c>
      <c r="E8" s="9" t="s">
        <v>742</v>
      </c>
      <c r="F8" s="9" t="s">
        <v>4431</v>
      </c>
      <c r="G8" s="9" t="s">
        <v>743</v>
      </c>
      <c r="H8" s="9" t="s">
        <v>4543</v>
      </c>
      <c r="I8" s="9" t="s">
        <v>4554</v>
      </c>
    </row>
    <row r="9" customFormat="false" ht="56" hidden="false" customHeight="true" outlineLevel="0" collapsed="false">
      <c r="A9" s="9" t="s">
        <v>4555</v>
      </c>
      <c r="B9" s="9" t="s">
        <v>4553</v>
      </c>
      <c r="C9" s="9" t="s">
        <v>667</v>
      </c>
      <c r="D9" s="9" t="s">
        <v>4542</v>
      </c>
      <c r="E9" s="9" t="s">
        <v>4546</v>
      </c>
      <c r="F9" s="9" t="s">
        <v>4556</v>
      </c>
      <c r="G9" s="9" t="s">
        <v>4431</v>
      </c>
      <c r="H9" s="9" t="s">
        <v>4557</v>
      </c>
      <c r="I9" s="9" t="s">
        <v>1835</v>
      </c>
    </row>
    <row r="10" customFormat="false" ht="56" hidden="false" customHeight="true" outlineLevel="0" collapsed="false">
      <c r="A10" s="9" t="s">
        <v>4558</v>
      </c>
      <c r="B10" s="9" t="s">
        <v>4559</v>
      </c>
      <c r="C10" s="9" t="s">
        <v>736</v>
      </c>
      <c r="D10" s="9" t="s">
        <v>4560</v>
      </c>
      <c r="E10" s="9" t="s">
        <v>4561</v>
      </c>
      <c r="F10" s="9" t="s">
        <v>4431</v>
      </c>
      <c r="G10" s="9" t="s">
        <v>4562</v>
      </c>
      <c r="H10" s="9" t="s">
        <v>4563</v>
      </c>
      <c r="I10" s="9" t="s">
        <v>3470</v>
      </c>
    </row>
    <row r="11" customFormat="false" ht="56" hidden="false" customHeight="true" outlineLevel="0" collapsed="false">
      <c r="A11" s="9" t="s">
        <v>4564</v>
      </c>
      <c r="B11" s="9" t="s">
        <v>4559</v>
      </c>
      <c r="C11" s="9" t="s">
        <v>736</v>
      </c>
      <c r="D11" s="9" t="s">
        <v>4565</v>
      </c>
      <c r="E11" s="9" t="s">
        <v>4546</v>
      </c>
      <c r="F11" s="9" t="s">
        <v>4556</v>
      </c>
      <c r="G11" s="9" t="s">
        <v>4431</v>
      </c>
      <c r="H11" s="9" t="s">
        <v>4566</v>
      </c>
      <c r="I11" s="9" t="s">
        <v>3470</v>
      </c>
    </row>
    <row r="12" customFormat="false" ht="56" hidden="false" customHeight="true" outlineLevel="0" collapsed="false">
      <c r="A12" s="9" t="s">
        <v>4567</v>
      </c>
      <c r="B12" s="9" t="s">
        <v>4559</v>
      </c>
      <c r="C12" s="9" t="s">
        <v>4568</v>
      </c>
      <c r="D12" s="9" t="s">
        <v>792</v>
      </c>
      <c r="E12" s="9" t="s">
        <v>4569</v>
      </c>
      <c r="F12" s="9" t="s">
        <v>4570</v>
      </c>
      <c r="G12" s="9" t="s">
        <v>4431</v>
      </c>
      <c r="H12" s="9" t="s">
        <v>4571</v>
      </c>
      <c r="I12" s="9" t="s">
        <v>3470</v>
      </c>
    </row>
    <row r="13" customFormat="false" ht="56" hidden="false" customHeight="true" outlineLevel="0" collapsed="false">
      <c r="A13" s="9" t="s">
        <v>4572</v>
      </c>
      <c r="B13" s="9" t="s">
        <v>4573</v>
      </c>
      <c r="C13" s="9" t="s">
        <v>4568</v>
      </c>
      <c r="D13" s="9" t="s">
        <v>792</v>
      </c>
      <c r="E13" s="9" t="s">
        <v>4574</v>
      </c>
      <c r="F13" s="9" t="s">
        <v>4431</v>
      </c>
      <c r="G13" s="9" t="s">
        <v>4575</v>
      </c>
      <c r="H13" s="9" t="s">
        <v>4576</v>
      </c>
      <c r="I13" s="9" t="s">
        <v>3479</v>
      </c>
    </row>
    <row r="14" customFormat="false" ht="56" hidden="false" customHeight="true" outlineLevel="0" collapsed="false">
      <c r="A14" s="9" t="s">
        <v>4577</v>
      </c>
      <c r="B14" s="9" t="s">
        <v>4578</v>
      </c>
      <c r="C14" s="9" t="s">
        <v>4579</v>
      </c>
      <c r="D14" s="9" t="s">
        <v>4580</v>
      </c>
      <c r="E14" s="9" t="s">
        <v>4581</v>
      </c>
      <c r="F14" s="9" t="s">
        <v>4431</v>
      </c>
      <c r="G14" s="9" t="s">
        <v>4582</v>
      </c>
      <c r="H14" s="9" t="s">
        <v>4583</v>
      </c>
      <c r="I14" s="9" t="s">
        <v>571</v>
      </c>
    </row>
    <row r="15" customFormat="false" ht="56" hidden="false" customHeight="true" outlineLevel="0" collapsed="false">
      <c r="A15" s="9" t="s">
        <v>4584</v>
      </c>
      <c r="B15" s="9" t="s">
        <v>4578</v>
      </c>
      <c r="C15" s="9" t="s">
        <v>4585</v>
      </c>
      <c r="D15" s="9" t="s">
        <v>4580</v>
      </c>
      <c r="E15" s="9" t="s">
        <v>4546</v>
      </c>
      <c r="F15" s="9" t="s">
        <v>4586</v>
      </c>
      <c r="G15" s="9" t="s">
        <v>4431</v>
      </c>
      <c r="H15" s="9" t="s">
        <v>4587</v>
      </c>
      <c r="I15" s="9" t="s">
        <v>571</v>
      </c>
    </row>
    <row r="16" customFormat="false" ht="56" hidden="false" customHeight="true" outlineLevel="0" collapsed="false">
      <c r="A16" s="9" t="s">
        <v>4588</v>
      </c>
      <c r="B16" s="9" t="s">
        <v>4578</v>
      </c>
      <c r="C16" s="9" t="s">
        <v>4589</v>
      </c>
      <c r="D16" s="9" t="s">
        <v>4580</v>
      </c>
      <c r="E16" s="9" t="s">
        <v>4590</v>
      </c>
      <c r="F16" s="9" t="s">
        <v>4591</v>
      </c>
      <c r="G16" s="9" t="s">
        <v>4431</v>
      </c>
      <c r="H16" s="9" t="s">
        <v>4592</v>
      </c>
      <c r="I16" s="9" t="s">
        <v>571</v>
      </c>
    </row>
    <row r="17" customFormat="false" ht="56" hidden="false" customHeight="true" outlineLevel="0" collapsed="false">
      <c r="A17" s="9" t="s">
        <v>4593</v>
      </c>
      <c r="B17" s="9" t="s">
        <v>4594</v>
      </c>
      <c r="C17" s="9" t="s">
        <v>4595</v>
      </c>
      <c r="D17" s="9" t="s">
        <v>4542</v>
      </c>
      <c r="E17" s="9" t="s">
        <v>4596</v>
      </c>
      <c r="F17" s="9" t="s">
        <v>4597</v>
      </c>
      <c r="G17" s="9" t="s">
        <v>4431</v>
      </c>
      <c r="H17" s="9" t="s">
        <v>4598</v>
      </c>
      <c r="I17" s="9" t="s">
        <v>4599</v>
      </c>
    </row>
    <row r="18" customFormat="false" ht="56" hidden="false" customHeight="true" outlineLevel="0" collapsed="false">
      <c r="A18" s="9" t="s">
        <v>4600</v>
      </c>
      <c r="B18" s="9" t="s">
        <v>4594</v>
      </c>
      <c r="C18" s="9" t="s">
        <v>4601</v>
      </c>
      <c r="D18" s="9" t="s">
        <v>4602</v>
      </c>
      <c r="E18" s="9" t="s">
        <v>4561</v>
      </c>
      <c r="F18" s="9" t="s">
        <v>4431</v>
      </c>
      <c r="G18" s="9" t="s">
        <v>4603</v>
      </c>
      <c r="H18" s="9" t="s">
        <v>4604</v>
      </c>
      <c r="I18" s="9" t="s">
        <v>4599</v>
      </c>
    </row>
    <row r="19" customFormat="false" ht="56" hidden="false" customHeight="true" outlineLevel="0" collapsed="false">
      <c r="A19" s="9" t="s">
        <v>4605</v>
      </c>
      <c r="B19" s="9" t="s">
        <v>4606</v>
      </c>
      <c r="C19" s="9" t="s">
        <v>4601</v>
      </c>
      <c r="D19" s="9" t="s">
        <v>4602</v>
      </c>
      <c r="E19" s="9" t="s">
        <v>4561</v>
      </c>
      <c r="F19" s="9" t="s">
        <v>4431</v>
      </c>
      <c r="G19" s="9" t="s">
        <v>4603</v>
      </c>
      <c r="H19" s="9" t="s">
        <v>4607</v>
      </c>
      <c r="I19" s="9" t="s">
        <v>4608</v>
      </c>
    </row>
    <row r="20" customFormat="false" ht="56" hidden="false" customHeight="true" outlineLevel="0" collapsed="false">
      <c r="A20" s="9" t="s">
        <v>4609</v>
      </c>
      <c r="B20" s="9" t="s">
        <v>4610</v>
      </c>
      <c r="C20" s="9" t="s">
        <v>4611</v>
      </c>
      <c r="D20" s="9" t="s">
        <v>4602</v>
      </c>
      <c r="E20" s="9" t="s">
        <v>4612</v>
      </c>
      <c r="F20" s="9" t="s">
        <v>4431</v>
      </c>
      <c r="G20" s="9" t="s">
        <v>4613</v>
      </c>
      <c r="H20" s="9" t="s">
        <v>4614</v>
      </c>
      <c r="I20" s="9" t="s">
        <v>4615</v>
      </c>
    </row>
    <row r="21" customFormat="false" ht="56" hidden="false" customHeight="true" outlineLevel="0" collapsed="false">
      <c r="A21" s="9" t="s">
        <v>4616</v>
      </c>
      <c r="B21" s="9" t="s">
        <v>4617</v>
      </c>
      <c r="C21" s="9" t="s">
        <v>4618</v>
      </c>
      <c r="D21" s="9" t="s">
        <v>4542</v>
      </c>
      <c r="E21" s="9" t="s">
        <v>4619</v>
      </c>
      <c r="F21" s="9" t="s">
        <v>4431</v>
      </c>
      <c r="G21" s="9" t="s">
        <v>4620</v>
      </c>
      <c r="H21" s="9" t="s">
        <v>4621</v>
      </c>
      <c r="I21" s="9" t="s">
        <v>1328</v>
      </c>
    </row>
    <row r="22" customFormat="false" ht="56" hidden="false" customHeight="true" outlineLevel="0" collapsed="false">
      <c r="A22" s="9" t="s">
        <v>4622</v>
      </c>
      <c r="B22" s="9" t="s">
        <v>4623</v>
      </c>
      <c r="C22" s="9" t="s">
        <v>4624</v>
      </c>
      <c r="D22" s="9" t="s">
        <v>4542</v>
      </c>
      <c r="E22" s="9" t="s">
        <v>4625</v>
      </c>
      <c r="F22" s="9" t="s">
        <v>4431</v>
      </c>
      <c r="G22" s="9" t="s">
        <v>4626</v>
      </c>
      <c r="H22" s="9" t="s">
        <v>4627</v>
      </c>
      <c r="I22" s="9" t="s">
        <v>4628</v>
      </c>
    </row>
    <row r="23" customFormat="false" ht="56" hidden="false" customHeight="true" outlineLevel="0" collapsed="false">
      <c r="A23" s="9" t="s">
        <v>4629</v>
      </c>
      <c r="B23" s="9" t="s">
        <v>4630</v>
      </c>
      <c r="C23" s="9" t="s">
        <v>4631</v>
      </c>
      <c r="D23" s="9" t="s">
        <v>4565</v>
      </c>
      <c r="E23" s="9" t="s">
        <v>4561</v>
      </c>
      <c r="F23" s="9" t="s">
        <v>4431</v>
      </c>
      <c r="G23" s="9" t="s">
        <v>4632</v>
      </c>
      <c r="H23" s="9" t="s">
        <v>4633</v>
      </c>
      <c r="I23" s="9" t="s">
        <v>1089</v>
      </c>
    </row>
    <row r="24" customFormat="false" ht="56" hidden="false" customHeight="true" outlineLevel="0" collapsed="false">
      <c r="A24" s="9" t="s">
        <v>4634</v>
      </c>
      <c r="B24" s="9" t="s">
        <v>4635</v>
      </c>
      <c r="C24" s="9" t="s">
        <v>4636</v>
      </c>
      <c r="D24" s="9" t="s">
        <v>4542</v>
      </c>
      <c r="E24" s="9" t="s">
        <v>4637</v>
      </c>
      <c r="F24" s="9" t="s">
        <v>4431</v>
      </c>
      <c r="G24" s="9" t="s">
        <v>4638</v>
      </c>
      <c r="H24" s="9" t="s">
        <v>4639</v>
      </c>
      <c r="I24" s="9" t="s">
        <v>1689</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3" min="2" style="0" width="34"/>
    <col collapsed="false" customWidth="true" hidden="false" outlineLevel="0" max="4" min="4" style="0" width="38"/>
    <col collapsed="false" customWidth="true" hidden="false" outlineLevel="0" max="5" min="5" style="0" width="82"/>
    <col collapsed="false" customWidth="true" hidden="false" outlineLevel="0" max="6" min="6" style="0" width="36"/>
  </cols>
  <sheetData>
    <row r="1" customFormat="false" ht="30" hidden="false" customHeight="true" outlineLevel="0" collapsed="false">
      <c r="A1" s="1" t="s">
        <v>4640</v>
      </c>
      <c r="B1" s="1"/>
      <c r="C1" s="1"/>
      <c r="D1" s="1"/>
      <c r="E1" s="1"/>
      <c r="F1" s="1"/>
    </row>
    <row r="2" customFormat="false" ht="34" hidden="false" customHeight="true" outlineLevel="0" collapsed="false">
      <c r="A2" s="2" t="s">
        <v>4641</v>
      </c>
      <c r="B2" s="2"/>
      <c r="C2" s="2"/>
      <c r="D2" s="2"/>
      <c r="E2" s="2"/>
      <c r="F2" s="2"/>
    </row>
    <row r="4" customFormat="false" ht="34" hidden="false" customHeight="true" outlineLevel="0" collapsed="false">
      <c r="A4" s="8" t="s">
        <v>4642</v>
      </c>
      <c r="B4" s="8" t="s">
        <v>56</v>
      </c>
      <c r="C4" s="8" t="s">
        <v>4643</v>
      </c>
      <c r="D4" s="8" t="s">
        <v>4644</v>
      </c>
      <c r="E4" s="8" t="s">
        <v>4645</v>
      </c>
      <c r="F4" s="8" t="s">
        <v>61</v>
      </c>
    </row>
    <row r="5" customFormat="false" ht="54" hidden="false" customHeight="true" outlineLevel="0" collapsed="false">
      <c r="A5" s="9" t="s">
        <v>4646</v>
      </c>
      <c r="B5" s="9" t="s">
        <v>4647</v>
      </c>
      <c r="C5" s="9" t="s">
        <v>4648</v>
      </c>
      <c r="D5" s="9" t="s">
        <v>4649</v>
      </c>
      <c r="E5" s="9" t="s">
        <v>4650</v>
      </c>
      <c r="F5" s="9" t="s">
        <v>2466</v>
      </c>
    </row>
    <row r="6" customFormat="false" ht="54" hidden="false" customHeight="true" outlineLevel="0" collapsed="false">
      <c r="A6" s="9" t="s">
        <v>4651</v>
      </c>
      <c r="B6" s="9" t="s">
        <v>4652</v>
      </c>
      <c r="C6" s="9" t="s">
        <v>4653</v>
      </c>
      <c r="D6" s="9" t="s">
        <v>4654</v>
      </c>
      <c r="E6" s="9" t="s">
        <v>4655</v>
      </c>
      <c r="F6" s="9" t="s">
        <v>4656</v>
      </c>
    </row>
    <row r="7" customFormat="false" ht="54" hidden="false" customHeight="true" outlineLevel="0" collapsed="false">
      <c r="A7" s="9" t="s">
        <v>4657</v>
      </c>
      <c r="B7" s="9" t="s">
        <v>4658</v>
      </c>
      <c r="C7" s="9" t="s">
        <v>4659</v>
      </c>
      <c r="D7" s="9" t="s">
        <v>4660</v>
      </c>
      <c r="E7" s="9" t="s">
        <v>4661</v>
      </c>
      <c r="F7" s="9" t="s">
        <v>4662</v>
      </c>
    </row>
    <row r="8" customFormat="false" ht="54" hidden="false" customHeight="true" outlineLevel="0" collapsed="false">
      <c r="A8" s="9" t="s">
        <v>4663</v>
      </c>
      <c r="B8" s="9" t="s">
        <v>4664</v>
      </c>
      <c r="C8" s="9" t="s">
        <v>4665</v>
      </c>
      <c r="D8" s="9" t="s">
        <v>4666</v>
      </c>
      <c r="E8" s="9" t="s">
        <v>4667</v>
      </c>
      <c r="F8" s="9" t="s">
        <v>4668</v>
      </c>
    </row>
    <row r="9" customFormat="false" ht="54" hidden="false" customHeight="true" outlineLevel="0" collapsed="false">
      <c r="A9" s="9" t="s">
        <v>4669</v>
      </c>
      <c r="B9" s="9" t="s">
        <v>4670</v>
      </c>
      <c r="C9" s="9" t="s">
        <v>4671</v>
      </c>
      <c r="D9" s="9" t="s">
        <v>4672</v>
      </c>
      <c r="E9" s="9" t="s">
        <v>4673</v>
      </c>
      <c r="F9" s="9" t="s">
        <v>1655</v>
      </c>
    </row>
    <row r="10" customFormat="false" ht="54" hidden="false" customHeight="true" outlineLevel="0" collapsed="false">
      <c r="A10" s="9" t="s">
        <v>4674</v>
      </c>
      <c r="B10" s="9" t="s">
        <v>237</v>
      </c>
      <c r="C10" s="9" t="s">
        <v>4675</v>
      </c>
      <c r="D10" s="9" t="s">
        <v>4676</v>
      </c>
      <c r="E10" s="9" t="s">
        <v>4677</v>
      </c>
      <c r="F10" s="9" t="s">
        <v>4678</v>
      </c>
    </row>
    <row r="11" customFormat="false" ht="54" hidden="false" customHeight="true" outlineLevel="0" collapsed="false">
      <c r="A11" s="9" t="s">
        <v>4679</v>
      </c>
      <c r="B11" s="9" t="s">
        <v>4680</v>
      </c>
      <c r="C11" s="9" t="s">
        <v>4681</v>
      </c>
      <c r="D11" s="9" t="s">
        <v>4682</v>
      </c>
      <c r="E11" s="9" t="s">
        <v>4683</v>
      </c>
      <c r="F11" s="9" t="s">
        <v>4684</v>
      </c>
    </row>
    <row r="12" customFormat="false" ht="54" hidden="false" customHeight="true" outlineLevel="0" collapsed="false">
      <c r="A12" s="9" t="s">
        <v>4685</v>
      </c>
      <c r="B12" s="9" t="s">
        <v>4686</v>
      </c>
      <c r="C12" s="9" t="s">
        <v>4687</v>
      </c>
      <c r="D12" s="9" t="s">
        <v>4688</v>
      </c>
      <c r="E12" s="9" t="s">
        <v>4689</v>
      </c>
      <c r="F12" s="9" t="s">
        <v>4684</v>
      </c>
    </row>
    <row r="13" customFormat="false" ht="54" hidden="false" customHeight="true" outlineLevel="0" collapsed="false">
      <c r="A13" s="9" t="s">
        <v>4690</v>
      </c>
      <c r="B13" s="9" t="s">
        <v>4691</v>
      </c>
      <c r="C13" s="9" t="s">
        <v>4692</v>
      </c>
      <c r="D13" s="9" t="s">
        <v>4693</v>
      </c>
      <c r="E13" s="9" t="s">
        <v>4694</v>
      </c>
      <c r="F13" s="9" t="s">
        <v>2213</v>
      </c>
    </row>
    <row r="14" customFormat="false" ht="54" hidden="false" customHeight="true" outlineLevel="0" collapsed="false">
      <c r="A14" s="9" t="s">
        <v>4695</v>
      </c>
      <c r="B14" s="9" t="s">
        <v>4696</v>
      </c>
      <c r="C14" s="9" t="s">
        <v>4697</v>
      </c>
      <c r="D14" s="9" t="s">
        <v>4693</v>
      </c>
      <c r="E14" s="9" t="s">
        <v>4698</v>
      </c>
      <c r="F14" s="9" t="s">
        <v>2213</v>
      </c>
    </row>
    <row r="15" customFormat="false" ht="54" hidden="false" customHeight="true" outlineLevel="0" collapsed="false">
      <c r="A15" s="9" t="s">
        <v>4699</v>
      </c>
      <c r="B15" s="9" t="s">
        <v>4700</v>
      </c>
      <c r="C15" s="9" t="s">
        <v>4701</v>
      </c>
      <c r="D15" s="9" t="s">
        <v>4702</v>
      </c>
      <c r="E15" s="9" t="s">
        <v>4703</v>
      </c>
      <c r="F15" s="9" t="s">
        <v>2213</v>
      </c>
    </row>
    <row r="16" customFormat="false" ht="54" hidden="false" customHeight="true" outlineLevel="0" collapsed="false">
      <c r="A16" s="9" t="s">
        <v>4704</v>
      </c>
      <c r="B16" s="9" t="s">
        <v>4705</v>
      </c>
      <c r="C16" s="9" t="s">
        <v>4706</v>
      </c>
      <c r="D16" s="9" t="s">
        <v>4707</v>
      </c>
      <c r="E16" s="9" t="s">
        <v>4708</v>
      </c>
      <c r="F16" s="9" t="s">
        <v>2213</v>
      </c>
    </row>
    <row r="17" customFormat="false" ht="54" hidden="false" customHeight="true" outlineLevel="0" collapsed="false">
      <c r="A17" s="9" t="s">
        <v>4709</v>
      </c>
      <c r="B17" s="9" t="s">
        <v>4710</v>
      </c>
      <c r="C17" s="9" t="s">
        <v>340</v>
      </c>
      <c r="D17" s="9" t="s">
        <v>4711</v>
      </c>
      <c r="E17" s="9" t="s">
        <v>4712</v>
      </c>
      <c r="F17" s="9" t="s">
        <v>2213</v>
      </c>
    </row>
    <row r="18" customFormat="false" ht="54" hidden="false" customHeight="true" outlineLevel="0" collapsed="false">
      <c r="A18" s="9" t="s">
        <v>4713</v>
      </c>
      <c r="B18" s="9" t="s">
        <v>4714</v>
      </c>
      <c r="C18" s="9" t="s">
        <v>4715</v>
      </c>
      <c r="D18" s="9" t="s">
        <v>4716</v>
      </c>
      <c r="E18" s="9" t="s">
        <v>4717</v>
      </c>
      <c r="F18" s="9" t="s">
        <v>2213</v>
      </c>
    </row>
    <row r="19" customFormat="false" ht="54" hidden="false" customHeight="true" outlineLevel="0" collapsed="false">
      <c r="A19" s="9" t="s">
        <v>4718</v>
      </c>
      <c r="B19" s="9" t="s">
        <v>4719</v>
      </c>
      <c r="C19" s="9" t="s">
        <v>4720</v>
      </c>
      <c r="D19" s="9" t="s">
        <v>4721</v>
      </c>
      <c r="E19" s="9" t="s">
        <v>4722</v>
      </c>
      <c r="F19" s="9" t="s">
        <v>2213</v>
      </c>
    </row>
    <row r="20" customFormat="false" ht="54" hidden="false" customHeight="true" outlineLevel="0" collapsed="false">
      <c r="A20" s="9" t="s">
        <v>4723</v>
      </c>
      <c r="B20" s="9" t="s">
        <v>4724</v>
      </c>
      <c r="C20" s="9" t="s">
        <v>4725</v>
      </c>
      <c r="D20" s="9" t="s">
        <v>4726</v>
      </c>
      <c r="E20" s="9" t="s">
        <v>4727</v>
      </c>
      <c r="F20" s="9" t="s">
        <v>2213</v>
      </c>
    </row>
    <row r="21" customFormat="false" ht="54" hidden="false" customHeight="true" outlineLevel="0" collapsed="false">
      <c r="A21" s="9" t="s">
        <v>4728</v>
      </c>
      <c r="B21" s="9" t="s">
        <v>4729</v>
      </c>
      <c r="C21" s="9" t="s">
        <v>4730</v>
      </c>
      <c r="D21" s="9" t="s">
        <v>4731</v>
      </c>
      <c r="E21" s="9" t="s">
        <v>4732</v>
      </c>
      <c r="F21" s="9" t="s">
        <v>4733</v>
      </c>
    </row>
    <row r="22" customFormat="false" ht="54" hidden="false" customHeight="true" outlineLevel="0" collapsed="false">
      <c r="A22" s="9" t="s">
        <v>4734</v>
      </c>
      <c r="B22" s="9" t="s">
        <v>4735</v>
      </c>
      <c r="C22" s="9" t="s">
        <v>4736</v>
      </c>
      <c r="D22" s="9" t="s">
        <v>227</v>
      </c>
      <c r="E22" s="9" t="s">
        <v>4737</v>
      </c>
      <c r="F22" s="9" t="s">
        <v>2213</v>
      </c>
    </row>
    <row r="23" customFormat="false" ht="54" hidden="false" customHeight="true" outlineLevel="0" collapsed="false">
      <c r="A23" s="9" t="s">
        <v>4738</v>
      </c>
      <c r="B23" s="9" t="s">
        <v>4739</v>
      </c>
      <c r="C23" s="9" t="s">
        <v>4740</v>
      </c>
      <c r="D23" s="9" t="s">
        <v>4741</v>
      </c>
      <c r="E23" s="9" t="s">
        <v>4742</v>
      </c>
      <c r="F23" s="9" t="s">
        <v>202</v>
      </c>
    </row>
    <row r="24" customFormat="false" ht="54" hidden="false" customHeight="true" outlineLevel="0" collapsed="false">
      <c r="A24" s="9" t="s">
        <v>4743</v>
      </c>
      <c r="B24" s="9" t="s">
        <v>4744</v>
      </c>
      <c r="C24" s="9" t="s">
        <v>4745</v>
      </c>
      <c r="D24" s="9" t="s">
        <v>4746</v>
      </c>
      <c r="E24" s="9" t="s">
        <v>4747</v>
      </c>
      <c r="F24" s="9" t="s">
        <v>202</v>
      </c>
    </row>
    <row r="25" customFormat="false" ht="54" hidden="false" customHeight="true" outlineLevel="0" collapsed="false">
      <c r="A25" s="0" t="s">
        <v>4748</v>
      </c>
      <c r="B25" s="0" t="s">
        <v>4749</v>
      </c>
      <c r="C25" s="0" t="s">
        <v>4750</v>
      </c>
      <c r="D25" s="0" t="s">
        <v>4751</v>
      </c>
      <c r="E25" s="0" t="s">
        <v>4752</v>
      </c>
      <c r="F25" s="0" t="s">
        <v>4753</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30"/>
    <col collapsed="false" customWidth="true" hidden="false" outlineLevel="0" max="4" min="4" style="0" width="18"/>
    <col collapsed="false" customWidth="true" hidden="false" outlineLevel="0" max="5" min="5" style="0" width="84"/>
    <col collapsed="false" customWidth="true" hidden="false" outlineLevel="0" max="6" min="6" style="0" width="38"/>
  </cols>
  <sheetData>
    <row r="1" customFormat="false" ht="30" hidden="false" customHeight="true" outlineLevel="0" collapsed="false">
      <c r="A1" s="1" t="s">
        <v>4754</v>
      </c>
      <c r="B1" s="1"/>
      <c r="C1" s="1"/>
      <c r="D1" s="1"/>
      <c r="E1" s="1"/>
      <c r="F1" s="1"/>
    </row>
    <row r="2" customFormat="false" ht="34" hidden="false" customHeight="true" outlineLevel="0" collapsed="false">
      <c r="A2" s="2" t="s">
        <v>4755</v>
      </c>
      <c r="B2" s="2"/>
      <c r="C2" s="2"/>
      <c r="D2" s="2"/>
      <c r="E2" s="2"/>
      <c r="F2" s="2"/>
    </row>
    <row r="4" customFormat="false" ht="34" hidden="false" customHeight="true" outlineLevel="0" collapsed="false">
      <c r="A4" s="8" t="s">
        <v>4756</v>
      </c>
      <c r="B4" s="8" t="s">
        <v>4757</v>
      </c>
      <c r="C4" s="8" t="s">
        <v>4758</v>
      </c>
      <c r="D4" s="8" t="s">
        <v>4759</v>
      </c>
      <c r="E4" s="8" t="s">
        <v>4760</v>
      </c>
      <c r="F4" s="8" t="s">
        <v>4761</v>
      </c>
    </row>
    <row r="5" customFormat="false" ht="52" hidden="false" customHeight="true" outlineLevel="0" collapsed="false">
      <c r="A5" s="9" t="s">
        <v>4762</v>
      </c>
      <c r="B5" s="9" t="s">
        <v>4763</v>
      </c>
      <c r="C5" s="9" t="s">
        <v>4764</v>
      </c>
      <c r="D5" s="9" t="s">
        <v>4432</v>
      </c>
      <c r="E5" s="9" t="s">
        <v>4765</v>
      </c>
      <c r="F5" s="9" t="s">
        <v>4766</v>
      </c>
    </row>
    <row r="6" customFormat="false" ht="52" hidden="false" customHeight="true" outlineLevel="0" collapsed="false">
      <c r="A6" s="9" t="s">
        <v>4762</v>
      </c>
      <c r="B6" s="9" t="s">
        <v>4767</v>
      </c>
      <c r="C6" s="9" t="s">
        <v>4768</v>
      </c>
      <c r="D6" s="9" t="s">
        <v>4432</v>
      </c>
      <c r="E6" s="9" t="s">
        <v>4769</v>
      </c>
      <c r="F6" s="9" t="s">
        <v>4766</v>
      </c>
    </row>
    <row r="7" customFormat="false" ht="52" hidden="false" customHeight="true" outlineLevel="0" collapsed="false">
      <c r="A7" s="9" t="s">
        <v>4762</v>
      </c>
      <c r="B7" s="9" t="s">
        <v>4770</v>
      </c>
      <c r="C7" s="9" t="s">
        <v>4764</v>
      </c>
      <c r="D7" s="9" t="s">
        <v>4432</v>
      </c>
      <c r="E7" s="9" t="s">
        <v>4771</v>
      </c>
      <c r="F7" s="9" t="s">
        <v>4766</v>
      </c>
    </row>
    <row r="8" customFormat="false" ht="52" hidden="false" customHeight="true" outlineLevel="0" collapsed="false">
      <c r="A8" s="9" t="s">
        <v>4762</v>
      </c>
      <c r="B8" s="9" t="s">
        <v>4772</v>
      </c>
      <c r="C8" s="9" t="s">
        <v>4768</v>
      </c>
      <c r="D8" s="9" t="s">
        <v>4432</v>
      </c>
      <c r="E8" s="9" t="s">
        <v>4773</v>
      </c>
      <c r="F8" s="9" t="s">
        <v>4766</v>
      </c>
    </row>
    <row r="9" customFormat="false" ht="52" hidden="false" customHeight="true" outlineLevel="0" collapsed="false">
      <c r="A9" s="9" t="s">
        <v>4762</v>
      </c>
      <c r="B9" s="9" t="s">
        <v>4774</v>
      </c>
      <c r="C9" s="9" t="s">
        <v>4768</v>
      </c>
      <c r="D9" s="9" t="s">
        <v>4432</v>
      </c>
      <c r="E9" s="9" t="s">
        <v>4775</v>
      </c>
      <c r="F9" s="9" t="s">
        <v>4766</v>
      </c>
    </row>
    <row r="10" customFormat="false" ht="52" hidden="false" customHeight="true" outlineLevel="0" collapsed="false">
      <c r="A10" s="9" t="s">
        <v>4762</v>
      </c>
      <c r="B10" s="9" t="s">
        <v>4776</v>
      </c>
      <c r="C10" s="9" t="s">
        <v>4768</v>
      </c>
      <c r="D10" s="9" t="s">
        <v>4432</v>
      </c>
      <c r="E10" s="9" t="s">
        <v>4777</v>
      </c>
      <c r="F10" s="9" t="s">
        <v>4766</v>
      </c>
    </row>
    <row r="11" customFormat="false" ht="52" hidden="false" customHeight="true" outlineLevel="0" collapsed="false">
      <c r="A11" s="9" t="s">
        <v>4762</v>
      </c>
      <c r="B11" s="9" t="s">
        <v>4778</v>
      </c>
      <c r="C11" s="9" t="s">
        <v>4768</v>
      </c>
      <c r="D11" s="9" t="s">
        <v>4432</v>
      </c>
      <c r="E11" s="9" t="s">
        <v>4779</v>
      </c>
      <c r="F11" s="9" t="s">
        <v>4766</v>
      </c>
    </row>
    <row r="12" customFormat="false" ht="52" hidden="false" customHeight="true" outlineLevel="0" collapsed="false">
      <c r="A12" s="9" t="s">
        <v>4780</v>
      </c>
      <c r="B12" s="9" t="s">
        <v>4781</v>
      </c>
      <c r="C12" s="9" t="s">
        <v>4782</v>
      </c>
      <c r="D12" s="9" t="s">
        <v>4432</v>
      </c>
      <c r="E12" s="9" t="s">
        <v>4783</v>
      </c>
      <c r="F12" s="9" t="s">
        <v>4784</v>
      </c>
    </row>
    <row r="13" customFormat="false" ht="52" hidden="false" customHeight="true" outlineLevel="0" collapsed="false">
      <c r="A13" s="9" t="s">
        <v>4780</v>
      </c>
      <c r="B13" s="9" t="s">
        <v>4763</v>
      </c>
      <c r="C13" s="9" t="s">
        <v>4764</v>
      </c>
      <c r="D13" s="9" t="s">
        <v>4432</v>
      </c>
      <c r="E13" s="9" t="s">
        <v>4785</v>
      </c>
      <c r="F13" s="9" t="s">
        <v>4784</v>
      </c>
    </row>
    <row r="14" customFormat="false" ht="52" hidden="false" customHeight="true" outlineLevel="0" collapsed="false">
      <c r="A14" s="9" t="s">
        <v>4780</v>
      </c>
      <c r="B14" s="9" t="s">
        <v>4767</v>
      </c>
      <c r="C14" s="9" t="s">
        <v>4768</v>
      </c>
      <c r="D14" s="9" t="s">
        <v>4432</v>
      </c>
      <c r="E14" s="9" t="s">
        <v>4786</v>
      </c>
      <c r="F14" s="9" t="s">
        <v>4784</v>
      </c>
    </row>
    <row r="15" customFormat="false" ht="52" hidden="false" customHeight="true" outlineLevel="0" collapsed="false">
      <c r="A15" s="9" t="s">
        <v>4780</v>
      </c>
      <c r="B15" s="9" t="s">
        <v>4787</v>
      </c>
      <c r="C15" s="9" t="s">
        <v>4782</v>
      </c>
      <c r="D15" s="9" t="s">
        <v>4432</v>
      </c>
      <c r="E15" s="9" t="s">
        <v>4788</v>
      </c>
      <c r="F15" s="9" t="s">
        <v>4784</v>
      </c>
    </row>
    <row r="16" customFormat="false" ht="52" hidden="false" customHeight="true" outlineLevel="0" collapsed="false">
      <c r="A16" s="9" t="s">
        <v>4780</v>
      </c>
      <c r="B16" s="9" t="s">
        <v>4789</v>
      </c>
      <c r="C16" s="9" t="s">
        <v>4790</v>
      </c>
      <c r="D16" s="9" t="s">
        <v>4507</v>
      </c>
      <c r="E16" s="9" t="s">
        <v>4791</v>
      </c>
      <c r="F16" s="9" t="s">
        <v>4792</v>
      </c>
    </row>
    <row r="17" customFormat="false" ht="52" hidden="false" customHeight="true" outlineLevel="0" collapsed="false">
      <c r="A17" s="9" t="s">
        <v>4780</v>
      </c>
      <c r="B17" s="9" t="s">
        <v>4793</v>
      </c>
      <c r="C17" s="9" t="s">
        <v>4794</v>
      </c>
      <c r="D17" s="9" t="s">
        <v>4432</v>
      </c>
      <c r="E17" s="9" t="s">
        <v>4795</v>
      </c>
      <c r="F17" s="9" t="s">
        <v>4784</v>
      </c>
    </row>
    <row r="18" customFormat="false" ht="52" hidden="false" customHeight="true" outlineLevel="0" collapsed="false">
      <c r="A18" s="9" t="s">
        <v>4780</v>
      </c>
      <c r="B18" s="9" t="s">
        <v>4796</v>
      </c>
      <c r="C18" s="9" t="s">
        <v>4797</v>
      </c>
      <c r="D18" s="9" t="s">
        <v>4507</v>
      </c>
      <c r="E18" s="9" t="s">
        <v>4798</v>
      </c>
      <c r="F18" s="9" t="s">
        <v>112</v>
      </c>
    </row>
    <row r="19" customFormat="false" ht="52" hidden="false" customHeight="true" outlineLevel="0" collapsed="false">
      <c r="A19" s="9" t="s">
        <v>4780</v>
      </c>
      <c r="B19" s="9" t="s">
        <v>4799</v>
      </c>
      <c r="C19" s="9" t="s">
        <v>4800</v>
      </c>
      <c r="D19" s="9" t="s">
        <v>4507</v>
      </c>
      <c r="E19" s="9" t="s">
        <v>4801</v>
      </c>
      <c r="F19" s="9" t="s">
        <v>112</v>
      </c>
    </row>
    <row r="20" customFormat="false" ht="52" hidden="false" customHeight="true" outlineLevel="0" collapsed="false">
      <c r="A20" s="9" t="s">
        <v>4780</v>
      </c>
      <c r="B20" s="9" t="s">
        <v>4802</v>
      </c>
      <c r="C20" s="9" t="s">
        <v>4803</v>
      </c>
      <c r="D20" s="9" t="s">
        <v>4507</v>
      </c>
      <c r="E20" s="9" t="s">
        <v>4804</v>
      </c>
      <c r="F20" s="9" t="s">
        <v>558</v>
      </c>
    </row>
    <row r="21" customFormat="false" ht="52" hidden="false" customHeight="true" outlineLevel="0" collapsed="false">
      <c r="A21" s="9" t="s">
        <v>4780</v>
      </c>
      <c r="B21" s="9" t="s">
        <v>4805</v>
      </c>
      <c r="C21" s="9" t="s">
        <v>4768</v>
      </c>
      <c r="D21" s="9" t="s">
        <v>4432</v>
      </c>
      <c r="E21" s="9" t="s">
        <v>4777</v>
      </c>
      <c r="F21" s="9" t="s">
        <v>4784</v>
      </c>
    </row>
    <row r="22" customFormat="false" ht="52" hidden="false" customHeight="true" outlineLevel="0" collapsed="false">
      <c r="A22" s="9" t="s">
        <v>4780</v>
      </c>
      <c r="B22" s="9" t="s">
        <v>4806</v>
      </c>
      <c r="C22" s="9" t="s">
        <v>4764</v>
      </c>
      <c r="D22" s="9" t="s">
        <v>4432</v>
      </c>
      <c r="E22" s="9" t="s">
        <v>4807</v>
      </c>
      <c r="F22" s="9" t="s">
        <v>4784</v>
      </c>
    </row>
    <row r="23" customFormat="false" ht="52" hidden="false" customHeight="true" outlineLevel="0" collapsed="false">
      <c r="A23" s="9" t="s">
        <v>4780</v>
      </c>
      <c r="B23" s="9" t="s">
        <v>4808</v>
      </c>
      <c r="C23" s="9" t="s">
        <v>4809</v>
      </c>
      <c r="D23" s="9" t="s">
        <v>4432</v>
      </c>
      <c r="E23" s="9" t="s">
        <v>4810</v>
      </c>
      <c r="F23" s="9" t="s">
        <v>4784</v>
      </c>
    </row>
    <row r="24" customFormat="false" ht="52" hidden="false" customHeight="true" outlineLevel="0" collapsed="false">
      <c r="A24" s="9" t="s">
        <v>4780</v>
      </c>
      <c r="B24" s="9" t="s">
        <v>4811</v>
      </c>
      <c r="C24" s="9" t="s">
        <v>4812</v>
      </c>
      <c r="D24" s="9" t="s">
        <v>4507</v>
      </c>
      <c r="E24" s="9" t="s">
        <v>4813</v>
      </c>
      <c r="F24" s="9" t="s">
        <v>112</v>
      </c>
    </row>
    <row r="25" customFormat="false" ht="52" hidden="false" customHeight="true" outlineLevel="0" collapsed="false">
      <c r="A25" s="9" t="s">
        <v>4780</v>
      </c>
      <c r="B25" s="9" t="s">
        <v>4814</v>
      </c>
      <c r="C25" s="9" t="s">
        <v>4794</v>
      </c>
      <c r="D25" s="9" t="s">
        <v>4432</v>
      </c>
      <c r="E25" s="9" t="s">
        <v>4815</v>
      </c>
      <c r="F25" s="9" t="s">
        <v>4784</v>
      </c>
    </row>
    <row r="26" customFormat="false" ht="52" hidden="false" customHeight="true" outlineLevel="0" collapsed="false">
      <c r="A26" s="9" t="s">
        <v>4780</v>
      </c>
      <c r="B26" s="9" t="s">
        <v>4816</v>
      </c>
      <c r="C26" s="9" t="s">
        <v>4817</v>
      </c>
      <c r="D26" s="9" t="s">
        <v>4432</v>
      </c>
      <c r="E26" s="9" t="s">
        <v>4818</v>
      </c>
      <c r="F26" s="9" t="s">
        <v>2213</v>
      </c>
    </row>
    <row r="27" customFormat="false" ht="52" hidden="false" customHeight="true" outlineLevel="0" collapsed="false">
      <c r="A27" s="9" t="s">
        <v>4780</v>
      </c>
      <c r="B27" s="9" t="s">
        <v>4819</v>
      </c>
      <c r="C27" s="9" t="s">
        <v>4820</v>
      </c>
      <c r="D27" s="9" t="s">
        <v>4432</v>
      </c>
      <c r="E27" s="9" t="s">
        <v>4821</v>
      </c>
      <c r="F27" s="9" t="s">
        <v>4784</v>
      </c>
    </row>
    <row r="28" customFormat="false" ht="52" hidden="false" customHeight="true" outlineLevel="0" collapsed="false">
      <c r="A28" s="9" t="s">
        <v>4780</v>
      </c>
      <c r="B28" s="9" t="s">
        <v>4822</v>
      </c>
      <c r="C28" s="9" t="s">
        <v>4823</v>
      </c>
      <c r="D28" s="9" t="s">
        <v>4507</v>
      </c>
      <c r="E28" s="9" t="s">
        <v>4824</v>
      </c>
      <c r="F28" s="9" t="s">
        <v>4825</v>
      </c>
    </row>
    <row r="29" customFormat="false" ht="52" hidden="false" customHeight="true" outlineLevel="0" collapsed="false">
      <c r="A29" s="9" t="s">
        <v>4780</v>
      </c>
      <c r="B29" s="9" t="s">
        <v>4826</v>
      </c>
      <c r="C29" s="9" t="s">
        <v>4827</v>
      </c>
      <c r="D29" s="9" t="s">
        <v>4507</v>
      </c>
      <c r="E29" s="9" t="s">
        <v>4828</v>
      </c>
      <c r="F29" s="9" t="s">
        <v>4684</v>
      </c>
    </row>
    <row r="30" customFormat="false" ht="52" hidden="false" customHeight="true" outlineLevel="0" collapsed="false">
      <c r="A30" s="9" t="s">
        <v>4780</v>
      </c>
      <c r="B30" s="9" t="s">
        <v>4829</v>
      </c>
      <c r="C30" s="9" t="s">
        <v>4830</v>
      </c>
      <c r="D30" s="9" t="s">
        <v>4507</v>
      </c>
      <c r="E30" s="9" t="s">
        <v>4831</v>
      </c>
      <c r="F30" s="9" t="s">
        <v>4825</v>
      </c>
    </row>
    <row r="31" customFormat="false" ht="52" hidden="false" customHeight="true" outlineLevel="0" collapsed="false">
      <c r="A31" s="9" t="s">
        <v>4780</v>
      </c>
      <c r="B31" s="9" t="s">
        <v>406</v>
      </c>
      <c r="C31" s="9" t="s">
        <v>4803</v>
      </c>
      <c r="D31" s="9" t="s">
        <v>4507</v>
      </c>
      <c r="E31" s="9" t="s">
        <v>4832</v>
      </c>
      <c r="F31" s="9" t="s">
        <v>4833</v>
      </c>
    </row>
    <row r="32" customFormat="false" ht="52" hidden="false" customHeight="true" outlineLevel="0" collapsed="false">
      <c r="A32" s="9" t="s">
        <v>4780</v>
      </c>
      <c r="B32" s="9" t="s">
        <v>4834</v>
      </c>
      <c r="C32" s="9" t="s">
        <v>4823</v>
      </c>
      <c r="D32" s="9" t="s">
        <v>4436</v>
      </c>
      <c r="E32" s="9" t="s">
        <v>4835</v>
      </c>
      <c r="F32" s="9" t="s">
        <v>4836</v>
      </c>
    </row>
    <row r="33" customFormat="false" ht="52" hidden="false" customHeight="true" outlineLevel="0" collapsed="false">
      <c r="A33" s="9" t="s">
        <v>4780</v>
      </c>
      <c r="B33" s="9" t="s">
        <v>4837</v>
      </c>
      <c r="C33" s="9" t="s">
        <v>4768</v>
      </c>
      <c r="D33" s="9" t="s">
        <v>4432</v>
      </c>
      <c r="E33" s="9" t="s">
        <v>4838</v>
      </c>
      <c r="F33" s="9" t="s">
        <v>4784</v>
      </c>
    </row>
    <row r="34" customFormat="false" ht="52" hidden="false" customHeight="true" outlineLevel="0" collapsed="false">
      <c r="A34" s="9" t="s">
        <v>4780</v>
      </c>
      <c r="B34" s="9" t="s">
        <v>4839</v>
      </c>
      <c r="C34" s="9" t="s">
        <v>4840</v>
      </c>
      <c r="D34" s="9" t="s">
        <v>4432</v>
      </c>
      <c r="E34" s="9" t="s">
        <v>4841</v>
      </c>
      <c r="F34" s="9" t="s">
        <v>3622</v>
      </c>
    </row>
    <row r="35" customFormat="false" ht="52" hidden="false" customHeight="true" outlineLevel="0" collapsed="false">
      <c r="A35" s="9" t="s">
        <v>4780</v>
      </c>
      <c r="B35" s="9" t="s">
        <v>4842</v>
      </c>
      <c r="C35" s="9" t="s">
        <v>4830</v>
      </c>
      <c r="D35" s="9" t="s">
        <v>4436</v>
      </c>
      <c r="E35" s="9" t="s">
        <v>4843</v>
      </c>
      <c r="F35" s="9" t="s">
        <v>4844</v>
      </c>
    </row>
    <row r="36" customFormat="false" ht="52" hidden="false" customHeight="true" outlineLevel="0" collapsed="false">
      <c r="A36" s="9" t="s">
        <v>4780</v>
      </c>
      <c r="B36" s="9" t="s">
        <v>4845</v>
      </c>
      <c r="C36" s="9" t="s">
        <v>4768</v>
      </c>
      <c r="D36" s="9" t="s">
        <v>4432</v>
      </c>
      <c r="E36" s="9" t="s">
        <v>4846</v>
      </c>
      <c r="F36" s="9" t="s">
        <v>4844</v>
      </c>
    </row>
    <row r="37" customFormat="false" ht="52" hidden="false" customHeight="true" outlineLevel="0" collapsed="false">
      <c r="A37" s="9" t="s">
        <v>4847</v>
      </c>
      <c r="B37" s="9" t="s">
        <v>4848</v>
      </c>
      <c r="C37" s="9" t="s">
        <v>4764</v>
      </c>
      <c r="D37" s="9" t="s">
        <v>4432</v>
      </c>
      <c r="E37" s="9" t="s">
        <v>4849</v>
      </c>
      <c r="F37" s="9" t="s">
        <v>4784</v>
      </c>
    </row>
    <row r="38" customFormat="false" ht="52" hidden="false" customHeight="true" outlineLevel="0" collapsed="false">
      <c r="A38" s="9" t="s">
        <v>4847</v>
      </c>
      <c r="B38" s="9" t="s">
        <v>4850</v>
      </c>
      <c r="C38" s="9" t="s">
        <v>4851</v>
      </c>
      <c r="D38" s="9" t="s">
        <v>4432</v>
      </c>
      <c r="E38" s="9" t="s">
        <v>4852</v>
      </c>
      <c r="F38" s="9" t="s">
        <v>2186</v>
      </c>
    </row>
    <row r="39" customFormat="false" ht="52" hidden="false" customHeight="true" outlineLevel="0" collapsed="false">
      <c r="A39" s="9" t="s">
        <v>4847</v>
      </c>
      <c r="B39" s="9" t="s">
        <v>415</v>
      </c>
      <c r="C39" s="9" t="s">
        <v>4853</v>
      </c>
      <c r="D39" s="9" t="s">
        <v>4432</v>
      </c>
      <c r="E39" s="9" t="s">
        <v>4854</v>
      </c>
      <c r="F39" s="9" t="s">
        <v>4855</v>
      </c>
    </row>
    <row r="40" customFormat="false" ht="52" hidden="false" customHeight="true" outlineLevel="0" collapsed="false">
      <c r="A40" s="9" t="s">
        <v>4847</v>
      </c>
      <c r="B40" s="9" t="s">
        <v>4856</v>
      </c>
      <c r="C40" s="9" t="s">
        <v>4803</v>
      </c>
      <c r="D40" s="9" t="s">
        <v>4507</v>
      </c>
      <c r="E40" s="9" t="s">
        <v>4857</v>
      </c>
      <c r="F40" s="9" t="s">
        <v>691</v>
      </c>
    </row>
    <row r="41" customFormat="false" ht="52" hidden="false" customHeight="true" outlineLevel="0" collapsed="false">
      <c r="A41" s="9" t="s">
        <v>4858</v>
      </c>
      <c r="B41" s="9" t="s">
        <v>4859</v>
      </c>
      <c r="C41" s="9" t="s">
        <v>4764</v>
      </c>
      <c r="D41" s="9" t="s">
        <v>4432</v>
      </c>
      <c r="E41" s="9" t="s">
        <v>4860</v>
      </c>
      <c r="F41" s="9" t="s">
        <v>4784</v>
      </c>
    </row>
    <row r="42" customFormat="false" ht="52" hidden="false" customHeight="true" outlineLevel="0" collapsed="false">
      <c r="A42" s="9" t="s">
        <v>4858</v>
      </c>
      <c r="B42" s="9" t="s">
        <v>4861</v>
      </c>
      <c r="C42" s="9" t="s">
        <v>4768</v>
      </c>
      <c r="D42" s="9" t="s">
        <v>4432</v>
      </c>
      <c r="E42" s="9" t="s">
        <v>4862</v>
      </c>
      <c r="F42" s="9" t="s">
        <v>629</v>
      </c>
    </row>
    <row r="43" customFormat="false" ht="52" hidden="false" customHeight="true" outlineLevel="0" collapsed="false">
      <c r="A43" s="9" t="s">
        <v>4858</v>
      </c>
      <c r="B43" s="9" t="s">
        <v>4863</v>
      </c>
      <c r="C43" s="9" t="s">
        <v>4768</v>
      </c>
      <c r="D43" s="9" t="s">
        <v>4432</v>
      </c>
      <c r="E43" s="9" t="s">
        <v>4864</v>
      </c>
      <c r="F43" s="9" t="s">
        <v>4784</v>
      </c>
    </row>
    <row r="44" customFormat="false" ht="52" hidden="false" customHeight="true" outlineLevel="0" collapsed="false">
      <c r="A44" s="9" t="s">
        <v>4865</v>
      </c>
      <c r="B44" s="9" t="s">
        <v>4866</v>
      </c>
      <c r="C44" s="9" t="s">
        <v>4782</v>
      </c>
      <c r="D44" s="9" t="s">
        <v>4432</v>
      </c>
      <c r="E44" s="9" t="s">
        <v>4867</v>
      </c>
      <c r="F44" s="9" t="s">
        <v>4784</v>
      </c>
    </row>
    <row r="45" customFormat="false" ht="52" hidden="false" customHeight="true" outlineLevel="0" collapsed="false">
      <c r="A45" s="9" t="s">
        <v>4865</v>
      </c>
      <c r="B45" s="9" t="s">
        <v>4868</v>
      </c>
      <c r="C45" s="9" t="s">
        <v>4764</v>
      </c>
      <c r="D45" s="9" t="s">
        <v>4432</v>
      </c>
      <c r="E45" s="9" t="s">
        <v>4869</v>
      </c>
      <c r="F45" s="9" t="s">
        <v>4784</v>
      </c>
    </row>
    <row r="46" customFormat="false" ht="52" hidden="false" customHeight="true" outlineLevel="0" collapsed="false">
      <c r="A46" s="9" t="s">
        <v>4865</v>
      </c>
      <c r="B46" s="9" t="s">
        <v>4870</v>
      </c>
      <c r="C46" s="9" t="s">
        <v>4871</v>
      </c>
      <c r="D46" s="9" t="s">
        <v>4432</v>
      </c>
      <c r="E46" s="9" t="s">
        <v>4872</v>
      </c>
      <c r="F46" s="9" t="s">
        <v>2531</v>
      </c>
    </row>
    <row r="47" customFormat="false" ht="52" hidden="false" customHeight="true" outlineLevel="0" collapsed="false">
      <c r="A47" s="9" t="s">
        <v>4873</v>
      </c>
      <c r="B47" s="9" t="s">
        <v>4874</v>
      </c>
      <c r="C47" s="9" t="s">
        <v>4782</v>
      </c>
      <c r="D47" s="9" t="s">
        <v>4432</v>
      </c>
      <c r="E47" s="9" t="s">
        <v>4875</v>
      </c>
      <c r="F47" s="9" t="s">
        <v>4784</v>
      </c>
    </row>
    <row r="48" customFormat="false" ht="52" hidden="false" customHeight="true" outlineLevel="0" collapsed="false">
      <c r="A48" s="9" t="s">
        <v>4873</v>
      </c>
      <c r="B48" s="9" t="s">
        <v>4876</v>
      </c>
      <c r="C48" s="9" t="s">
        <v>4768</v>
      </c>
      <c r="D48" s="9" t="s">
        <v>4432</v>
      </c>
      <c r="E48" s="9" t="s">
        <v>4877</v>
      </c>
      <c r="F48" s="9" t="s">
        <v>4784</v>
      </c>
    </row>
    <row r="49" customFormat="false" ht="52" hidden="false" customHeight="true" outlineLevel="0" collapsed="false">
      <c r="A49" s="9" t="s">
        <v>501</v>
      </c>
      <c r="B49" s="9" t="s">
        <v>4878</v>
      </c>
      <c r="C49" s="9" t="s">
        <v>4764</v>
      </c>
      <c r="D49" s="9" t="s">
        <v>4432</v>
      </c>
      <c r="E49" s="9" t="s">
        <v>4879</v>
      </c>
      <c r="F49" s="9" t="s">
        <v>4784</v>
      </c>
    </row>
    <row r="50" customFormat="false" ht="52" hidden="false" customHeight="true" outlineLevel="0" collapsed="false">
      <c r="A50" s="9" t="s">
        <v>501</v>
      </c>
      <c r="B50" s="9" t="s">
        <v>4880</v>
      </c>
      <c r="C50" s="9" t="s">
        <v>4768</v>
      </c>
      <c r="D50" s="9" t="s">
        <v>4432</v>
      </c>
      <c r="E50" s="9" t="s">
        <v>4881</v>
      </c>
      <c r="F50" s="9" t="s">
        <v>4784</v>
      </c>
    </row>
    <row r="51" customFormat="false" ht="52" hidden="false" customHeight="true" outlineLevel="0" collapsed="false">
      <c r="A51" s="9" t="s">
        <v>501</v>
      </c>
      <c r="B51" s="9" t="s">
        <v>4882</v>
      </c>
      <c r="C51" s="9" t="s">
        <v>4768</v>
      </c>
      <c r="D51" s="9" t="s">
        <v>4432</v>
      </c>
      <c r="E51" s="9" t="s">
        <v>4883</v>
      </c>
      <c r="F51" s="9" t="s">
        <v>4784</v>
      </c>
    </row>
    <row r="52" customFormat="false" ht="52" hidden="false" customHeight="true" outlineLevel="0" collapsed="false">
      <c r="A52" s="9" t="s">
        <v>501</v>
      </c>
      <c r="B52" s="9" t="s">
        <v>4884</v>
      </c>
      <c r="C52" s="9" t="s">
        <v>4768</v>
      </c>
      <c r="D52" s="9" t="s">
        <v>4432</v>
      </c>
      <c r="E52" s="9" t="s">
        <v>4885</v>
      </c>
      <c r="F52" s="9" t="s">
        <v>4784</v>
      </c>
    </row>
    <row r="53" customFormat="false" ht="52" hidden="false" customHeight="true" outlineLevel="0" collapsed="false">
      <c r="A53" s="9" t="s">
        <v>4886</v>
      </c>
      <c r="B53" s="9" t="s">
        <v>4887</v>
      </c>
      <c r="C53" s="9" t="s">
        <v>4851</v>
      </c>
      <c r="D53" s="9" t="s">
        <v>4432</v>
      </c>
      <c r="E53" s="9" t="s">
        <v>4888</v>
      </c>
      <c r="F53" s="9" t="s">
        <v>382</v>
      </c>
    </row>
    <row r="54" customFormat="false" ht="52" hidden="false" customHeight="true" outlineLevel="0" collapsed="false">
      <c r="A54" s="9" t="s">
        <v>4886</v>
      </c>
      <c r="B54" s="9" t="s">
        <v>4889</v>
      </c>
      <c r="C54" s="9" t="s">
        <v>4890</v>
      </c>
      <c r="D54" s="9" t="s">
        <v>4432</v>
      </c>
      <c r="E54" s="9" t="s">
        <v>4891</v>
      </c>
      <c r="F54" s="9" t="s">
        <v>382</v>
      </c>
    </row>
    <row r="55" customFormat="false" ht="52" hidden="false" customHeight="true" outlineLevel="0" collapsed="false">
      <c r="A55" s="9" t="s">
        <v>4886</v>
      </c>
      <c r="B55" s="9" t="s">
        <v>4892</v>
      </c>
      <c r="C55" s="9" t="s">
        <v>4851</v>
      </c>
      <c r="D55" s="9" t="s">
        <v>4432</v>
      </c>
      <c r="E55" s="9" t="s">
        <v>4893</v>
      </c>
      <c r="F55" s="9" t="s">
        <v>382</v>
      </c>
    </row>
    <row r="56" customFormat="false" ht="52" hidden="false" customHeight="true" outlineLevel="0" collapsed="false">
      <c r="A56" s="9" t="s">
        <v>4886</v>
      </c>
      <c r="B56" s="9" t="s">
        <v>4894</v>
      </c>
      <c r="C56" s="9" t="s">
        <v>4851</v>
      </c>
      <c r="D56" s="9" t="s">
        <v>4432</v>
      </c>
      <c r="E56" s="9" t="s">
        <v>4895</v>
      </c>
      <c r="F56" s="9" t="s">
        <v>382</v>
      </c>
    </row>
    <row r="57" customFormat="false" ht="52" hidden="false" customHeight="true" outlineLevel="0" collapsed="false">
      <c r="A57" s="9" t="s">
        <v>4886</v>
      </c>
      <c r="B57" s="9" t="s">
        <v>4896</v>
      </c>
      <c r="C57" s="9" t="s">
        <v>4800</v>
      </c>
      <c r="D57" s="9" t="s">
        <v>4432</v>
      </c>
      <c r="E57" s="9" t="s">
        <v>4897</v>
      </c>
      <c r="F57" s="9" t="s">
        <v>382</v>
      </c>
    </row>
    <row r="58" customFormat="false" ht="52" hidden="false" customHeight="true" outlineLevel="0" collapsed="false">
      <c r="A58" s="0" t="s">
        <v>4780</v>
      </c>
      <c r="B58" s="0" t="s">
        <v>4898</v>
      </c>
      <c r="C58" s="0" t="s">
        <v>4764</v>
      </c>
      <c r="D58" s="0" t="s">
        <v>4432</v>
      </c>
      <c r="E58" s="0" t="s">
        <v>4899</v>
      </c>
      <c r="F58" s="0" t="s">
        <v>4900</v>
      </c>
    </row>
    <row r="59" customFormat="false" ht="52" hidden="false" customHeight="true" outlineLevel="0" collapsed="false">
      <c r="A59" s="0" t="s">
        <v>4780</v>
      </c>
      <c r="B59" s="0" t="s">
        <v>4901</v>
      </c>
      <c r="C59" s="0" t="s">
        <v>4764</v>
      </c>
      <c r="D59" s="0" t="s">
        <v>4432</v>
      </c>
      <c r="E59" s="0" t="s">
        <v>4902</v>
      </c>
      <c r="F59" s="0" t="s">
        <v>4900</v>
      </c>
    </row>
    <row r="60" customFormat="false" ht="52" hidden="false" customHeight="true" outlineLevel="0" collapsed="false">
      <c r="A60" s="0" t="s">
        <v>4780</v>
      </c>
      <c r="B60" s="0" t="s">
        <v>4903</v>
      </c>
      <c r="C60" s="0" t="s">
        <v>4768</v>
      </c>
      <c r="D60" s="0" t="s">
        <v>4432</v>
      </c>
      <c r="E60" s="0" t="s">
        <v>4904</v>
      </c>
      <c r="F60" s="0" t="s">
        <v>4905</v>
      </c>
    </row>
    <row r="61" customFormat="false" ht="52" hidden="false" customHeight="true" outlineLevel="0" collapsed="false">
      <c r="A61" s="0" t="s">
        <v>4858</v>
      </c>
      <c r="B61" s="0" t="s">
        <v>4906</v>
      </c>
      <c r="C61" s="0" t="s">
        <v>4851</v>
      </c>
      <c r="D61" s="0" t="s">
        <v>4432</v>
      </c>
      <c r="E61" s="0" t="s">
        <v>4907</v>
      </c>
      <c r="F61" s="0" t="s">
        <v>4908</v>
      </c>
    </row>
    <row r="62" customFormat="false" ht="52" hidden="false" customHeight="true" outlineLevel="0" collapsed="false">
      <c r="A62" s="0" t="s">
        <v>4873</v>
      </c>
      <c r="B62" s="0" t="s">
        <v>4868</v>
      </c>
      <c r="C62" s="0" t="s">
        <v>4764</v>
      </c>
      <c r="D62" s="0" t="s">
        <v>4432</v>
      </c>
      <c r="E62" s="0" t="s">
        <v>4909</v>
      </c>
      <c r="F62" s="0" t="s">
        <v>4910</v>
      </c>
    </row>
    <row r="63" customFormat="false" ht="52" hidden="false" customHeight="true" outlineLevel="0" collapsed="false">
      <c r="A63" s="0" t="s">
        <v>4873</v>
      </c>
      <c r="B63" s="0" t="s">
        <v>4911</v>
      </c>
      <c r="C63" s="0" t="s">
        <v>4768</v>
      </c>
      <c r="D63" s="0" t="s">
        <v>4432</v>
      </c>
      <c r="E63" s="0" t="s">
        <v>4912</v>
      </c>
      <c r="F63" s="0" t="s">
        <v>4910</v>
      </c>
    </row>
    <row r="64" customFormat="false" ht="52" hidden="false" customHeight="true" outlineLevel="0" collapsed="false">
      <c r="A64" s="0" t="s">
        <v>4873</v>
      </c>
      <c r="B64" s="0" t="s">
        <v>4913</v>
      </c>
      <c r="C64" s="0" t="s">
        <v>4914</v>
      </c>
      <c r="D64" s="0" t="s">
        <v>4507</v>
      </c>
      <c r="E64" s="0" t="s">
        <v>4915</v>
      </c>
      <c r="F64" s="0" t="s">
        <v>4916</v>
      </c>
    </row>
    <row r="65" customFormat="false" ht="52" hidden="false" customHeight="true" outlineLevel="0" collapsed="false">
      <c r="A65" s="0" t="s">
        <v>4873</v>
      </c>
      <c r="B65" s="0" t="s">
        <v>4917</v>
      </c>
      <c r="C65" s="0" t="s">
        <v>4830</v>
      </c>
      <c r="D65" s="0" t="s">
        <v>4507</v>
      </c>
      <c r="E65" s="0" t="s">
        <v>4918</v>
      </c>
      <c r="F65" s="0" t="s">
        <v>4916</v>
      </c>
    </row>
    <row r="66" customFormat="false" ht="52" hidden="false" customHeight="true" outlineLevel="0" collapsed="false">
      <c r="A66" s="0" t="s">
        <v>4873</v>
      </c>
      <c r="B66" s="0" t="s">
        <v>4919</v>
      </c>
      <c r="C66" s="0" t="s">
        <v>4768</v>
      </c>
      <c r="D66" s="0" t="s">
        <v>4432</v>
      </c>
      <c r="E66" s="0" t="s">
        <v>386</v>
      </c>
      <c r="F66" s="0" t="s">
        <v>4920</v>
      </c>
    </row>
    <row r="67" customFormat="false" ht="52" hidden="false" customHeight="true" outlineLevel="0" collapsed="false">
      <c r="A67" s="0" t="s">
        <v>4921</v>
      </c>
      <c r="B67" s="0" t="s">
        <v>4922</v>
      </c>
      <c r="C67" s="0" t="s">
        <v>4782</v>
      </c>
      <c r="D67" s="0" t="s">
        <v>4432</v>
      </c>
      <c r="E67" s="0" t="s">
        <v>4923</v>
      </c>
      <c r="F67" s="0" t="s">
        <v>4924</v>
      </c>
    </row>
    <row r="68" customFormat="false" ht="52" hidden="false" customHeight="true" outlineLevel="0" collapsed="false">
      <c r="A68" s="0" t="s">
        <v>4921</v>
      </c>
      <c r="B68" s="0" t="s">
        <v>4925</v>
      </c>
      <c r="C68" s="0" t="s">
        <v>4782</v>
      </c>
      <c r="D68" s="0" t="s">
        <v>4432</v>
      </c>
      <c r="E68" s="0" t="s">
        <v>4926</v>
      </c>
      <c r="F68" s="0" t="s">
        <v>4924</v>
      </c>
    </row>
    <row r="69" customFormat="false" ht="52" hidden="false" customHeight="true" outlineLevel="0" collapsed="false">
      <c r="A69" s="0" t="s">
        <v>4921</v>
      </c>
      <c r="B69" s="0" t="s">
        <v>4927</v>
      </c>
      <c r="C69" s="0" t="s">
        <v>4764</v>
      </c>
      <c r="D69" s="0" t="s">
        <v>4432</v>
      </c>
      <c r="E69" s="0" t="s">
        <v>4928</v>
      </c>
      <c r="F69" s="0" t="s">
        <v>4924</v>
      </c>
    </row>
    <row r="70" customFormat="false" ht="52" hidden="false" customHeight="true" outlineLevel="0" collapsed="false">
      <c r="A70" s="0" t="s">
        <v>4921</v>
      </c>
      <c r="B70" s="0" t="s">
        <v>4929</v>
      </c>
      <c r="C70" s="0" t="s">
        <v>4768</v>
      </c>
      <c r="D70" s="0" t="s">
        <v>4432</v>
      </c>
      <c r="E70" s="0" t="s">
        <v>4930</v>
      </c>
      <c r="F70" s="0" t="s">
        <v>4924</v>
      </c>
    </row>
    <row r="71" customFormat="false" ht="52" hidden="false" customHeight="true" outlineLevel="0" collapsed="false">
      <c r="A71" s="0" t="s">
        <v>4921</v>
      </c>
      <c r="B71" s="0" t="s">
        <v>4931</v>
      </c>
      <c r="C71" s="0" t="s">
        <v>4768</v>
      </c>
      <c r="D71" s="0" t="s">
        <v>4432</v>
      </c>
      <c r="E71" s="0" t="s">
        <v>4932</v>
      </c>
      <c r="F71" s="0" t="s">
        <v>4924</v>
      </c>
    </row>
    <row r="72" customFormat="false" ht="52" hidden="false" customHeight="true" outlineLevel="0" collapsed="false">
      <c r="A72" s="0" t="s">
        <v>4921</v>
      </c>
      <c r="B72" s="0" t="s">
        <v>4933</v>
      </c>
      <c r="C72" s="0" t="s">
        <v>4797</v>
      </c>
      <c r="D72" s="0" t="s">
        <v>4436</v>
      </c>
      <c r="E72" s="0" t="s">
        <v>4934</v>
      </c>
      <c r="F72" s="0" t="s">
        <v>4924</v>
      </c>
    </row>
    <row r="73" customFormat="false" ht="60" hidden="false" customHeight="true" outlineLevel="0" collapsed="false">
      <c r="A73" s="10" t="s">
        <v>4886</v>
      </c>
      <c r="B73" s="10" t="s">
        <v>4935</v>
      </c>
      <c r="C73" s="10" t="s">
        <v>4936</v>
      </c>
      <c r="D73" s="10" t="s">
        <v>4432</v>
      </c>
      <c r="E73" s="10" t="s">
        <v>4937</v>
      </c>
      <c r="F73" s="10" t="s">
        <v>4938</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54"/>
    <col collapsed="false" customWidth="true" hidden="false" outlineLevel="0" max="3" min="3" style="0" width="78"/>
    <col collapsed="false" customWidth="true" hidden="false" outlineLevel="0" max="4" min="4" style="0" width="54"/>
    <col collapsed="false" customWidth="true" hidden="false" outlineLevel="0" max="5" min="5" style="0" width="42"/>
    <col collapsed="false" customWidth="true" hidden="false" outlineLevel="0" max="6" min="6" style="0" width="50"/>
    <col collapsed="false" customWidth="true" hidden="false" outlineLevel="0" max="7" min="7" style="0" width="36"/>
  </cols>
  <sheetData>
    <row r="1" customFormat="false" ht="30" hidden="false" customHeight="true" outlineLevel="0" collapsed="false">
      <c r="A1" s="1" t="s">
        <v>4939</v>
      </c>
      <c r="B1" s="1"/>
      <c r="C1" s="1"/>
      <c r="D1" s="1"/>
      <c r="E1" s="1"/>
      <c r="F1" s="1"/>
      <c r="G1" s="1"/>
    </row>
    <row r="2" customFormat="false" ht="34" hidden="false" customHeight="true" outlineLevel="0" collapsed="false">
      <c r="A2" s="2" t="s">
        <v>4940</v>
      </c>
      <c r="B2" s="2"/>
      <c r="C2" s="2"/>
      <c r="D2" s="2"/>
      <c r="E2" s="2"/>
      <c r="F2" s="2"/>
      <c r="G2" s="2"/>
    </row>
    <row r="4" customFormat="false" ht="34" hidden="false" customHeight="true" outlineLevel="0" collapsed="false">
      <c r="A4" s="8" t="s">
        <v>4941</v>
      </c>
      <c r="B4" s="8" t="s">
        <v>4942</v>
      </c>
      <c r="C4" s="8" t="s">
        <v>4943</v>
      </c>
      <c r="D4" s="8" t="s">
        <v>223</v>
      </c>
      <c r="E4" s="8" t="s">
        <v>4944</v>
      </c>
      <c r="F4" s="8" t="s">
        <v>4945</v>
      </c>
      <c r="G4" s="8" t="s">
        <v>61</v>
      </c>
    </row>
    <row r="5" customFormat="false" ht="62" hidden="false" customHeight="true" outlineLevel="0" collapsed="false">
      <c r="A5" s="9" t="s">
        <v>4946</v>
      </c>
      <c r="B5" s="9" t="s">
        <v>4947</v>
      </c>
      <c r="C5" s="9" t="s">
        <v>4948</v>
      </c>
      <c r="D5" s="9" t="s">
        <v>4949</v>
      </c>
      <c r="E5" s="9" t="s">
        <v>4950</v>
      </c>
      <c r="F5" s="9" t="s">
        <v>4951</v>
      </c>
      <c r="G5" s="9" t="s">
        <v>4952</v>
      </c>
    </row>
    <row r="6" customFormat="false" ht="62" hidden="false" customHeight="true" outlineLevel="0" collapsed="false">
      <c r="A6" s="9" t="s">
        <v>4953</v>
      </c>
      <c r="B6" s="9" t="s">
        <v>4954</v>
      </c>
      <c r="C6" s="9" t="s">
        <v>4955</v>
      </c>
      <c r="D6" s="9" t="s">
        <v>4956</v>
      </c>
      <c r="E6" s="9" t="s">
        <v>4957</v>
      </c>
      <c r="F6" s="9" t="s">
        <v>4958</v>
      </c>
      <c r="G6" s="9" t="s">
        <v>4959</v>
      </c>
    </row>
    <row r="7" customFormat="false" ht="62" hidden="false" customHeight="true" outlineLevel="0" collapsed="false">
      <c r="A7" s="9" t="s">
        <v>4960</v>
      </c>
      <c r="B7" s="9" t="s">
        <v>4961</v>
      </c>
      <c r="C7" s="9" t="s">
        <v>4962</v>
      </c>
      <c r="D7" s="9" t="s">
        <v>4963</v>
      </c>
      <c r="E7" s="9" t="s">
        <v>4964</v>
      </c>
      <c r="F7" s="9" t="s">
        <v>4965</v>
      </c>
      <c r="G7" s="9" t="s">
        <v>3622</v>
      </c>
    </row>
    <row r="8" customFormat="false" ht="62" hidden="false" customHeight="true" outlineLevel="0" collapsed="false">
      <c r="A8" s="9" t="s">
        <v>4966</v>
      </c>
      <c r="B8" s="9" t="s">
        <v>4967</v>
      </c>
      <c r="C8" s="9" t="s">
        <v>4968</v>
      </c>
      <c r="D8" s="9" t="s">
        <v>4969</v>
      </c>
      <c r="E8" s="9" t="s">
        <v>4964</v>
      </c>
      <c r="F8" s="9" t="s">
        <v>4970</v>
      </c>
      <c r="G8" s="9" t="s">
        <v>4971</v>
      </c>
    </row>
    <row r="9" customFormat="false" ht="62" hidden="false" customHeight="true" outlineLevel="0" collapsed="false">
      <c r="A9" s="9" t="s">
        <v>4972</v>
      </c>
      <c r="B9" s="9" t="s">
        <v>4973</v>
      </c>
      <c r="C9" s="9" t="s">
        <v>4974</v>
      </c>
      <c r="D9" s="9" t="s">
        <v>4975</v>
      </c>
      <c r="E9" s="9" t="s">
        <v>4976</v>
      </c>
      <c r="F9" s="9" t="s">
        <v>4977</v>
      </c>
      <c r="G9" s="9" t="s">
        <v>2213</v>
      </c>
    </row>
    <row r="10" customFormat="false" ht="62" hidden="false" customHeight="true" outlineLevel="0" collapsed="false">
      <c r="A10" s="9" t="s">
        <v>4978</v>
      </c>
      <c r="B10" s="9" t="s">
        <v>4979</v>
      </c>
      <c r="C10" s="9" t="s">
        <v>4980</v>
      </c>
      <c r="D10" s="9" t="s">
        <v>4981</v>
      </c>
      <c r="E10" s="9" t="s">
        <v>4982</v>
      </c>
      <c r="F10" s="9" t="s">
        <v>4983</v>
      </c>
      <c r="G10" s="9" t="s">
        <v>2213</v>
      </c>
    </row>
    <row r="11" customFormat="false" ht="62" hidden="false" customHeight="true" outlineLevel="0" collapsed="false">
      <c r="A11" s="9" t="s">
        <v>4984</v>
      </c>
      <c r="B11" s="9" t="s">
        <v>4985</v>
      </c>
      <c r="C11" s="9" t="s">
        <v>4986</v>
      </c>
      <c r="D11" s="9" t="s">
        <v>616</v>
      </c>
      <c r="E11" s="9" t="s">
        <v>4987</v>
      </c>
      <c r="F11" s="9" t="s">
        <v>4988</v>
      </c>
      <c r="G11" s="9" t="s">
        <v>4989</v>
      </c>
    </row>
    <row r="12" customFormat="false" ht="62" hidden="false" customHeight="true" outlineLevel="0" collapsed="false">
      <c r="A12" s="9" t="s">
        <v>4990</v>
      </c>
      <c r="B12" s="9" t="s">
        <v>4991</v>
      </c>
      <c r="C12" s="9" t="s">
        <v>4992</v>
      </c>
      <c r="D12" s="9" t="s">
        <v>4993</v>
      </c>
      <c r="E12" s="9" t="s">
        <v>4964</v>
      </c>
      <c r="F12" s="9" t="s">
        <v>4994</v>
      </c>
      <c r="G12" s="9" t="s">
        <v>2186</v>
      </c>
    </row>
    <row r="13" customFormat="false" ht="62" hidden="false" customHeight="true" outlineLevel="0" collapsed="false">
      <c r="A13" s="9" t="s">
        <v>4995</v>
      </c>
      <c r="B13" s="9" t="s">
        <v>4996</v>
      </c>
      <c r="C13" s="9" t="s">
        <v>4997</v>
      </c>
      <c r="D13" s="9" t="s">
        <v>4998</v>
      </c>
      <c r="E13" s="9" t="s">
        <v>4999</v>
      </c>
      <c r="F13" s="9" t="s">
        <v>5000</v>
      </c>
      <c r="G13" s="9" t="s">
        <v>629</v>
      </c>
    </row>
    <row r="14" customFormat="false" ht="62" hidden="false" customHeight="true" outlineLevel="0" collapsed="false">
      <c r="A14" s="9" t="s">
        <v>5001</v>
      </c>
      <c r="B14" s="9" t="s">
        <v>5002</v>
      </c>
      <c r="C14" s="9" t="s">
        <v>5003</v>
      </c>
      <c r="D14" s="9" t="s">
        <v>396</v>
      </c>
      <c r="E14" s="9" t="s">
        <v>5004</v>
      </c>
      <c r="F14" s="9" t="s">
        <v>5005</v>
      </c>
      <c r="G14" s="9" t="s">
        <v>2503</v>
      </c>
    </row>
    <row r="15" customFormat="false" ht="62" hidden="false" customHeight="true" outlineLevel="0" collapsed="false">
      <c r="A15" s="9" t="s">
        <v>5006</v>
      </c>
      <c r="B15" s="9" t="s">
        <v>5007</v>
      </c>
      <c r="C15" s="9" t="s">
        <v>5008</v>
      </c>
      <c r="D15" s="9" t="s">
        <v>5009</v>
      </c>
      <c r="E15" s="9" t="s">
        <v>4964</v>
      </c>
      <c r="F15" s="9" t="s">
        <v>112</v>
      </c>
      <c r="G15" s="9" t="s">
        <v>132</v>
      </c>
    </row>
    <row r="16" customFormat="false" ht="62" hidden="false" customHeight="true" outlineLevel="0" collapsed="false">
      <c r="A16" s="9" t="s">
        <v>5010</v>
      </c>
      <c r="B16" s="9" t="s">
        <v>5011</v>
      </c>
      <c r="C16" s="9" t="s">
        <v>5012</v>
      </c>
      <c r="D16" s="9" t="s">
        <v>5013</v>
      </c>
      <c r="E16" s="9" t="s">
        <v>5014</v>
      </c>
      <c r="F16" s="9" t="s">
        <v>815</v>
      </c>
      <c r="G16" s="9" t="s">
        <v>5015</v>
      </c>
    </row>
    <row r="17" customFormat="false" ht="62" hidden="false" customHeight="true" outlineLevel="0" collapsed="false">
      <c r="A17" s="9" t="s">
        <v>5016</v>
      </c>
      <c r="B17" s="9" t="s">
        <v>5017</v>
      </c>
      <c r="C17" s="9" t="s">
        <v>5018</v>
      </c>
      <c r="D17" s="9" t="s">
        <v>357</v>
      </c>
      <c r="E17" s="9" t="s">
        <v>4964</v>
      </c>
      <c r="F17" s="9" t="s">
        <v>5019</v>
      </c>
      <c r="G17" s="9" t="s">
        <v>5020</v>
      </c>
    </row>
    <row r="18" customFormat="false" ht="62" hidden="false" customHeight="true" outlineLevel="0" collapsed="false">
      <c r="A18" s="9" t="s">
        <v>5021</v>
      </c>
      <c r="B18" s="9" t="s">
        <v>5022</v>
      </c>
      <c r="C18" s="9" t="s">
        <v>5023</v>
      </c>
      <c r="D18" s="9" t="s">
        <v>110</v>
      </c>
      <c r="E18" s="9" t="s">
        <v>5024</v>
      </c>
      <c r="F18" s="9" t="s">
        <v>5025</v>
      </c>
      <c r="G18" s="9" t="s">
        <v>113</v>
      </c>
    </row>
    <row r="19" customFormat="false" ht="62" hidden="false" customHeight="true" outlineLevel="0" collapsed="false">
      <c r="A19" s="9" t="s">
        <v>5026</v>
      </c>
      <c r="B19" s="9" t="s">
        <v>5027</v>
      </c>
      <c r="C19" s="9" t="s">
        <v>5028</v>
      </c>
      <c r="D19" s="9" t="s">
        <v>110</v>
      </c>
      <c r="E19" s="9" t="s">
        <v>4964</v>
      </c>
      <c r="F19" s="9" t="s">
        <v>5029</v>
      </c>
      <c r="G19" s="9" t="s">
        <v>395</v>
      </c>
    </row>
    <row r="20" customFormat="false" ht="62" hidden="false" customHeight="true" outlineLevel="0" collapsed="false">
      <c r="A20" s="9" t="s">
        <v>5030</v>
      </c>
      <c r="B20" s="9" t="s">
        <v>5031</v>
      </c>
      <c r="C20" s="9" t="s">
        <v>5032</v>
      </c>
      <c r="D20" s="9" t="s">
        <v>5033</v>
      </c>
      <c r="E20" s="9" t="s">
        <v>5034</v>
      </c>
      <c r="F20" s="9" t="s">
        <v>5035</v>
      </c>
      <c r="G20" s="9" t="s">
        <v>502</v>
      </c>
    </row>
    <row r="21" customFormat="false" ht="62" hidden="false" customHeight="true" outlineLevel="0" collapsed="false">
      <c r="A21" s="9" t="s">
        <v>5036</v>
      </c>
      <c r="B21" s="9" t="s">
        <v>5037</v>
      </c>
      <c r="C21" s="9" t="s">
        <v>5038</v>
      </c>
      <c r="D21" s="9" t="s">
        <v>4886</v>
      </c>
      <c r="E21" s="9" t="s">
        <v>5039</v>
      </c>
      <c r="F21" s="9" t="s">
        <v>5040</v>
      </c>
      <c r="G21" s="9" t="s">
        <v>5041</v>
      </c>
    </row>
    <row r="22" customFormat="false" ht="62" hidden="false" customHeight="true" outlineLevel="0" collapsed="false">
      <c r="A22" s="9" t="s">
        <v>5042</v>
      </c>
      <c r="B22" s="9" t="s">
        <v>5043</v>
      </c>
      <c r="C22" s="9" t="s">
        <v>5044</v>
      </c>
      <c r="D22" s="9" t="s">
        <v>5045</v>
      </c>
      <c r="E22" s="9" t="s">
        <v>4964</v>
      </c>
      <c r="F22" s="9" t="s">
        <v>5046</v>
      </c>
      <c r="G22" s="9" t="s">
        <v>5047</v>
      </c>
    </row>
    <row r="23" customFormat="false" ht="62" hidden="false" customHeight="true" outlineLevel="0" collapsed="false">
      <c r="A23" s="9" t="s">
        <v>5048</v>
      </c>
      <c r="B23" s="9" t="s">
        <v>5049</v>
      </c>
      <c r="C23" s="9" t="s">
        <v>5050</v>
      </c>
      <c r="D23" s="9" t="s">
        <v>5051</v>
      </c>
      <c r="E23" s="9" t="s">
        <v>4964</v>
      </c>
      <c r="F23" s="9" t="s">
        <v>5052</v>
      </c>
      <c r="G23" s="9" t="s">
        <v>3622</v>
      </c>
    </row>
    <row r="24" customFormat="false" ht="62" hidden="false" customHeight="true" outlineLevel="0" collapsed="false">
      <c r="A24" s="9" t="s">
        <v>5053</v>
      </c>
      <c r="B24" s="9" t="s">
        <v>5054</v>
      </c>
      <c r="C24" s="9" t="s">
        <v>5055</v>
      </c>
      <c r="D24" s="9" t="s">
        <v>5056</v>
      </c>
      <c r="E24" s="9" t="s">
        <v>5057</v>
      </c>
      <c r="F24" s="9" t="s">
        <v>5058</v>
      </c>
      <c r="G24" s="9" t="s">
        <v>4051</v>
      </c>
    </row>
    <row r="25" customFormat="false" ht="62" hidden="false" customHeight="true" outlineLevel="0" collapsed="false">
      <c r="A25" s="9" t="s">
        <v>5059</v>
      </c>
      <c r="B25" s="9" t="s">
        <v>5060</v>
      </c>
      <c r="C25" s="9" t="s">
        <v>5061</v>
      </c>
      <c r="D25" s="9" t="s">
        <v>5062</v>
      </c>
      <c r="E25" s="9" t="s">
        <v>5063</v>
      </c>
      <c r="F25" s="9" t="s">
        <v>5064</v>
      </c>
      <c r="G25" s="9" t="s">
        <v>571</v>
      </c>
    </row>
    <row r="26" customFormat="false" ht="62" hidden="false" customHeight="true" outlineLevel="0" collapsed="false">
      <c r="A26" s="0" t="s">
        <v>5065</v>
      </c>
      <c r="B26" s="0" t="s">
        <v>5066</v>
      </c>
      <c r="C26" s="0" t="s">
        <v>5067</v>
      </c>
      <c r="D26" s="0" t="s">
        <v>5068</v>
      </c>
      <c r="E26" s="0" t="s">
        <v>5069</v>
      </c>
      <c r="F26" s="0" t="s">
        <v>5005</v>
      </c>
      <c r="G26" s="0" t="s">
        <v>5070</v>
      </c>
    </row>
    <row r="27" customFormat="false" ht="62" hidden="false" customHeight="true" outlineLevel="0" collapsed="false">
      <c r="A27" s="0" t="s">
        <v>5071</v>
      </c>
      <c r="B27" s="0" t="s">
        <v>5072</v>
      </c>
      <c r="C27" s="0" t="s">
        <v>5073</v>
      </c>
      <c r="D27" s="0" t="s">
        <v>5074</v>
      </c>
      <c r="E27" s="0" t="s">
        <v>5075</v>
      </c>
      <c r="F27" s="0" t="s">
        <v>5076</v>
      </c>
      <c r="G27" s="0" t="s">
        <v>5077</v>
      </c>
    </row>
    <row r="28" customFormat="false" ht="62" hidden="false" customHeight="true" outlineLevel="0" collapsed="false">
      <c r="A28" s="0" t="s">
        <v>5078</v>
      </c>
      <c r="B28" s="0" t="s">
        <v>5079</v>
      </c>
      <c r="C28" s="0" t="s">
        <v>5080</v>
      </c>
      <c r="D28" s="0" t="s">
        <v>5081</v>
      </c>
      <c r="E28" s="0" t="s">
        <v>5082</v>
      </c>
      <c r="F28" s="0" t="s">
        <v>5083</v>
      </c>
      <c r="G28" s="0" t="s">
        <v>5084</v>
      </c>
    </row>
    <row r="29" customFormat="false" ht="62" hidden="false" customHeight="true" outlineLevel="0" collapsed="false">
      <c r="A29" s="0" t="s">
        <v>5085</v>
      </c>
      <c r="B29" s="0" t="s">
        <v>5037</v>
      </c>
      <c r="C29" s="0" t="s">
        <v>5086</v>
      </c>
      <c r="D29" s="0" t="s">
        <v>5087</v>
      </c>
      <c r="E29" s="0" t="s">
        <v>5088</v>
      </c>
      <c r="F29" s="0" t="s">
        <v>5089</v>
      </c>
      <c r="G29" s="0" t="s">
        <v>5090</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28"/>
    <col collapsed="false" customWidth="true" hidden="false" outlineLevel="0" max="4" min="4" style="0" width="78"/>
    <col collapsed="false" customWidth="true" hidden="false" outlineLevel="0" max="5" min="5" style="0" width="38"/>
    <col collapsed="false" customWidth="true" hidden="false" outlineLevel="0" max="6" min="6" style="0" width="76"/>
    <col collapsed="false" customWidth="true" hidden="false" outlineLevel="0" max="7" min="7" style="0" width="32"/>
  </cols>
  <sheetData>
    <row r="1" customFormat="false" ht="30" hidden="false" customHeight="true" outlineLevel="0" collapsed="false">
      <c r="A1" s="1" t="s">
        <v>5091</v>
      </c>
      <c r="B1" s="1"/>
      <c r="C1" s="1"/>
      <c r="D1" s="1"/>
      <c r="E1" s="1"/>
      <c r="F1" s="1"/>
      <c r="G1" s="1"/>
    </row>
    <row r="2" customFormat="false" ht="34" hidden="false" customHeight="true" outlineLevel="0" collapsed="false">
      <c r="A2" s="2" t="s">
        <v>5092</v>
      </c>
      <c r="B2" s="2"/>
      <c r="C2" s="2"/>
      <c r="D2" s="2"/>
      <c r="E2" s="2"/>
      <c r="F2" s="2"/>
      <c r="G2" s="2"/>
    </row>
    <row r="4" customFormat="false" ht="34" hidden="false" customHeight="true" outlineLevel="0" collapsed="false">
      <c r="A4" s="8" t="s">
        <v>5093</v>
      </c>
      <c r="B4" s="8" t="s">
        <v>5094</v>
      </c>
      <c r="C4" s="8" t="s">
        <v>57</v>
      </c>
      <c r="D4" s="8" t="s">
        <v>5095</v>
      </c>
      <c r="E4" s="8" t="s">
        <v>61</v>
      </c>
      <c r="F4" s="8" t="s">
        <v>5096</v>
      </c>
      <c r="G4" s="8" t="s">
        <v>4</v>
      </c>
    </row>
    <row r="5" customFormat="false" ht="62" hidden="false" customHeight="true" outlineLevel="0" collapsed="false">
      <c r="A5" s="9" t="s">
        <v>4910</v>
      </c>
      <c r="B5" s="9" t="s">
        <v>5097</v>
      </c>
      <c r="C5" s="9" t="s">
        <v>5098</v>
      </c>
      <c r="D5" s="9" t="s">
        <v>5099</v>
      </c>
      <c r="E5" s="9" t="s">
        <v>389</v>
      </c>
      <c r="F5" s="9" t="s">
        <v>5100</v>
      </c>
      <c r="G5" s="9" t="s">
        <v>5101</v>
      </c>
    </row>
    <row r="6" customFormat="false" ht="62" hidden="false" customHeight="true" outlineLevel="0" collapsed="false">
      <c r="A6" s="9" t="s">
        <v>4916</v>
      </c>
      <c r="B6" s="9" t="s">
        <v>5097</v>
      </c>
      <c r="C6" s="9" t="s">
        <v>391</v>
      </c>
      <c r="D6" s="9" t="s">
        <v>5102</v>
      </c>
      <c r="E6" s="9" t="s">
        <v>395</v>
      </c>
      <c r="F6" s="9" t="s">
        <v>5103</v>
      </c>
      <c r="G6" s="9" t="s">
        <v>5101</v>
      </c>
    </row>
    <row r="7" customFormat="false" ht="62" hidden="false" customHeight="true" outlineLevel="0" collapsed="false">
      <c r="A7" s="9" t="s">
        <v>5104</v>
      </c>
      <c r="B7" s="9" t="s">
        <v>5105</v>
      </c>
      <c r="C7" s="9" t="s">
        <v>101</v>
      </c>
      <c r="D7" s="9" t="s">
        <v>5106</v>
      </c>
      <c r="E7" s="9" t="s">
        <v>5107</v>
      </c>
      <c r="F7" s="9" t="s">
        <v>5108</v>
      </c>
      <c r="G7" s="9" t="s">
        <v>5101</v>
      </c>
    </row>
    <row r="8" customFormat="false" ht="62" hidden="false" customHeight="true" outlineLevel="0" collapsed="false">
      <c r="A8" s="9" t="s">
        <v>4900</v>
      </c>
      <c r="B8" s="9" t="s">
        <v>5105</v>
      </c>
      <c r="C8" s="9" t="s">
        <v>5109</v>
      </c>
      <c r="D8" s="9" t="s">
        <v>5110</v>
      </c>
      <c r="E8" s="9" t="s">
        <v>2457</v>
      </c>
      <c r="F8" s="9" t="s">
        <v>5111</v>
      </c>
      <c r="G8" s="9" t="s">
        <v>5101</v>
      </c>
    </row>
    <row r="9" customFormat="false" ht="62" hidden="false" customHeight="true" outlineLevel="0" collapsed="false">
      <c r="A9" s="9" t="s">
        <v>5112</v>
      </c>
      <c r="B9" s="9" t="s">
        <v>5105</v>
      </c>
      <c r="C9" s="9" t="s">
        <v>397</v>
      </c>
      <c r="D9" s="9" t="s">
        <v>5113</v>
      </c>
      <c r="E9" s="9" t="s">
        <v>2503</v>
      </c>
      <c r="F9" s="9" t="s">
        <v>5114</v>
      </c>
      <c r="G9" s="9" t="s">
        <v>5101</v>
      </c>
    </row>
    <row r="10" customFormat="false" ht="62" hidden="false" customHeight="true" outlineLevel="0" collapsed="false">
      <c r="A10" s="9" t="s">
        <v>4905</v>
      </c>
      <c r="B10" s="9" t="s">
        <v>5105</v>
      </c>
      <c r="C10" s="9" t="s">
        <v>5115</v>
      </c>
      <c r="D10" s="9" t="s">
        <v>5116</v>
      </c>
      <c r="E10" s="9" t="s">
        <v>4063</v>
      </c>
      <c r="F10" s="9" t="s">
        <v>5117</v>
      </c>
      <c r="G10" s="9" t="s">
        <v>5101</v>
      </c>
    </row>
    <row r="11" customFormat="false" ht="62" hidden="false" customHeight="true" outlineLevel="0" collapsed="false">
      <c r="A11" s="9" t="s">
        <v>5118</v>
      </c>
      <c r="B11" s="9" t="s">
        <v>5105</v>
      </c>
      <c r="C11" s="9" t="s">
        <v>5119</v>
      </c>
      <c r="D11" s="9" t="s">
        <v>5120</v>
      </c>
      <c r="E11" s="9" t="s">
        <v>4023</v>
      </c>
      <c r="F11" s="9" t="s">
        <v>5121</v>
      </c>
      <c r="G11" s="9" t="s">
        <v>5101</v>
      </c>
    </row>
    <row r="12" customFormat="false" ht="62" hidden="false" customHeight="true" outlineLevel="0" collapsed="false">
      <c r="A12" s="9" t="s">
        <v>5122</v>
      </c>
      <c r="B12" s="9" t="s">
        <v>5123</v>
      </c>
      <c r="C12" s="9" t="s">
        <v>5124</v>
      </c>
      <c r="D12" s="9" t="s">
        <v>5125</v>
      </c>
      <c r="E12" s="9" t="s">
        <v>5126</v>
      </c>
      <c r="F12" s="9" t="s">
        <v>5127</v>
      </c>
      <c r="G12" s="9" t="s">
        <v>5101</v>
      </c>
    </row>
    <row r="13" customFormat="false" ht="62" hidden="false" customHeight="true" outlineLevel="0" collapsed="false">
      <c r="A13" s="9" t="s">
        <v>5128</v>
      </c>
      <c r="B13" s="9" t="s">
        <v>5123</v>
      </c>
      <c r="C13" s="9" t="s">
        <v>599</v>
      </c>
      <c r="D13" s="9" t="s">
        <v>601</v>
      </c>
      <c r="E13" s="9" t="s">
        <v>602</v>
      </c>
      <c r="F13" s="9" t="s">
        <v>603</v>
      </c>
      <c r="G13" s="9" t="s">
        <v>5129</v>
      </c>
    </row>
    <row r="14" customFormat="false" ht="62" hidden="false" customHeight="true" outlineLevel="0" collapsed="false">
      <c r="A14" s="9" t="s">
        <v>5130</v>
      </c>
      <c r="B14" s="9" t="s">
        <v>5123</v>
      </c>
      <c r="C14" s="9" t="s">
        <v>605</v>
      </c>
      <c r="D14" s="9" t="s">
        <v>5131</v>
      </c>
      <c r="E14" s="9" t="s">
        <v>607</v>
      </c>
      <c r="F14" s="9" t="s">
        <v>5132</v>
      </c>
      <c r="G14" s="9" t="s">
        <v>608</v>
      </c>
    </row>
    <row r="15" customFormat="false" ht="62" hidden="false" customHeight="true" outlineLevel="0" collapsed="false">
      <c r="A15" s="9" t="s">
        <v>4924</v>
      </c>
      <c r="B15" s="9" t="s">
        <v>5105</v>
      </c>
      <c r="C15" s="9" t="s">
        <v>5133</v>
      </c>
      <c r="D15" s="9" t="s">
        <v>5134</v>
      </c>
      <c r="E15" s="9" t="s">
        <v>4008</v>
      </c>
      <c r="F15" s="9" t="s">
        <v>5135</v>
      </c>
      <c r="G15" s="9" t="s">
        <v>5101</v>
      </c>
    </row>
    <row r="16" customFormat="false" ht="62" hidden="false" customHeight="true" outlineLevel="0" collapsed="false">
      <c r="A16" s="9" t="s">
        <v>5136</v>
      </c>
      <c r="B16" s="9" t="s">
        <v>5105</v>
      </c>
      <c r="C16" s="9" t="s">
        <v>5137</v>
      </c>
      <c r="D16" s="9" t="s">
        <v>5138</v>
      </c>
      <c r="E16" s="9" t="s">
        <v>3892</v>
      </c>
      <c r="F16" s="9" t="s">
        <v>5139</v>
      </c>
      <c r="G16" s="9" t="s">
        <v>5101</v>
      </c>
    </row>
    <row r="17" customFormat="false" ht="62" hidden="false" customHeight="true" outlineLevel="0" collapsed="false">
      <c r="A17" s="9" t="s">
        <v>5140</v>
      </c>
      <c r="B17" s="9" t="s">
        <v>5123</v>
      </c>
      <c r="C17" s="9" t="s">
        <v>5141</v>
      </c>
      <c r="D17" s="9" t="s">
        <v>5142</v>
      </c>
      <c r="E17" s="9" t="s">
        <v>4002</v>
      </c>
      <c r="F17" s="9" t="s">
        <v>5143</v>
      </c>
      <c r="G17" s="9" t="s">
        <v>5101</v>
      </c>
    </row>
    <row r="18" customFormat="false" ht="62" hidden="false" customHeight="true" outlineLevel="0" collapsed="false">
      <c r="A18" s="9" t="s">
        <v>5144</v>
      </c>
      <c r="B18" s="9" t="s">
        <v>5105</v>
      </c>
      <c r="C18" s="9" t="s">
        <v>780</v>
      </c>
      <c r="D18" s="9" t="s">
        <v>5145</v>
      </c>
      <c r="E18" s="9" t="s">
        <v>584</v>
      </c>
      <c r="F18" s="9" t="s">
        <v>5146</v>
      </c>
      <c r="G18" s="9" t="s">
        <v>5101</v>
      </c>
    </row>
    <row r="19" customFormat="false" ht="62" hidden="false" customHeight="true" outlineLevel="0" collapsed="false">
      <c r="A19" s="9" t="s">
        <v>5147</v>
      </c>
      <c r="B19" s="9" t="s">
        <v>5123</v>
      </c>
      <c r="C19" s="9" t="s">
        <v>5148</v>
      </c>
      <c r="D19" s="9" t="s">
        <v>5149</v>
      </c>
      <c r="E19" s="9" t="s">
        <v>3545</v>
      </c>
      <c r="F19" s="9" t="s">
        <v>5150</v>
      </c>
      <c r="G19" s="9" t="s">
        <v>5101</v>
      </c>
    </row>
    <row r="20" customFormat="false" ht="62" hidden="false" customHeight="true" outlineLevel="0" collapsed="false">
      <c r="A20" s="9" t="s">
        <v>5151</v>
      </c>
      <c r="B20" s="9" t="s">
        <v>5123</v>
      </c>
      <c r="C20" s="9" t="s">
        <v>5152</v>
      </c>
      <c r="D20" s="9" t="s">
        <v>5153</v>
      </c>
      <c r="E20" s="9" t="s">
        <v>777</v>
      </c>
      <c r="F20" s="9" t="s">
        <v>5154</v>
      </c>
      <c r="G20" s="9" t="s">
        <v>5101</v>
      </c>
    </row>
    <row r="21" customFormat="false" ht="62" hidden="false" customHeight="true" outlineLevel="0" collapsed="false">
      <c r="A21" s="9" t="s">
        <v>4908</v>
      </c>
      <c r="B21" s="9" t="s">
        <v>5105</v>
      </c>
      <c r="C21" s="9" t="s">
        <v>5155</v>
      </c>
      <c r="D21" s="9" t="s">
        <v>5156</v>
      </c>
      <c r="E21" s="9" t="s">
        <v>760</v>
      </c>
      <c r="F21" s="9" t="s">
        <v>5157</v>
      </c>
      <c r="G21" s="9" t="s">
        <v>5101</v>
      </c>
    </row>
    <row r="22" customFormat="false" ht="62" hidden="false" customHeight="true" outlineLevel="0" collapsed="false">
      <c r="A22" s="9" t="s">
        <v>5158</v>
      </c>
      <c r="B22" s="9" t="s">
        <v>5123</v>
      </c>
      <c r="C22" s="9" t="s">
        <v>5159</v>
      </c>
      <c r="D22" s="9" t="s">
        <v>5160</v>
      </c>
      <c r="E22" s="9" t="s">
        <v>788</v>
      </c>
      <c r="F22" s="9" t="s">
        <v>5161</v>
      </c>
      <c r="G22" s="9" t="s">
        <v>5101</v>
      </c>
    </row>
    <row r="23" customFormat="false" ht="62" hidden="false" customHeight="true" outlineLevel="0" collapsed="false">
      <c r="A23" s="9" t="s">
        <v>5162</v>
      </c>
      <c r="B23" s="9" t="s">
        <v>5123</v>
      </c>
      <c r="C23" s="9" t="s">
        <v>2370</v>
      </c>
      <c r="D23" s="9" t="s">
        <v>5163</v>
      </c>
      <c r="E23" s="9" t="s">
        <v>571</v>
      </c>
      <c r="F23" s="9" t="s">
        <v>5164</v>
      </c>
      <c r="G23" s="9" t="s">
        <v>5101</v>
      </c>
    </row>
    <row r="24" customFormat="false" ht="62" hidden="false" customHeight="true" outlineLevel="0" collapsed="false">
      <c r="A24" s="9" t="s">
        <v>5165</v>
      </c>
      <c r="B24" s="9" t="s">
        <v>5123</v>
      </c>
      <c r="C24" s="9" t="s">
        <v>5166</v>
      </c>
      <c r="D24" s="9" t="s">
        <v>5167</v>
      </c>
      <c r="E24" s="9" t="s">
        <v>5168</v>
      </c>
      <c r="F24" s="9" t="s">
        <v>5169</v>
      </c>
      <c r="G24" s="9" t="s">
        <v>5129</v>
      </c>
    </row>
    <row r="25" customFormat="false" ht="62" hidden="false" customHeight="true" outlineLevel="0" collapsed="false">
      <c r="A25" s="9" t="s">
        <v>5170</v>
      </c>
      <c r="B25" s="9" t="s">
        <v>5123</v>
      </c>
      <c r="C25" s="9" t="s">
        <v>5171</v>
      </c>
      <c r="D25" s="9" t="s">
        <v>5172</v>
      </c>
      <c r="E25" s="9" t="s">
        <v>4855</v>
      </c>
      <c r="F25" s="9" t="s">
        <v>5173</v>
      </c>
      <c r="G25" s="9" t="s">
        <v>5174</v>
      </c>
    </row>
    <row r="26" customFormat="false" ht="62" hidden="false" customHeight="true" outlineLevel="0" collapsed="false">
      <c r="A26" s="9" t="s">
        <v>5175</v>
      </c>
      <c r="B26" s="9" t="s">
        <v>5105</v>
      </c>
      <c r="C26" s="9" t="s">
        <v>5176</v>
      </c>
      <c r="D26" s="9" t="s">
        <v>5177</v>
      </c>
      <c r="E26" s="9" t="s">
        <v>5178</v>
      </c>
      <c r="F26" s="9" t="s">
        <v>5179</v>
      </c>
      <c r="G26" s="9" t="s">
        <v>5180</v>
      </c>
    </row>
    <row r="27" customFormat="false" ht="62" hidden="false" customHeight="true" outlineLevel="0" collapsed="false">
      <c r="A27" s="9" t="s">
        <v>5181</v>
      </c>
      <c r="B27" s="9" t="s">
        <v>5123</v>
      </c>
      <c r="C27" s="9" t="s">
        <v>5182</v>
      </c>
      <c r="D27" s="9" t="s">
        <v>5183</v>
      </c>
      <c r="E27" s="9" t="s">
        <v>769</v>
      </c>
      <c r="F27" s="9" t="s">
        <v>5184</v>
      </c>
      <c r="G27" s="9" t="s">
        <v>5185</v>
      </c>
    </row>
    <row r="28" customFormat="false" ht="62" hidden="false" customHeight="true" outlineLevel="0" collapsed="false">
      <c r="A28" s="9" t="s">
        <v>5186</v>
      </c>
      <c r="B28" s="9" t="s">
        <v>5123</v>
      </c>
      <c r="C28" s="9" t="s">
        <v>5182</v>
      </c>
      <c r="D28" s="9" t="s">
        <v>5187</v>
      </c>
      <c r="E28" s="9" t="s">
        <v>5188</v>
      </c>
      <c r="F28" s="9" t="s">
        <v>5189</v>
      </c>
      <c r="G28" s="9" t="s">
        <v>5190</v>
      </c>
    </row>
    <row r="29" customFormat="false" ht="62" hidden="false" customHeight="true" outlineLevel="0" collapsed="false">
      <c r="A29" s="9" t="s">
        <v>5191</v>
      </c>
      <c r="B29" s="9" t="s">
        <v>5123</v>
      </c>
      <c r="C29" s="9" t="s">
        <v>115</v>
      </c>
      <c r="D29" s="9" t="s">
        <v>5192</v>
      </c>
      <c r="E29" s="9" t="s">
        <v>5193</v>
      </c>
      <c r="F29" s="9" t="s">
        <v>5194</v>
      </c>
      <c r="G29" s="9" t="s">
        <v>5195</v>
      </c>
    </row>
    <row r="30" customFormat="false" ht="62" hidden="false" customHeight="true" outlineLevel="0" collapsed="false">
      <c r="A30" s="9" t="s">
        <v>5196</v>
      </c>
      <c r="B30" s="9" t="s">
        <v>5123</v>
      </c>
      <c r="C30" s="9" t="s">
        <v>5197</v>
      </c>
      <c r="D30" s="9" t="s">
        <v>5198</v>
      </c>
      <c r="E30" s="9" t="s">
        <v>138</v>
      </c>
      <c r="F30" s="9" t="s">
        <v>5199</v>
      </c>
      <c r="G30" s="9" t="s">
        <v>5195</v>
      </c>
    </row>
    <row r="31" customFormat="false" ht="62" hidden="false" customHeight="true" outlineLevel="0" collapsed="false">
      <c r="A31" s="9" t="s">
        <v>5200</v>
      </c>
      <c r="B31" s="9" t="s">
        <v>5201</v>
      </c>
      <c r="C31" s="9" t="s">
        <v>3470</v>
      </c>
      <c r="D31" s="9" t="s">
        <v>5202</v>
      </c>
      <c r="E31" s="9" t="s">
        <v>3470</v>
      </c>
      <c r="F31" s="9" t="s">
        <v>5203</v>
      </c>
      <c r="G31" s="9" t="s">
        <v>5195</v>
      </c>
    </row>
    <row r="32" customFormat="false" ht="62" hidden="false" customHeight="true" outlineLevel="0" collapsed="false">
      <c r="A32" s="9" t="s">
        <v>5204</v>
      </c>
      <c r="B32" s="9" t="s">
        <v>5201</v>
      </c>
      <c r="C32" s="9" t="s">
        <v>5205</v>
      </c>
      <c r="D32" s="9" t="s">
        <v>5206</v>
      </c>
      <c r="E32" s="9" t="s">
        <v>5207</v>
      </c>
      <c r="F32" s="9" t="s">
        <v>5208</v>
      </c>
      <c r="G32" s="9" t="s">
        <v>5195</v>
      </c>
    </row>
    <row r="33" customFormat="false" ht="62" hidden="false" customHeight="true" outlineLevel="0" collapsed="false">
      <c r="A33" s="9" t="s">
        <v>5209</v>
      </c>
      <c r="B33" s="9" t="s">
        <v>5123</v>
      </c>
      <c r="C33" s="9" t="s">
        <v>5210</v>
      </c>
      <c r="D33" s="9" t="s">
        <v>5211</v>
      </c>
      <c r="E33" s="9" t="s">
        <v>5212</v>
      </c>
      <c r="F33" s="9" t="s">
        <v>5213</v>
      </c>
      <c r="G33" s="9" t="s">
        <v>5101</v>
      </c>
    </row>
    <row r="34" customFormat="false" ht="62" hidden="false" customHeight="true" outlineLevel="0" collapsed="false">
      <c r="A34" s="9" t="s">
        <v>5214</v>
      </c>
      <c r="B34" s="9" t="s">
        <v>5123</v>
      </c>
      <c r="C34" s="9" t="s">
        <v>5215</v>
      </c>
      <c r="D34" s="9" t="s">
        <v>5216</v>
      </c>
      <c r="E34" s="9" t="s">
        <v>293</v>
      </c>
      <c r="F34" s="9" t="s">
        <v>5217</v>
      </c>
      <c r="G34" s="9" t="s">
        <v>5218</v>
      </c>
    </row>
    <row r="35" customFormat="false" ht="62" hidden="false" customHeight="true" outlineLevel="0" collapsed="false">
      <c r="A35" s="9" t="s">
        <v>5219</v>
      </c>
      <c r="B35" s="9" t="s">
        <v>5105</v>
      </c>
      <c r="C35" s="9" t="s">
        <v>5220</v>
      </c>
      <c r="D35" s="9" t="s">
        <v>5221</v>
      </c>
      <c r="E35" s="9" t="s">
        <v>5222</v>
      </c>
      <c r="F35" s="9" t="s">
        <v>5223</v>
      </c>
      <c r="G35" s="9" t="s">
        <v>5224</v>
      </c>
    </row>
    <row r="36" customFormat="false" ht="62" hidden="false" customHeight="true" outlineLevel="0" collapsed="false">
      <c r="A36" s="9" t="s">
        <v>5225</v>
      </c>
      <c r="B36" s="9" t="s">
        <v>5123</v>
      </c>
      <c r="C36" s="9" t="s">
        <v>5226</v>
      </c>
      <c r="D36" s="9" t="s">
        <v>5227</v>
      </c>
      <c r="E36" s="9" t="s">
        <v>5228</v>
      </c>
      <c r="F36" s="9" t="s">
        <v>5229</v>
      </c>
      <c r="G36" s="9" t="s">
        <v>5101</v>
      </c>
    </row>
    <row r="37" customFormat="false" ht="62" hidden="false" customHeight="true" outlineLevel="0" collapsed="false">
      <c r="A37" s="9" t="s">
        <v>5230</v>
      </c>
      <c r="B37" s="9" t="s">
        <v>5123</v>
      </c>
      <c r="C37" s="9" t="s">
        <v>5231</v>
      </c>
      <c r="D37" s="9" t="s">
        <v>5232</v>
      </c>
      <c r="E37" s="9" t="s">
        <v>5047</v>
      </c>
      <c r="F37" s="9" t="s">
        <v>5233</v>
      </c>
      <c r="G37" s="9" t="s">
        <v>5180</v>
      </c>
    </row>
    <row r="38" customFormat="false" ht="62" hidden="false" customHeight="true" outlineLevel="0" collapsed="false">
      <c r="A38" s="9" t="s">
        <v>5234</v>
      </c>
      <c r="B38" s="9" t="s">
        <v>5105</v>
      </c>
      <c r="C38" s="9" t="s">
        <v>5235</v>
      </c>
      <c r="D38" s="9" t="s">
        <v>5236</v>
      </c>
      <c r="E38" s="9" t="s">
        <v>2800</v>
      </c>
      <c r="F38" s="9" t="s">
        <v>5237</v>
      </c>
      <c r="G38" s="9" t="s">
        <v>5224</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4" min="3" style="0" width="34"/>
    <col collapsed="false" customWidth="true" hidden="false" outlineLevel="0" max="5" min="5" style="0" width="48"/>
    <col collapsed="false" customWidth="true" hidden="false" outlineLevel="0" max="6" min="6" style="0" width="82"/>
    <col collapsed="false" customWidth="true" hidden="false" outlineLevel="0" max="7" min="7" style="0" width="14"/>
  </cols>
  <sheetData>
    <row r="1" customFormat="false" ht="30" hidden="false" customHeight="true" outlineLevel="0" collapsed="false">
      <c r="A1" s="1" t="s">
        <v>5238</v>
      </c>
      <c r="B1" s="1"/>
      <c r="C1" s="1"/>
      <c r="D1" s="1"/>
      <c r="E1" s="1"/>
      <c r="F1" s="1"/>
      <c r="G1" s="1"/>
    </row>
    <row r="2" customFormat="false" ht="34" hidden="false" customHeight="true" outlineLevel="0" collapsed="false">
      <c r="A2" s="2" t="s">
        <v>5239</v>
      </c>
      <c r="B2" s="2"/>
      <c r="C2" s="2"/>
      <c r="D2" s="2"/>
      <c r="E2" s="2"/>
      <c r="F2" s="2"/>
      <c r="G2" s="2"/>
    </row>
    <row r="4" customFormat="false" ht="34" hidden="false" customHeight="true" outlineLevel="0" collapsed="false">
      <c r="A4" s="8" t="s">
        <v>5240</v>
      </c>
      <c r="B4" s="8" t="s">
        <v>57</v>
      </c>
      <c r="C4" s="8" t="s">
        <v>5241</v>
      </c>
      <c r="D4" s="8" t="s">
        <v>5242</v>
      </c>
      <c r="E4" s="8" t="s">
        <v>5243</v>
      </c>
      <c r="F4" s="8" t="s">
        <v>5244</v>
      </c>
      <c r="G4" s="8" t="s">
        <v>647</v>
      </c>
    </row>
    <row r="5" customFormat="false" ht="58" hidden="false" customHeight="true" outlineLevel="0" collapsed="false">
      <c r="A5" s="9" t="s">
        <v>5245</v>
      </c>
      <c r="B5" s="9" t="s">
        <v>5246</v>
      </c>
      <c r="C5" s="9" t="s">
        <v>2195</v>
      </c>
      <c r="D5" s="9" t="s">
        <v>5247</v>
      </c>
      <c r="E5" s="9" t="s">
        <v>2201</v>
      </c>
      <c r="F5" s="9" t="s">
        <v>5248</v>
      </c>
      <c r="G5" s="9" t="s">
        <v>8</v>
      </c>
    </row>
    <row r="6" customFormat="false" ht="58" hidden="false" customHeight="true" outlineLevel="0" collapsed="false">
      <c r="A6" s="9" t="s">
        <v>5249</v>
      </c>
      <c r="B6" s="9" t="s">
        <v>5250</v>
      </c>
      <c r="C6" s="9" t="s">
        <v>420</v>
      </c>
      <c r="D6" s="9" t="s">
        <v>5247</v>
      </c>
      <c r="E6" s="9" t="s">
        <v>951</v>
      </c>
      <c r="F6" s="9" t="s">
        <v>5251</v>
      </c>
      <c r="G6" s="9" t="s">
        <v>8</v>
      </c>
    </row>
    <row r="7" customFormat="false" ht="58" hidden="false" customHeight="true" outlineLevel="0" collapsed="false">
      <c r="A7" s="9" t="s">
        <v>5252</v>
      </c>
      <c r="B7" s="9" t="s">
        <v>5253</v>
      </c>
      <c r="C7" s="9" t="s">
        <v>2457</v>
      </c>
      <c r="D7" s="9" t="s">
        <v>5247</v>
      </c>
      <c r="E7" s="9" t="s">
        <v>2463</v>
      </c>
      <c r="F7" s="9" t="s">
        <v>5254</v>
      </c>
      <c r="G7" s="9" t="s">
        <v>8</v>
      </c>
    </row>
    <row r="8" customFormat="false" ht="58" hidden="false" customHeight="true" outlineLevel="0" collapsed="false">
      <c r="A8" s="9" t="s">
        <v>5255</v>
      </c>
      <c r="B8" s="9" t="s">
        <v>5256</v>
      </c>
      <c r="C8" s="9" t="s">
        <v>2466</v>
      </c>
      <c r="D8" s="9" t="s">
        <v>5247</v>
      </c>
      <c r="E8" s="9" t="s">
        <v>2473</v>
      </c>
      <c r="F8" s="9" t="s">
        <v>2467</v>
      </c>
      <c r="G8" s="9" t="s">
        <v>8</v>
      </c>
    </row>
    <row r="9" customFormat="false" ht="58" hidden="false" customHeight="true" outlineLevel="0" collapsed="false">
      <c r="A9" s="9" t="s">
        <v>5257</v>
      </c>
      <c r="B9" s="9" t="s">
        <v>5258</v>
      </c>
      <c r="C9" s="9" t="s">
        <v>2213</v>
      </c>
      <c r="D9" s="9" t="s">
        <v>5247</v>
      </c>
      <c r="E9" s="9" t="s">
        <v>2219</v>
      </c>
      <c r="F9" s="9" t="s">
        <v>5259</v>
      </c>
      <c r="G9" s="9" t="s">
        <v>8</v>
      </c>
    </row>
    <row r="10" customFormat="false" ht="58" hidden="false" customHeight="true" outlineLevel="0" collapsed="false">
      <c r="A10" s="9" t="s">
        <v>5260</v>
      </c>
      <c r="B10" s="9" t="s">
        <v>5261</v>
      </c>
      <c r="C10" s="9" t="s">
        <v>558</v>
      </c>
      <c r="D10" s="9" t="s">
        <v>5247</v>
      </c>
      <c r="E10" s="9" t="s">
        <v>1897</v>
      </c>
      <c r="F10" s="9" t="s">
        <v>5262</v>
      </c>
      <c r="G10" s="9" t="s">
        <v>8</v>
      </c>
    </row>
    <row r="11" customFormat="false" ht="58" hidden="false" customHeight="true" outlineLevel="0" collapsed="false">
      <c r="A11" s="9" t="s">
        <v>5263</v>
      </c>
      <c r="B11" s="9" t="s">
        <v>5264</v>
      </c>
      <c r="C11" s="9" t="s">
        <v>964</v>
      </c>
      <c r="D11" s="9" t="s">
        <v>5247</v>
      </c>
      <c r="E11" s="9" t="s">
        <v>971</v>
      </c>
      <c r="F11" s="9" t="s">
        <v>5265</v>
      </c>
      <c r="G11" s="9" t="s">
        <v>8</v>
      </c>
    </row>
    <row r="12" customFormat="false" ht="58" hidden="false" customHeight="true" outlineLevel="0" collapsed="false">
      <c r="A12" s="9" t="s">
        <v>5266</v>
      </c>
      <c r="B12" s="9" t="s">
        <v>5267</v>
      </c>
      <c r="C12" s="9" t="s">
        <v>479</v>
      </c>
      <c r="D12" s="9" t="s">
        <v>5247</v>
      </c>
      <c r="E12" s="9" t="s">
        <v>980</v>
      </c>
      <c r="F12" s="9" t="s">
        <v>5268</v>
      </c>
      <c r="G12" s="9" t="s">
        <v>8</v>
      </c>
    </row>
    <row r="13" customFormat="false" ht="58" hidden="false" customHeight="true" outlineLevel="0" collapsed="false">
      <c r="A13" s="9" t="s">
        <v>5269</v>
      </c>
      <c r="B13" s="9" t="s">
        <v>5270</v>
      </c>
      <c r="C13" s="9" t="s">
        <v>1024</v>
      </c>
      <c r="D13" s="9" t="s">
        <v>5247</v>
      </c>
      <c r="E13" s="9" t="s">
        <v>1031</v>
      </c>
      <c r="F13" s="9" t="s">
        <v>5271</v>
      </c>
      <c r="G13" s="9" t="s">
        <v>8</v>
      </c>
    </row>
    <row r="14" customFormat="false" ht="58" hidden="false" customHeight="true" outlineLevel="0" collapsed="false">
      <c r="A14" s="9" t="s">
        <v>5272</v>
      </c>
      <c r="B14" s="9" t="s">
        <v>5273</v>
      </c>
      <c r="C14" s="9" t="s">
        <v>2531</v>
      </c>
      <c r="D14" s="9" t="s">
        <v>5247</v>
      </c>
      <c r="E14" s="9" t="s">
        <v>2538</v>
      </c>
      <c r="F14" s="9" t="s">
        <v>5274</v>
      </c>
      <c r="G14" s="9" t="s">
        <v>8</v>
      </c>
    </row>
    <row r="15" customFormat="false" ht="58" hidden="false" customHeight="true" outlineLevel="0" collapsed="false">
      <c r="A15" s="9" t="s">
        <v>5275</v>
      </c>
      <c r="B15" s="9" t="s">
        <v>5276</v>
      </c>
      <c r="C15" s="9" t="s">
        <v>373</v>
      </c>
      <c r="D15" s="9" t="s">
        <v>5247</v>
      </c>
      <c r="E15" s="9" t="s">
        <v>1040</v>
      </c>
      <c r="F15" s="9" t="s">
        <v>5277</v>
      </c>
      <c r="G15" s="9" t="s">
        <v>8</v>
      </c>
    </row>
    <row r="16" customFormat="false" ht="58" hidden="false" customHeight="true" outlineLevel="0" collapsed="false">
      <c r="A16" s="9" t="s">
        <v>5278</v>
      </c>
      <c r="B16" s="9" t="s">
        <v>5279</v>
      </c>
      <c r="C16" s="9" t="s">
        <v>2503</v>
      </c>
      <c r="D16" s="9" t="s">
        <v>5247</v>
      </c>
      <c r="E16" s="9" t="s">
        <v>2509</v>
      </c>
      <c r="F16" s="9" t="s">
        <v>5280</v>
      </c>
      <c r="G16" s="9" t="s">
        <v>8</v>
      </c>
    </row>
    <row r="17" customFormat="false" ht="58" hidden="false" customHeight="true" outlineLevel="0" collapsed="false">
      <c r="A17" s="9" t="s">
        <v>5281</v>
      </c>
      <c r="B17" s="9" t="s">
        <v>5282</v>
      </c>
      <c r="C17" s="9" t="s">
        <v>4464</v>
      </c>
      <c r="D17" s="9" t="s">
        <v>5247</v>
      </c>
      <c r="E17" s="9" t="s">
        <v>5283</v>
      </c>
      <c r="F17" s="9" t="s">
        <v>5284</v>
      </c>
      <c r="G17" s="9" t="s">
        <v>8</v>
      </c>
    </row>
    <row r="18" customFormat="false" ht="58" hidden="false" customHeight="true" outlineLevel="0" collapsed="false">
      <c r="A18" s="9" t="s">
        <v>5285</v>
      </c>
      <c r="B18" s="9" t="s">
        <v>5286</v>
      </c>
      <c r="C18" s="9" t="s">
        <v>3631</v>
      </c>
      <c r="D18" s="9" t="s">
        <v>5247</v>
      </c>
      <c r="E18" s="9" t="s">
        <v>3638</v>
      </c>
      <c r="F18" s="9" t="s">
        <v>5287</v>
      </c>
      <c r="G18" s="9" t="s">
        <v>8</v>
      </c>
    </row>
    <row r="19" customFormat="false" ht="58" hidden="false" customHeight="true" outlineLevel="0" collapsed="false">
      <c r="A19" s="9" t="s">
        <v>5288</v>
      </c>
      <c r="B19" s="9" t="s">
        <v>5289</v>
      </c>
      <c r="C19" s="9" t="s">
        <v>3690</v>
      </c>
      <c r="D19" s="9" t="s">
        <v>5247</v>
      </c>
      <c r="E19" s="9" t="s">
        <v>3696</v>
      </c>
      <c r="F19" s="9" t="s">
        <v>5290</v>
      </c>
      <c r="G19" s="9" t="s">
        <v>8</v>
      </c>
    </row>
    <row r="20" customFormat="false" ht="58" hidden="false" customHeight="true" outlineLevel="0" collapsed="false">
      <c r="A20" s="9" t="s">
        <v>5291</v>
      </c>
      <c r="B20" s="9" t="s">
        <v>5292</v>
      </c>
      <c r="C20" s="9" t="s">
        <v>629</v>
      </c>
      <c r="D20" s="9" t="s">
        <v>5247</v>
      </c>
      <c r="E20" s="9" t="s">
        <v>3713</v>
      </c>
      <c r="F20" s="9" t="s">
        <v>5293</v>
      </c>
      <c r="G20" s="9" t="s">
        <v>8</v>
      </c>
    </row>
    <row r="21" customFormat="false" ht="58" hidden="false" customHeight="true" outlineLevel="0" collapsed="false">
      <c r="A21" s="9" t="s">
        <v>5294</v>
      </c>
      <c r="B21" s="9" t="s">
        <v>5295</v>
      </c>
      <c r="C21" s="9" t="s">
        <v>5296</v>
      </c>
      <c r="D21" s="9" t="s">
        <v>5247</v>
      </c>
      <c r="E21" s="9" t="s">
        <v>5297</v>
      </c>
      <c r="F21" s="9" t="s">
        <v>5298</v>
      </c>
      <c r="G21" s="9" t="s">
        <v>8</v>
      </c>
    </row>
    <row r="22" customFormat="false" ht="58" hidden="false" customHeight="true" outlineLevel="0" collapsed="false">
      <c r="A22" s="9" t="s">
        <v>5299</v>
      </c>
      <c r="B22" s="9" t="s">
        <v>5300</v>
      </c>
      <c r="C22" s="9" t="s">
        <v>2186</v>
      </c>
      <c r="D22" s="9" t="s">
        <v>5247</v>
      </c>
      <c r="E22" s="9" t="s">
        <v>2192</v>
      </c>
      <c r="F22" s="9" t="s">
        <v>5301</v>
      </c>
      <c r="G22" s="9" t="s">
        <v>8</v>
      </c>
    </row>
    <row r="23" customFormat="false" ht="58" hidden="false" customHeight="true" outlineLevel="0" collapsed="false">
      <c r="A23" s="9" t="s">
        <v>5302</v>
      </c>
      <c r="B23" s="9" t="s">
        <v>5303</v>
      </c>
      <c r="C23" s="9" t="s">
        <v>3622</v>
      </c>
      <c r="D23" s="9" t="s">
        <v>5247</v>
      </c>
      <c r="E23" s="9" t="s">
        <v>3628</v>
      </c>
      <c r="F23" s="9" t="s">
        <v>5304</v>
      </c>
      <c r="G23" s="9" t="s">
        <v>8</v>
      </c>
    </row>
    <row r="24" customFormat="false" ht="58" hidden="false" customHeight="true" outlineLevel="0" collapsed="false">
      <c r="A24" s="9" t="s">
        <v>5305</v>
      </c>
      <c r="B24" s="9" t="s">
        <v>5306</v>
      </c>
      <c r="C24" s="9" t="s">
        <v>5307</v>
      </c>
      <c r="D24" s="9" t="s">
        <v>5308</v>
      </c>
      <c r="E24" s="9" t="s">
        <v>5309</v>
      </c>
      <c r="F24" s="9" t="s">
        <v>5310</v>
      </c>
      <c r="G24" s="9" t="s">
        <v>8</v>
      </c>
    </row>
    <row r="25" customFormat="false" ht="58" hidden="false" customHeight="true" outlineLevel="0" collapsed="false">
      <c r="A25" s="9" t="s">
        <v>5311</v>
      </c>
      <c r="B25" s="9" t="s">
        <v>5312</v>
      </c>
      <c r="C25" s="9" t="s">
        <v>501</v>
      </c>
      <c r="D25" s="9" t="s">
        <v>5313</v>
      </c>
      <c r="E25" s="9" t="s">
        <v>5314</v>
      </c>
      <c r="F25" s="9" t="s">
        <v>5315</v>
      </c>
      <c r="G25" s="9" t="s">
        <v>8</v>
      </c>
    </row>
    <row r="26" customFormat="false" ht="58" hidden="false" customHeight="true" outlineLevel="0" collapsed="false">
      <c r="A26" s="9" t="s">
        <v>5316</v>
      </c>
      <c r="B26" s="9" t="s">
        <v>5317</v>
      </c>
      <c r="C26" s="9" t="s">
        <v>5318</v>
      </c>
      <c r="D26" s="9" t="s">
        <v>5319</v>
      </c>
      <c r="E26" s="9" t="s">
        <v>5320</v>
      </c>
      <c r="F26" s="9" t="s">
        <v>5321</v>
      </c>
      <c r="G26" s="9" t="s">
        <v>8</v>
      </c>
    </row>
    <row r="27" customFormat="false" ht="58" hidden="false" customHeight="true" outlineLevel="0" collapsed="false">
      <c r="A27" s="9" t="s">
        <v>5322</v>
      </c>
      <c r="B27" s="9" t="s">
        <v>5323</v>
      </c>
      <c r="C27" s="9" t="s">
        <v>533</v>
      </c>
      <c r="D27" s="9" t="s">
        <v>5319</v>
      </c>
      <c r="E27" s="9" t="s">
        <v>5324</v>
      </c>
      <c r="F27" s="9" t="s">
        <v>5325</v>
      </c>
      <c r="G27" s="9" t="s">
        <v>8</v>
      </c>
    </row>
    <row r="28" customFormat="false" ht="58" hidden="false" customHeight="true" outlineLevel="0" collapsed="false">
      <c r="A28" s="9" t="s">
        <v>5326</v>
      </c>
      <c r="B28" s="9" t="s">
        <v>5327</v>
      </c>
      <c r="C28" s="9" t="s">
        <v>5328</v>
      </c>
      <c r="D28" s="9" t="s">
        <v>5319</v>
      </c>
      <c r="E28" s="9" t="s">
        <v>5329</v>
      </c>
      <c r="F28" s="9" t="s">
        <v>5330</v>
      </c>
      <c r="G28" s="9" t="s">
        <v>8</v>
      </c>
    </row>
    <row r="29" customFormat="false" ht="58" hidden="false" customHeight="true" outlineLevel="0" collapsed="false">
      <c r="A29" s="9" t="s">
        <v>5331</v>
      </c>
      <c r="B29" s="9" t="s">
        <v>5332</v>
      </c>
      <c r="C29" s="9" t="s">
        <v>5333</v>
      </c>
      <c r="D29" s="9" t="s">
        <v>5334</v>
      </c>
      <c r="E29" s="9" t="s">
        <v>5335</v>
      </c>
      <c r="F29" s="9" t="s">
        <v>5336</v>
      </c>
      <c r="G29" s="9" t="s">
        <v>8</v>
      </c>
    </row>
    <row r="30" customFormat="false" ht="58" hidden="false" customHeight="true" outlineLevel="0" collapsed="false">
      <c r="A30" s="9" t="s">
        <v>5337</v>
      </c>
      <c r="B30" s="9" t="s">
        <v>5338</v>
      </c>
      <c r="C30" s="9" t="s">
        <v>5339</v>
      </c>
      <c r="D30" s="9" t="s">
        <v>5334</v>
      </c>
      <c r="E30" s="9" t="s">
        <v>5340</v>
      </c>
      <c r="F30" s="9" t="s">
        <v>5341</v>
      </c>
      <c r="G30" s="9" t="s">
        <v>8</v>
      </c>
    </row>
    <row r="31" customFormat="false" ht="42" hidden="false" customHeight="true" outlineLevel="0" collapsed="false">
      <c r="A31" s="10" t="s">
        <v>5342</v>
      </c>
      <c r="B31" s="10" t="s">
        <v>5343</v>
      </c>
      <c r="C31" s="10" t="s">
        <v>3877</v>
      </c>
      <c r="D31" s="10" t="s">
        <v>5344</v>
      </c>
      <c r="E31" s="10" t="s">
        <v>5345</v>
      </c>
      <c r="F31" s="10" t="s">
        <v>5346</v>
      </c>
      <c r="G31" s="10" t="s">
        <v>8</v>
      </c>
    </row>
    <row r="32" customFormat="false" ht="42" hidden="false" customHeight="true" outlineLevel="0" collapsed="false">
      <c r="A32" s="11" t="s">
        <v>5347</v>
      </c>
      <c r="B32" s="11" t="s">
        <v>5348</v>
      </c>
      <c r="C32" s="11" t="s">
        <v>5349</v>
      </c>
      <c r="D32" s="11" t="s">
        <v>5350</v>
      </c>
      <c r="E32" s="11" t="s">
        <v>5351</v>
      </c>
      <c r="F32" s="11" t="s">
        <v>5352</v>
      </c>
      <c r="G32" s="11" t="s">
        <v>8</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52"/>
    <col collapsed="false" customWidth="true" hidden="false" outlineLevel="0" max="4" min="4" style="0" width="48"/>
    <col collapsed="false" customWidth="true" hidden="false" outlineLevel="0" max="6" min="5" style="0" width="56"/>
    <col collapsed="false" customWidth="true" hidden="false" outlineLevel="0" max="7" min="7" style="0" width="38"/>
    <col collapsed="false" customWidth="true" hidden="false" outlineLevel="0" max="8" min="8" style="0" width="14"/>
  </cols>
  <sheetData>
    <row r="1" customFormat="false" ht="30" hidden="false" customHeight="true" outlineLevel="0" collapsed="false">
      <c r="A1" s="1" t="s">
        <v>5353</v>
      </c>
      <c r="B1" s="1"/>
      <c r="C1" s="1"/>
      <c r="D1" s="1"/>
      <c r="E1" s="1"/>
      <c r="F1" s="1"/>
      <c r="G1" s="1"/>
      <c r="H1" s="1"/>
    </row>
    <row r="2" customFormat="false" ht="34" hidden="false" customHeight="true" outlineLevel="0" collapsed="false">
      <c r="A2" s="2" t="s">
        <v>5354</v>
      </c>
      <c r="B2" s="2"/>
      <c r="C2" s="2"/>
      <c r="D2" s="2"/>
      <c r="E2" s="2"/>
      <c r="F2" s="2"/>
      <c r="G2" s="2"/>
      <c r="H2" s="2"/>
    </row>
    <row r="4" customFormat="false" ht="34" hidden="false" customHeight="true" outlineLevel="0" collapsed="false">
      <c r="A4" s="8" t="s">
        <v>5355</v>
      </c>
      <c r="B4" s="8" t="s">
        <v>5356</v>
      </c>
      <c r="C4" s="8" t="s">
        <v>5357</v>
      </c>
      <c r="D4" s="8" t="s">
        <v>5358</v>
      </c>
      <c r="E4" s="8" t="s">
        <v>5359</v>
      </c>
      <c r="F4" s="8" t="s">
        <v>5360</v>
      </c>
      <c r="G4" s="8" t="s">
        <v>5241</v>
      </c>
      <c r="H4" s="8" t="s">
        <v>5361</v>
      </c>
    </row>
    <row r="5" customFormat="false" ht="54" hidden="false" customHeight="true" outlineLevel="0" collapsed="false">
      <c r="A5" s="9" t="s">
        <v>5362</v>
      </c>
      <c r="B5" s="9" t="s">
        <v>5363</v>
      </c>
      <c r="C5" s="9" t="s">
        <v>5364</v>
      </c>
      <c r="D5" s="9" t="s">
        <v>5365</v>
      </c>
      <c r="E5" s="9" t="s">
        <v>5366</v>
      </c>
      <c r="F5" s="9" t="s">
        <v>5366</v>
      </c>
      <c r="G5" s="9" t="s">
        <v>5367</v>
      </c>
      <c r="H5" s="9" t="s">
        <v>8</v>
      </c>
    </row>
    <row r="6" customFormat="false" ht="54" hidden="false" customHeight="true" outlineLevel="0" collapsed="false">
      <c r="A6" s="9" t="s">
        <v>5368</v>
      </c>
      <c r="B6" s="9" t="s">
        <v>5363</v>
      </c>
      <c r="C6" s="9" t="s">
        <v>5369</v>
      </c>
      <c r="D6" s="9" t="s">
        <v>5365</v>
      </c>
      <c r="E6" s="9" t="s">
        <v>5370</v>
      </c>
      <c r="F6" s="9" t="s">
        <v>5370</v>
      </c>
      <c r="G6" s="9" t="s">
        <v>5367</v>
      </c>
      <c r="H6" s="9" t="s">
        <v>8</v>
      </c>
    </row>
    <row r="7" customFormat="false" ht="54" hidden="false" customHeight="true" outlineLevel="0" collapsed="false">
      <c r="A7" s="9" t="s">
        <v>5371</v>
      </c>
      <c r="B7" s="9" t="s">
        <v>5363</v>
      </c>
      <c r="C7" s="9" t="s">
        <v>115</v>
      </c>
      <c r="D7" s="9" t="s">
        <v>5365</v>
      </c>
      <c r="E7" s="9" t="s">
        <v>5372</v>
      </c>
      <c r="F7" s="9" t="s">
        <v>5372</v>
      </c>
      <c r="G7" s="9" t="s">
        <v>5367</v>
      </c>
      <c r="H7" s="9" t="s">
        <v>8</v>
      </c>
    </row>
    <row r="8" customFormat="false" ht="54" hidden="false" customHeight="true" outlineLevel="0" collapsed="false">
      <c r="A8" s="9" t="s">
        <v>5373</v>
      </c>
      <c r="B8" s="9" t="s">
        <v>5363</v>
      </c>
      <c r="C8" s="9" t="s">
        <v>121</v>
      </c>
      <c r="D8" s="9" t="s">
        <v>5365</v>
      </c>
      <c r="E8" s="9" t="s">
        <v>5374</v>
      </c>
      <c r="F8" s="9" t="s">
        <v>5374</v>
      </c>
      <c r="G8" s="9" t="s">
        <v>5367</v>
      </c>
      <c r="H8" s="9" t="s">
        <v>8</v>
      </c>
    </row>
    <row r="9" customFormat="false" ht="54" hidden="false" customHeight="true" outlineLevel="0" collapsed="false">
      <c r="A9" s="9" t="s">
        <v>5375</v>
      </c>
      <c r="B9" s="9" t="s">
        <v>5376</v>
      </c>
      <c r="C9" s="9" t="s">
        <v>5377</v>
      </c>
      <c r="D9" s="9" t="s">
        <v>5378</v>
      </c>
      <c r="E9" s="9" t="s">
        <v>5379</v>
      </c>
      <c r="F9" s="9" t="s">
        <v>5379</v>
      </c>
      <c r="G9" s="9" t="s">
        <v>5367</v>
      </c>
      <c r="H9" s="9" t="s">
        <v>8</v>
      </c>
    </row>
    <row r="10" customFormat="false" ht="54" hidden="false" customHeight="true" outlineLevel="0" collapsed="false">
      <c r="A10" s="9" t="s">
        <v>5380</v>
      </c>
      <c r="B10" s="9" t="s">
        <v>5376</v>
      </c>
      <c r="C10" s="9" t="s">
        <v>5381</v>
      </c>
      <c r="D10" s="9" t="s">
        <v>5382</v>
      </c>
      <c r="E10" s="9" t="s">
        <v>5379</v>
      </c>
      <c r="F10" s="9" t="s">
        <v>5379</v>
      </c>
      <c r="G10" s="9" t="s">
        <v>5367</v>
      </c>
      <c r="H10" s="9" t="s">
        <v>8</v>
      </c>
    </row>
    <row r="11" customFormat="false" ht="54" hidden="false" customHeight="true" outlineLevel="0" collapsed="false">
      <c r="A11" s="9" t="s">
        <v>5383</v>
      </c>
      <c r="B11" s="9" t="s">
        <v>5384</v>
      </c>
      <c r="C11" s="9" t="s">
        <v>5385</v>
      </c>
      <c r="D11" s="9" t="s">
        <v>5386</v>
      </c>
      <c r="E11" s="9" t="s">
        <v>5387</v>
      </c>
      <c r="F11" s="9" t="s">
        <v>5387</v>
      </c>
      <c r="G11" s="9" t="s">
        <v>2457</v>
      </c>
      <c r="H11" s="9" t="s">
        <v>8</v>
      </c>
    </row>
    <row r="12" customFormat="false" ht="54" hidden="false" customHeight="true" outlineLevel="0" collapsed="false">
      <c r="A12" s="9" t="s">
        <v>5388</v>
      </c>
      <c r="B12" s="9" t="s">
        <v>115</v>
      </c>
      <c r="C12" s="9" t="s">
        <v>5389</v>
      </c>
      <c r="D12" s="9" t="s">
        <v>5390</v>
      </c>
      <c r="E12" s="9" t="s">
        <v>674</v>
      </c>
      <c r="F12" s="9" t="s">
        <v>674</v>
      </c>
      <c r="G12" s="9" t="s">
        <v>3442</v>
      </c>
      <c r="H12" s="9" t="s">
        <v>8</v>
      </c>
    </row>
    <row r="13" customFormat="false" ht="54" hidden="false" customHeight="true" outlineLevel="0" collapsed="false">
      <c r="A13" s="9" t="s">
        <v>5391</v>
      </c>
      <c r="B13" s="9" t="s">
        <v>115</v>
      </c>
      <c r="C13" s="9" t="s">
        <v>5392</v>
      </c>
      <c r="D13" s="9" t="s">
        <v>5390</v>
      </c>
      <c r="E13" s="9" t="s">
        <v>5393</v>
      </c>
      <c r="F13" s="9" t="s">
        <v>5393</v>
      </c>
      <c r="G13" s="9" t="s">
        <v>3442</v>
      </c>
      <c r="H13" s="9" t="s">
        <v>8</v>
      </c>
    </row>
    <row r="14" customFormat="false" ht="54" hidden="false" customHeight="true" outlineLevel="0" collapsed="false">
      <c r="A14" s="9" t="s">
        <v>5394</v>
      </c>
      <c r="B14" s="9" t="s">
        <v>115</v>
      </c>
      <c r="C14" s="9" t="s">
        <v>5395</v>
      </c>
      <c r="D14" s="9" t="s">
        <v>5390</v>
      </c>
      <c r="E14" s="9" t="s">
        <v>5396</v>
      </c>
      <c r="F14" s="9" t="s">
        <v>5396</v>
      </c>
      <c r="G14" s="9" t="s">
        <v>3442</v>
      </c>
      <c r="H14" s="9" t="s">
        <v>8</v>
      </c>
    </row>
    <row r="15" customFormat="false" ht="54" hidden="false" customHeight="true" outlineLevel="0" collapsed="false">
      <c r="A15" s="9" t="s">
        <v>5397</v>
      </c>
      <c r="B15" s="9" t="s">
        <v>115</v>
      </c>
      <c r="C15" s="9" t="s">
        <v>658</v>
      </c>
      <c r="D15" s="9" t="s">
        <v>5398</v>
      </c>
      <c r="E15" s="9" t="s">
        <v>667</v>
      </c>
      <c r="F15" s="9" t="s">
        <v>667</v>
      </c>
      <c r="G15" s="9" t="s">
        <v>3754</v>
      </c>
      <c r="H15" s="9" t="s">
        <v>8</v>
      </c>
    </row>
    <row r="16" customFormat="false" ht="54" hidden="false" customHeight="true" outlineLevel="0" collapsed="false">
      <c r="A16" s="9" t="s">
        <v>5399</v>
      </c>
      <c r="B16" s="9" t="s">
        <v>115</v>
      </c>
      <c r="C16" s="9" t="s">
        <v>658</v>
      </c>
      <c r="D16" s="9" t="s">
        <v>5400</v>
      </c>
      <c r="E16" s="9" t="s">
        <v>668</v>
      </c>
      <c r="F16" s="9" t="s">
        <v>668</v>
      </c>
      <c r="G16" s="9" t="s">
        <v>629</v>
      </c>
      <c r="H16" s="9" t="s">
        <v>8</v>
      </c>
    </row>
    <row r="17" customFormat="false" ht="54" hidden="false" customHeight="true" outlineLevel="0" collapsed="false">
      <c r="A17" s="9" t="s">
        <v>5401</v>
      </c>
      <c r="B17" s="9" t="s">
        <v>397</v>
      </c>
      <c r="C17" s="9" t="s">
        <v>5402</v>
      </c>
      <c r="D17" s="9" t="s">
        <v>5403</v>
      </c>
      <c r="E17" s="9" t="s">
        <v>5404</v>
      </c>
      <c r="F17" s="9" t="s">
        <v>5404</v>
      </c>
      <c r="G17" s="9" t="s">
        <v>2503</v>
      </c>
      <c r="H17" s="9" t="s">
        <v>8</v>
      </c>
    </row>
    <row r="18" customFormat="false" ht="54" hidden="false" customHeight="true" outlineLevel="0" collapsed="false">
      <c r="A18" s="9" t="s">
        <v>5405</v>
      </c>
      <c r="B18" s="9" t="s">
        <v>5406</v>
      </c>
      <c r="C18" s="9" t="s">
        <v>5407</v>
      </c>
      <c r="D18" s="9" t="s">
        <v>5408</v>
      </c>
      <c r="E18" s="9" t="s">
        <v>49</v>
      </c>
      <c r="F18" s="9" t="s">
        <v>49</v>
      </c>
      <c r="G18" s="9" t="s">
        <v>4684</v>
      </c>
      <c r="H18" s="9" t="s">
        <v>8</v>
      </c>
    </row>
    <row r="19" customFormat="false" ht="54" hidden="false" customHeight="true" outlineLevel="0" collapsed="false">
      <c r="A19" s="9" t="s">
        <v>5409</v>
      </c>
      <c r="B19" s="9" t="s">
        <v>5406</v>
      </c>
      <c r="C19" s="9" t="s">
        <v>5410</v>
      </c>
      <c r="D19" s="9" t="s">
        <v>5408</v>
      </c>
      <c r="E19" s="9" t="s">
        <v>5411</v>
      </c>
      <c r="F19" s="9" t="s">
        <v>5411</v>
      </c>
      <c r="G19" s="9" t="s">
        <v>4678</v>
      </c>
      <c r="H19" s="9" t="s">
        <v>8</v>
      </c>
    </row>
    <row r="20" customFormat="false" ht="54" hidden="false" customHeight="true" outlineLevel="0" collapsed="false">
      <c r="A20" s="9" t="s">
        <v>5412</v>
      </c>
      <c r="B20" s="9" t="s">
        <v>5413</v>
      </c>
      <c r="C20" s="9" t="s">
        <v>5414</v>
      </c>
      <c r="D20" s="9" t="s">
        <v>5415</v>
      </c>
      <c r="E20" s="9" t="s">
        <v>5416</v>
      </c>
      <c r="F20" s="9" t="s">
        <v>5416</v>
      </c>
      <c r="G20" s="9" t="s">
        <v>2213</v>
      </c>
      <c r="H20" s="9" t="s">
        <v>8</v>
      </c>
    </row>
    <row r="21" customFormat="false" ht="54" hidden="false" customHeight="true" outlineLevel="0" collapsed="false">
      <c r="A21" s="9" t="s">
        <v>5417</v>
      </c>
      <c r="B21" s="9" t="s">
        <v>496</v>
      </c>
      <c r="C21" s="9" t="s">
        <v>5418</v>
      </c>
      <c r="D21" s="9" t="s">
        <v>5419</v>
      </c>
      <c r="E21" s="9" t="s">
        <v>742</v>
      </c>
      <c r="F21" s="9" t="s">
        <v>742</v>
      </c>
      <c r="G21" s="9" t="s">
        <v>629</v>
      </c>
      <c r="H21" s="9" t="s">
        <v>8</v>
      </c>
    </row>
    <row r="22" customFormat="false" ht="54" hidden="false" customHeight="true" outlineLevel="0" collapsed="false">
      <c r="A22" s="9" t="s">
        <v>5420</v>
      </c>
      <c r="B22" s="9" t="s">
        <v>496</v>
      </c>
      <c r="C22" s="9" t="s">
        <v>5421</v>
      </c>
      <c r="D22" s="9" t="s">
        <v>4538</v>
      </c>
      <c r="E22" s="9" t="s">
        <v>4556</v>
      </c>
      <c r="F22" s="9" t="s">
        <v>4556</v>
      </c>
      <c r="G22" s="9" t="s">
        <v>1835</v>
      </c>
      <c r="H22" s="9" t="s">
        <v>8</v>
      </c>
    </row>
    <row r="23" customFormat="false" ht="54" hidden="false" customHeight="true" outlineLevel="0" collapsed="false">
      <c r="A23" s="9" t="s">
        <v>5422</v>
      </c>
      <c r="B23" s="9" t="s">
        <v>496</v>
      </c>
      <c r="C23" s="9" t="s">
        <v>5423</v>
      </c>
      <c r="D23" s="9" t="s">
        <v>5424</v>
      </c>
      <c r="E23" s="9" t="s">
        <v>5425</v>
      </c>
      <c r="F23" s="9" t="s">
        <v>5425</v>
      </c>
      <c r="G23" s="9" t="s">
        <v>1835</v>
      </c>
      <c r="H23" s="9" t="s">
        <v>8</v>
      </c>
    </row>
    <row r="24" customFormat="false" ht="54" hidden="false" customHeight="true" outlineLevel="0" collapsed="false">
      <c r="A24" s="9" t="s">
        <v>5426</v>
      </c>
      <c r="B24" s="9" t="s">
        <v>5427</v>
      </c>
      <c r="C24" s="9" t="s">
        <v>4780</v>
      </c>
      <c r="D24" s="9" t="s">
        <v>5428</v>
      </c>
      <c r="E24" s="9" t="s">
        <v>5429</v>
      </c>
      <c r="F24" s="9" t="s">
        <v>5429</v>
      </c>
      <c r="G24" s="9" t="s">
        <v>5367</v>
      </c>
      <c r="H24" s="9" t="s">
        <v>8</v>
      </c>
    </row>
    <row r="25" customFormat="false" ht="54" hidden="false" customHeight="true" outlineLevel="0" collapsed="false">
      <c r="A25" s="9" t="s">
        <v>5430</v>
      </c>
      <c r="B25" s="9" t="s">
        <v>5427</v>
      </c>
      <c r="C25" s="9" t="s">
        <v>4780</v>
      </c>
      <c r="D25" s="9" t="s">
        <v>5431</v>
      </c>
      <c r="E25" s="9" t="s">
        <v>5429</v>
      </c>
      <c r="F25" s="9" t="s">
        <v>5429</v>
      </c>
      <c r="G25" s="9" t="s">
        <v>5367</v>
      </c>
      <c r="H25" s="9" t="s">
        <v>8</v>
      </c>
    </row>
    <row r="26" customFormat="false" ht="54" hidden="false" customHeight="true" outlineLevel="0" collapsed="false">
      <c r="A26" s="9" t="s">
        <v>5432</v>
      </c>
      <c r="B26" s="9" t="s">
        <v>5427</v>
      </c>
      <c r="C26" s="9" t="s">
        <v>4780</v>
      </c>
      <c r="D26" s="9" t="s">
        <v>5433</v>
      </c>
      <c r="E26" s="9" t="s">
        <v>5429</v>
      </c>
      <c r="F26" s="9" t="s">
        <v>5429</v>
      </c>
      <c r="G26" s="9" t="s">
        <v>558</v>
      </c>
      <c r="H26" s="9" t="s">
        <v>8</v>
      </c>
    </row>
    <row r="27" customFormat="false" ht="54" hidden="false" customHeight="true" outlineLevel="0" collapsed="false">
      <c r="A27" s="9" t="s">
        <v>5434</v>
      </c>
      <c r="B27" s="9" t="s">
        <v>5427</v>
      </c>
      <c r="C27" s="9" t="s">
        <v>4847</v>
      </c>
      <c r="D27" s="9" t="s">
        <v>5435</v>
      </c>
      <c r="E27" s="9" t="s">
        <v>5429</v>
      </c>
      <c r="F27" s="9" t="s">
        <v>5429</v>
      </c>
      <c r="G27" s="9" t="s">
        <v>5367</v>
      </c>
      <c r="H27" s="9" t="s">
        <v>8</v>
      </c>
    </row>
    <row r="28" customFormat="false" ht="54" hidden="false" customHeight="true" outlineLevel="0" collapsed="false">
      <c r="A28" s="9" t="s">
        <v>5436</v>
      </c>
      <c r="B28" s="9" t="s">
        <v>5427</v>
      </c>
      <c r="C28" s="9" t="s">
        <v>4865</v>
      </c>
      <c r="D28" s="9" t="s">
        <v>5437</v>
      </c>
      <c r="E28" s="9" t="s">
        <v>5429</v>
      </c>
      <c r="F28" s="9" t="s">
        <v>5429</v>
      </c>
      <c r="G28" s="9" t="s">
        <v>2531</v>
      </c>
      <c r="H28" s="9" t="s">
        <v>8</v>
      </c>
    </row>
    <row r="29" customFormat="false" ht="54" hidden="false" customHeight="true" outlineLevel="0" collapsed="false">
      <c r="A29" s="9" t="s">
        <v>5438</v>
      </c>
      <c r="B29" s="9" t="s">
        <v>5427</v>
      </c>
      <c r="C29" s="9" t="s">
        <v>4873</v>
      </c>
      <c r="D29" s="9" t="s">
        <v>5439</v>
      </c>
      <c r="E29" s="9" t="s">
        <v>5429</v>
      </c>
      <c r="F29" s="9" t="s">
        <v>5429</v>
      </c>
      <c r="G29" s="9" t="s">
        <v>4920</v>
      </c>
      <c r="H29" s="9" t="s">
        <v>8</v>
      </c>
    </row>
    <row r="30" customFormat="false" ht="54" hidden="false" customHeight="true" outlineLevel="0" collapsed="false">
      <c r="A30" s="9" t="s">
        <v>5440</v>
      </c>
      <c r="B30" s="9" t="s">
        <v>5441</v>
      </c>
      <c r="C30" s="9" t="s">
        <v>5442</v>
      </c>
      <c r="D30" s="9" t="s">
        <v>5443</v>
      </c>
      <c r="E30" s="9" t="s">
        <v>5429</v>
      </c>
      <c r="F30" s="9" t="s">
        <v>5429</v>
      </c>
      <c r="G30" s="9" t="s">
        <v>2397</v>
      </c>
      <c r="H30" s="9" t="s">
        <v>8</v>
      </c>
    </row>
    <row r="31" customFormat="false" ht="54" hidden="false" customHeight="true" outlineLevel="0" collapsed="false">
      <c r="A31" s="9" t="s">
        <v>5444</v>
      </c>
      <c r="B31" s="9" t="s">
        <v>5441</v>
      </c>
      <c r="C31" s="9" t="s">
        <v>5445</v>
      </c>
      <c r="D31" s="9" t="s">
        <v>5443</v>
      </c>
      <c r="E31" s="9" t="s">
        <v>5429</v>
      </c>
      <c r="F31" s="9" t="s">
        <v>5429</v>
      </c>
      <c r="G31" s="9" t="s">
        <v>2406</v>
      </c>
      <c r="H31" s="9" t="s">
        <v>8</v>
      </c>
    </row>
    <row r="32" customFormat="false" ht="54" hidden="false" customHeight="true" outlineLevel="0" collapsed="false">
      <c r="A32" s="9" t="s">
        <v>5446</v>
      </c>
      <c r="B32" s="9" t="s">
        <v>5441</v>
      </c>
      <c r="C32" s="9" t="s">
        <v>5447</v>
      </c>
      <c r="D32" s="9" t="s">
        <v>5443</v>
      </c>
      <c r="E32" s="9" t="s">
        <v>5429</v>
      </c>
      <c r="F32" s="9" t="s">
        <v>5429</v>
      </c>
      <c r="G32" s="9" t="s">
        <v>1061</v>
      </c>
      <c r="H32" s="9" t="s">
        <v>8</v>
      </c>
    </row>
    <row r="33" customFormat="false" ht="54" hidden="false" customHeight="true" outlineLevel="0" collapsed="false">
      <c r="A33" s="9" t="s">
        <v>5448</v>
      </c>
      <c r="B33" s="9" t="s">
        <v>5441</v>
      </c>
      <c r="C33" s="9" t="s">
        <v>5449</v>
      </c>
      <c r="D33" s="9" t="s">
        <v>5443</v>
      </c>
      <c r="E33" s="9" t="s">
        <v>5429</v>
      </c>
      <c r="F33" s="9" t="s">
        <v>5429</v>
      </c>
      <c r="G33" s="9" t="s">
        <v>1051</v>
      </c>
      <c r="H33" s="9" t="s">
        <v>8</v>
      </c>
    </row>
    <row r="34" customFormat="false" ht="54" hidden="false" customHeight="true" outlineLevel="0" collapsed="false">
      <c r="A34" s="9" t="s">
        <v>5450</v>
      </c>
      <c r="B34" s="9" t="s">
        <v>5441</v>
      </c>
      <c r="C34" s="9" t="s">
        <v>5451</v>
      </c>
      <c r="D34" s="9" t="s">
        <v>5452</v>
      </c>
      <c r="E34" s="9" t="s">
        <v>3854</v>
      </c>
      <c r="F34" s="9" t="s">
        <v>3854</v>
      </c>
      <c r="G34" s="9" t="s">
        <v>1061</v>
      </c>
      <c r="H34" s="9" t="s">
        <v>8</v>
      </c>
    </row>
    <row r="35" customFormat="false" ht="54" hidden="false" customHeight="true" outlineLevel="0" collapsed="false">
      <c r="A35" s="9" t="s">
        <v>5453</v>
      </c>
      <c r="B35" s="9" t="s">
        <v>5441</v>
      </c>
      <c r="C35" s="9" t="s">
        <v>5454</v>
      </c>
      <c r="D35" s="9" t="s">
        <v>5455</v>
      </c>
      <c r="E35" s="9" t="s">
        <v>5429</v>
      </c>
      <c r="F35" s="9" t="s">
        <v>5429</v>
      </c>
      <c r="G35" s="9" t="s">
        <v>2531</v>
      </c>
      <c r="H35" s="9" t="s">
        <v>8</v>
      </c>
    </row>
    <row r="36" customFormat="false" ht="54" hidden="false" customHeight="true" outlineLevel="0" collapsed="false">
      <c r="A36" s="9" t="s">
        <v>5456</v>
      </c>
      <c r="B36" s="9" t="s">
        <v>5441</v>
      </c>
      <c r="C36" s="9" t="s">
        <v>5457</v>
      </c>
      <c r="D36" s="9" t="s">
        <v>5458</v>
      </c>
      <c r="E36" s="9" t="s">
        <v>3780</v>
      </c>
      <c r="F36" s="9" t="s">
        <v>3780</v>
      </c>
      <c r="G36" s="9" t="s">
        <v>2752</v>
      </c>
      <c r="H36" s="9" t="s">
        <v>8</v>
      </c>
    </row>
    <row r="37" customFormat="false" ht="54" hidden="false" customHeight="true" outlineLevel="0" collapsed="false">
      <c r="A37" s="9" t="s">
        <v>5459</v>
      </c>
      <c r="B37" s="9" t="s">
        <v>5441</v>
      </c>
      <c r="C37" s="9" t="s">
        <v>5460</v>
      </c>
      <c r="D37" s="9" t="s">
        <v>5443</v>
      </c>
      <c r="E37" s="9" t="s">
        <v>5429</v>
      </c>
      <c r="F37" s="9" t="s">
        <v>5429</v>
      </c>
      <c r="G37" s="9" t="s">
        <v>2128</v>
      </c>
      <c r="H37" s="9" t="s">
        <v>8</v>
      </c>
    </row>
    <row r="38" customFormat="false" ht="54" hidden="false" customHeight="true" outlineLevel="0" collapsed="false">
      <c r="A38" s="9" t="s">
        <v>5461</v>
      </c>
      <c r="B38" s="9" t="s">
        <v>5441</v>
      </c>
      <c r="C38" s="9" t="s">
        <v>5462</v>
      </c>
      <c r="D38" s="9" t="s">
        <v>5443</v>
      </c>
      <c r="E38" s="9" t="s">
        <v>5429</v>
      </c>
      <c r="F38" s="9" t="s">
        <v>5429</v>
      </c>
      <c r="G38" s="9" t="s">
        <v>571</v>
      </c>
      <c r="H38" s="9" t="s">
        <v>8</v>
      </c>
    </row>
    <row r="39" customFormat="false" ht="54" hidden="false" customHeight="true" outlineLevel="0" collapsed="false">
      <c r="A39" s="9" t="s">
        <v>5463</v>
      </c>
      <c r="B39" s="9" t="s">
        <v>5441</v>
      </c>
      <c r="C39" s="9" t="s">
        <v>5464</v>
      </c>
      <c r="D39" s="9" t="s">
        <v>5465</v>
      </c>
      <c r="E39" s="9" t="s">
        <v>5429</v>
      </c>
      <c r="F39" s="9" t="s">
        <v>5429</v>
      </c>
      <c r="G39" s="9" t="s">
        <v>584</v>
      </c>
      <c r="H39" s="9" t="s">
        <v>8</v>
      </c>
    </row>
    <row r="40" customFormat="false" ht="54" hidden="false" customHeight="true" outlineLevel="0" collapsed="false">
      <c r="A40" s="9" t="s">
        <v>5466</v>
      </c>
      <c r="B40" s="9" t="s">
        <v>5441</v>
      </c>
      <c r="C40" s="9" t="s">
        <v>5467</v>
      </c>
      <c r="D40" s="9" t="s">
        <v>5458</v>
      </c>
      <c r="E40" s="9" t="s">
        <v>3860</v>
      </c>
      <c r="F40" s="9" t="s">
        <v>3860</v>
      </c>
      <c r="G40" s="9" t="s">
        <v>552</v>
      </c>
      <c r="H40" s="9" t="s">
        <v>8</v>
      </c>
    </row>
    <row r="41" customFormat="false" ht="54" hidden="false" customHeight="true" outlineLevel="0" collapsed="false">
      <c r="A41" s="9" t="s">
        <v>5468</v>
      </c>
      <c r="B41" s="9" t="s">
        <v>5441</v>
      </c>
      <c r="C41" s="9" t="s">
        <v>5469</v>
      </c>
      <c r="D41" s="9" t="s">
        <v>5470</v>
      </c>
      <c r="E41" s="9" t="s">
        <v>5429</v>
      </c>
      <c r="F41" s="9" t="s">
        <v>5429</v>
      </c>
      <c r="G41" s="9" t="s">
        <v>3622</v>
      </c>
      <c r="H41" s="9" t="s">
        <v>8</v>
      </c>
    </row>
    <row r="42" customFormat="false" ht="54" hidden="false" customHeight="true" outlineLevel="0" collapsed="false">
      <c r="A42" s="9" t="s">
        <v>5471</v>
      </c>
      <c r="B42" s="9" t="s">
        <v>5098</v>
      </c>
      <c r="C42" s="9" t="s">
        <v>5472</v>
      </c>
      <c r="D42" s="9" t="s">
        <v>5473</v>
      </c>
      <c r="E42" s="9" t="s">
        <v>5474</v>
      </c>
      <c r="F42" s="9" t="s">
        <v>5474</v>
      </c>
      <c r="G42" s="9" t="s">
        <v>4910</v>
      </c>
      <c r="H42" s="9" t="s">
        <v>8</v>
      </c>
    </row>
    <row r="43" customFormat="false" ht="54" hidden="false" customHeight="true" outlineLevel="0" collapsed="false">
      <c r="A43" s="9" t="s">
        <v>5475</v>
      </c>
      <c r="B43" s="9" t="s">
        <v>101</v>
      </c>
      <c r="C43" s="9" t="s">
        <v>5476</v>
      </c>
      <c r="D43" s="9" t="s">
        <v>5477</v>
      </c>
      <c r="E43" s="9" t="s">
        <v>5474</v>
      </c>
      <c r="F43" s="9" t="s">
        <v>5474</v>
      </c>
      <c r="G43" s="9" t="s">
        <v>5478</v>
      </c>
      <c r="H43" s="9" t="s">
        <v>8</v>
      </c>
    </row>
    <row r="44" customFormat="false" ht="54" hidden="false" customHeight="true" outlineLevel="0" collapsed="false">
      <c r="A44" s="9" t="s">
        <v>5479</v>
      </c>
      <c r="B44" s="9" t="s">
        <v>5133</v>
      </c>
      <c r="C44" s="9" t="s">
        <v>5480</v>
      </c>
      <c r="D44" s="9" t="s">
        <v>5481</v>
      </c>
      <c r="E44" s="9" t="s">
        <v>5482</v>
      </c>
      <c r="F44" s="9" t="s">
        <v>5482</v>
      </c>
      <c r="G44" s="9" t="s">
        <v>4924</v>
      </c>
      <c r="H44" s="9" t="s">
        <v>8</v>
      </c>
    </row>
    <row r="45" customFormat="false" ht="54" hidden="false" customHeight="true" outlineLevel="0" collapsed="false">
      <c r="A45" s="9" t="s">
        <v>5483</v>
      </c>
      <c r="B45" s="9" t="s">
        <v>496</v>
      </c>
      <c r="C45" s="9" t="s">
        <v>5484</v>
      </c>
      <c r="D45" s="9" t="s">
        <v>5485</v>
      </c>
      <c r="E45" s="9" t="s">
        <v>5486</v>
      </c>
      <c r="F45" s="9" t="s">
        <v>5486</v>
      </c>
      <c r="G45" s="9" t="s">
        <v>5118</v>
      </c>
      <c r="H45" s="9" t="s">
        <v>8</v>
      </c>
    </row>
    <row r="46" customFormat="false" ht="54" hidden="false" customHeight="true" outlineLevel="0" collapsed="false">
      <c r="A46" s="9" t="s">
        <v>5487</v>
      </c>
      <c r="B46" s="9" t="s">
        <v>5488</v>
      </c>
      <c r="C46" s="9" t="s">
        <v>5489</v>
      </c>
      <c r="D46" s="9" t="s">
        <v>5490</v>
      </c>
      <c r="E46" s="9" t="s">
        <v>5195</v>
      </c>
      <c r="F46" s="9" t="s">
        <v>5195</v>
      </c>
      <c r="G46" s="9" t="s">
        <v>2186</v>
      </c>
      <c r="H46" s="9" t="s">
        <v>8</v>
      </c>
    </row>
    <row r="47" customFormat="false" ht="54" hidden="false" customHeight="true" outlineLevel="0" collapsed="false">
      <c r="A47" s="9" t="s">
        <v>5491</v>
      </c>
      <c r="B47" s="9" t="s">
        <v>5492</v>
      </c>
      <c r="C47" s="9" t="s">
        <v>5493</v>
      </c>
      <c r="D47" s="9" t="s">
        <v>5494</v>
      </c>
      <c r="E47" s="9" t="s">
        <v>5495</v>
      </c>
      <c r="F47" s="9" t="s">
        <v>5495</v>
      </c>
      <c r="G47" s="9" t="s">
        <v>5247</v>
      </c>
      <c r="H47" s="9" t="s">
        <v>8</v>
      </c>
    </row>
    <row r="48" customFormat="false" ht="54" hidden="false" customHeight="true" outlineLevel="0" collapsed="false">
      <c r="A48" s="9" t="s">
        <v>5496</v>
      </c>
      <c r="B48" s="9" t="s">
        <v>5492</v>
      </c>
      <c r="C48" s="9" t="s">
        <v>5497</v>
      </c>
      <c r="D48" s="9" t="s">
        <v>5498</v>
      </c>
      <c r="E48" s="9" t="s">
        <v>5425</v>
      </c>
      <c r="F48" s="9" t="s">
        <v>5425</v>
      </c>
      <c r="G48" s="9" t="s">
        <v>5247</v>
      </c>
      <c r="H48" s="9" t="s">
        <v>8</v>
      </c>
    </row>
    <row r="49" customFormat="false" ht="54" hidden="false" customHeight="true" outlineLevel="0" collapsed="false">
      <c r="A49" s="9" t="s">
        <v>5499</v>
      </c>
      <c r="B49" s="9" t="s">
        <v>5500</v>
      </c>
      <c r="C49" s="9" t="s">
        <v>5501</v>
      </c>
      <c r="D49" s="9" t="s">
        <v>5502</v>
      </c>
      <c r="E49" s="9" t="s">
        <v>5503</v>
      </c>
      <c r="F49" s="9" t="s">
        <v>5503</v>
      </c>
      <c r="G49" s="9" t="s">
        <v>5504</v>
      </c>
      <c r="H49" s="9" t="s">
        <v>8</v>
      </c>
    </row>
    <row r="50" customFormat="false" ht="54" hidden="false" customHeight="true" outlineLevel="0" collapsed="false">
      <c r="A50" s="9" t="s">
        <v>5505</v>
      </c>
      <c r="B50" s="9" t="s">
        <v>729</v>
      </c>
      <c r="C50" s="9" t="s">
        <v>5506</v>
      </c>
      <c r="D50" s="9" t="s">
        <v>5507</v>
      </c>
      <c r="E50" s="9" t="s">
        <v>5425</v>
      </c>
      <c r="F50" s="9" t="s">
        <v>5425</v>
      </c>
      <c r="G50" s="9" t="s">
        <v>5367</v>
      </c>
      <c r="H50" s="9" t="s">
        <v>8</v>
      </c>
    </row>
    <row r="51" customFormat="false" ht="54" hidden="false" customHeight="true" outlineLevel="0" collapsed="false">
      <c r="A51" s="9" t="s">
        <v>5508</v>
      </c>
      <c r="B51" s="9" t="s">
        <v>729</v>
      </c>
      <c r="C51" s="9" t="s">
        <v>5509</v>
      </c>
      <c r="D51" s="9" t="s">
        <v>5510</v>
      </c>
      <c r="E51" s="9" t="n">
        <v>185</v>
      </c>
      <c r="F51" s="9" t="n">
        <v>185</v>
      </c>
      <c r="G51" s="9" t="s">
        <v>5367</v>
      </c>
      <c r="H51" s="9" t="s">
        <v>8</v>
      </c>
    </row>
    <row r="52" customFormat="false" ht="54" hidden="false" customHeight="true" outlineLevel="0" collapsed="false">
      <c r="A52" s="9" t="s">
        <v>5511</v>
      </c>
      <c r="B52" s="9" t="s">
        <v>5364</v>
      </c>
      <c r="C52" s="9" t="s">
        <v>5512</v>
      </c>
      <c r="D52" s="9" t="s">
        <v>5513</v>
      </c>
      <c r="E52" s="9" t="s">
        <v>5425</v>
      </c>
      <c r="F52" s="9" t="s">
        <v>5425</v>
      </c>
      <c r="G52" s="9" t="s">
        <v>5367</v>
      </c>
      <c r="H52" s="9" t="s">
        <v>8</v>
      </c>
    </row>
    <row r="53" customFormat="false" ht="54" hidden="false" customHeight="true" outlineLevel="0" collapsed="false">
      <c r="A53" s="9" t="s">
        <v>5514</v>
      </c>
      <c r="B53" s="9" t="s">
        <v>5441</v>
      </c>
      <c r="C53" s="9" t="s">
        <v>5515</v>
      </c>
      <c r="D53" s="9" t="s">
        <v>5516</v>
      </c>
      <c r="E53" s="9" t="s">
        <v>5425</v>
      </c>
      <c r="F53" s="9" t="s">
        <v>5425</v>
      </c>
      <c r="G53" s="9" t="s">
        <v>5367</v>
      </c>
      <c r="H53" s="9" t="s">
        <v>8</v>
      </c>
    </row>
    <row r="54" customFormat="false" ht="54" hidden="false" customHeight="true" outlineLevel="0" collapsed="false">
      <c r="A54" s="9" t="s">
        <v>5517</v>
      </c>
      <c r="B54" s="9" t="s">
        <v>115</v>
      </c>
      <c r="C54" s="9" t="s">
        <v>687</v>
      </c>
      <c r="D54" s="9" t="s">
        <v>5518</v>
      </c>
      <c r="E54" s="9" t="s">
        <v>690</v>
      </c>
      <c r="F54" s="9" t="s">
        <v>690</v>
      </c>
      <c r="G54" s="9" t="s">
        <v>1655</v>
      </c>
      <c r="H54" s="9" t="s">
        <v>8</v>
      </c>
    </row>
    <row r="55" customFormat="false" ht="54" hidden="false" customHeight="true" outlineLevel="0" collapsed="false">
      <c r="A55" s="9" t="s">
        <v>5519</v>
      </c>
      <c r="B55" s="9" t="s">
        <v>115</v>
      </c>
      <c r="C55" s="9" t="s">
        <v>5520</v>
      </c>
      <c r="D55" s="9" t="s">
        <v>5521</v>
      </c>
      <c r="E55" s="9" t="s">
        <v>5425</v>
      </c>
      <c r="F55" s="9" t="s">
        <v>5425</v>
      </c>
      <c r="G55" s="9" t="s">
        <v>1679</v>
      </c>
      <c r="H55" s="9" t="s">
        <v>8</v>
      </c>
    </row>
    <row r="56" customFormat="false" ht="54" hidden="false" customHeight="true" outlineLevel="0" collapsed="false">
      <c r="A56" s="9" t="s">
        <v>5522</v>
      </c>
      <c r="B56" s="9" t="s">
        <v>121</v>
      </c>
      <c r="C56" s="9" t="s">
        <v>5523</v>
      </c>
      <c r="D56" s="9" t="s">
        <v>5524</v>
      </c>
      <c r="E56" s="9" t="s">
        <v>5425</v>
      </c>
      <c r="F56" s="9" t="s">
        <v>5425</v>
      </c>
      <c r="G56" s="9" t="s">
        <v>629</v>
      </c>
      <c r="H56" s="9" t="s">
        <v>8</v>
      </c>
    </row>
    <row r="57" customFormat="false" ht="54" hidden="false" customHeight="true" outlineLevel="0" collapsed="false">
      <c r="A57" s="9" t="s">
        <v>5525</v>
      </c>
      <c r="B57" s="9" t="s">
        <v>5526</v>
      </c>
      <c r="C57" s="9" t="s">
        <v>4475</v>
      </c>
      <c r="D57" s="9" t="s">
        <v>5527</v>
      </c>
      <c r="E57" s="9" t="s">
        <v>4436</v>
      </c>
      <c r="F57" s="9" t="s">
        <v>4436</v>
      </c>
      <c r="G57" s="9" t="s">
        <v>1061</v>
      </c>
      <c r="H57" s="9" t="s">
        <v>8</v>
      </c>
    </row>
    <row r="58" customFormat="false" ht="54" hidden="false" customHeight="true" outlineLevel="0" collapsed="false">
      <c r="A58" s="9" t="s">
        <v>5528</v>
      </c>
      <c r="B58" s="9" t="s">
        <v>5526</v>
      </c>
      <c r="C58" s="9" t="s">
        <v>4435</v>
      </c>
      <c r="D58" s="9" t="s">
        <v>5529</v>
      </c>
      <c r="E58" s="9" t="s">
        <v>4432</v>
      </c>
      <c r="F58" s="9" t="s">
        <v>4432</v>
      </c>
      <c r="G58" s="9" t="s">
        <v>964</v>
      </c>
      <c r="H58" s="9" t="s">
        <v>8</v>
      </c>
    </row>
    <row r="59" customFormat="false" ht="54" hidden="false" customHeight="true" outlineLevel="0" collapsed="false">
      <c r="A59" s="9" t="s">
        <v>5530</v>
      </c>
      <c r="B59" s="9" t="s">
        <v>5526</v>
      </c>
      <c r="C59" s="9" t="s">
        <v>4442</v>
      </c>
      <c r="D59" s="9" t="s">
        <v>5531</v>
      </c>
      <c r="E59" s="9" t="s">
        <v>5429</v>
      </c>
      <c r="F59" s="9" t="s">
        <v>5429</v>
      </c>
      <c r="G59" s="9" t="s">
        <v>964</v>
      </c>
      <c r="H59" s="9" t="s">
        <v>8</v>
      </c>
    </row>
    <row r="60" customFormat="false" ht="54" hidden="false" customHeight="true" outlineLevel="0" collapsed="false">
      <c r="A60" s="9" t="s">
        <v>5532</v>
      </c>
      <c r="B60" s="9" t="s">
        <v>5376</v>
      </c>
      <c r="C60" s="9" t="s">
        <v>5533</v>
      </c>
      <c r="D60" s="9" t="s">
        <v>5534</v>
      </c>
      <c r="E60" s="9" t="s">
        <v>5429</v>
      </c>
      <c r="F60" s="9" t="s">
        <v>5429</v>
      </c>
      <c r="G60" s="9" t="s">
        <v>5367</v>
      </c>
      <c r="H60" s="9" t="s">
        <v>8</v>
      </c>
    </row>
    <row r="61" customFormat="false" ht="54" hidden="false" customHeight="true" outlineLevel="0" collapsed="false">
      <c r="A61" s="9" t="s">
        <v>5535</v>
      </c>
      <c r="B61" s="9" t="s">
        <v>5536</v>
      </c>
      <c r="C61" s="9" t="s">
        <v>4984</v>
      </c>
      <c r="D61" s="9" t="s">
        <v>5537</v>
      </c>
      <c r="E61" s="9" t="s">
        <v>5429</v>
      </c>
      <c r="F61" s="9" t="s">
        <v>5429</v>
      </c>
      <c r="G61" s="9" t="s">
        <v>2186</v>
      </c>
      <c r="H61" s="9" t="s">
        <v>8</v>
      </c>
    </row>
    <row r="62" customFormat="false" ht="54" hidden="false" customHeight="true" outlineLevel="0" collapsed="false">
      <c r="A62" s="9" t="s">
        <v>5538</v>
      </c>
      <c r="B62" s="9" t="s">
        <v>5536</v>
      </c>
      <c r="C62" s="9" t="s">
        <v>5021</v>
      </c>
      <c r="D62" s="9" t="s">
        <v>5539</v>
      </c>
      <c r="E62" s="9" t="s">
        <v>5429</v>
      </c>
      <c r="F62" s="9" t="s">
        <v>5429</v>
      </c>
      <c r="G62" s="9" t="s">
        <v>5367</v>
      </c>
      <c r="H62" s="9" t="s">
        <v>8</v>
      </c>
    </row>
    <row r="63" customFormat="false" ht="54" hidden="false" customHeight="true" outlineLevel="0" collapsed="false">
      <c r="A63" s="9" t="s">
        <v>5540</v>
      </c>
      <c r="B63" s="9" t="s">
        <v>5536</v>
      </c>
      <c r="C63" s="9" t="s">
        <v>5053</v>
      </c>
      <c r="D63" s="9" t="s">
        <v>5541</v>
      </c>
      <c r="E63" s="9" t="s">
        <v>5429</v>
      </c>
      <c r="F63" s="9" t="s">
        <v>5429</v>
      </c>
      <c r="G63" s="9" t="s">
        <v>4051</v>
      </c>
      <c r="H63" s="9" t="s">
        <v>8</v>
      </c>
    </row>
    <row r="64" customFormat="false" ht="54" hidden="false" customHeight="true" outlineLevel="0" collapsed="false">
      <c r="A64" s="9" t="s">
        <v>5542</v>
      </c>
      <c r="B64" s="9" t="s">
        <v>5543</v>
      </c>
      <c r="C64" s="9" t="s">
        <v>23</v>
      </c>
      <c r="D64" s="9" t="s">
        <v>5544</v>
      </c>
      <c r="E64" s="9" t="s">
        <v>5425</v>
      </c>
      <c r="F64" s="9" t="s">
        <v>5425</v>
      </c>
      <c r="G64" s="9" t="s">
        <v>5545</v>
      </c>
      <c r="H64" s="9" t="s">
        <v>8</v>
      </c>
    </row>
    <row r="65" customFormat="false" ht="54" hidden="false" customHeight="true" outlineLevel="0" collapsed="false">
      <c r="A65" s="0" t="s">
        <v>5546</v>
      </c>
      <c r="B65" s="0" t="s">
        <v>5098</v>
      </c>
      <c r="C65" s="0" t="s">
        <v>5547</v>
      </c>
      <c r="D65" s="0" t="s">
        <v>5548</v>
      </c>
      <c r="E65" s="0" t="s">
        <v>5549</v>
      </c>
      <c r="F65" s="0" t="s">
        <v>5549</v>
      </c>
      <c r="G65" s="0" t="s">
        <v>4910</v>
      </c>
      <c r="H65" s="0" t="s">
        <v>8</v>
      </c>
    </row>
    <row r="66" customFormat="false" ht="54" hidden="false" customHeight="true" outlineLevel="0" collapsed="false">
      <c r="A66" s="0" t="s">
        <v>5550</v>
      </c>
      <c r="B66" s="0" t="s">
        <v>5098</v>
      </c>
      <c r="C66" s="0" t="s">
        <v>5551</v>
      </c>
      <c r="D66" s="0" t="s">
        <v>5552</v>
      </c>
      <c r="E66" s="0" t="s">
        <v>5549</v>
      </c>
      <c r="F66" s="0" t="s">
        <v>5549</v>
      </c>
      <c r="G66" s="0" t="s">
        <v>4910</v>
      </c>
      <c r="H66" s="0" t="s">
        <v>8</v>
      </c>
    </row>
    <row r="67" customFormat="false" ht="54" hidden="false" customHeight="true" outlineLevel="0" collapsed="false">
      <c r="A67" s="0" t="s">
        <v>5553</v>
      </c>
      <c r="B67" s="0" t="s">
        <v>5098</v>
      </c>
      <c r="C67" s="0" t="s">
        <v>5554</v>
      </c>
      <c r="D67" s="0" t="s">
        <v>5555</v>
      </c>
      <c r="E67" s="0" t="s">
        <v>5556</v>
      </c>
      <c r="F67" s="0" t="s">
        <v>5556</v>
      </c>
      <c r="G67" s="0" t="s">
        <v>4910</v>
      </c>
      <c r="H67" s="0" t="s">
        <v>8</v>
      </c>
    </row>
    <row r="68" customFormat="false" ht="54" hidden="false" customHeight="true" outlineLevel="0" collapsed="false">
      <c r="A68" s="0" t="s">
        <v>5557</v>
      </c>
      <c r="B68" s="0" t="s">
        <v>391</v>
      </c>
      <c r="C68" s="0" t="s">
        <v>5558</v>
      </c>
      <c r="D68" s="0" t="s">
        <v>5559</v>
      </c>
      <c r="E68" s="0" t="s">
        <v>5560</v>
      </c>
      <c r="F68" s="0" t="s">
        <v>5560</v>
      </c>
      <c r="G68" s="0" t="s">
        <v>4916</v>
      </c>
      <c r="H68" s="0" t="s">
        <v>8</v>
      </c>
    </row>
    <row r="69" customFormat="false" ht="54" hidden="false" customHeight="true" outlineLevel="0" collapsed="false">
      <c r="A69" s="0" t="s">
        <v>5561</v>
      </c>
      <c r="B69" s="0" t="s">
        <v>391</v>
      </c>
      <c r="C69" s="0" t="s">
        <v>5562</v>
      </c>
      <c r="D69" s="0" t="s">
        <v>5563</v>
      </c>
      <c r="E69" s="0" t="s">
        <v>5564</v>
      </c>
      <c r="F69" s="0" t="s">
        <v>5564</v>
      </c>
      <c r="G69" s="0" t="s">
        <v>4916</v>
      </c>
      <c r="H69" s="0" t="s">
        <v>8</v>
      </c>
    </row>
    <row r="70" customFormat="false" ht="54" hidden="false" customHeight="true" outlineLevel="0" collapsed="false">
      <c r="A70" s="0" t="s">
        <v>5565</v>
      </c>
      <c r="B70" s="0" t="s">
        <v>391</v>
      </c>
      <c r="C70" s="0" t="s">
        <v>5566</v>
      </c>
      <c r="D70" s="0" t="s">
        <v>395</v>
      </c>
      <c r="E70" s="0" t="s">
        <v>5567</v>
      </c>
      <c r="F70" s="0" t="s">
        <v>5567</v>
      </c>
      <c r="G70" s="0" t="s">
        <v>5070</v>
      </c>
      <c r="H70" s="0" t="s">
        <v>8</v>
      </c>
    </row>
    <row r="71" customFormat="false" ht="54" hidden="false" customHeight="true" outlineLevel="0" collapsed="false">
      <c r="A71" s="0" t="s">
        <v>5568</v>
      </c>
      <c r="B71" s="0" t="s">
        <v>101</v>
      </c>
      <c r="C71" s="0" t="s">
        <v>5569</v>
      </c>
      <c r="D71" s="0" t="s">
        <v>4972</v>
      </c>
      <c r="E71" s="0" t="s">
        <v>5570</v>
      </c>
      <c r="F71" s="0" t="s">
        <v>5570</v>
      </c>
      <c r="G71" s="0" t="s">
        <v>5104</v>
      </c>
      <c r="H71" s="0" t="s">
        <v>8</v>
      </c>
    </row>
    <row r="72" customFormat="false" ht="54" hidden="false" customHeight="true" outlineLevel="0" collapsed="false">
      <c r="A72" s="0" t="s">
        <v>5571</v>
      </c>
      <c r="B72" s="0" t="s">
        <v>5572</v>
      </c>
      <c r="C72" s="0" t="s">
        <v>5573</v>
      </c>
      <c r="D72" s="0" t="s">
        <v>5574</v>
      </c>
      <c r="E72" s="0" t="s">
        <v>5575</v>
      </c>
      <c r="F72" s="0" t="s">
        <v>5575</v>
      </c>
      <c r="G72" s="0" t="s">
        <v>4900</v>
      </c>
      <c r="H72" s="0" t="s">
        <v>8</v>
      </c>
    </row>
    <row r="73" customFormat="false" ht="54" hidden="false" customHeight="true" outlineLevel="0" collapsed="false">
      <c r="A73" s="0" t="s">
        <v>5576</v>
      </c>
      <c r="B73" s="0" t="s">
        <v>5572</v>
      </c>
      <c r="C73" s="0" t="s">
        <v>5577</v>
      </c>
      <c r="D73" s="0" t="s">
        <v>5574</v>
      </c>
      <c r="E73" s="0" t="s">
        <v>5578</v>
      </c>
      <c r="F73" s="0" t="s">
        <v>5578</v>
      </c>
      <c r="G73" s="0" t="s">
        <v>4900</v>
      </c>
      <c r="H73" s="0" t="s">
        <v>8</v>
      </c>
    </row>
    <row r="74" customFormat="false" ht="54" hidden="false" customHeight="true" outlineLevel="0" collapsed="false">
      <c r="A74" s="0" t="s">
        <v>5579</v>
      </c>
      <c r="B74" s="0" t="s">
        <v>397</v>
      </c>
      <c r="C74" s="0" t="s">
        <v>5580</v>
      </c>
      <c r="D74" s="0" t="s">
        <v>5581</v>
      </c>
      <c r="E74" s="0" t="s">
        <v>5582</v>
      </c>
      <c r="F74" s="0" t="s">
        <v>5582</v>
      </c>
      <c r="G74" s="0" t="s">
        <v>5112</v>
      </c>
      <c r="H74" s="0" t="s">
        <v>8</v>
      </c>
    </row>
    <row r="75" customFormat="false" ht="54" hidden="false" customHeight="true" outlineLevel="0" collapsed="false">
      <c r="A75" s="0" t="s">
        <v>5583</v>
      </c>
      <c r="B75" s="0" t="s">
        <v>5584</v>
      </c>
      <c r="C75" s="0" t="s">
        <v>5585</v>
      </c>
      <c r="D75" s="0" t="s">
        <v>227</v>
      </c>
      <c r="E75" s="0" t="s">
        <v>5586</v>
      </c>
      <c r="F75" s="0" t="s">
        <v>5586</v>
      </c>
      <c r="G75" s="0" t="s">
        <v>4905</v>
      </c>
      <c r="H75" s="0" t="s">
        <v>8</v>
      </c>
    </row>
    <row r="76" customFormat="false" ht="54" hidden="false" customHeight="true" outlineLevel="0" collapsed="false">
      <c r="A76" s="0" t="s">
        <v>5587</v>
      </c>
      <c r="B76" s="0" t="s">
        <v>5584</v>
      </c>
      <c r="C76" s="0" t="s">
        <v>5588</v>
      </c>
      <c r="D76" s="0" t="s">
        <v>227</v>
      </c>
      <c r="E76" s="0" t="s">
        <v>5589</v>
      </c>
      <c r="F76" s="0" t="s">
        <v>5589</v>
      </c>
      <c r="G76" s="0" t="s">
        <v>4905</v>
      </c>
      <c r="H76" s="0" t="s">
        <v>8</v>
      </c>
    </row>
    <row r="77" customFormat="false" ht="54" hidden="false" customHeight="true" outlineLevel="0" collapsed="false">
      <c r="A77" s="0" t="s">
        <v>5590</v>
      </c>
      <c r="B77" s="0" t="s">
        <v>5591</v>
      </c>
      <c r="C77" s="0" t="s">
        <v>5592</v>
      </c>
      <c r="D77" s="0" t="s">
        <v>5591</v>
      </c>
      <c r="E77" s="0" t="s">
        <v>5593</v>
      </c>
      <c r="F77" s="0" t="s">
        <v>5593</v>
      </c>
      <c r="G77" s="0" t="s">
        <v>4905</v>
      </c>
      <c r="H77" s="0" t="s">
        <v>8</v>
      </c>
    </row>
    <row r="78" customFormat="false" ht="54" hidden="false" customHeight="true" outlineLevel="0" collapsed="false">
      <c r="A78" s="0" t="s">
        <v>5594</v>
      </c>
      <c r="B78" s="0" t="s">
        <v>5124</v>
      </c>
      <c r="C78" s="0" t="s">
        <v>5595</v>
      </c>
      <c r="D78" s="0" t="s">
        <v>5596</v>
      </c>
      <c r="E78" s="0" t="s">
        <v>4624</v>
      </c>
      <c r="F78" s="0" t="s">
        <v>4624</v>
      </c>
      <c r="G78" s="0" t="s">
        <v>5122</v>
      </c>
      <c r="H78" s="0" t="s">
        <v>8</v>
      </c>
    </row>
    <row r="79" customFormat="false" ht="54" hidden="false" customHeight="true" outlineLevel="0" collapsed="false">
      <c r="A79" s="0" t="s">
        <v>5597</v>
      </c>
      <c r="B79" s="0" t="s">
        <v>5124</v>
      </c>
      <c r="C79" s="0" t="s">
        <v>5598</v>
      </c>
      <c r="D79" s="0" t="s">
        <v>5596</v>
      </c>
      <c r="E79" s="0" t="s">
        <v>5599</v>
      </c>
      <c r="F79" s="0" t="s">
        <v>5599</v>
      </c>
      <c r="G79" s="0" t="s">
        <v>5122</v>
      </c>
      <c r="H79" s="0" t="s">
        <v>8</v>
      </c>
    </row>
    <row r="80" customFormat="false" ht="54" hidden="false" customHeight="true" outlineLevel="0" collapsed="false">
      <c r="A80" s="0" t="s">
        <v>5600</v>
      </c>
      <c r="B80" s="0" t="s">
        <v>5601</v>
      </c>
      <c r="C80" s="0" t="s">
        <v>5602</v>
      </c>
      <c r="D80" s="0" t="s">
        <v>5603</v>
      </c>
      <c r="E80" s="0" t="s">
        <v>5604</v>
      </c>
      <c r="F80" s="0" t="s">
        <v>5604</v>
      </c>
      <c r="G80" s="0" t="s">
        <v>4924</v>
      </c>
      <c r="H80" s="0" t="s">
        <v>8</v>
      </c>
    </row>
    <row r="81" customFormat="false" ht="54" hidden="false" customHeight="true" outlineLevel="0" collapsed="false">
      <c r="A81" s="0" t="s">
        <v>5605</v>
      </c>
      <c r="B81" s="0" t="s">
        <v>5601</v>
      </c>
      <c r="C81" s="0" t="s">
        <v>5606</v>
      </c>
      <c r="D81" s="0" t="s">
        <v>5603</v>
      </c>
      <c r="E81" s="0" t="s">
        <v>5607</v>
      </c>
      <c r="F81" s="0" t="s">
        <v>5607</v>
      </c>
      <c r="G81" s="0" t="s">
        <v>4924</v>
      </c>
      <c r="H81" s="0" t="s">
        <v>8</v>
      </c>
    </row>
    <row r="82" customFormat="false" ht="54" hidden="false" customHeight="true" outlineLevel="0" collapsed="false">
      <c r="A82" s="0" t="s">
        <v>5608</v>
      </c>
      <c r="B82" s="0" t="s">
        <v>5133</v>
      </c>
      <c r="C82" s="0" t="s">
        <v>5609</v>
      </c>
      <c r="D82" s="0" t="s">
        <v>5610</v>
      </c>
      <c r="E82" s="0" t="s">
        <v>5611</v>
      </c>
      <c r="F82" s="0" t="s">
        <v>5611</v>
      </c>
      <c r="G82" s="0" t="s">
        <v>4924</v>
      </c>
      <c r="H82" s="0" t="s">
        <v>8</v>
      </c>
    </row>
    <row r="83" customFormat="false" ht="54" hidden="false" customHeight="true" outlineLevel="0" collapsed="false">
      <c r="A83" s="0" t="s">
        <v>5612</v>
      </c>
      <c r="B83" s="0" t="s">
        <v>5137</v>
      </c>
      <c r="C83" s="0" t="s">
        <v>5613</v>
      </c>
      <c r="D83" s="0" t="s">
        <v>5614</v>
      </c>
      <c r="E83" s="0" t="s">
        <v>5615</v>
      </c>
      <c r="F83" s="0" t="s">
        <v>5615</v>
      </c>
      <c r="G83" s="0" t="s">
        <v>5136</v>
      </c>
      <c r="H83" s="0" t="s">
        <v>8</v>
      </c>
    </row>
    <row r="84" customFormat="false" ht="54" hidden="false" customHeight="true" outlineLevel="0" collapsed="false">
      <c r="A84" s="0" t="s">
        <v>5616</v>
      </c>
      <c r="B84" s="0" t="s">
        <v>5617</v>
      </c>
      <c r="C84" s="0" t="s">
        <v>5618</v>
      </c>
      <c r="D84" s="0" t="s">
        <v>5619</v>
      </c>
      <c r="E84" s="0" t="s">
        <v>5620</v>
      </c>
      <c r="F84" s="0" t="s">
        <v>5620</v>
      </c>
      <c r="G84" s="0" t="s">
        <v>5140</v>
      </c>
      <c r="H84" s="0" t="s">
        <v>8</v>
      </c>
    </row>
    <row r="85" customFormat="false" ht="54" hidden="false" customHeight="true" outlineLevel="0" collapsed="false">
      <c r="A85" s="0" t="s">
        <v>5621</v>
      </c>
      <c r="B85" s="0" t="s">
        <v>5622</v>
      </c>
      <c r="C85" s="0" t="s">
        <v>5623</v>
      </c>
      <c r="D85" s="0" t="s">
        <v>5624</v>
      </c>
      <c r="E85" s="0" t="s">
        <v>5625</v>
      </c>
      <c r="F85" s="0" t="s">
        <v>5625</v>
      </c>
      <c r="G85" s="0" t="s">
        <v>5144</v>
      </c>
      <c r="H85" s="0" t="s">
        <v>8</v>
      </c>
    </row>
    <row r="86" customFormat="false" ht="54" hidden="false" customHeight="true" outlineLevel="0" collapsed="false">
      <c r="A86" s="0" t="s">
        <v>5626</v>
      </c>
      <c r="B86" s="0" t="s">
        <v>5148</v>
      </c>
      <c r="C86" s="0" t="s">
        <v>5627</v>
      </c>
      <c r="D86" s="0" t="s">
        <v>5628</v>
      </c>
      <c r="E86" s="0" t="s">
        <v>5629</v>
      </c>
      <c r="F86" s="0" t="s">
        <v>5629</v>
      </c>
      <c r="G86" s="0" t="s">
        <v>5147</v>
      </c>
      <c r="H86" s="0" t="s">
        <v>8</v>
      </c>
    </row>
    <row r="87" customFormat="false" ht="54" hidden="false" customHeight="true" outlineLevel="0" collapsed="false">
      <c r="A87" s="0" t="s">
        <v>5630</v>
      </c>
      <c r="B87" s="0" t="s">
        <v>5182</v>
      </c>
      <c r="C87" s="0" t="s">
        <v>5631</v>
      </c>
      <c r="D87" s="0" t="s">
        <v>5559</v>
      </c>
      <c r="E87" s="0" t="s">
        <v>5632</v>
      </c>
      <c r="F87" s="0" t="s">
        <v>5632</v>
      </c>
      <c r="G87" s="0" t="s">
        <v>5151</v>
      </c>
      <c r="H87" s="0" t="s">
        <v>8</v>
      </c>
    </row>
    <row r="88" customFormat="false" ht="54" hidden="false" customHeight="true" outlineLevel="0" collapsed="false">
      <c r="A88" s="0" t="s">
        <v>5633</v>
      </c>
      <c r="B88" s="0" t="s">
        <v>2837</v>
      </c>
      <c r="C88" s="0" t="s">
        <v>5634</v>
      </c>
      <c r="D88" s="0" t="s">
        <v>5635</v>
      </c>
      <c r="E88" s="0" t="s">
        <v>5636</v>
      </c>
      <c r="F88" s="0" t="s">
        <v>5636</v>
      </c>
      <c r="G88" s="0" t="s">
        <v>4908</v>
      </c>
      <c r="H88" s="0" t="s">
        <v>8</v>
      </c>
    </row>
    <row r="89" customFormat="false" ht="54" hidden="false" customHeight="true" outlineLevel="0" collapsed="false">
      <c r="A89" s="0" t="s">
        <v>5637</v>
      </c>
      <c r="B89" s="0" t="s">
        <v>5638</v>
      </c>
      <c r="C89" s="0" t="s">
        <v>5639</v>
      </c>
      <c r="D89" s="0" t="s">
        <v>5640</v>
      </c>
      <c r="E89" s="0" t="s">
        <v>5641</v>
      </c>
      <c r="F89" s="0" t="s">
        <v>5641</v>
      </c>
      <c r="G89" s="0" t="s">
        <v>5158</v>
      </c>
      <c r="H89" s="0" t="s">
        <v>8</v>
      </c>
    </row>
    <row r="90" customFormat="false" ht="54" hidden="false" customHeight="true" outlineLevel="0" collapsed="false">
      <c r="A90" s="0" t="s">
        <v>5642</v>
      </c>
      <c r="B90" s="0" t="s">
        <v>2370</v>
      </c>
      <c r="C90" s="0" t="s">
        <v>5643</v>
      </c>
      <c r="D90" s="0" t="s">
        <v>5078</v>
      </c>
      <c r="E90" s="0" t="s">
        <v>5474</v>
      </c>
      <c r="F90" s="0" t="s">
        <v>5474</v>
      </c>
      <c r="G90" s="0" t="s">
        <v>5162</v>
      </c>
      <c r="H90" s="0" t="s">
        <v>8</v>
      </c>
    </row>
    <row r="91" customFormat="false" ht="54" hidden="false" customHeight="true" outlineLevel="0" collapsed="false">
      <c r="A91" s="0" t="s">
        <v>5644</v>
      </c>
      <c r="B91" s="0" t="s">
        <v>5210</v>
      </c>
      <c r="C91" s="0" t="s">
        <v>5645</v>
      </c>
      <c r="D91" s="0" t="s">
        <v>5016</v>
      </c>
      <c r="E91" s="0" t="s">
        <v>5474</v>
      </c>
      <c r="F91" s="0" t="s">
        <v>5474</v>
      </c>
      <c r="G91" s="0" t="s">
        <v>5209</v>
      </c>
      <c r="H91" s="0" t="s">
        <v>8</v>
      </c>
    </row>
    <row r="92" customFormat="false" ht="54" hidden="false" customHeight="true" outlineLevel="0" collapsed="false">
      <c r="A92" s="0" t="s">
        <v>5646</v>
      </c>
      <c r="B92" s="0" t="s">
        <v>5647</v>
      </c>
      <c r="C92" s="0" t="s">
        <v>5648</v>
      </c>
      <c r="D92" s="0" t="s">
        <v>5649</v>
      </c>
      <c r="E92" s="0" t="s">
        <v>5650</v>
      </c>
      <c r="F92" s="0" t="s">
        <v>5650</v>
      </c>
      <c r="G92" s="0" t="s">
        <v>5651</v>
      </c>
      <c r="H92" s="0" t="s">
        <v>8</v>
      </c>
    </row>
    <row r="93" customFormat="false" ht="54" hidden="false" customHeight="true" outlineLevel="0" collapsed="false">
      <c r="A93" s="0" t="s">
        <v>5652</v>
      </c>
      <c r="B93" s="0" t="s">
        <v>5220</v>
      </c>
      <c r="C93" s="0" t="s">
        <v>5653</v>
      </c>
      <c r="D93" s="0" t="s">
        <v>5654</v>
      </c>
      <c r="E93" s="0" t="s">
        <v>5655</v>
      </c>
      <c r="F93" s="0" t="s">
        <v>5655</v>
      </c>
      <c r="G93" s="0" t="s">
        <v>5656</v>
      </c>
      <c r="H93" s="0" t="s">
        <v>8</v>
      </c>
    </row>
    <row r="94" customFormat="false" ht="54" hidden="false" customHeight="true" outlineLevel="0" collapsed="false">
      <c r="A94" s="0" t="s">
        <v>5657</v>
      </c>
      <c r="B94" s="0" t="s">
        <v>5658</v>
      </c>
      <c r="C94" s="0" t="s">
        <v>5659</v>
      </c>
      <c r="D94" s="0" t="s">
        <v>5660</v>
      </c>
      <c r="E94" s="0" t="s">
        <v>5661</v>
      </c>
      <c r="F94" s="0" t="s">
        <v>5661</v>
      </c>
      <c r="G94" s="0" t="s">
        <v>5234</v>
      </c>
      <c r="H94" s="0" t="s">
        <v>8</v>
      </c>
    </row>
    <row r="95" customFormat="false" ht="34" hidden="false" customHeight="true" outlineLevel="0" collapsed="false">
      <c r="A95" s="10" t="s">
        <v>5662</v>
      </c>
      <c r="B95" s="10" t="s">
        <v>5663</v>
      </c>
      <c r="C95" s="10" t="s">
        <v>5664</v>
      </c>
      <c r="D95" s="10" t="s">
        <v>5665</v>
      </c>
      <c r="E95" s="10" t="s">
        <v>5666</v>
      </c>
      <c r="F95" s="10" t="s">
        <v>5666</v>
      </c>
      <c r="G95" s="10" t="s">
        <v>3877</v>
      </c>
      <c r="H95" s="10" t="s">
        <v>8</v>
      </c>
    </row>
    <row r="96" customFormat="false" ht="34" hidden="false" customHeight="true" outlineLevel="0" collapsed="false">
      <c r="A96" s="11" t="s">
        <v>5667</v>
      </c>
      <c r="B96" s="11" t="s">
        <v>5663</v>
      </c>
      <c r="C96" s="11" t="s">
        <v>5668</v>
      </c>
      <c r="D96" s="11" t="s">
        <v>5665</v>
      </c>
      <c r="E96" s="11" t="s">
        <v>5669</v>
      </c>
      <c r="F96" s="11" t="s">
        <v>5669</v>
      </c>
      <c r="G96" s="11" t="s">
        <v>3877</v>
      </c>
      <c r="H96" s="11" t="s">
        <v>8</v>
      </c>
    </row>
    <row r="97" customFormat="false" ht="34" hidden="false" customHeight="true" outlineLevel="0" collapsed="false">
      <c r="A97" s="10" t="s">
        <v>5670</v>
      </c>
      <c r="B97" s="10" t="s">
        <v>5671</v>
      </c>
      <c r="C97" s="10" t="s">
        <v>5672</v>
      </c>
      <c r="D97" s="10" t="s">
        <v>5673</v>
      </c>
      <c r="E97" s="10" t="s">
        <v>5674</v>
      </c>
      <c r="F97" s="10" t="s">
        <v>5674</v>
      </c>
      <c r="G97" s="10" t="s">
        <v>3877</v>
      </c>
      <c r="H97" s="10" t="s">
        <v>8</v>
      </c>
    </row>
    <row r="98" customFormat="false" ht="34" hidden="false" customHeight="true" outlineLevel="0" collapsed="false">
      <c r="A98" s="11" t="s">
        <v>5675</v>
      </c>
      <c r="B98" s="11" t="s">
        <v>5671</v>
      </c>
      <c r="C98" s="11" t="s">
        <v>5676</v>
      </c>
      <c r="D98" s="11" t="s">
        <v>5673</v>
      </c>
      <c r="E98" s="11" t="s">
        <v>5677</v>
      </c>
      <c r="F98" s="11" t="s">
        <v>5677</v>
      </c>
      <c r="G98" s="11" t="s">
        <v>3877</v>
      </c>
      <c r="H98" s="11" t="s">
        <v>8</v>
      </c>
    </row>
    <row r="99" customFormat="false" ht="34" hidden="false" customHeight="true" outlineLevel="0" collapsed="false">
      <c r="A99" s="10" t="s">
        <v>5678</v>
      </c>
      <c r="B99" s="10" t="s">
        <v>5215</v>
      </c>
      <c r="C99" s="10" t="s">
        <v>5679</v>
      </c>
      <c r="D99" s="10" t="s">
        <v>5680</v>
      </c>
      <c r="E99" s="10" t="s">
        <v>5681</v>
      </c>
      <c r="F99" s="10" t="s">
        <v>5681</v>
      </c>
      <c r="G99" s="10" t="s">
        <v>5682</v>
      </c>
      <c r="H99" s="10" t="s">
        <v>8</v>
      </c>
    </row>
    <row r="100" customFormat="false" ht="34" hidden="false" customHeight="true" outlineLevel="0" collapsed="false">
      <c r="A100" s="11" t="s">
        <v>5683</v>
      </c>
      <c r="B100" s="11" t="s">
        <v>5215</v>
      </c>
      <c r="C100" s="11" t="s">
        <v>5684</v>
      </c>
      <c r="D100" s="11" t="s">
        <v>5042</v>
      </c>
      <c r="E100" s="11" t="s">
        <v>5685</v>
      </c>
      <c r="F100" s="11" t="s">
        <v>5685</v>
      </c>
      <c r="G100" s="11" t="s">
        <v>5214</v>
      </c>
      <c r="H100" s="11" t="s">
        <v>8</v>
      </c>
    </row>
    <row r="101" customFormat="false" ht="34" hidden="false" customHeight="true" outlineLevel="0" collapsed="false">
      <c r="A101" s="10" t="s">
        <v>5686</v>
      </c>
      <c r="B101" s="10" t="s">
        <v>5215</v>
      </c>
      <c r="C101" s="10" t="s">
        <v>5687</v>
      </c>
      <c r="D101" s="10" t="s">
        <v>5688</v>
      </c>
      <c r="E101" s="10" t="s">
        <v>5689</v>
      </c>
      <c r="F101" s="10" t="s">
        <v>5689</v>
      </c>
      <c r="G101" s="10" t="s">
        <v>5214</v>
      </c>
      <c r="H101" s="10" t="s">
        <v>8</v>
      </c>
    </row>
    <row r="102" customFormat="false" ht="34" hidden="false" customHeight="true" outlineLevel="0" collapsed="false">
      <c r="A102" s="11" t="s">
        <v>5690</v>
      </c>
      <c r="B102" s="11" t="s">
        <v>5215</v>
      </c>
      <c r="C102" s="11" t="s">
        <v>5691</v>
      </c>
      <c r="D102" s="11" t="s">
        <v>5692</v>
      </c>
      <c r="E102" s="11" t="s">
        <v>5693</v>
      </c>
      <c r="F102" s="11" t="s">
        <v>5693</v>
      </c>
      <c r="G102" s="11" t="s">
        <v>5214</v>
      </c>
      <c r="H102" s="11" t="s">
        <v>8</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54"/>
    <col collapsed="false" customWidth="true" hidden="false" outlineLevel="0" max="3" min="3" style="0" width="84"/>
    <col collapsed="false" customWidth="true" hidden="false" outlineLevel="0" max="4" min="4" style="0" width="40"/>
  </cols>
  <sheetData>
    <row r="1" customFormat="false" ht="30" hidden="false" customHeight="true" outlineLevel="0" collapsed="false">
      <c r="A1" s="1" t="s">
        <v>5694</v>
      </c>
      <c r="B1" s="1"/>
      <c r="C1" s="1"/>
      <c r="D1" s="1"/>
    </row>
    <row r="2" customFormat="false" ht="34" hidden="false" customHeight="true" outlineLevel="0" collapsed="false">
      <c r="A2" s="2" t="s">
        <v>5695</v>
      </c>
      <c r="B2" s="2"/>
      <c r="C2" s="2"/>
      <c r="D2" s="2"/>
    </row>
    <row r="4" customFormat="false" ht="34" hidden="false" customHeight="true" outlineLevel="0" collapsed="false">
      <c r="A4" s="8" t="s">
        <v>5696</v>
      </c>
      <c r="B4" s="8" t="s">
        <v>5697</v>
      </c>
      <c r="C4" s="8" t="s">
        <v>5698</v>
      </c>
      <c r="D4" s="8" t="s">
        <v>61</v>
      </c>
    </row>
    <row r="5" customFormat="false" ht="48" hidden="false" customHeight="true" outlineLevel="0" collapsed="false">
      <c r="A5" s="9" t="s">
        <v>5699</v>
      </c>
      <c r="B5" s="9" t="s">
        <v>63</v>
      </c>
      <c r="C5" s="9" t="s">
        <v>64</v>
      </c>
      <c r="D5" s="9" t="s">
        <v>69</v>
      </c>
    </row>
    <row r="6" customFormat="false" ht="48" hidden="false" customHeight="true" outlineLevel="0" collapsed="false">
      <c r="A6" s="9" t="s">
        <v>5699</v>
      </c>
      <c r="B6" s="9" t="s">
        <v>70</v>
      </c>
      <c r="C6" s="9" t="s">
        <v>71</v>
      </c>
      <c r="D6" s="9" t="s">
        <v>75</v>
      </c>
    </row>
    <row r="7" customFormat="false" ht="48" hidden="false" customHeight="true" outlineLevel="0" collapsed="false">
      <c r="A7" s="9" t="s">
        <v>5699</v>
      </c>
      <c r="B7" s="9" t="s">
        <v>76</v>
      </c>
      <c r="C7" s="9" t="s">
        <v>77</v>
      </c>
      <c r="D7" s="9" t="s">
        <v>82</v>
      </c>
    </row>
    <row r="8" customFormat="false" ht="48" hidden="false" customHeight="true" outlineLevel="0" collapsed="false">
      <c r="A8" s="9" t="s">
        <v>5699</v>
      </c>
      <c r="B8" s="9" t="s">
        <v>83</v>
      </c>
      <c r="C8" s="9" t="s">
        <v>84</v>
      </c>
      <c r="D8" s="9" t="s">
        <v>88</v>
      </c>
    </row>
    <row r="9" customFormat="false" ht="48" hidden="false" customHeight="true" outlineLevel="0" collapsed="false">
      <c r="A9" s="9" t="s">
        <v>5699</v>
      </c>
      <c r="B9" s="9" t="s">
        <v>89</v>
      </c>
      <c r="C9" s="9" t="s">
        <v>90</v>
      </c>
      <c r="D9" s="9" t="s">
        <v>93</v>
      </c>
    </row>
    <row r="10" customFormat="false" ht="48" hidden="false" customHeight="true" outlineLevel="0" collapsed="false">
      <c r="A10" s="9" t="s">
        <v>5699</v>
      </c>
      <c r="B10" s="9" t="s">
        <v>94</v>
      </c>
      <c r="C10" s="9" t="s">
        <v>95</v>
      </c>
      <c r="D10" s="9" t="s">
        <v>99</v>
      </c>
    </row>
    <row r="11" customFormat="false" ht="48" hidden="false" customHeight="true" outlineLevel="0" collapsed="false">
      <c r="A11" s="9" t="s">
        <v>5699</v>
      </c>
      <c r="B11" s="9" t="s">
        <v>100</v>
      </c>
      <c r="C11" s="9" t="s">
        <v>101</v>
      </c>
      <c r="D11" s="9" t="s">
        <v>106</v>
      </c>
    </row>
    <row r="12" customFormat="false" ht="48" hidden="false" customHeight="true" outlineLevel="0" collapsed="false">
      <c r="A12" s="9" t="s">
        <v>5699</v>
      </c>
      <c r="B12" s="9" t="s">
        <v>107</v>
      </c>
      <c r="C12" s="9" t="s">
        <v>108</v>
      </c>
      <c r="D12" s="9" t="s">
        <v>113</v>
      </c>
    </row>
    <row r="13" customFormat="false" ht="48" hidden="false" customHeight="true" outlineLevel="0" collapsed="false">
      <c r="A13" s="9" t="s">
        <v>5699</v>
      </c>
      <c r="B13" s="9" t="s">
        <v>114</v>
      </c>
      <c r="C13" s="9" t="s">
        <v>115</v>
      </c>
      <c r="D13" s="9" t="s">
        <v>119</v>
      </c>
    </row>
    <row r="14" customFormat="false" ht="48" hidden="false" customHeight="true" outlineLevel="0" collapsed="false">
      <c r="A14" s="9" t="s">
        <v>5699</v>
      </c>
      <c r="B14" s="9" t="s">
        <v>120</v>
      </c>
      <c r="C14" s="9" t="s">
        <v>121</v>
      </c>
      <c r="D14" s="9" t="s">
        <v>126</v>
      </c>
    </row>
    <row r="15" customFormat="false" ht="48" hidden="false" customHeight="true" outlineLevel="0" collapsed="false">
      <c r="A15" s="9" t="s">
        <v>5699</v>
      </c>
      <c r="B15" s="9" t="s">
        <v>127</v>
      </c>
      <c r="C15" s="9" t="s">
        <v>128</v>
      </c>
      <c r="D15" s="9" t="s">
        <v>132</v>
      </c>
    </row>
    <row r="16" customFormat="false" ht="48" hidden="false" customHeight="true" outlineLevel="0" collapsed="false">
      <c r="A16" s="9" t="s">
        <v>5699</v>
      </c>
      <c r="B16" s="9" t="s">
        <v>133</v>
      </c>
      <c r="C16" s="9" t="s">
        <v>134</v>
      </c>
      <c r="D16" s="9" t="s">
        <v>138</v>
      </c>
    </row>
    <row r="17" customFormat="false" ht="48" hidden="false" customHeight="true" outlineLevel="0" collapsed="false">
      <c r="A17" s="9" t="s">
        <v>5699</v>
      </c>
      <c r="B17" s="9" t="s">
        <v>139</v>
      </c>
      <c r="C17" s="9" t="s">
        <v>140</v>
      </c>
      <c r="D17" s="9" t="s">
        <v>144</v>
      </c>
    </row>
    <row r="18" customFormat="false" ht="48" hidden="false" customHeight="true" outlineLevel="0" collapsed="false">
      <c r="A18" s="9" t="s">
        <v>5699</v>
      </c>
      <c r="B18" s="9" t="s">
        <v>145</v>
      </c>
      <c r="C18" s="9" t="s">
        <v>146</v>
      </c>
      <c r="D18" s="9" t="s">
        <v>150</v>
      </c>
    </row>
    <row r="19" customFormat="false" ht="48" hidden="false" customHeight="true" outlineLevel="0" collapsed="false">
      <c r="A19" s="9" t="s">
        <v>5699</v>
      </c>
      <c r="B19" s="9" t="s">
        <v>151</v>
      </c>
      <c r="C19" s="9" t="s">
        <v>152</v>
      </c>
      <c r="D19" s="9" t="s">
        <v>156</v>
      </c>
    </row>
    <row r="20" customFormat="false" ht="48" hidden="false" customHeight="true" outlineLevel="0" collapsed="false">
      <c r="A20" s="9" t="s">
        <v>5699</v>
      </c>
      <c r="B20" s="9" t="s">
        <v>157</v>
      </c>
      <c r="C20" s="9" t="s">
        <v>158</v>
      </c>
      <c r="D20" s="9" t="s">
        <v>162</v>
      </c>
    </row>
    <row r="21" customFormat="false" ht="48" hidden="false" customHeight="true" outlineLevel="0" collapsed="false">
      <c r="A21" s="9" t="s">
        <v>5699</v>
      </c>
      <c r="B21" s="9" t="s">
        <v>163</v>
      </c>
      <c r="C21" s="9" t="s">
        <v>164</v>
      </c>
      <c r="D21" s="9" t="s">
        <v>168</v>
      </c>
    </row>
    <row r="22" customFormat="false" ht="48" hidden="false" customHeight="true" outlineLevel="0" collapsed="false">
      <c r="A22" s="9" t="s">
        <v>5699</v>
      </c>
      <c r="B22" s="9" t="s">
        <v>169</v>
      </c>
      <c r="C22" s="9" t="s">
        <v>170</v>
      </c>
      <c r="D22" s="9" t="s">
        <v>175</v>
      </c>
    </row>
    <row r="23" customFormat="false" ht="48" hidden="false" customHeight="true" outlineLevel="0" collapsed="false">
      <c r="A23" s="9" t="s">
        <v>5699</v>
      </c>
      <c r="B23" s="9" t="s">
        <v>176</v>
      </c>
      <c r="C23" s="9" t="s">
        <v>177</v>
      </c>
      <c r="D23" s="9" t="s">
        <v>182</v>
      </c>
    </row>
    <row r="24" customFormat="false" ht="48" hidden="false" customHeight="true" outlineLevel="0" collapsed="false">
      <c r="A24" s="9" t="s">
        <v>5699</v>
      </c>
      <c r="B24" s="9" t="s">
        <v>183</v>
      </c>
      <c r="C24" s="9" t="s">
        <v>184</v>
      </c>
      <c r="D24" s="9" t="s">
        <v>188</v>
      </c>
    </row>
    <row r="25" customFormat="false" ht="48" hidden="false" customHeight="true" outlineLevel="0" collapsed="false">
      <c r="A25" s="9" t="s">
        <v>5699</v>
      </c>
      <c r="B25" s="9" t="s">
        <v>189</v>
      </c>
      <c r="C25" s="9" t="s">
        <v>190</v>
      </c>
      <c r="D25" s="9" t="s">
        <v>195</v>
      </c>
    </row>
    <row r="26" customFormat="false" ht="48" hidden="false" customHeight="true" outlineLevel="0" collapsed="false">
      <c r="A26" s="9" t="s">
        <v>5699</v>
      </c>
      <c r="B26" s="9" t="s">
        <v>196</v>
      </c>
      <c r="C26" s="9" t="s">
        <v>197</v>
      </c>
      <c r="D26" s="9" t="s">
        <v>202</v>
      </c>
    </row>
    <row r="27" customFormat="false" ht="48" hidden="false" customHeight="true" outlineLevel="0" collapsed="false">
      <c r="A27" s="9" t="s">
        <v>5699</v>
      </c>
      <c r="B27" s="9" t="s">
        <v>203</v>
      </c>
      <c r="C27" s="9" t="s">
        <v>204</v>
      </c>
      <c r="D27" s="9" t="s">
        <v>209</v>
      </c>
    </row>
    <row r="28" customFormat="false" ht="48" hidden="false" customHeight="true" outlineLevel="0" collapsed="false">
      <c r="A28" s="9" t="s">
        <v>5699</v>
      </c>
      <c r="B28" s="9" t="s">
        <v>210</v>
      </c>
      <c r="C28" s="9" t="s">
        <v>211</v>
      </c>
      <c r="D28" s="9" t="s">
        <v>215</v>
      </c>
    </row>
    <row r="29" customFormat="false" ht="48" hidden="false" customHeight="true" outlineLevel="0" collapsed="false">
      <c r="A29" s="9" t="s">
        <v>5700</v>
      </c>
      <c r="B29" s="9" t="s">
        <v>79</v>
      </c>
      <c r="C29" s="9" t="s">
        <v>5701</v>
      </c>
      <c r="D29" s="9" t="s">
        <v>5702</v>
      </c>
    </row>
    <row r="30" customFormat="false" ht="48" hidden="false" customHeight="true" outlineLevel="0" collapsed="false">
      <c r="A30" s="9" t="s">
        <v>5700</v>
      </c>
      <c r="B30" s="9" t="s">
        <v>357</v>
      </c>
      <c r="C30" s="9" t="s">
        <v>5703</v>
      </c>
      <c r="D30" s="9" t="s">
        <v>5702</v>
      </c>
    </row>
    <row r="31" customFormat="false" ht="48" hidden="false" customHeight="true" outlineLevel="0" collapsed="false">
      <c r="A31" s="9" t="s">
        <v>5700</v>
      </c>
      <c r="B31" s="9" t="s">
        <v>110</v>
      </c>
      <c r="C31" s="9" t="s">
        <v>5704</v>
      </c>
      <c r="D31" s="9" t="s">
        <v>5702</v>
      </c>
    </row>
    <row r="32" customFormat="false" ht="48" hidden="false" customHeight="true" outlineLevel="0" collapsed="false">
      <c r="A32" s="9" t="s">
        <v>5700</v>
      </c>
      <c r="B32" s="9" t="s">
        <v>228</v>
      </c>
      <c r="C32" s="9" t="s">
        <v>5705</v>
      </c>
      <c r="D32" s="9" t="s">
        <v>4464</v>
      </c>
    </row>
    <row r="33" customFormat="false" ht="48" hidden="false" customHeight="true" outlineLevel="0" collapsed="false">
      <c r="A33" s="9" t="s">
        <v>5700</v>
      </c>
      <c r="B33" s="9" t="s">
        <v>566</v>
      </c>
      <c r="C33" s="9" t="s">
        <v>5706</v>
      </c>
      <c r="D33" s="9" t="s">
        <v>5707</v>
      </c>
    </row>
    <row r="34" customFormat="false" ht="48" hidden="false" customHeight="true" outlineLevel="0" collapsed="false">
      <c r="A34" s="9" t="s">
        <v>5700</v>
      </c>
      <c r="B34" s="9" t="s">
        <v>524</v>
      </c>
      <c r="C34" s="9" t="s">
        <v>5708</v>
      </c>
      <c r="D34" s="9" t="s">
        <v>558</v>
      </c>
    </row>
    <row r="35" customFormat="false" ht="48" hidden="false" customHeight="true" outlineLevel="0" collapsed="false">
      <c r="A35" s="9" t="s">
        <v>5700</v>
      </c>
      <c r="B35" s="9" t="s">
        <v>213</v>
      </c>
      <c r="C35" s="9" t="s">
        <v>5709</v>
      </c>
      <c r="D35" s="9" t="s">
        <v>2264</v>
      </c>
    </row>
    <row r="36" customFormat="false" ht="48" hidden="false" customHeight="true" outlineLevel="0" collapsed="false">
      <c r="A36" s="9" t="s">
        <v>5710</v>
      </c>
      <c r="B36" s="9" t="s">
        <v>412</v>
      </c>
      <c r="C36" s="9" t="s">
        <v>5711</v>
      </c>
      <c r="D36" s="9" t="s">
        <v>2457</v>
      </c>
    </row>
    <row r="37" customFormat="false" ht="48" hidden="false" customHeight="true" outlineLevel="0" collapsed="false">
      <c r="A37" s="9" t="s">
        <v>5710</v>
      </c>
      <c r="B37" s="9" t="s">
        <v>5712</v>
      </c>
      <c r="C37" s="9" t="s">
        <v>5713</v>
      </c>
      <c r="D37" s="9" t="s">
        <v>597</v>
      </c>
    </row>
    <row r="38" customFormat="false" ht="48" hidden="false" customHeight="true" outlineLevel="0" collapsed="false">
      <c r="A38" s="9" t="s">
        <v>5710</v>
      </c>
      <c r="B38" s="9" t="s">
        <v>618</v>
      </c>
      <c r="C38" s="9" t="s">
        <v>5714</v>
      </c>
      <c r="D38" s="9" t="s">
        <v>3442</v>
      </c>
    </row>
    <row r="39" customFormat="false" ht="48" hidden="false" customHeight="true" outlineLevel="0" collapsed="false">
      <c r="A39" s="9" t="s">
        <v>5710</v>
      </c>
      <c r="B39" s="9" t="s">
        <v>258</v>
      </c>
      <c r="C39" s="9" t="s">
        <v>5715</v>
      </c>
      <c r="D39" s="9" t="s">
        <v>558</v>
      </c>
    </row>
    <row r="40" customFormat="false" ht="48" hidden="false" customHeight="true" outlineLevel="0" collapsed="false">
      <c r="A40" s="9" t="s">
        <v>5710</v>
      </c>
      <c r="B40" s="9" t="s">
        <v>279</v>
      </c>
      <c r="C40" s="9" t="s">
        <v>5716</v>
      </c>
      <c r="D40" s="9" t="s">
        <v>5717</v>
      </c>
    </row>
    <row r="41" customFormat="false" ht="48" hidden="false" customHeight="true" outlineLevel="0" collapsed="false">
      <c r="A41" s="9" t="s">
        <v>5710</v>
      </c>
      <c r="B41" s="9" t="s">
        <v>632</v>
      </c>
      <c r="C41" s="9" t="s">
        <v>5718</v>
      </c>
      <c r="D41" s="9" t="s">
        <v>760</v>
      </c>
    </row>
    <row r="42" customFormat="false" ht="48" hidden="false" customHeight="true" outlineLevel="0" collapsed="false">
      <c r="A42" s="9" t="s">
        <v>5710</v>
      </c>
      <c r="B42" s="9" t="s">
        <v>358</v>
      </c>
      <c r="C42" s="9" t="s">
        <v>5719</v>
      </c>
      <c r="D42" s="9" t="s">
        <v>2531</v>
      </c>
    </row>
    <row r="43" customFormat="false" ht="48" hidden="false" customHeight="true" outlineLevel="0" collapsed="false">
      <c r="A43" s="9" t="s">
        <v>5710</v>
      </c>
      <c r="B43" s="9" t="s">
        <v>322</v>
      </c>
      <c r="C43" s="9" t="s">
        <v>5720</v>
      </c>
      <c r="D43" s="9" t="s">
        <v>3972</v>
      </c>
    </row>
    <row r="44" customFormat="false" ht="48" hidden="false" customHeight="true" outlineLevel="0" collapsed="false">
      <c r="A44" s="9" t="s">
        <v>201</v>
      </c>
      <c r="B44" s="9" t="s">
        <v>4740</v>
      </c>
      <c r="C44" s="9" t="s">
        <v>5721</v>
      </c>
      <c r="D44" s="9" t="s">
        <v>558</v>
      </c>
    </row>
    <row r="45" customFormat="false" ht="48" hidden="false" customHeight="true" outlineLevel="0" collapsed="false">
      <c r="A45" s="9" t="s">
        <v>201</v>
      </c>
      <c r="B45" s="9" t="s">
        <v>5722</v>
      </c>
      <c r="C45" s="9" t="s">
        <v>5723</v>
      </c>
      <c r="D45" s="9" t="s">
        <v>558</v>
      </c>
    </row>
    <row r="46" customFormat="false" ht="48" hidden="false" customHeight="true" outlineLevel="0" collapsed="false">
      <c r="A46" s="9" t="s">
        <v>201</v>
      </c>
      <c r="B46" s="9" t="s">
        <v>112</v>
      </c>
      <c r="C46" s="9" t="s">
        <v>5724</v>
      </c>
      <c r="D46" s="9" t="s">
        <v>558</v>
      </c>
    </row>
    <row r="47" customFormat="false" ht="48" hidden="false" customHeight="true" outlineLevel="0" collapsed="false">
      <c r="A47" s="9" t="s">
        <v>5725</v>
      </c>
      <c r="B47" s="9" t="s">
        <v>5726</v>
      </c>
      <c r="C47" s="9" t="s">
        <v>5727</v>
      </c>
      <c r="D47" s="9" t="s">
        <v>5367</v>
      </c>
    </row>
    <row r="48" customFormat="false" ht="48" hidden="false" customHeight="true" outlineLevel="0" collapsed="false">
      <c r="A48" s="9" t="s">
        <v>5725</v>
      </c>
      <c r="B48" s="9" t="s">
        <v>660</v>
      </c>
      <c r="C48" s="9" t="s">
        <v>5728</v>
      </c>
      <c r="D48" s="9" t="s">
        <v>5367</v>
      </c>
    </row>
    <row r="49" customFormat="false" ht="48" hidden="false" customHeight="true" outlineLevel="0" collapsed="false">
      <c r="A49" s="9" t="s">
        <v>5725</v>
      </c>
      <c r="B49" s="9" t="s">
        <v>5729</v>
      </c>
      <c r="C49" s="9" t="s">
        <v>5730</v>
      </c>
      <c r="D49" s="9" t="s">
        <v>466</v>
      </c>
    </row>
    <row r="50" customFormat="false" ht="48" hidden="false" customHeight="true" outlineLevel="0" collapsed="false">
      <c r="A50" s="9" t="s">
        <v>5725</v>
      </c>
      <c r="B50" s="9" t="s">
        <v>5731</v>
      </c>
      <c r="C50" s="9" t="s">
        <v>5732</v>
      </c>
      <c r="D50" s="9" t="s">
        <v>5367</v>
      </c>
    </row>
    <row r="51" customFormat="false" ht="48" hidden="false" customHeight="true" outlineLevel="0" collapsed="false">
      <c r="A51" s="9" t="s">
        <v>5725</v>
      </c>
      <c r="B51" s="9" t="s">
        <v>5733</v>
      </c>
      <c r="C51" s="9" t="s">
        <v>5734</v>
      </c>
      <c r="D51" s="9" t="s">
        <v>5367</v>
      </c>
    </row>
    <row r="52" customFormat="false" ht="48" hidden="false" customHeight="true" outlineLevel="0" collapsed="false">
      <c r="A52" s="9" t="s">
        <v>5725</v>
      </c>
      <c r="B52" s="9" t="s">
        <v>5735</v>
      </c>
      <c r="C52" s="9" t="s">
        <v>5736</v>
      </c>
      <c r="D52" s="9" t="s">
        <v>3622</v>
      </c>
    </row>
    <row r="53" customFormat="false" ht="48" hidden="false" customHeight="true" outlineLevel="0" collapsed="false">
      <c r="A53" s="9" t="s">
        <v>5725</v>
      </c>
      <c r="B53" s="9" t="s">
        <v>5737</v>
      </c>
      <c r="C53" s="9" t="s">
        <v>5738</v>
      </c>
      <c r="D53" s="9" t="s">
        <v>629</v>
      </c>
    </row>
    <row r="54" customFormat="false" ht="48" hidden="false" customHeight="true" outlineLevel="0" collapsed="false">
      <c r="A54" s="9" t="s">
        <v>5739</v>
      </c>
      <c r="B54" s="9" t="s">
        <v>340</v>
      </c>
      <c r="C54" s="9" t="s">
        <v>5740</v>
      </c>
      <c r="D54" s="9" t="s">
        <v>5367</v>
      </c>
    </row>
    <row r="55" customFormat="false" ht="48" hidden="false" customHeight="true" outlineLevel="0" collapsed="false">
      <c r="A55" s="9" t="s">
        <v>5739</v>
      </c>
      <c r="B55" s="9" t="s">
        <v>5741</v>
      </c>
      <c r="C55" s="9" t="s">
        <v>5742</v>
      </c>
      <c r="D55" s="9" t="s">
        <v>2186</v>
      </c>
    </row>
    <row r="56" customFormat="false" ht="48" hidden="false" customHeight="true" outlineLevel="0" collapsed="false">
      <c r="A56" s="9" t="s">
        <v>5739</v>
      </c>
      <c r="B56" s="9" t="s">
        <v>5743</v>
      </c>
      <c r="C56" s="9" t="s">
        <v>5744</v>
      </c>
      <c r="D56" s="9" t="s">
        <v>2096</v>
      </c>
    </row>
    <row r="57" customFormat="false" ht="48" hidden="false" customHeight="true" outlineLevel="0" collapsed="false">
      <c r="A57" s="9" t="s">
        <v>5739</v>
      </c>
      <c r="B57" s="9" t="s">
        <v>5745</v>
      </c>
      <c r="C57" s="9" t="s">
        <v>5746</v>
      </c>
      <c r="D57" s="9" t="s">
        <v>2397</v>
      </c>
    </row>
    <row r="58" customFormat="false" ht="48" hidden="false" customHeight="true" outlineLevel="0" collapsed="false">
      <c r="A58" s="9" t="s">
        <v>5739</v>
      </c>
      <c r="B58" s="9" t="s">
        <v>5747</v>
      </c>
      <c r="C58" s="9" t="s">
        <v>5748</v>
      </c>
      <c r="D58" s="9" t="s">
        <v>558</v>
      </c>
    </row>
    <row r="59" customFormat="false" ht="48" hidden="false" customHeight="true" outlineLevel="0" collapsed="false">
      <c r="A59" s="9" t="s">
        <v>5739</v>
      </c>
      <c r="B59" s="9" t="s">
        <v>5735</v>
      </c>
      <c r="C59" s="9" t="s">
        <v>5749</v>
      </c>
      <c r="D59" s="9" t="s">
        <v>3622</v>
      </c>
    </row>
    <row r="60" customFormat="false" ht="48" hidden="false" customHeight="true" outlineLevel="0" collapsed="false">
      <c r="A60" s="9" t="s">
        <v>5739</v>
      </c>
      <c r="B60" s="9" t="s">
        <v>5750</v>
      </c>
      <c r="C60" s="9" t="s">
        <v>5751</v>
      </c>
      <c r="D60" s="9" t="s">
        <v>2222</v>
      </c>
    </row>
    <row r="61" customFormat="false" ht="48" hidden="false" customHeight="true" outlineLevel="0" collapsed="false">
      <c r="A61" s="9" t="s">
        <v>5739</v>
      </c>
      <c r="B61" s="9" t="s">
        <v>5752</v>
      </c>
      <c r="C61" s="9" t="s">
        <v>5753</v>
      </c>
      <c r="D61" s="9" t="s">
        <v>2213</v>
      </c>
    </row>
    <row r="62" customFormat="false" ht="48" hidden="false" customHeight="true" outlineLevel="0" collapsed="false">
      <c r="A62" s="9" t="s">
        <v>5754</v>
      </c>
      <c r="B62" s="9" t="s">
        <v>792</v>
      </c>
      <c r="C62" s="9" t="s">
        <v>5755</v>
      </c>
      <c r="D62" s="9" t="s">
        <v>629</v>
      </c>
    </row>
    <row r="63" customFormat="false" ht="48" hidden="false" customHeight="true" outlineLevel="0" collapsed="false">
      <c r="A63" s="9" t="s">
        <v>5754</v>
      </c>
      <c r="B63" s="9" t="s">
        <v>4565</v>
      </c>
      <c r="C63" s="9" t="s">
        <v>5756</v>
      </c>
      <c r="D63" s="9" t="s">
        <v>629</v>
      </c>
    </row>
    <row r="64" customFormat="false" ht="48" hidden="false" customHeight="true" outlineLevel="0" collapsed="false">
      <c r="A64" s="9" t="s">
        <v>5754</v>
      </c>
      <c r="B64" s="9" t="s">
        <v>5757</v>
      </c>
      <c r="C64" s="9" t="s">
        <v>5758</v>
      </c>
      <c r="D64" s="9" t="s">
        <v>629</v>
      </c>
    </row>
    <row r="65" customFormat="false" ht="48" hidden="false" customHeight="true" outlineLevel="0" collapsed="false">
      <c r="A65" s="9" t="s">
        <v>5754</v>
      </c>
      <c r="B65" s="9" t="s">
        <v>737</v>
      </c>
      <c r="C65" s="9" t="s">
        <v>5759</v>
      </c>
      <c r="D65" s="9" t="s">
        <v>629</v>
      </c>
    </row>
    <row r="66" customFormat="false" ht="48" hidden="false" customHeight="true" outlineLevel="0" collapsed="false">
      <c r="A66" s="9" t="s">
        <v>5754</v>
      </c>
      <c r="B66" s="9" t="s">
        <v>764</v>
      </c>
      <c r="C66" s="9" t="s">
        <v>5760</v>
      </c>
      <c r="D66" s="9" t="s">
        <v>629</v>
      </c>
    </row>
    <row r="67" customFormat="false" ht="48" hidden="false" customHeight="true" outlineLevel="0" collapsed="false">
      <c r="A67" s="9" t="s">
        <v>5761</v>
      </c>
      <c r="B67" s="9" t="s">
        <v>5762</v>
      </c>
      <c r="C67" s="9" t="s">
        <v>4647</v>
      </c>
      <c r="D67" s="9" t="s">
        <v>2466</v>
      </c>
    </row>
    <row r="68" customFormat="false" ht="48" hidden="false" customHeight="true" outlineLevel="0" collapsed="false">
      <c r="A68" s="9" t="s">
        <v>5761</v>
      </c>
      <c r="B68" s="9" t="s">
        <v>5763</v>
      </c>
      <c r="C68" s="9" t="s">
        <v>5764</v>
      </c>
      <c r="D68" s="9" t="s">
        <v>2466</v>
      </c>
    </row>
    <row r="69" customFormat="false" ht="48" hidden="false" customHeight="true" outlineLevel="0" collapsed="false">
      <c r="A69" s="9" t="s">
        <v>5761</v>
      </c>
      <c r="B69" s="9" t="s">
        <v>5765</v>
      </c>
      <c r="C69" s="9" t="s">
        <v>5766</v>
      </c>
      <c r="D69" s="9" t="s">
        <v>4684</v>
      </c>
    </row>
    <row r="70" customFormat="false" ht="48" hidden="false" customHeight="true" outlineLevel="0" collapsed="false">
      <c r="A70" s="9" t="s">
        <v>5761</v>
      </c>
      <c r="B70" s="9" t="s">
        <v>5767</v>
      </c>
      <c r="C70" s="9" t="s">
        <v>5768</v>
      </c>
      <c r="D70" s="9" t="s">
        <v>5769</v>
      </c>
    </row>
    <row r="71" customFormat="false" ht="48" hidden="false" customHeight="true" outlineLevel="0" collapsed="false">
      <c r="A71" s="9" t="s">
        <v>5761</v>
      </c>
      <c r="B71" s="9" t="s">
        <v>5770</v>
      </c>
      <c r="C71" s="9" t="s">
        <v>4670</v>
      </c>
      <c r="D71" s="9" t="s">
        <v>1655</v>
      </c>
    </row>
    <row r="72" customFormat="false" ht="48" hidden="false" customHeight="true" outlineLevel="0" collapsed="false">
      <c r="A72" s="9" t="s">
        <v>5761</v>
      </c>
      <c r="B72" s="9" t="s">
        <v>5771</v>
      </c>
      <c r="C72" s="9" t="s">
        <v>4658</v>
      </c>
      <c r="D72" s="9" t="s">
        <v>954</v>
      </c>
    </row>
    <row r="73" customFormat="false" ht="48" hidden="false" customHeight="true" outlineLevel="0" collapsed="false">
      <c r="A73" s="9" t="s">
        <v>5761</v>
      </c>
      <c r="B73" s="9" t="s">
        <v>5772</v>
      </c>
      <c r="C73" s="9" t="s">
        <v>5773</v>
      </c>
      <c r="D73" s="9" t="s">
        <v>5717</v>
      </c>
    </row>
    <row r="74" customFormat="false" ht="48" hidden="false" customHeight="true" outlineLevel="0" collapsed="false">
      <c r="A74" s="9" t="s">
        <v>5774</v>
      </c>
      <c r="B74" s="9" t="s">
        <v>234</v>
      </c>
      <c r="C74" s="9" t="s">
        <v>5775</v>
      </c>
      <c r="D74" s="9" t="s">
        <v>5367</v>
      </c>
    </row>
    <row r="75" customFormat="false" ht="48" hidden="false" customHeight="true" outlineLevel="0" collapsed="false">
      <c r="A75" s="9" t="s">
        <v>5774</v>
      </c>
      <c r="B75" s="9" t="s">
        <v>540</v>
      </c>
      <c r="C75" s="9" t="s">
        <v>5776</v>
      </c>
      <c r="D75" s="9" t="s">
        <v>5367</v>
      </c>
    </row>
    <row r="76" customFormat="false" ht="48" hidden="false" customHeight="true" outlineLevel="0" collapsed="false">
      <c r="A76" s="9" t="s">
        <v>5774</v>
      </c>
      <c r="B76" s="9" t="s">
        <v>603</v>
      </c>
      <c r="C76" s="9" t="s">
        <v>5777</v>
      </c>
      <c r="D76" s="9" t="s">
        <v>5367</v>
      </c>
    </row>
    <row r="77" customFormat="false" ht="48" hidden="false" customHeight="true" outlineLevel="0" collapsed="false">
      <c r="A77" s="9" t="s">
        <v>5774</v>
      </c>
      <c r="B77" s="9" t="s">
        <v>5737</v>
      </c>
      <c r="C77" s="9" t="s">
        <v>5778</v>
      </c>
      <c r="D77" s="9" t="s">
        <v>5367</v>
      </c>
    </row>
    <row r="78" customFormat="false" ht="48" hidden="false" customHeight="true" outlineLevel="0" collapsed="false">
      <c r="A78" s="0" t="s">
        <v>5710</v>
      </c>
      <c r="B78" s="0" t="s">
        <v>5779</v>
      </c>
      <c r="C78" s="0" t="s">
        <v>5780</v>
      </c>
      <c r="D78" s="0" t="s">
        <v>4900</v>
      </c>
    </row>
    <row r="79" customFormat="false" ht="48" hidden="false" customHeight="true" outlineLevel="0" collapsed="false">
      <c r="A79" s="0" t="s">
        <v>5710</v>
      </c>
      <c r="B79" s="0" t="s">
        <v>5781</v>
      </c>
      <c r="C79" s="0" t="s">
        <v>5782</v>
      </c>
      <c r="D79" s="0" t="s">
        <v>4924</v>
      </c>
    </row>
    <row r="80" customFormat="false" ht="48" hidden="false" customHeight="true" outlineLevel="0" collapsed="false">
      <c r="A80" s="0" t="s">
        <v>5710</v>
      </c>
      <c r="B80" s="0" t="s">
        <v>392</v>
      </c>
      <c r="C80" s="0" t="s">
        <v>5783</v>
      </c>
      <c r="D80" s="0" t="s">
        <v>4916</v>
      </c>
    </row>
    <row r="81" customFormat="false" ht="48" hidden="false" customHeight="true" outlineLevel="0" collapsed="false">
      <c r="A81" s="0" t="s">
        <v>5710</v>
      </c>
      <c r="B81" s="0" t="s">
        <v>5784</v>
      </c>
      <c r="C81" s="0" t="s">
        <v>5785</v>
      </c>
      <c r="D81" s="0" t="s">
        <v>5144</v>
      </c>
    </row>
    <row r="82" customFormat="false" ht="48" hidden="false" customHeight="true" outlineLevel="0" collapsed="false">
      <c r="A82" s="0" t="s">
        <v>5710</v>
      </c>
      <c r="B82" s="0" t="s">
        <v>5786</v>
      </c>
      <c r="C82" s="0" t="s">
        <v>5787</v>
      </c>
      <c r="D82" s="0" t="s">
        <v>5788</v>
      </c>
    </row>
    <row r="83" customFormat="false" ht="48" hidden="false" customHeight="true" outlineLevel="0" collapsed="false">
      <c r="A83" s="0" t="s">
        <v>5789</v>
      </c>
      <c r="B83" s="0" t="s">
        <v>5790</v>
      </c>
      <c r="C83" s="0" t="s">
        <v>5791</v>
      </c>
      <c r="D83" s="0" t="s">
        <v>4905</v>
      </c>
    </row>
    <row r="84" customFormat="false" ht="48" hidden="false" customHeight="true" outlineLevel="0" collapsed="false">
      <c r="A84" s="0" t="s">
        <v>5789</v>
      </c>
      <c r="B84" s="0" t="s">
        <v>5792</v>
      </c>
      <c r="C84" s="0" t="s">
        <v>5793</v>
      </c>
      <c r="D84" s="0" t="s">
        <v>4905</v>
      </c>
    </row>
    <row r="85" customFormat="false" ht="48" hidden="false" customHeight="true" outlineLevel="0" collapsed="false">
      <c r="A85" s="0" t="s">
        <v>5789</v>
      </c>
      <c r="B85" s="0" t="s">
        <v>112</v>
      </c>
      <c r="C85" s="0" t="s">
        <v>5794</v>
      </c>
      <c r="D85" s="0" t="s">
        <v>4905</v>
      </c>
    </row>
    <row r="86" customFormat="false" ht="48" hidden="false" customHeight="true" outlineLevel="0" collapsed="false">
      <c r="A86" s="0" t="s">
        <v>5795</v>
      </c>
      <c r="B86" s="0" t="s">
        <v>5796</v>
      </c>
      <c r="C86" s="0" t="s">
        <v>5797</v>
      </c>
      <c r="D86" s="0" t="s">
        <v>4924</v>
      </c>
    </row>
    <row r="87" customFormat="false" ht="48" hidden="false" customHeight="true" outlineLevel="0" collapsed="false">
      <c r="A87" s="0" t="s">
        <v>5795</v>
      </c>
      <c r="B87" s="0" t="s">
        <v>5798</v>
      </c>
      <c r="C87" s="0" t="s">
        <v>5799</v>
      </c>
      <c r="D87" s="0" t="s">
        <v>4924</v>
      </c>
    </row>
    <row r="88" customFormat="false" ht="48" hidden="false" customHeight="true" outlineLevel="0" collapsed="false">
      <c r="A88" s="0" t="s">
        <v>5795</v>
      </c>
      <c r="B88" s="0" t="s">
        <v>5800</v>
      </c>
      <c r="C88" s="0" t="s">
        <v>5801</v>
      </c>
      <c r="D88" s="0" t="s">
        <v>4924</v>
      </c>
    </row>
    <row r="89" customFormat="false" ht="48" hidden="false" customHeight="true" outlineLevel="0" collapsed="false">
      <c r="A89" s="0" t="s">
        <v>5802</v>
      </c>
      <c r="B89" s="0" t="s">
        <v>4624</v>
      </c>
      <c r="C89" s="0" t="s">
        <v>5803</v>
      </c>
      <c r="D89" s="0" t="s">
        <v>5122</v>
      </c>
    </row>
    <row r="90" customFormat="false" ht="48" hidden="false" customHeight="true" outlineLevel="0" collapsed="false">
      <c r="A90" s="0" t="s">
        <v>5804</v>
      </c>
      <c r="B90" s="0" t="s">
        <v>4912</v>
      </c>
      <c r="C90" s="0" t="s">
        <v>5805</v>
      </c>
      <c r="D90" s="0" t="s">
        <v>4910</v>
      </c>
    </row>
    <row r="91" customFormat="false" ht="48" hidden="false" customHeight="true" outlineLevel="0" collapsed="false">
      <c r="A91" s="0" t="s">
        <v>5806</v>
      </c>
      <c r="B91" s="0" t="s">
        <v>4750</v>
      </c>
      <c r="C91" s="0" t="s">
        <v>5807</v>
      </c>
      <c r="D91" s="0" t="s">
        <v>5158</v>
      </c>
    </row>
    <row r="92" customFormat="false" ht="42" hidden="false" customHeight="true" outlineLevel="0" collapsed="false">
      <c r="A92" s="11" t="s">
        <v>5774</v>
      </c>
      <c r="B92" s="11" t="s">
        <v>454</v>
      </c>
      <c r="C92" s="11" t="s">
        <v>5808</v>
      </c>
      <c r="D92" s="11" t="s">
        <v>5809</v>
      </c>
    </row>
    <row r="93" customFormat="false" ht="42" hidden="false" customHeight="true" outlineLevel="0" collapsed="false">
      <c r="A93" s="10" t="s">
        <v>5710</v>
      </c>
      <c r="B93" s="10" t="s">
        <v>5810</v>
      </c>
      <c r="C93" s="10" t="s">
        <v>5811</v>
      </c>
      <c r="D93" s="10" t="s">
        <v>3877</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38"/>
    <col collapsed="false" customWidth="true" hidden="false" outlineLevel="0" max="4" min="4" style="0" width="110"/>
    <col collapsed="false" customWidth="true" hidden="false" outlineLevel="0" max="5" min="5" style="0" width="68"/>
    <col collapsed="false" customWidth="true" hidden="false" outlineLevel="0" max="6" min="6" style="0" width="16"/>
    <col collapsed="false" customWidth="true" hidden="false" outlineLevel="0" max="7" min="7" style="0" width="14"/>
  </cols>
  <sheetData>
    <row r="1" customFormat="false" ht="30" hidden="false" customHeight="true" outlineLevel="0" collapsed="false">
      <c r="A1" s="1" t="s">
        <v>5812</v>
      </c>
      <c r="B1" s="1"/>
      <c r="C1" s="1"/>
      <c r="D1" s="1"/>
      <c r="E1" s="1"/>
      <c r="F1" s="1"/>
      <c r="G1" s="1"/>
    </row>
    <row r="2" customFormat="false" ht="34" hidden="false" customHeight="true" outlineLevel="0" collapsed="false">
      <c r="A2" s="2" t="s">
        <v>5813</v>
      </c>
      <c r="B2" s="2"/>
      <c r="C2" s="2"/>
      <c r="D2" s="2"/>
      <c r="E2" s="2"/>
      <c r="F2" s="2"/>
      <c r="G2" s="2"/>
    </row>
    <row r="4" customFormat="false" ht="34" hidden="false" customHeight="true" outlineLevel="0" collapsed="false">
      <c r="A4" s="8" t="s">
        <v>5814</v>
      </c>
      <c r="B4" s="8" t="s">
        <v>5815</v>
      </c>
      <c r="C4" s="8" t="s">
        <v>5816</v>
      </c>
      <c r="D4" s="8" t="s">
        <v>5817</v>
      </c>
      <c r="E4" s="8" t="s">
        <v>5818</v>
      </c>
      <c r="F4" s="8" t="s">
        <v>5819</v>
      </c>
      <c r="G4" s="8" t="s">
        <v>647</v>
      </c>
    </row>
    <row r="5" customFormat="false" ht="72" hidden="false" customHeight="true" outlineLevel="0" collapsed="false">
      <c r="A5" s="9" t="s">
        <v>5820</v>
      </c>
      <c r="B5" s="9" t="s">
        <v>5821</v>
      </c>
      <c r="C5" s="9" t="s">
        <v>63</v>
      </c>
      <c r="D5" s="9" t="s">
        <v>5822</v>
      </c>
      <c r="E5" s="9" t="s">
        <v>5823</v>
      </c>
      <c r="F5" s="9" t="n">
        <v>339</v>
      </c>
      <c r="G5" s="9" t="s">
        <v>8</v>
      </c>
    </row>
    <row r="6" customFormat="false" ht="72" hidden="false" customHeight="true" outlineLevel="0" collapsed="false">
      <c r="A6" s="9" t="s">
        <v>5824</v>
      </c>
      <c r="B6" s="9" t="s">
        <v>5821</v>
      </c>
      <c r="C6" s="9" t="s">
        <v>70</v>
      </c>
      <c r="D6" s="9" t="s">
        <v>5825</v>
      </c>
      <c r="E6" s="9" t="s">
        <v>5826</v>
      </c>
      <c r="F6" s="9" t="n">
        <v>266</v>
      </c>
      <c r="G6" s="9" t="s">
        <v>8</v>
      </c>
    </row>
    <row r="7" customFormat="false" ht="72" hidden="false" customHeight="true" outlineLevel="0" collapsed="false">
      <c r="A7" s="9" t="s">
        <v>5827</v>
      </c>
      <c r="B7" s="9" t="s">
        <v>5821</v>
      </c>
      <c r="C7" s="9" t="s">
        <v>76</v>
      </c>
      <c r="D7" s="9" t="s">
        <v>5828</v>
      </c>
      <c r="E7" s="9" t="s">
        <v>5829</v>
      </c>
      <c r="F7" s="9" t="n">
        <v>391</v>
      </c>
      <c r="G7" s="9" t="s">
        <v>8</v>
      </c>
    </row>
    <row r="8" customFormat="false" ht="72" hidden="false" customHeight="true" outlineLevel="0" collapsed="false">
      <c r="A8" s="9" t="s">
        <v>5830</v>
      </c>
      <c r="B8" s="9" t="s">
        <v>5821</v>
      </c>
      <c r="C8" s="9" t="s">
        <v>83</v>
      </c>
      <c r="D8" s="9" t="s">
        <v>5831</v>
      </c>
      <c r="E8" s="9" t="s">
        <v>5832</v>
      </c>
      <c r="F8" s="9" t="n">
        <v>347</v>
      </c>
      <c r="G8" s="9" t="s">
        <v>8</v>
      </c>
    </row>
    <row r="9" customFormat="false" ht="72" hidden="false" customHeight="true" outlineLevel="0" collapsed="false">
      <c r="A9" s="9" t="s">
        <v>5833</v>
      </c>
      <c r="B9" s="9" t="s">
        <v>5821</v>
      </c>
      <c r="C9" s="9" t="s">
        <v>89</v>
      </c>
      <c r="D9" s="9" t="s">
        <v>5834</v>
      </c>
      <c r="E9" s="9" t="s">
        <v>5835</v>
      </c>
      <c r="F9" s="9" t="n">
        <v>327</v>
      </c>
      <c r="G9" s="9" t="s">
        <v>8</v>
      </c>
    </row>
    <row r="10" customFormat="false" ht="72" hidden="false" customHeight="true" outlineLevel="0" collapsed="false">
      <c r="A10" s="9" t="s">
        <v>5836</v>
      </c>
      <c r="B10" s="9" t="s">
        <v>5821</v>
      </c>
      <c r="C10" s="9" t="s">
        <v>94</v>
      </c>
      <c r="D10" s="9" t="s">
        <v>5837</v>
      </c>
      <c r="E10" s="9" t="s">
        <v>5838</v>
      </c>
      <c r="F10" s="9" t="n">
        <v>363</v>
      </c>
      <c r="G10" s="9" t="s">
        <v>8</v>
      </c>
    </row>
    <row r="11" customFormat="false" ht="72" hidden="false" customHeight="true" outlineLevel="0" collapsed="false">
      <c r="A11" s="9" t="s">
        <v>5839</v>
      </c>
      <c r="B11" s="9" t="s">
        <v>5821</v>
      </c>
      <c r="C11" s="9" t="s">
        <v>100</v>
      </c>
      <c r="D11" s="9" t="s">
        <v>5840</v>
      </c>
      <c r="E11" s="9" t="s">
        <v>5841</v>
      </c>
      <c r="F11" s="9" t="n">
        <v>316</v>
      </c>
      <c r="G11" s="9" t="s">
        <v>8</v>
      </c>
    </row>
    <row r="12" customFormat="false" ht="72" hidden="false" customHeight="true" outlineLevel="0" collapsed="false">
      <c r="A12" s="9" t="s">
        <v>5842</v>
      </c>
      <c r="B12" s="9" t="s">
        <v>5821</v>
      </c>
      <c r="C12" s="9" t="s">
        <v>107</v>
      </c>
      <c r="D12" s="9" t="s">
        <v>5843</v>
      </c>
      <c r="E12" s="9" t="s">
        <v>5844</v>
      </c>
      <c r="F12" s="9" t="n">
        <v>348</v>
      </c>
      <c r="G12" s="9" t="s">
        <v>8</v>
      </c>
    </row>
    <row r="13" customFormat="false" ht="72" hidden="false" customHeight="true" outlineLevel="0" collapsed="false">
      <c r="A13" s="9" t="s">
        <v>5845</v>
      </c>
      <c r="B13" s="9" t="s">
        <v>5821</v>
      </c>
      <c r="C13" s="9" t="s">
        <v>114</v>
      </c>
      <c r="D13" s="9" t="s">
        <v>5846</v>
      </c>
      <c r="E13" s="9" t="s">
        <v>5847</v>
      </c>
      <c r="F13" s="9" t="n">
        <v>315</v>
      </c>
      <c r="G13" s="9" t="s">
        <v>8</v>
      </c>
    </row>
    <row r="14" customFormat="false" ht="72" hidden="false" customHeight="true" outlineLevel="0" collapsed="false">
      <c r="A14" s="9" t="s">
        <v>5848</v>
      </c>
      <c r="B14" s="9" t="s">
        <v>5821</v>
      </c>
      <c r="C14" s="9" t="s">
        <v>120</v>
      </c>
      <c r="D14" s="9" t="s">
        <v>5849</v>
      </c>
      <c r="E14" s="9" t="s">
        <v>5850</v>
      </c>
      <c r="F14" s="9" t="n">
        <v>314</v>
      </c>
      <c r="G14" s="9" t="s">
        <v>8</v>
      </c>
    </row>
    <row r="15" customFormat="false" ht="72" hidden="false" customHeight="true" outlineLevel="0" collapsed="false">
      <c r="A15" s="9" t="s">
        <v>5851</v>
      </c>
      <c r="B15" s="9" t="s">
        <v>5821</v>
      </c>
      <c r="C15" s="9" t="s">
        <v>127</v>
      </c>
      <c r="D15" s="9" t="s">
        <v>5852</v>
      </c>
      <c r="E15" s="9" t="s">
        <v>5853</v>
      </c>
      <c r="F15" s="9" t="n">
        <v>303</v>
      </c>
      <c r="G15" s="9" t="s">
        <v>8</v>
      </c>
    </row>
    <row r="16" customFormat="false" ht="72" hidden="false" customHeight="true" outlineLevel="0" collapsed="false">
      <c r="A16" s="9" t="s">
        <v>5854</v>
      </c>
      <c r="B16" s="9" t="s">
        <v>5821</v>
      </c>
      <c r="C16" s="9" t="s">
        <v>133</v>
      </c>
      <c r="D16" s="9" t="s">
        <v>5855</v>
      </c>
      <c r="E16" s="9" t="s">
        <v>5856</v>
      </c>
      <c r="F16" s="9" t="n">
        <v>302</v>
      </c>
      <c r="G16" s="9" t="s">
        <v>8</v>
      </c>
    </row>
    <row r="17" customFormat="false" ht="72" hidden="false" customHeight="true" outlineLevel="0" collapsed="false">
      <c r="A17" s="9" t="s">
        <v>5857</v>
      </c>
      <c r="B17" s="9" t="s">
        <v>5821</v>
      </c>
      <c r="C17" s="9" t="s">
        <v>139</v>
      </c>
      <c r="D17" s="9" t="s">
        <v>5858</v>
      </c>
      <c r="E17" s="9" t="s">
        <v>5859</v>
      </c>
      <c r="F17" s="9" t="n">
        <v>290</v>
      </c>
      <c r="G17" s="9" t="s">
        <v>8</v>
      </c>
    </row>
    <row r="18" customFormat="false" ht="72" hidden="false" customHeight="true" outlineLevel="0" collapsed="false">
      <c r="A18" s="9" t="s">
        <v>5860</v>
      </c>
      <c r="B18" s="9" t="s">
        <v>5821</v>
      </c>
      <c r="C18" s="9" t="s">
        <v>145</v>
      </c>
      <c r="D18" s="9" t="s">
        <v>5861</v>
      </c>
      <c r="E18" s="9" t="s">
        <v>5862</v>
      </c>
      <c r="F18" s="9" t="n">
        <v>277</v>
      </c>
      <c r="G18" s="9" t="s">
        <v>8</v>
      </c>
    </row>
    <row r="19" customFormat="false" ht="72" hidden="false" customHeight="true" outlineLevel="0" collapsed="false">
      <c r="A19" s="9" t="s">
        <v>5863</v>
      </c>
      <c r="B19" s="9" t="s">
        <v>5821</v>
      </c>
      <c r="C19" s="9" t="s">
        <v>151</v>
      </c>
      <c r="D19" s="9" t="s">
        <v>5864</v>
      </c>
      <c r="E19" s="9" t="s">
        <v>5865</v>
      </c>
      <c r="F19" s="9" t="n">
        <v>347</v>
      </c>
      <c r="G19" s="9" t="s">
        <v>8</v>
      </c>
    </row>
    <row r="20" customFormat="false" ht="72" hidden="false" customHeight="true" outlineLevel="0" collapsed="false">
      <c r="A20" s="9" t="s">
        <v>5866</v>
      </c>
      <c r="B20" s="9" t="s">
        <v>5821</v>
      </c>
      <c r="C20" s="9" t="s">
        <v>157</v>
      </c>
      <c r="D20" s="9" t="s">
        <v>5867</v>
      </c>
      <c r="E20" s="9" t="s">
        <v>5868</v>
      </c>
      <c r="F20" s="9" t="n">
        <v>403</v>
      </c>
      <c r="G20" s="9" t="s">
        <v>8</v>
      </c>
    </row>
    <row r="21" customFormat="false" ht="72" hidden="false" customHeight="true" outlineLevel="0" collapsed="false">
      <c r="A21" s="9" t="s">
        <v>5869</v>
      </c>
      <c r="B21" s="9" t="s">
        <v>5821</v>
      </c>
      <c r="C21" s="9" t="s">
        <v>163</v>
      </c>
      <c r="D21" s="9" t="s">
        <v>5870</v>
      </c>
      <c r="E21" s="9" t="s">
        <v>5871</v>
      </c>
      <c r="F21" s="9" t="n">
        <v>326</v>
      </c>
      <c r="G21" s="9" t="s">
        <v>8</v>
      </c>
    </row>
    <row r="22" customFormat="false" ht="72" hidden="false" customHeight="true" outlineLevel="0" collapsed="false">
      <c r="A22" s="9" t="s">
        <v>5872</v>
      </c>
      <c r="B22" s="9" t="s">
        <v>5821</v>
      </c>
      <c r="C22" s="9" t="s">
        <v>169</v>
      </c>
      <c r="D22" s="9" t="s">
        <v>5873</v>
      </c>
      <c r="E22" s="9" t="s">
        <v>5874</v>
      </c>
      <c r="F22" s="9" t="n">
        <v>343</v>
      </c>
      <c r="G22" s="9" t="s">
        <v>8</v>
      </c>
    </row>
    <row r="23" customFormat="false" ht="72" hidden="false" customHeight="true" outlineLevel="0" collapsed="false">
      <c r="A23" s="9" t="s">
        <v>5875</v>
      </c>
      <c r="B23" s="9" t="s">
        <v>5821</v>
      </c>
      <c r="C23" s="9" t="s">
        <v>176</v>
      </c>
      <c r="D23" s="9" t="s">
        <v>5876</v>
      </c>
      <c r="E23" s="9" t="s">
        <v>5877</v>
      </c>
      <c r="F23" s="9" t="n">
        <v>386</v>
      </c>
      <c r="G23" s="9" t="s">
        <v>8</v>
      </c>
    </row>
    <row r="24" customFormat="false" ht="72" hidden="false" customHeight="true" outlineLevel="0" collapsed="false">
      <c r="A24" s="9" t="s">
        <v>5878</v>
      </c>
      <c r="B24" s="9" t="s">
        <v>5821</v>
      </c>
      <c r="C24" s="9" t="s">
        <v>183</v>
      </c>
      <c r="D24" s="9" t="s">
        <v>5879</v>
      </c>
      <c r="E24" s="9" t="s">
        <v>5880</v>
      </c>
      <c r="F24" s="9" t="n">
        <v>319</v>
      </c>
      <c r="G24" s="9" t="s">
        <v>8</v>
      </c>
    </row>
    <row r="25" customFormat="false" ht="72" hidden="false" customHeight="true" outlineLevel="0" collapsed="false">
      <c r="A25" s="9" t="s">
        <v>5881</v>
      </c>
      <c r="B25" s="9" t="s">
        <v>5821</v>
      </c>
      <c r="C25" s="9" t="s">
        <v>189</v>
      </c>
      <c r="D25" s="9" t="s">
        <v>5882</v>
      </c>
      <c r="E25" s="9" t="s">
        <v>5883</v>
      </c>
      <c r="F25" s="9" t="n">
        <v>383</v>
      </c>
      <c r="G25" s="9" t="s">
        <v>8</v>
      </c>
    </row>
    <row r="26" customFormat="false" ht="72" hidden="false" customHeight="true" outlineLevel="0" collapsed="false">
      <c r="A26" s="9" t="s">
        <v>5884</v>
      </c>
      <c r="B26" s="9" t="s">
        <v>5821</v>
      </c>
      <c r="C26" s="9" t="s">
        <v>196</v>
      </c>
      <c r="D26" s="9" t="s">
        <v>5885</v>
      </c>
      <c r="E26" s="9" t="s">
        <v>5886</v>
      </c>
      <c r="F26" s="9" t="n">
        <v>311</v>
      </c>
      <c r="G26" s="9" t="s">
        <v>8</v>
      </c>
    </row>
    <row r="27" customFormat="false" ht="72" hidden="false" customHeight="true" outlineLevel="0" collapsed="false">
      <c r="A27" s="9" t="s">
        <v>5887</v>
      </c>
      <c r="B27" s="9" t="s">
        <v>5821</v>
      </c>
      <c r="C27" s="9" t="s">
        <v>203</v>
      </c>
      <c r="D27" s="9" t="s">
        <v>5888</v>
      </c>
      <c r="E27" s="9" t="s">
        <v>5889</v>
      </c>
      <c r="F27" s="9" t="n">
        <v>342</v>
      </c>
      <c r="G27" s="9" t="s">
        <v>8</v>
      </c>
    </row>
    <row r="28" customFormat="false" ht="72" hidden="false" customHeight="true" outlineLevel="0" collapsed="false">
      <c r="A28" s="9" t="s">
        <v>5890</v>
      </c>
      <c r="B28" s="9" t="s">
        <v>5821</v>
      </c>
      <c r="C28" s="9" t="s">
        <v>210</v>
      </c>
      <c r="D28" s="9" t="s">
        <v>5891</v>
      </c>
      <c r="E28" s="9" t="s">
        <v>5892</v>
      </c>
      <c r="F28" s="9" t="n">
        <v>264</v>
      </c>
      <c r="G28" s="9" t="s">
        <v>8</v>
      </c>
    </row>
    <row r="29" customFormat="false" ht="72" hidden="false" customHeight="true" outlineLevel="0" collapsed="false">
      <c r="A29" s="9" t="s">
        <v>5893</v>
      </c>
      <c r="B29" s="9" t="s">
        <v>4762</v>
      </c>
      <c r="C29" s="9" t="s">
        <v>226</v>
      </c>
      <c r="D29" s="9" t="s">
        <v>5894</v>
      </c>
      <c r="E29" s="9" t="s">
        <v>5895</v>
      </c>
      <c r="F29" s="9" t="n">
        <v>466</v>
      </c>
      <c r="G29" s="9" t="s">
        <v>8</v>
      </c>
    </row>
    <row r="30" customFormat="false" ht="72" hidden="false" customHeight="true" outlineLevel="0" collapsed="false">
      <c r="A30" s="9" t="s">
        <v>5896</v>
      </c>
      <c r="B30" s="9" t="s">
        <v>4762</v>
      </c>
      <c r="C30" s="9" t="s">
        <v>236</v>
      </c>
      <c r="D30" s="9" t="s">
        <v>5897</v>
      </c>
      <c r="E30" s="9" t="s">
        <v>5898</v>
      </c>
      <c r="F30" s="9" t="n">
        <v>479</v>
      </c>
      <c r="G30" s="9" t="s">
        <v>8</v>
      </c>
    </row>
    <row r="31" customFormat="false" ht="72" hidden="false" customHeight="true" outlineLevel="0" collapsed="false">
      <c r="A31" s="9" t="s">
        <v>5899</v>
      </c>
      <c r="B31" s="9" t="s">
        <v>4762</v>
      </c>
      <c r="C31" s="9" t="s">
        <v>243</v>
      </c>
      <c r="D31" s="9" t="s">
        <v>5900</v>
      </c>
      <c r="E31" s="9" t="s">
        <v>5901</v>
      </c>
      <c r="F31" s="9" t="n">
        <v>445</v>
      </c>
      <c r="G31" s="9" t="s">
        <v>8</v>
      </c>
    </row>
    <row r="32" customFormat="false" ht="72" hidden="false" customHeight="true" outlineLevel="0" collapsed="false">
      <c r="A32" s="9" t="s">
        <v>5902</v>
      </c>
      <c r="B32" s="9" t="s">
        <v>4762</v>
      </c>
      <c r="C32" s="9" t="s">
        <v>250</v>
      </c>
      <c r="D32" s="9" t="s">
        <v>5903</v>
      </c>
      <c r="E32" s="9" t="s">
        <v>5904</v>
      </c>
      <c r="F32" s="9" t="n">
        <v>461</v>
      </c>
      <c r="G32" s="9" t="s">
        <v>8</v>
      </c>
    </row>
    <row r="33" customFormat="false" ht="72" hidden="false" customHeight="true" outlineLevel="0" collapsed="false">
      <c r="A33" s="9" t="s">
        <v>5905</v>
      </c>
      <c r="B33" s="9" t="s">
        <v>4762</v>
      </c>
      <c r="C33" s="9" t="s">
        <v>256</v>
      </c>
      <c r="D33" s="9" t="s">
        <v>5906</v>
      </c>
      <c r="E33" s="9" t="s">
        <v>5907</v>
      </c>
      <c r="F33" s="9" t="n">
        <v>433</v>
      </c>
      <c r="G33" s="9" t="s">
        <v>8</v>
      </c>
    </row>
    <row r="34" customFormat="false" ht="72" hidden="false" customHeight="true" outlineLevel="0" collapsed="false">
      <c r="A34" s="9" t="s">
        <v>5908</v>
      </c>
      <c r="B34" s="9" t="s">
        <v>4762</v>
      </c>
      <c r="C34" s="9" t="s">
        <v>263</v>
      </c>
      <c r="D34" s="9" t="s">
        <v>5909</v>
      </c>
      <c r="E34" s="9" t="s">
        <v>5910</v>
      </c>
      <c r="F34" s="9" t="n">
        <v>502</v>
      </c>
      <c r="G34" s="9" t="s">
        <v>8</v>
      </c>
    </row>
    <row r="35" customFormat="false" ht="72" hidden="false" customHeight="true" outlineLevel="0" collapsed="false">
      <c r="A35" s="9" t="s">
        <v>5911</v>
      </c>
      <c r="B35" s="9" t="s">
        <v>4762</v>
      </c>
      <c r="C35" s="9" t="s">
        <v>267</v>
      </c>
      <c r="D35" s="9" t="s">
        <v>5912</v>
      </c>
      <c r="E35" s="9" t="s">
        <v>5913</v>
      </c>
      <c r="F35" s="9" t="n">
        <v>479</v>
      </c>
      <c r="G35" s="9" t="s">
        <v>8</v>
      </c>
    </row>
    <row r="36" customFormat="false" ht="72" hidden="false" customHeight="true" outlineLevel="0" collapsed="false">
      <c r="A36" s="9" t="s">
        <v>5914</v>
      </c>
      <c r="B36" s="9" t="s">
        <v>4762</v>
      </c>
      <c r="C36" s="9" t="s">
        <v>272</v>
      </c>
      <c r="D36" s="9" t="s">
        <v>5915</v>
      </c>
      <c r="E36" s="9" t="s">
        <v>5916</v>
      </c>
      <c r="F36" s="9" t="n">
        <v>484</v>
      </c>
      <c r="G36" s="9" t="s">
        <v>8</v>
      </c>
    </row>
    <row r="37" customFormat="false" ht="72" hidden="false" customHeight="true" outlineLevel="0" collapsed="false">
      <c r="A37" s="9" t="s">
        <v>5917</v>
      </c>
      <c r="B37" s="9" t="s">
        <v>4762</v>
      </c>
      <c r="C37" s="9" t="s">
        <v>277</v>
      </c>
      <c r="D37" s="9" t="s">
        <v>5918</v>
      </c>
      <c r="E37" s="9" t="s">
        <v>5919</v>
      </c>
      <c r="F37" s="9" t="n">
        <v>539</v>
      </c>
      <c r="G37" s="9" t="s">
        <v>8</v>
      </c>
    </row>
    <row r="38" customFormat="false" ht="72" hidden="false" customHeight="true" outlineLevel="0" collapsed="false">
      <c r="A38" s="9" t="s">
        <v>5920</v>
      </c>
      <c r="B38" s="9" t="s">
        <v>4762</v>
      </c>
      <c r="C38" s="9" t="s">
        <v>284</v>
      </c>
      <c r="D38" s="9" t="s">
        <v>5921</v>
      </c>
      <c r="E38" s="9" t="s">
        <v>5922</v>
      </c>
      <c r="F38" s="9" t="n">
        <v>442</v>
      </c>
      <c r="G38" s="9" t="s">
        <v>8</v>
      </c>
    </row>
    <row r="39" customFormat="false" ht="72" hidden="false" customHeight="true" outlineLevel="0" collapsed="false">
      <c r="A39" s="9" t="s">
        <v>5923</v>
      </c>
      <c r="B39" s="9" t="s">
        <v>4762</v>
      </c>
      <c r="C39" s="9" t="s">
        <v>290</v>
      </c>
      <c r="D39" s="9" t="s">
        <v>5924</v>
      </c>
      <c r="E39" s="9" t="s">
        <v>5925</v>
      </c>
      <c r="F39" s="9" t="n">
        <v>468</v>
      </c>
      <c r="G39" s="9" t="s">
        <v>8</v>
      </c>
    </row>
    <row r="40" customFormat="false" ht="72" hidden="false" customHeight="true" outlineLevel="0" collapsed="false">
      <c r="A40" s="9" t="s">
        <v>5926</v>
      </c>
      <c r="B40" s="9" t="s">
        <v>4762</v>
      </c>
      <c r="C40" s="9" t="s">
        <v>294</v>
      </c>
      <c r="D40" s="9" t="s">
        <v>5927</v>
      </c>
      <c r="E40" s="9" t="s">
        <v>5928</v>
      </c>
      <c r="F40" s="9" t="n">
        <v>448</v>
      </c>
      <c r="G40" s="9" t="s">
        <v>8</v>
      </c>
    </row>
    <row r="41" customFormat="false" ht="72" hidden="false" customHeight="true" outlineLevel="0" collapsed="false">
      <c r="A41" s="9" t="s">
        <v>5929</v>
      </c>
      <c r="B41" s="9" t="s">
        <v>4762</v>
      </c>
      <c r="C41" s="9" t="s">
        <v>299</v>
      </c>
      <c r="D41" s="9" t="s">
        <v>5930</v>
      </c>
      <c r="E41" s="9" t="s">
        <v>5931</v>
      </c>
      <c r="F41" s="9" t="n">
        <v>466</v>
      </c>
      <c r="G41" s="9" t="s">
        <v>8</v>
      </c>
    </row>
    <row r="42" customFormat="false" ht="72" hidden="false" customHeight="true" outlineLevel="0" collapsed="false">
      <c r="A42" s="9" t="s">
        <v>5932</v>
      </c>
      <c r="B42" s="9" t="s">
        <v>4762</v>
      </c>
      <c r="C42" s="9" t="s">
        <v>304</v>
      </c>
      <c r="D42" s="9" t="s">
        <v>5933</v>
      </c>
      <c r="E42" s="9" t="s">
        <v>5934</v>
      </c>
      <c r="F42" s="9" t="n">
        <v>443</v>
      </c>
      <c r="G42" s="9" t="s">
        <v>8</v>
      </c>
    </row>
    <row r="43" customFormat="false" ht="72" hidden="false" customHeight="true" outlineLevel="0" collapsed="false">
      <c r="A43" s="9" t="s">
        <v>5935</v>
      </c>
      <c r="B43" s="9" t="s">
        <v>4762</v>
      </c>
      <c r="C43" s="9" t="s">
        <v>309</v>
      </c>
      <c r="D43" s="9" t="s">
        <v>5936</v>
      </c>
      <c r="E43" s="9" t="s">
        <v>5937</v>
      </c>
      <c r="F43" s="9" t="n">
        <v>475</v>
      </c>
      <c r="G43" s="9" t="s">
        <v>8</v>
      </c>
    </row>
    <row r="44" customFormat="false" ht="72" hidden="false" customHeight="true" outlineLevel="0" collapsed="false">
      <c r="A44" s="9" t="s">
        <v>5938</v>
      </c>
      <c r="B44" s="9" t="s">
        <v>4762</v>
      </c>
      <c r="C44" s="9" t="s">
        <v>314</v>
      </c>
      <c r="D44" s="9" t="s">
        <v>5939</v>
      </c>
      <c r="E44" s="9" t="s">
        <v>5940</v>
      </c>
      <c r="F44" s="9" t="n">
        <v>402</v>
      </c>
      <c r="G44" s="9" t="s">
        <v>8</v>
      </c>
    </row>
    <row r="45" customFormat="false" ht="72" hidden="false" customHeight="true" outlineLevel="0" collapsed="false">
      <c r="A45" s="9" t="s">
        <v>5941</v>
      </c>
      <c r="B45" s="9" t="s">
        <v>4762</v>
      </c>
      <c r="C45" s="9" t="s">
        <v>319</v>
      </c>
      <c r="D45" s="9" t="s">
        <v>5942</v>
      </c>
      <c r="E45" s="9" t="s">
        <v>5943</v>
      </c>
      <c r="F45" s="9" t="n">
        <v>479</v>
      </c>
      <c r="G45" s="9" t="s">
        <v>8</v>
      </c>
    </row>
    <row r="46" customFormat="false" ht="72" hidden="false" customHeight="true" outlineLevel="0" collapsed="false">
      <c r="A46" s="9" t="s">
        <v>5944</v>
      </c>
      <c r="B46" s="9" t="s">
        <v>4762</v>
      </c>
      <c r="C46" s="9" t="s">
        <v>327</v>
      </c>
      <c r="D46" s="9" t="s">
        <v>5945</v>
      </c>
      <c r="E46" s="9" t="s">
        <v>5946</v>
      </c>
      <c r="F46" s="9" t="n">
        <v>447</v>
      </c>
      <c r="G46" s="9" t="s">
        <v>8</v>
      </c>
    </row>
    <row r="47" customFormat="false" ht="72" hidden="false" customHeight="true" outlineLevel="0" collapsed="false">
      <c r="A47" s="9" t="s">
        <v>5947</v>
      </c>
      <c r="B47" s="9" t="s">
        <v>4762</v>
      </c>
      <c r="C47" s="9" t="s">
        <v>332</v>
      </c>
      <c r="D47" s="9" t="s">
        <v>5948</v>
      </c>
      <c r="E47" s="9" t="s">
        <v>5949</v>
      </c>
      <c r="F47" s="9" t="n">
        <v>419</v>
      </c>
      <c r="G47" s="9" t="s">
        <v>8</v>
      </c>
    </row>
    <row r="48" customFormat="false" ht="72" hidden="false" customHeight="true" outlineLevel="0" collapsed="false">
      <c r="A48" s="9" t="s">
        <v>5950</v>
      </c>
      <c r="B48" s="9" t="s">
        <v>4762</v>
      </c>
      <c r="C48" s="9" t="s">
        <v>337</v>
      </c>
      <c r="D48" s="9" t="s">
        <v>5951</v>
      </c>
      <c r="E48" s="9" t="s">
        <v>5952</v>
      </c>
      <c r="F48" s="9" t="n">
        <v>475</v>
      </c>
      <c r="G48" s="9" t="s">
        <v>8</v>
      </c>
    </row>
    <row r="49" customFormat="false" ht="72" hidden="false" customHeight="true" outlineLevel="0" collapsed="false">
      <c r="A49" s="9" t="s">
        <v>5953</v>
      </c>
      <c r="B49" s="9" t="s">
        <v>4762</v>
      </c>
      <c r="C49" s="9" t="s">
        <v>344</v>
      </c>
      <c r="D49" s="9" t="s">
        <v>5954</v>
      </c>
      <c r="E49" s="9" t="s">
        <v>5955</v>
      </c>
      <c r="F49" s="9" t="n">
        <v>623</v>
      </c>
      <c r="G49" s="9" t="s">
        <v>8</v>
      </c>
    </row>
    <row r="50" customFormat="false" ht="72" hidden="false" customHeight="true" outlineLevel="0" collapsed="false">
      <c r="A50" s="9" t="s">
        <v>5956</v>
      </c>
      <c r="B50" s="9" t="s">
        <v>4762</v>
      </c>
      <c r="C50" s="9" t="s">
        <v>350</v>
      </c>
      <c r="D50" s="9" t="s">
        <v>5957</v>
      </c>
      <c r="E50" s="9" t="s">
        <v>5958</v>
      </c>
      <c r="F50" s="9" t="n">
        <v>445</v>
      </c>
      <c r="G50" s="9" t="s">
        <v>8</v>
      </c>
    </row>
    <row r="51" customFormat="false" ht="72" hidden="false" customHeight="true" outlineLevel="0" collapsed="false">
      <c r="A51" s="9" t="s">
        <v>5959</v>
      </c>
      <c r="B51" s="9" t="s">
        <v>4762</v>
      </c>
      <c r="C51" s="9" t="s">
        <v>355</v>
      </c>
      <c r="D51" s="9" t="s">
        <v>5960</v>
      </c>
      <c r="E51" s="9" t="s">
        <v>5961</v>
      </c>
      <c r="F51" s="9" t="n">
        <v>468</v>
      </c>
      <c r="G51" s="9" t="s">
        <v>8</v>
      </c>
    </row>
    <row r="52" customFormat="false" ht="72" hidden="false" customHeight="true" outlineLevel="0" collapsed="false">
      <c r="A52" s="9" t="s">
        <v>5962</v>
      </c>
      <c r="B52" s="9" t="s">
        <v>4762</v>
      </c>
      <c r="C52" s="9" t="s">
        <v>364</v>
      </c>
      <c r="D52" s="9" t="s">
        <v>5963</v>
      </c>
      <c r="E52" s="9" t="s">
        <v>5964</v>
      </c>
      <c r="F52" s="9" t="n">
        <v>564</v>
      </c>
      <c r="G52" s="9" t="s">
        <v>8</v>
      </c>
    </row>
    <row r="53" customFormat="false" ht="72" hidden="false" customHeight="true" outlineLevel="0" collapsed="false">
      <c r="A53" s="9" t="s">
        <v>5965</v>
      </c>
      <c r="B53" s="9" t="s">
        <v>4762</v>
      </c>
      <c r="C53" s="9" t="s">
        <v>369</v>
      </c>
      <c r="D53" s="9" t="s">
        <v>5966</v>
      </c>
      <c r="E53" s="9" t="s">
        <v>5967</v>
      </c>
      <c r="F53" s="9" t="n">
        <v>453</v>
      </c>
      <c r="G53" s="9" t="s">
        <v>8</v>
      </c>
    </row>
    <row r="54" customFormat="false" ht="72" hidden="false" customHeight="true" outlineLevel="0" collapsed="false">
      <c r="A54" s="9" t="s">
        <v>5968</v>
      </c>
      <c r="B54" s="9" t="s">
        <v>4762</v>
      </c>
      <c r="C54" s="9" t="s">
        <v>374</v>
      </c>
      <c r="D54" s="9" t="s">
        <v>5969</v>
      </c>
      <c r="E54" s="9" t="s">
        <v>5970</v>
      </c>
      <c r="F54" s="9" t="n">
        <v>706</v>
      </c>
      <c r="G54" s="9" t="s">
        <v>8</v>
      </c>
    </row>
    <row r="55" customFormat="false" ht="72" hidden="false" customHeight="true" outlineLevel="0" collapsed="false">
      <c r="A55" s="9" t="s">
        <v>5971</v>
      </c>
      <c r="B55" s="9" t="s">
        <v>4762</v>
      </c>
      <c r="C55" s="9" t="s">
        <v>383</v>
      </c>
      <c r="D55" s="9" t="s">
        <v>5972</v>
      </c>
      <c r="E55" s="9" t="s">
        <v>5973</v>
      </c>
      <c r="F55" s="9" t="n">
        <v>532</v>
      </c>
      <c r="G55" s="9" t="s">
        <v>8</v>
      </c>
    </row>
    <row r="56" customFormat="false" ht="72" hidden="false" customHeight="true" outlineLevel="0" collapsed="false">
      <c r="A56" s="9" t="s">
        <v>5974</v>
      </c>
      <c r="B56" s="9" t="s">
        <v>4762</v>
      </c>
      <c r="C56" s="9" t="s">
        <v>390</v>
      </c>
      <c r="D56" s="9" t="s">
        <v>5975</v>
      </c>
      <c r="E56" s="9" t="s">
        <v>5976</v>
      </c>
      <c r="F56" s="9" t="n">
        <v>527</v>
      </c>
      <c r="G56" s="9" t="s">
        <v>8</v>
      </c>
    </row>
    <row r="57" customFormat="false" ht="72" hidden="false" customHeight="true" outlineLevel="0" collapsed="false">
      <c r="A57" s="9" t="s">
        <v>5977</v>
      </c>
      <c r="B57" s="9" t="s">
        <v>4762</v>
      </c>
      <c r="C57" s="9" t="s">
        <v>396</v>
      </c>
      <c r="D57" s="9" t="s">
        <v>5978</v>
      </c>
      <c r="E57" s="9" t="s">
        <v>5979</v>
      </c>
      <c r="F57" s="9" t="n">
        <v>551</v>
      </c>
      <c r="G57" s="9" t="s">
        <v>8</v>
      </c>
    </row>
    <row r="58" customFormat="false" ht="72" hidden="false" customHeight="true" outlineLevel="0" collapsed="false">
      <c r="A58" s="9" t="s">
        <v>5980</v>
      </c>
      <c r="B58" s="9" t="s">
        <v>4762</v>
      </c>
      <c r="C58" s="9" t="s">
        <v>402</v>
      </c>
      <c r="D58" s="9" t="s">
        <v>5981</v>
      </c>
      <c r="E58" s="9" t="s">
        <v>5982</v>
      </c>
      <c r="F58" s="9" t="n">
        <v>503</v>
      </c>
      <c r="G58" s="9" t="s">
        <v>8</v>
      </c>
    </row>
    <row r="59" customFormat="false" ht="72" hidden="false" customHeight="true" outlineLevel="0" collapsed="false">
      <c r="A59" s="9" t="s">
        <v>5983</v>
      </c>
      <c r="B59" s="9" t="s">
        <v>4762</v>
      </c>
      <c r="C59" s="9" t="s">
        <v>407</v>
      </c>
      <c r="D59" s="9" t="s">
        <v>5984</v>
      </c>
      <c r="E59" s="9" t="s">
        <v>5985</v>
      </c>
      <c r="F59" s="9" t="n">
        <v>479</v>
      </c>
      <c r="G59" s="9" t="s">
        <v>8</v>
      </c>
    </row>
    <row r="60" customFormat="false" ht="72" hidden="false" customHeight="true" outlineLevel="0" collapsed="false">
      <c r="A60" s="9" t="s">
        <v>5986</v>
      </c>
      <c r="B60" s="9" t="s">
        <v>4762</v>
      </c>
      <c r="C60" s="9" t="s">
        <v>410</v>
      </c>
      <c r="D60" s="9" t="s">
        <v>5987</v>
      </c>
      <c r="E60" s="9" t="s">
        <v>5988</v>
      </c>
      <c r="F60" s="9" t="n">
        <v>459</v>
      </c>
      <c r="G60" s="9" t="s">
        <v>8</v>
      </c>
    </row>
    <row r="61" customFormat="false" ht="72" hidden="false" customHeight="true" outlineLevel="0" collapsed="false">
      <c r="A61" s="9" t="s">
        <v>5989</v>
      </c>
      <c r="B61" s="9" t="s">
        <v>4762</v>
      </c>
      <c r="C61" s="9" t="s">
        <v>416</v>
      </c>
      <c r="D61" s="9" t="s">
        <v>5990</v>
      </c>
      <c r="E61" s="9" t="s">
        <v>5991</v>
      </c>
      <c r="F61" s="9" t="n">
        <v>409</v>
      </c>
      <c r="G61" s="9" t="s">
        <v>8</v>
      </c>
    </row>
    <row r="62" customFormat="false" ht="72" hidden="false" customHeight="true" outlineLevel="0" collapsed="false">
      <c r="A62" s="9" t="s">
        <v>5992</v>
      </c>
      <c r="B62" s="9" t="s">
        <v>4762</v>
      </c>
      <c r="C62" s="9" t="s">
        <v>421</v>
      </c>
      <c r="D62" s="9" t="s">
        <v>5993</v>
      </c>
      <c r="E62" s="9" t="s">
        <v>5994</v>
      </c>
      <c r="F62" s="9" t="n">
        <v>449</v>
      </c>
      <c r="G62" s="9" t="s">
        <v>8</v>
      </c>
    </row>
    <row r="63" customFormat="false" ht="72" hidden="false" customHeight="true" outlineLevel="0" collapsed="false">
      <c r="A63" s="9" t="s">
        <v>5995</v>
      </c>
      <c r="B63" s="9" t="s">
        <v>4762</v>
      </c>
      <c r="C63" s="9" t="s">
        <v>426</v>
      </c>
      <c r="D63" s="9" t="s">
        <v>5996</v>
      </c>
      <c r="E63" s="9" t="s">
        <v>5997</v>
      </c>
      <c r="F63" s="9" t="n">
        <v>464</v>
      </c>
      <c r="G63" s="9" t="s">
        <v>8</v>
      </c>
    </row>
    <row r="64" customFormat="false" ht="72" hidden="false" customHeight="true" outlineLevel="0" collapsed="false">
      <c r="A64" s="9" t="s">
        <v>5998</v>
      </c>
      <c r="B64" s="9" t="s">
        <v>4762</v>
      </c>
      <c r="C64" s="9" t="s">
        <v>433</v>
      </c>
      <c r="D64" s="9" t="s">
        <v>5999</v>
      </c>
      <c r="E64" s="9" t="s">
        <v>6000</v>
      </c>
      <c r="F64" s="9" t="n">
        <v>422</v>
      </c>
      <c r="G64" s="9" t="s">
        <v>8</v>
      </c>
    </row>
    <row r="65" customFormat="false" ht="72" hidden="false" customHeight="true" outlineLevel="0" collapsed="false">
      <c r="A65" s="9" t="s">
        <v>6001</v>
      </c>
      <c r="B65" s="9" t="s">
        <v>4762</v>
      </c>
      <c r="C65" s="9" t="s">
        <v>438</v>
      </c>
      <c r="D65" s="9" t="s">
        <v>6002</v>
      </c>
      <c r="E65" s="9" t="s">
        <v>6003</v>
      </c>
      <c r="F65" s="9" t="n">
        <v>488</v>
      </c>
      <c r="G65" s="9" t="s">
        <v>8</v>
      </c>
    </row>
    <row r="66" customFormat="false" ht="72" hidden="false" customHeight="true" outlineLevel="0" collapsed="false">
      <c r="A66" s="9" t="s">
        <v>6004</v>
      </c>
      <c r="B66" s="9" t="s">
        <v>4762</v>
      </c>
      <c r="C66" s="9" t="s">
        <v>444</v>
      </c>
      <c r="D66" s="9" t="s">
        <v>6005</v>
      </c>
      <c r="E66" s="9" t="s">
        <v>6006</v>
      </c>
      <c r="F66" s="9" t="n">
        <v>483</v>
      </c>
      <c r="G66" s="9" t="s">
        <v>8</v>
      </c>
    </row>
    <row r="67" customFormat="false" ht="72" hidden="false" customHeight="true" outlineLevel="0" collapsed="false">
      <c r="A67" s="9" t="s">
        <v>6007</v>
      </c>
      <c r="B67" s="9" t="s">
        <v>4762</v>
      </c>
      <c r="C67" s="9" t="s">
        <v>448</v>
      </c>
      <c r="D67" s="9" t="s">
        <v>6008</v>
      </c>
      <c r="E67" s="9" t="s">
        <v>6009</v>
      </c>
      <c r="F67" s="9" t="n">
        <v>612</v>
      </c>
      <c r="G67" s="9" t="s">
        <v>8</v>
      </c>
    </row>
    <row r="68" customFormat="false" ht="72" hidden="false" customHeight="true" outlineLevel="0" collapsed="false">
      <c r="A68" s="9" t="s">
        <v>6010</v>
      </c>
      <c r="B68" s="9" t="s">
        <v>4762</v>
      </c>
      <c r="C68" s="9" t="s">
        <v>456</v>
      </c>
      <c r="D68" s="9" t="s">
        <v>6011</v>
      </c>
      <c r="E68" s="9" t="s">
        <v>6012</v>
      </c>
      <c r="F68" s="9" t="n">
        <v>501</v>
      </c>
      <c r="G68" s="9" t="s">
        <v>8</v>
      </c>
    </row>
    <row r="69" customFormat="false" ht="72" hidden="false" customHeight="true" outlineLevel="0" collapsed="false">
      <c r="A69" s="9" t="s">
        <v>6013</v>
      </c>
      <c r="B69" s="9" t="s">
        <v>4762</v>
      </c>
      <c r="C69" s="9" t="s">
        <v>461</v>
      </c>
      <c r="D69" s="9" t="s">
        <v>6014</v>
      </c>
      <c r="E69" s="9" t="s">
        <v>6015</v>
      </c>
      <c r="F69" s="9" t="n">
        <v>537</v>
      </c>
      <c r="G69" s="9" t="s">
        <v>8</v>
      </c>
    </row>
    <row r="70" customFormat="false" ht="72" hidden="false" customHeight="true" outlineLevel="0" collapsed="false">
      <c r="A70" s="9" t="s">
        <v>6016</v>
      </c>
      <c r="B70" s="9" t="s">
        <v>4762</v>
      </c>
      <c r="C70" s="9" t="s">
        <v>467</v>
      </c>
      <c r="D70" s="9" t="s">
        <v>6017</v>
      </c>
      <c r="E70" s="9" t="s">
        <v>6018</v>
      </c>
      <c r="F70" s="9" t="n">
        <v>430</v>
      </c>
      <c r="G70" s="9" t="s">
        <v>8</v>
      </c>
    </row>
    <row r="71" customFormat="false" ht="72" hidden="false" customHeight="true" outlineLevel="0" collapsed="false">
      <c r="A71" s="9" t="s">
        <v>6019</v>
      </c>
      <c r="B71" s="9" t="s">
        <v>4762</v>
      </c>
      <c r="C71" s="9" t="s">
        <v>473</v>
      </c>
      <c r="D71" s="9" t="s">
        <v>6020</v>
      </c>
      <c r="E71" s="9" t="s">
        <v>6021</v>
      </c>
      <c r="F71" s="9" t="n">
        <v>463</v>
      </c>
      <c r="G71" s="9" t="s">
        <v>8</v>
      </c>
    </row>
    <row r="72" customFormat="false" ht="72" hidden="false" customHeight="true" outlineLevel="0" collapsed="false">
      <c r="A72" s="9" t="s">
        <v>6022</v>
      </c>
      <c r="B72" s="9" t="s">
        <v>4762</v>
      </c>
      <c r="C72" s="9" t="s">
        <v>480</v>
      </c>
      <c r="D72" s="9" t="s">
        <v>6023</v>
      </c>
      <c r="E72" s="9" t="s">
        <v>6024</v>
      </c>
      <c r="F72" s="9" t="n">
        <v>492</v>
      </c>
      <c r="G72" s="9" t="s">
        <v>8</v>
      </c>
    </row>
    <row r="73" customFormat="false" ht="72" hidden="false" customHeight="true" outlineLevel="0" collapsed="false">
      <c r="A73" s="9" t="s">
        <v>6025</v>
      </c>
      <c r="B73" s="9" t="s">
        <v>4762</v>
      </c>
      <c r="C73" s="9" t="s">
        <v>487</v>
      </c>
      <c r="D73" s="9" t="s">
        <v>6026</v>
      </c>
      <c r="E73" s="9" t="s">
        <v>6027</v>
      </c>
      <c r="F73" s="9" t="n">
        <v>437</v>
      </c>
      <c r="G73" s="9" t="s">
        <v>8</v>
      </c>
    </row>
    <row r="74" customFormat="false" ht="72" hidden="false" customHeight="true" outlineLevel="0" collapsed="false">
      <c r="A74" s="9" t="s">
        <v>6028</v>
      </c>
      <c r="B74" s="9" t="s">
        <v>4762</v>
      </c>
      <c r="C74" s="9" t="s">
        <v>495</v>
      </c>
      <c r="D74" s="9" t="s">
        <v>6029</v>
      </c>
      <c r="E74" s="9" t="s">
        <v>6030</v>
      </c>
      <c r="F74" s="9" t="n">
        <v>456</v>
      </c>
      <c r="G74" s="9" t="s">
        <v>8</v>
      </c>
    </row>
    <row r="75" customFormat="false" ht="72" hidden="false" customHeight="true" outlineLevel="0" collapsed="false">
      <c r="A75" s="9" t="s">
        <v>6031</v>
      </c>
      <c r="B75" s="9" t="s">
        <v>4762</v>
      </c>
      <c r="C75" s="9" t="s">
        <v>503</v>
      </c>
      <c r="D75" s="9" t="s">
        <v>6032</v>
      </c>
      <c r="E75" s="9" t="s">
        <v>6033</v>
      </c>
      <c r="F75" s="9" t="n">
        <v>478</v>
      </c>
      <c r="G75" s="9" t="s">
        <v>8</v>
      </c>
    </row>
    <row r="76" customFormat="false" ht="72" hidden="false" customHeight="true" outlineLevel="0" collapsed="false">
      <c r="A76" s="9" t="s">
        <v>6034</v>
      </c>
      <c r="B76" s="9" t="s">
        <v>4762</v>
      </c>
      <c r="C76" s="9" t="s">
        <v>508</v>
      </c>
      <c r="D76" s="9" t="s">
        <v>6035</v>
      </c>
      <c r="E76" s="9" t="s">
        <v>6036</v>
      </c>
      <c r="F76" s="9" t="n">
        <v>540</v>
      </c>
      <c r="G76" s="9" t="s">
        <v>8</v>
      </c>
    </row>
    <row r="77" customFormat="false" ht="72" hidden="false" customHeight="true" outlineLevel="0" collapsed="false">
      <c r="A77" s="9" t="s">
        <v>6037</v>
      </c>
      <c r="B77" s="9" t="s">
        <v>4762</v>
      </c>
      <c r="C77" s="9" t="s">
        <v>515</v>
      </c>
      <c r="D77" s="9" t="s">
        <v>6038</v>
      </c>
      <c r="E77" s="9" t="s">
        <v>6039</v>
      </c>
      <c r="F77" s="9" t="n">
        <v>468</v>
      </c>
      <c r="G77" s="9" t="s">
        <v>8</v>
      </c>
    </row>
    <row r="78" customFormat="false" ht="72" hidden="false" customHeight="true" outlineLevel="0" collapsed="false">
      <c r="A78" s="9" t="s">
        <v>6040</v>
      </c>
      <c r="B78" s="9" t="s">
        <v>4762</v>
      </c>
      <c r="C78" s="9" t="s">
        <v>522</v>
      </c>
      <c r="D78" s="9" t="s">
        <v>6041</v>
      </c>
      <c r="E78" s="9" t="s">
        <v>6042</v>
      </c>
      <c r="F78" s="9" t="n">
        <v>387</v>
      </c>
      <c r="G78" s="9" t="s">
        <v>8</v>
      </c>
    </row>
    <row r="79" customFormat="false" ht="72" hidden="false" customHeight="true" outlineLevel="0" collapsed="false">
      <c r="A79" s="9" t="s">
        <v>6043</v>
      </c>
      <c r="B79" s="9" t="s">
        <v>4762</v>
      </c>
      <c r="C79" s="9" t="s">
        <v>531</v>
      </c>
      <c r="D79" s="9" t="s">
        <v>6044</v>
      </c>
      <c r="E79" s="9" t="s">
        <v>6045</v>
      </c>
      <c r="F79" s="9" t="n">
        <v>487</v>
      </c>
      <c r="G79" s="9" t="s">
        <v>8</v>
      </c>
    </row>
    <row r="80" customFormat="false" ht="72" hidden="false" customHeight="true" outlineLevel="0" collapsed="false">
      <c r="A80" s="9" t="s">
        <v>6046</v>
      </c>
      <c r="B80" s="9" t="s">
        <v>4762</v>
      </c>
      <c r="C80" s="9" t="s">
        <v>541</v>
      </c>
      <c r="D80" s="9" t="s">
        <v>6047</v>
      </c>
      <c r="E80" s="9" t="s">
        <v>6048</v>
      </c>
      <c r="F80" s="9" t="n">
        <v>458</v>
      </c>
      <c r="G80" s="9" t="s">
        <v>8</v>
      </c>
    </row>
    <row r="81" customFormat="false" ht="72" hidden="false" customHeight="true" outlineLevel="0" collapsed="false">
      <c r="A81" s="9" t="s">
        <v>6049</v>
      </c>
      <c r="B81" s="9" t="s">
        <v>4762</v>
      </c>
      <c r="C81" s="9" t="s">
        <v>547</v>
      </c>
      <c r="D81" s="9" t="s">
        <v>6050</v>
      </c>
      <c r="E81" s="9" t="s">
        <v>6051</v>
      </c>
      <c r="F81" s="9" t="n">
        <v>494</v>
      </c>
      <c r="G81" s="9" t="s">
        <v>8</v>
      </c>
    </row>
    <row r="82" customFormat="false" ht="72" hidden="false" customHeight="true" outlineLevel="0" collapsed="false">
      <c r="A82" s="9" t="s">
        <v>6052</v>
      </c>
      <c r="B82" s="9" t="s">
        <v>4762</v>
      </c>
      <c r="C82" s="9" t="s">
        <v>553</v>
      </c>
      <c r="D82" s="9" t="s">
        <v>6053</v>
      </c>
      <c r="E82" s="9" t="s">
        <v>6054</v>
      </c>
      <c r="F82" s="9" t="n">
        <v>499</v>
      </c>
      <c r="G82" s="9" t="s">
        <v>8</v>
      </c>
    </row>
    <row r="83" customFormat="false" ht="72" hidden="false" customHeight="true" outlineLevel="0" collapsed="false">
      <c r="A83" s="9" t="s">
        <v>6055</v>
      </c>
      <c r="B83" s="9" t="s">
        <v>4762</v>
      </c>
      <c r="C83" s="9" t="s">
        <v>559</v>
      </c>
      <c r="D83" s="9" t="s">
        <v>6056</v>
      </c>
      <c r="E83" s="9" t="s">
        <v>6057</v>
      </c>
      <c r="F83" s="9" t="n">
        <v>462</v>
      </c>
      <c r="G83" s="9" t="s">
        <v>8</v>
      </c>
    </row>
    <row r="84" customFormat="false" ht="72" hidden="false" customHeight="true" outlineLevel="0" collapsed="false">
      <c r="A84" s="9" t="s">
        <v>6058</v>
      </c>
      <c r="B84" s="9" t="s">
        <v>4762</v>
      </c>
      <c r="C84" s="9" t="s">
        <v>564</v>
      </c>
      <c r="D84" s="9" t="s">
        <v>6059</v>
      </c>
      <c r="E84" s="9" t="s">
        <v>6060</v>
      </c>
      <c r="F84" s="9" t="n">
        <v>479</v>
      </c>
      <c r="G84" s="9" t="s">
        <v>8</v>
      </c>
    </row>
    <row r="85" customFormat="false" ht="72" hidden="false" customHeight="true" outlineLevel="0" collapsed="false">
      <c r="A85" s="9" t="s">
        <v>6061</v>
      </c>
      <c r="B85" s="9" t="s">
        <v>4762</v>
      </c>
      <c r="C85" s="9" t="s">
        <v>572</v>
      </c>
      <c r="D85" s="9" t="s">
        <v>6062</v>
      </c>
      <c r="E85" s="9" t="s">
        <v>6063</v>
      </c>
      <c r="F85" s="9" t="n">
        <v>531</v>
      </c>
      <c r="G85" s="9" t="s">
        <v>8</v>
      </c>
    </row>
    <row r="86" customFormat="false" ht="72" hidden="false" customHeight="true" outlineLevel="0" collapsed="false">
      <c r="A86" s="9" t="s">
        <v>6064</v>
      </c>
      <c r="B86" s="9" t="s">
        <v>4762</v>
      </c>
      <c r="C86" s="9" t="s">
        <v>579</v>
      </c>
      <c r="D86" s="9" t="s">
        <v>6065</v>
      </c>
      <c r="E86" s="9" t="s">
        <v>6066</v>
      </c>
      <c r="F86" s="9" t="n">
        <v>503</v>
      </c>
      <c r="G86" s="9" t="s">
        <v>8</v>
      </c>
    </row>
    <row r="87" customFormat="false" ht="72" hidden="false" customHeight="true" outlineLevel="0" collapsed="false">
      <c r="A87" s="9" t="s">
        <v>6067</v>
      </c>
      <c r="B87" s="9" t="s">
        <v>4762</v>
      </c>
      <c r="C87" s="9" t="s">
        <v>585</v>
      </c>
      <c r="D87" s="9" t="s">
        <v>6068</v>
      </c>
      <c r="E87" s="9" t="s">
        <v>6069</v>
      </c>
      <c r="F87" s="9" t="n">
        <v>552</v>
      </c>
      <c r="G87" s="9" t="s">
        <v>8</v>
      </c>
    </row>
    <row r="88" customFormat="false" ht="72" hidden="false" customHeight="true" outlineLevel="0" collapsed="false">
      <c r="A88" s="9" t="s">
        <v>6070</v>
      </c>
      <c r="B88" s="9" t="s">
        <v>4762</v>
      </c>
      <c r="C88" s="9" t="s">
        <v>591</v>
      </c>
      <c r="D88" s="9" t="s">
        <v>6071</v>
      </c>
      <c r="E88" s="9" t="s">
        <v>6072</v>
      </c>
      <c r="F88" s="9" t="n">
        <v>457</v>
      </c>
      <c r="G88" s="9" t="s">
        <v>8</v>
      </c>
    </row>
    <row r="89" customFormat="false" ht="72" hidden="false" customHeight="true" outlineLevel="0" collapsed="false">
      <c r="A89" s="9" t="s">
        <v>6073</v>
      </c>
      <c r="B89" s="9" t="s">
        <v>4762</v>
      </c>
      <c r="C89" s="9" t="s">
        <v>598</v>
      </c>
      <c r="D89" s="9" t="s">
        <v>6074</v>
      </c>
      <c r="E89" s="9" t="s">
        <v>6075</v>
      </c>
      <c r="F89" s="9" t="n">
        <v>365</v>
      </c>
      <c r="G89" s="9" t="s">
        <v>8</v>
      </c>
    </row>
    <row r="90" customFormat="false" ht="72" hidden="false" customHeight="true" outlineLevel="0" collapsed="false">
      <c r="A90" s="9" t="s">
        <v>6076</v>
      </c>
      <c r="B90" s="9" t="s">
        <v>4762</v>
      </c>
      <c r="C90" s="9" t="s">
        <v>604</v>
      </c>
      <c r="D90" s="9" t="s">
        <v>6077</v>
      </c>
      <c r="E90" s="9" t="s">
        <v>6078</v>
      </c>
      <c r="F90" s="9" t="n">
        <v>406</v>
      </c>
      <c r="G90" s="9" t="s">
        <v>8</v>
      </c>
    </row>
    <row r="91" customFormat="false" ht="72" hidden="false" customHeight="true" outlineLevel="0" collapsed="false">
      <c r="A91" s="9" t="s">
        <v>6079</v>
      </c>
      <c r="B91" s="9" t="s">
        <v>4762</v>
      </c>
      <c r="C91" s="9" t="s">
        <v>609</v>
      </c>
      <c r="D91" s="9" t="s">
        <v>6080</v>
      </c>
      <c r="E91" s="9" t="s">
        <v>6081</v>
      </c>
      <c r="F91" s="9" t="n">
        <v>401</v>
      </c>
      <c r="G91" s="9" t="s">
        <v>8</v>
      </c>
    </row>
    <row r="92" customFormat="false" ht="72" hidden="false" customHeight="true" outlineLevel="0" collapsed="false">
      <c r="A92" s="9" t="s">
        <v>6082</v>
      </c>
      <c r="B92" s="9" t="s">
        <v>4762</v>
      </c>
      <c r="C92" s="9" t="s">
        <v>616</v>
      </c>
      <c r="D92" s="9" t="s">
        <v>6083</v>
      </c>
      <c r="E92" s="9" t="s">
        <v>6084</v>
      </c>
      <c r="F92" s="9" t="n">
        <v>540</v>
      </c>
      <c r="G92" s="9" t="s">
        <v>8</v>
      </c>
    </row>
    <row r="93" customFormat="false" ht="72" hidden="false" customHeight="true" outlineLevel="0" collapsed="false">
      <c r="A93" s="9" t="s">
        <v>6085</v>
      </c>
      <c r="B93" s="9" t="s">
        <v>4762</v>
      </c>
      <c r="C93" s="9" t="s">
        <v>624</v>
      </c>
      <c r="D93" s="9" t="s">
        <v>6086</v>
      </c>
      <c r="E93" s="9" t="s">
        <v>6087</v>
      </c>
      <c r="F93" s="9" t="n">
        <v>429</v>
      </c>
      <c r="G93" s="9" t="s">
        <v>8</v>
      </c>
    </row>
    <row r="94" customFormat="false" ht="72" hidden="false" customHeight="true" outlineLevel="0" collapsed="false">
      <c r="A94" s="9" t="s">
        <v>6088</v>
      </c>
      <c r="B94" s="9" t="s">
        <v>4762</v>
      </c>
      <c r="C94" s="9" t="s">
        <v>630</v>
      </c>
      <c r="D94" s="9" t="s">
        <v>6089</v>
      </c>
      <c r="E94" s="9" t="s">
        <v>6090</v>
      </c>
      <c r="F94" s="9" t="n">
        <v>874</v>
      </c>
      <c r="G94" s="9" t="s">
        <v>8</v>
      </c>
    </row>
    <row r="95" customFormat="false" ht="72" hidden="false" customHeight="true" outlineLevel="0" collapsed="false">
      <c r="A95" s="9" t="s">
        <v>6091</v>
      </c>
      <c r="B95" s="9" t="s">
        <v>4762</v>
      </c>
      <c r="C95" s="9" t="s">
        <v>637</v>
      </c>
      <c r="D95" s="9" t="s">
        <v>6092</v>
      </c>
      <c r="E95" s="9" t="s">
        <v>6093</v>
      </c>
      <c r="F95" s="9" t="n">
        <v>399</v>
      </c>
      <c r="G95" s="9" t="s">
        <v>8</v>
      </c>
    </row>
    <row r="96" customFormat="false" ht="72" hidden="false" customHeight="true" outlineLevel="0" collapsed="false">
      <c r="A96" s="9" t="s">
        <v>6094</v>
      </c>
      <c r="B96" s="9" t="s">
        <v>6095</v>
      </c>
      <c r="C96" s="9" t="s">
        <v>658</v>
      </c>
      <c r="D96" s="9" t="s">
        <v>6096</v>
      </c>
      <c r="E96" s="9" t="s">
        <v>6097</v>
      </c>
      <c r="F96" s="9" t="n">
        <v>476</v>
      </c>
      <c r="G96" s="9" t="s">
        <v>8</v>
      </c>
    </row>
    <row r="97" customFormat="false" ht="72" hidden="false" customHeight="true" outlineLevel="0" collapsed="false">
      <c r="A97" s="9" t="s">
        <v>6098</v>
      </c>
      <c r="B97" s="9" t="s">
        <v>6095</v>
      </c>
      <c r="C97" s="9" t="s">
        <v>672</v>
      </c>
      <c r="D97" s="9" t="s">
        <v>6099</v>
      </c>
      <c r="E97" s="9" t="s">
        <v>6100</v>
      </c>
      <c r="F97" s="9" t="n">
        <v>406</v>
      </c>
      <c r="G97" s="9" t="s">
        <v>8</v>
      </c>
    </row>
    <row r="98" customFormat="false" ht="72" hidden="false" customHeight="true" outlineLevel="0" collapsed="false">
      <c r="A98" s="9" t="s">
        <v>6101</v>
      </c>
      <c r="B98" s="9" t="s">
        <v>6095</v>
      </c>
      <c r="C98" s="9" t="s">
        <v>677</v>
      </c>
      <c r="D98" s="9" t="s">
        <v>6102</v>
      </c>
      <c r="E98" s="9" t="s">
        <v>6103</v>
      </c>
      <c r="F98" s="9" t="n">
        <v>396</v>
      </c>
      <c r="G98" s="9" t="s">
        <v>8</v>
      </c>
    </row>
    <row r="99" customFormat="false" ht="72" hidden="false" customHeight="true" outlineLevel="0" collapsed="false">
      <c r="A99" s="9" t="s">
        <v>6104</v>
      </c>
      <c r="B99" s="9" t="s">
        <v>6095</v>
      </c>
      <c r="C99" s="9" t="s">
        <v>682</v>
      </c>
      <c r="D99" s="9" t="s">
        <v>6105</v>
      </c>
      <c r="E99" s="9" t="s">
        <v>6106</v>
      </c>
      <c r="F99" s="9" t="n">
        <v>423</v>
      </c>
      <c r="G99" s="9" t="s">
        <v>8</v>
      </c>
    </row>
    <row r="100" customFormat="false" ht="72" hidden="false" customHeight="true" outlineLevel="0" collapsed="false">
      <c r="A100" s="9" t="s">
        <v>6107</v>
      </c>
      <c r="B100" s="9" t="s">
        <v>6095</v>
      </c>
      <c r="C100" s="9" t="s">
        <v>687</v>
      </c>
      <c r="D100" s="9" t="s">
        <v>6108</v>
      </c>
      <c r="E100" s="9" t="s">
        <v>6109</v>
      </c>
      <c r="F100" s="9" t="n">
        <v>521</v>
      </c>
      <c r="G100" s="9" t="s">
        <v>8</v>
      </c>
    </row>
    <row r="101" customFormat="false" ht="72" hidden="false" customHeight="true" outlineLevel="0" collapsed="false">
      <c r="A101" s="9" t="s">
        <v>6110</v>
      </c>
      <c r="B101" s="9" t="s">
        <v>6095</v>
      </c>
      <c r="C101" s="9" t="s">
        <v>694</v>
      </c>
      <c r="D101" s="9" t="s">
        <v>6111</v>
      </c>
      <c r="E101" s="9" t="s">
        <v>6112</v>
      </c>
      <c r="F101" s="9" t="n">
        <v>415</v>
      </c>
      <c r="G101" s="9" t="s">
        <v>8</v>
      </c>
    </row>
    <row r="102" customFormat="false" ht="72" hidden="false" customHeight="true" outlineLevel="0" collapsed="false">
      <c r="A102" s="9" t="s">
        <v>6113</v>
      </c>
      <c r="B102" s="9" t="s">
        <v>6095</v>
      </c>
      <c r="C102" s="9" t="s">
        <v>699</v>
      </c>
      <c r="D102" s="9" t="s">
        <v>6114</v>
      </c>
      <c r="E102" s="9" t="s">
        <v>6115</v>
      </c>
      <c r="F102" s="9" t="n">
        <v>426</v>
      </c>
      <c r="G102" s="9" t="s">
        <v>8</v>
      </c>
    </row>
    <row r="103" customFormat="false" ht="72" hidden="false" customHeight="true" outlineLevel="0" collapsed="false">
      <c r="A103" s="9" t="s">
        <v>6116</v>
      </c>
      <c r="B103" s="9" t="s">
        <v>6095</v>
      </c>
      <c r="C103" s="9" t="s">
        <v>705</v>
      </c>
      <c r="D103" s="9" t="s">
        <v>6117</v>
      </c>
      <c r="E103" s="9" t="s">
        <v>6118</v>
      </c>
      <c r="F103" s="9" t="n">
        <v>432</v>
      </c>
      <c r="G103" s="9" t="s">
        <v>8</v>
      </c>
    </row>
    <row r="104" customFormat="false" ht="72" hidden="false" customHeight="true" outlineLevel="0" collapsed="false">
      <c r="A104" s="9" t="s">
        <v>6119</v>
      </c>
      <c r="B104" s="9" t="s">
        <v>6095</v>
      </c>
      <c r="C104" s="9" t="s">
        <v>710</v>
      </c>
      <c r="D104" s="9" t="s">
        <v>6120</v>
      </c>
      <c r="E104" s="9" t="s">
        <v>6121</v>
      </c>
      <c r="F104" s="9" t="n">
        <v>466</v>
      </c>
      <c r="G104" s="9" t="s">
        <v>8</v>
      </c>
    </row>
    <row r="105" customFormat="false" ht="72" hidden="false" customHeight="true" outlineLevel="0" collapsed="false">
      <c r="A105" s="9" t="s">
        <v>6122</v>
      </c>
      <c r="B105" s="9" t="s">
        <v>6095</v>
      </c>
      <c r="C105" s="9" t="s">
        <v>715</v>
      </c>
      <c r="D105" s="9" t="s">
        <v>6123</v>
      </c>
      <c r="E105" s="9" t="s">
        <v>6124</v>
      </c>
      <c r="F105" s="9" t="n">
        <v>541</v>
      </c>
      <c r="G105" s="9" t="s">
        <v>8</v>
      </c>
    </row>
    <row r="106" customFormat="false" ht="72" hidden="false" customHeight="true" outlineLevel="0" collapsed="false">
      <c r="A106" s="9" t="s">
        <v>6125</v>
      </c>
      <c r="B106" s="9" t="s">
        <v>6126</v>
      </c>
      <c r="C106" s="9" t="s">
        <v>734</v>
      </c>
      <c r="D106" s="9" t="s">
        <v>6127</v>
      </c>
      <c r="E106" s="9" t="s">
        <v>6128</v>
      </c>
      <c r="F106" s="9" t="n">
        <v>540</v>
      </c>
      <c r="G106" s="9" t="s">
        <v>8</v>
      </c>
    </row>
    <row r="107" customFormat="false" ht="72" hidden="false" customHeight="true" outlineLevel="0" collapsed="false">
      <c r="A107" s="9" t="s">
        <v>6129</v>
      </c>
      <c r="B107" s="9" t="s">
        <v>6126</v>
      </c>
      <c r="C107" s="9" t="s">
        <v>746</v>
      </c>
      <c r="D107" s="9" t="s">
        <v>6130</v>
      </c>
      <c r="E107" s="9" t="s">
        <v>6131</v>
      </c>
      <c r="F107" s="9" t="n">
        <v>608</v>
      </c>
      <c r="G107" s="9" t="s">
        <v>8</v>
      </c>
    </row>
    <row r="108" customFormat="false" ht="72" hidden="false" customHeight="true" outlineLevel="0" collapsed="false">
      <c r="A108" s="9" t="s">
        <v>6132</v>
      </c>
      <c r="B108" s="9" t="s">
        <v>6126</v>
      </c>
      <c r="C108" s="9" t="s">
        <v>754</v>
      </c>
      <c r="D108" s="9" t="s">
        <v>6133</v>
      </c>
      <c r="E108" s="9" t="s">
        <v>6134</v>
      </c>
      <c r="F108" s="9" t="n">
        <v>822</v>
      </c>
      <c r="G108" s="9" t="s">
        <v>8</v>
      </c>
    </row>
    <row r="109" customFormat="false" ht="72" hidden="false" customHeight="true" outlineLevel="0" collapsed="false">
      <c r="A109" s="9" t="s">
        <v>6135</v>
      </c>
      <c r="B109" s="9" t="s">
        <v>6126</v>
      </c>
      <c r="C109" s="9" t="s">
        <v>762</v>
      </c>
      <c r="D109" s="9" t="s">
        <v>6136</v>
      </c>
      <c r="E109" s="9" t="s">
        <v>6137</v>
      </c>
      <c r="F109" s="9" t="n">
        <v>499</v>
      </c>
      <c r="G109" s="9" t="s">
        <v>8</v>
      </c>
    </row>
    <row r="110" customFormat="false" ht="72" hidden="false" customHeight="true" outlineLevel="0" collapsed="false">
      <c r="A110" s="9" t="s">
        <v>6138</v>
      </c>
      <c r="B110" s="9" t="s">
        <v>6126</v>
      </c>
      <c r="C110" s="9" t="s">
        <v>771</v>
      </c>
      <c r="D110" s="9" t="s">
        <v>6139</v>
      </c>
      <c r="E110" s="9" t="s">
        <v>6140</v>
      </c>
      <c r="F110" s="9" t="n">
        <v>639</v>
      </c>
      <c r="G110" s="9" t="s">
        <v>8</v>
      </c>
    </row>
    <row r="111" customFormat="false" ht="72" hidden="false" customHeight="true" outlineLevel="0" collapsed="false">
      <c r="A111" s="9" t="s">
        <v>6141</v>
      </c>
      <c r="B111" s="9" t="s">
        <v>6126</v>
      </c>
      <c r="C111" s="9" t="s">
        <v>779</v>
      </c>
      <c r="D111" s="9" t="s">
        <v>6142</v>
      </c>
      <c r="E111" s="9" t="s">
        <v>6143</v>
      </c>
      <c r="F111" s="9" t="n">
        <v>587</v>
      </c>
      <c r="G111" s="9" t="s">
        <v>8</v>
      </c>
    </row>
    <row r="112" customFormat="false" ht="72" hidden="false" customHeight="true" outlineLevel="0" collapsed="false">
      <c r="A112" s="9" t="s">
        <v>6144</v>
      </c>
      <c r="B112" s="9" t="s">
        <v>6126</v>
      </c>
      <c r="C112" s="9" t="s">
        <v>785</v>
      </c>
      <c r="D112" s="9" t="s">
        <v>6145</v>
      </c>
      <c r="E112" s="9" t="s">
        <v>6146</v>
      </c>
      <c r="F112" s="9" t="n">
        <v>792</v>
      </c>
      <c r="G112" s="9" t="s">
        <v>8</v>
      </c>
    </row>
    <row r="113" customFormat="false" ht="72" hidden="false" customHeight="true" outlineLevel="0" collapsed="false">
      <c r="A113" s="9" t="s">
        <v>6147</v>
      </c>
      <c r="B113" s="9" t="s">
        <v>6126</v>
      </c>
      <c r="C113" s="9" t="s">
        <v>790</v>
      </c>
      <c r="D113" s="9" t="s">
        <v>6148</v>
      </c>
      <c r="E113" s="9" t="s">
        <v>6149</v>
      </c>
      <c r="F113" s="9" t="n">
        <v>434</v>
      </c>
      <c r="G113" s="9" t="s">
        <v>8</v>
      </c>
    </row>
    <row r="114" customFormat="false" ht="72" hidden="false" customHeight="true" outlineLevel="0" collapsed="false">
      <c r="A114" s="9" t="s">
        <v>6150</v>
      </c>
      <c r="B114" s="9" t="s">
        <v>6151</v>
      </c>
      <c r="C114" s="9" t="s">
        <v>803</v>
      </c>
      <c r="D114" s="9" t="s">
        <v>6152</v>
      </c>
      <c r="E114" s="9" t="s">
        <v>6153</v>
      </c>
      <c r="F114" s="9" t="n">
        <v>732</v>
      </c>
      <c r="G114" s="9" t="s">
        <v>8</v>
      </c>
    </row>
    <row r="115" customFormat="false" ht="72" hidden="false" customHeight="true" outlineLevel="0" collapsed="false">
      <c r="A115" s="9" t="s">
        <v>6154</v>
      </c>
      <c r="B115" s="9" t="s">
        <v>6151</v>
      </c>
      <c r="C115" s="9" t="s">
        <v>810</v>
      </c>
      <c r="D115" s="9" t="s">
        <v>6155</v>
      </c>
      <c r="E115" s="9" t="s">
        <v>6156</v>
      </c>
      <c r="F115" s="9" t="n">
        <v>433</v>
      </c>
      <c r="G115" s="9" t="s">
        <v>8</v>
      </c>
    </row>
    <row r="116" customFormat="false" ht="72" hidden="false" customHeight="true" outlineLevel="0" collapsed="false">
      <c r="A116" s="9" t="s">
        <v>6157</v>
      </c>
      <c r="B116" s="9" t="s">
        <v>6151</v>
      </c>
      <c r="C116" s="9" t="s">
        <v>813</v>
      </c>
      <c r="D116" s="9" t="s">
        <v>6158</v>
      </c>
      <c r="E116" s="9" t="s">
        <v>6159</v>
      </c>
      <c r="F116" s="9" t="n">
        <v>311</v>
      </c>
      <c r="G116" s="9" t="s">
        <v>8</v>
      </c>
    </row>
    <row r="117" customFormat="false" ht="72" hidden="false" customHeight="true" outlineLevel="0" collapsed="false">
      <c r="A117" s="9" t="s">
        <v>6160</v>
      </c>
      <c r="B117" s="9" t="s">
        <v>6151</v>
      </c>
      <c r="C117" s="9" t="s">
        <v>817</v>
      </c>
      <c r="D117" s="9" t="s">
        <v>6161</v>
      </c>
      <c r="E117" s="9" t="s">
        <v>6162</v>
      </c>
      <c r="F117" s="9" t="n">
        <v>371</v>
      </c>
      <c r="G117" s="9" t="s">
        <v>8</v>
      </c>
    </row>
    <row r="118" customFormat="false" ht="72" hidden="false" customHeight="true" outlineLevel="0" collapsed="false">
      <c r="A118" s="9" t="s">
        <v>6163</v>
      </c>
      <c r="B118" s="9" t="s">
        <v>6151</v>
      </c>
      <c r="C118" s="9" t="s">
        <v>823</v>
      </c>
      <c r="D118" s="9" t="s">
        <v>6164</v>
      </c>
      <c r="E118" s="9" t="s">
        <v>6165</v>
      </c>
      <c r="F118" s="9" t="n">
        <v>398</v>
      </c>
      <c r="G118" s="9" t="s">
        <v>8</v>
      </c>
    </row>
    <row r="119" customFormat="false" ht="72" hidden="false" customHeight="true" outlineLevel="0" collapsed="false">
      <c r="A119" s="9" t="s">
        <v>6166</v>
      </c>
      <c r="B119" s="9" t="s">
        <v>6151</v>
      </c>
      <c r="C119" s="9" t="s">
        <v>830</v>
      </c>
      <c r="D119" s="9" t="s">
        <v>6167</v>
      </c>
      <c r="E119" s="9" t="s">
        <v>6168</v>
      </c>
      <c r="F119" s="9" t="n">
        <v>365</v>
      </c>
      <c r="G119" s="9" t="s">
        <v>8</v>
      </c>
    </row>
    <row r="120" customFormat="false" ht="72" hidden="false" customHeight="true" outlineLevel="0" collapsed="false">
      <c r="A120" s="9" t="s">
        <v>6169</v>
      </c>
      <c r="B120" s="9" t="s">
        <v>6151</v>
      </c>
      <c r="C120" s="9" t="s">
        <v>837</v>
      </c>
      <c r="D120" s="9" t="s">
        <v>6170</v>
      </c>
      <c r="E120" s="9" t="s">
        <v>6171</v>
      </c>
      <c r="F120" s="9" t="n">
        <v>383</v>
      </c>
      <c r="G120" s="9" t="s">
        <v>8</v>
      </c>
    </row>
    <row r="121" customFormat="false" ht="72" hidden="false" customHeight="true" outlineLevel="0" collapsed="false">
      <c r="A121" s="9" t="s">
        <v>6172</v>
      </c>
      <c r="B121" s="9" t="s">
        <v>6151</v>
      </c>
      <c r="C121" s="9" t="s">
        <v>843</v>
      </c>
      <c r="D121" s="9" t="s">
        <v>6173</v>
      </c>
      <c r="E121" s="9" t="s">
        <v>6174</v>
      </c>
      <c r="F121" s="9" t="n">
        <v>411</v>
      </c>
      <c r="G121" s="9" t="s">
        <v>8</v>
      </c>
    </row>
    <row r="122" customFormat="false" ht="72" hidden="false" customHeight="true" outlineLevel="0" collapsed="false">
      <c r="A122" s="9" t="s">
        <v>6175</v>
      </c>
      <c r="B122" s="9" t="s">
        <v>6176</v>
      </c>
      <c r="C122" s="9" t="s">
        <v>3726</v>
      </c>
      <c r="D122" s="9" t="s">
        <v>6177</v>
      </c>
      <c r="E122" s="9" t="s">
        <v>6178</v>
      </c>
      <c r="F122" s="9" t="n">
        <v>537</v>
      </c>
      <c r="G122" s="9" t="s">
        <v>8</v>
      </c>
    </row>
    <row r="123" customFormat="false" ht="72" hidden="false" customHeight="true" outlineLevel="0" collapsed="false">
      <c r="A123" s="9" t="s">
        <v>6179</v>
      </c>
      <c r="B123" s="9" t="s">
        <v>6176</v>
      </c>
      <c r="C123" s="9" t="s">
        <v>3731</v>
      </c>
      <c r="D123" s="9" t="s">
        <v>6180</v>
      </c>
      <c r="E123" s="9" t="s">
        <v>6181</v>
      </c>
      <c r="F123" s="9" t="n">
        <v>471</v>
      </c>
      <c r="G123" s="9" t="s">
        <v>8</v>
      </c>
    </row>
    <row r="124" customFormat="false" ht="72" hidden="false" customHeight="true" outlineLevel="0" collapsed="false">
      <c r="A124" s="9" t="s">
        <v>6182</v>
      </c>
      <c r="B124" s="9" t="s">
        <v>6176</v>
      </c>
      <c r="C124" s="9" t="s">
        <v>3736</v>
      </c>
      <c r="D124" s="9" t="s">
        <v>6183</v>
      </c>
      <c r="E124" s="9" t="s">
        <v>6184</v>
      </c>
      <c r="F124" s="9" t="n">
        <v>399</v>
      </c>
      <c r="G124" s="9" t="s">
        <v>8</v>
      </c>
    </row>
    <row r="125" customFormat="false" ht="72" hidden="false" customHeight="true" outlineLevel="0" collapsed="false">
      <c r="A125" s="9" t="s">
        <v>6185</v>
      </c>
      <c r="B125" s="9" t="s">
        <v>6176</v>
      </c>
      <c r="C125" s="9" t="s">
        <v>3740</v>
      </c>
      <c r="D125" s="9" t="s">
        <v>6186</v>
      </c>
      <c r="E125" s="9" t="s">
        <v>6187</v>
      </c>
      <c r="F125" s="9" t="n">
        <v>433</v>
      </c>
      <c r="G125" s="9" t="s">
        <v>8</v>
      </c>
    </row>
    <row r="126" customFormat="false" ht="72" hidden="false" customHeight="true" outlineLevel="0" collapsed="false">
      <c r="A126" s="9" t="s">
        <v>6188</v>
      </c>
      <c r="B126" s="9" t="s">
        <v>6176</v>
      </c>
      <c r="C126" s="9" t="s">
        <v>3744</v>
      </c>
      <c r="D126" s="9" t="s">
        <v>6189</v>
      </c>
      <c r="E126" s="9" t="s">
        <v>6190</v>
      </c>
      <c r="F126" s="9" t="n">
        <v>508</v>
      </c>
      <c r="G126" s="9" t="s">
        <v>8</v>
      </c>
    </row>
    <row r="127" customFormat="false" ht="72" hidden="false" customHeight="true" outlineLevel="0" collapsed="false">
      <c r="A127" s="9" t="s">
        <v>6191</v>
      </c>
      <c r="B127" s="9" t="s">
        <v>6176</v>
      </c>
      <c r="C127" s="9" t="s">
        <v>3750</v>
      </c>
      <c r="D127" s="9" t="s">
        <v>6192</v>
      </c>
      <c r="E127" s="9" t="s">
        <v>6193</v>
      </c>
      <c r="F127" s="9" t="n">
        <v>482</v>
      </c>
      <c r="G127" s="9" t="s">
        <v>8</v>
      </c>
    </row>
    <row r="128" customFormat="false" ht="72" hidden="false" customHeight="true" outlineLevel="0" collapsed="false">
      <c r="A128" s="9" t="s">
        <v>6194</v>
      </c>
      <c r="B128" s="9" t="s">
        <v>6176</v>
      </c>
      <c r="C128" s="9" t="s">
        <v>3755</v>
      </c>
      <c r="D128" s="9" t="s">
        <v>6195</v>
      </c>
      <c r="E128" s="9" t="s">
        <v>6196</v>
      </c>
      <c r="F128" s="9" t="n">
        <v>550</v>
      </c>
      <c r="G128" s="9" t="s">
        <v>8</v>
      </c>
    </row>
    <row r="129" customFormat="false" ht="72" hidden="false" customHeight="true" outlineLevel="0" collapsed="false">
      <c r="A129" s="9" t="s">
        <v>6197</v>
      </c>
      <c r="B129" s="9" t="s">
        <v>6176</v>
      </c>
      <c r="C129" s="9" t="s">
        <v>3760</v>
      </c>
      <c r="D129" s="9" t="s">
        <v>6198</v>
      </c>
      <c r="E129" s="9" t="s">
        <v>6199</v>
      </c>
      <c r="F129" s="9" t="n">
        <v>502</v>
      </c>
      <c r="G129" s="9" t="s">
        <v>8</v>
      </c>
    </row>
    <row r="130" customFormat="false" ht="72" hidden="false" customHeight="true" outlineLevel="0" collapsed="false">
      <c r="A130" s="9" t="s">
        <v>6200</v>
      </c>
      <c r="B130" s="9" t="s">
        <v>6176</v>
      </c>
      <c r="C130" s="9" t="s">
        <v>3766</v>
      </c>
      <c r="D130" s="9" t="s">
        <v>6201</v>
      </c>
      <c r="E130" s="9" t="s">
        <v>6202</v>
      </c>
      <c r="F130" s="9" t="n">
        <v>480</v>
      </c>
      <c r="G130" s="9" t="s">
        <v>8</v>
      </c>
    </row>
    <row r="131" customFormat="false" ht="72" hidden="false" customHeight="true" outlineLevel="0" collapsed="false">
      <c r="A131" s="9" t="s">
        <v>6203</v>
      </c>
      <c r="B131" s="9" t="s">
        <v>6176</v>
      </c>
      <c r="C131" s="9" t="s">
        <v>3772</v>
      </c>
      <c r="D131" s="9" t="s">
        <v>6204</v>
      </c>
      <c r="E131" s="9" t="s">
        <v>6205</v>
      </c>
      <c r="F131" s="9" t="n">
        <v>455</v>
      </c>
      <c r="G131" s="9" t="s">
        <v>8</v>
      </c>
    </row>
    <row r="132" customFormat="false" ht="72" hidden="false" customHeight="true" outlineLevel="0" collapsed="false">
      <c r="A132" s="9" t="s">
        <v>6206</v>
      </c>
      <c r="B132" s="9" t="s">
        <v>6176</v>
      </c>
      <c r="C132" s="9" t="s">
        <v>3777</v>
      </c>
      <c r="D132" s="9" t="s">
        <v>6207</v>
      </c>
      <c r="E132" s="9" t="s">
        <v>6208</v>
      </c>
      <c r="F132" s="9" t="n">
        <v>482</v>
      </c>
      <c r="G132" s="9" t="s">
        <v>8</v>
      </c>
    </row>
    <row r="133" customFormat="false" ht="72" hidden="false" customHeight="true" outlineLevel="0" collapsed="false">
      <c r="A133" s="9" t="s">
        <v>6209</v>
      </c>
      <c r="B133" s="9" t="s">
        <v>6176</v>
      </c>
      <c r="C133" s="9" t="s">
        <v>3783</v>
      </c>
      <c r="D133" s="9" t="s">
        <v>6210</v>
      </c>
      <c r="E133" s="9" t="s">
        <v>6211</v>
      </c>
      <c r="F133" s="9" t="n">
        <v>561</v>
      </c>
      <c r="G133" s="9" t="s">
        <v>8</v>
      </c>
    </row>
    <row r="134" customFormat="false" ht="72" hidden="false" customHeight="true" outlineLevel="0" collapsed="false">
      <c r="A134" s="9" t="s">
        <v>6212</v>
      </c>
      <c r="B134" s="9" t="s">
        <v>6176</v>
      </c>
      <c r="C134" s="9" t="s">
        <v>3788</v>
      </c>
      <c r="D134" s="9" t="s">
        <v>6213</v>
      </c>
      <c r="E134" s="9" t="s">
        <v>6214</v>
      </c>
      <c r="F134" s="9" t="n">
        <v>516</v>
      </c>
      <c r="G134" s="9" t="s">
        <v>8</v>
      </c>
    </row>
    <row r="135" customFormat="false" ht="72" hidden="false" customHeight="true" outlineLevel="0" collapsed="false">
      <c r="A135" s="9" t="s">
        <v>6215</v>
      </c>
      <c r="B135" s="9" t="s">
        <v>6176</v>
      </c>
      <c r="C135" s="9" t="s">
        <v>3793</v>
      </c>
      <c r="D135" s="9" t="s">
        <v>6216</v>
      </c>
      <c r="E135" s="9" t="s">
        <v>6217</v>
      </c>
      <c r="F135" s="9" t="n">
        <v>490</v>
      </c>
      <c r="G135" s="9" t="s">
        <v>8</v>
      </c>
    </row>
    <row r="136" customFormat="false" ht="72" hidden="false" customHeight="true" outlineLevel="0" collapsed="false">
      <c r="A136" s="9" t="s">
        <v>6218</v>
      </c>
      <c r="B136" s="9" t="s">
        <v>6176</v>
      </c>
      <c r="C136" s="9" t="s">
        <v>3798</v>
      </c>
      <c r="D136" s="9" t="s">
        <v>6219</v>
      </c>
      <c r="E136" s="9" t="s">
        <v>6220</v>
      </c>
      <c r="F136" s="9" t="n">
        <v>471</v>
      </c>
      <c r="G136" s="9" t="s">
        <v>8</v>
      </c>
    </row>
    <row r="137" customFormat="false" ht="72" hidden="false" customHeight="true" outlineLevel="0" collapsed="false">
      <c r="A137" s="9" t="s">
        <v>6221</v>
      </c>
      <c r="B137" s="9" t="s">
        <v>6176</v>
      </c>
      <c r="C137" s="9" t="s">
        <v>3802</v>
      </c>
      <c r="D137" s="9" t="s">
        <v>6222</v>
      </c>
      <c r="E137" s="9" t="s">
        <v>6223</v>
      </c>
      <c r="F137" s="9" t="n">
        <v>424</v>
      </c>
      <c r="G137" s="9" t="s">
        <v>8</v>
      </c>
    </row>
    <row r="138" customFormat="false" ht="72" hidden="false" customHeight="true" outlineLevel="0" collapsed="false">
      <c r="A138" s="9" t="s">
        <v>6224</v>
      </c>
      <c r="B138" s="9" t="s">
        <v>6176</v>
      </c>
      <c r="C138" s="9" t="s">
        <v>3807</v>
      </c>
      <c r="D138" s="9" t="s">
        <v>6225</v>
      </c>
      <c r="E138" s="9" t="s">
        <v>6226</v>
      </c>
      <c r="F138" s="9" t="n">
        <v>404</v>
      </c>
      <c r="G138" s="9" t="s">
        <v>8</v>
      </c>
    </row>
    <row r="139" customFormat="false" ht="72" hidden="false" customHeight="true" outlineLevel="0" collapsed="false">
      <c r="A139" s="9" t="s">
        <v>6227</v>
      </c>
      <c r="B139" s="9" t="s">
        <v>6176</v>
      </c>
      <c r="C139" s="9" t="s">
        <v>3812</v>
      </c>
      <c r="D139" s="9" t="s">
        <v>6228</v>
      </c>
      <c r="E139" s="9" t="s">
        <v>6229</v>
      </c>
      <c r="F139" s="9" t="n">
        <v>422</v>
      </c>
      <c r="G139" s="9" t="s">
        <v>8</v>
      </c>
    </row>
    <row r="140" customFormat="false" ht="72" hidden="false" customHeight="true" outlineLevel="0" collapsed="false">
      <c r="A140" s="9" t="s">
        <v>6230</v>
      </c>
      <c r="B140" s="9" t="s">
        <v>6176</v>
      </c>
      <c r="C140" s="9" t="s">
        <v>3818</v>
      </c>
      <c r="D140" s="9" t="s">
        <v>6231</v>
      </c>
      <c r="E140" s="9" t="s">
        <v>6232</v>
      </c>
      <c r="F140" s="9" t="n">
        <v>469</v>
      </c>
      <c r="G140" s="9" t="s">
        <v>8</v>
      </c>
    </row>
    <row r="141" customFormat="false" ht="72" hidden="false" customHeight="true" outlineLevel="0" collapsed="false">
      <c r="A141" s="9" t="s">
        <v>6233</v>
      </c>
      <c r="B141" s="9" t="s">
        <v>6176</v>
      </c>
      <c r="C141" s="9" t="s">
        <v>3822</v>
      </c>
      <c r="D141" s="9" t="s">
        <v>6234</v>
      </c>
      <c r="E141" s="9" t="s">
        <v>6235</v>
      </c>
      <c r="F141" s="9" t="n">
        <v>570</v>
      </c>
      <c r="G141" s="9" t="s">
        <v>8</v>
      </c>
    </row>
    <row r="142" customFormat="false" ht="72" hidden="false" customHeight="true" outlineLevel="0" collapsed="false">
      <c r="A142" s="9" t="s">
        <v>6236</v>
      </c>
      <c r="B142" s="9" t="s">
        <v>6176</v>
      </c>
      <c r="C142" s="9" t="s">
        <v>3828</v>
      </c>
      <c r="D142" s="9" t="s">
        <v>6237</v>
      </c>
      <c r="E142" s="9" t="s">
        <v>6238</v>
      </c>
      <c r="F142" s="9" t="n">
        <v>419</v>
      </c>
      <c r="G142" s="9" t="s">
        <v>8</v>
      </c>
    </row>
    <row r="143" customFormat="false" ht="72" hidden="false" customHeight="true" outlineLevel="0" collapsed="false">
      <c r="A143" s="9" t="s">
        <v>6239</v>
      </c>
      <c r="B143" s="9" t="s">
        <v>6176</v>
      </c>
      <c r="C143" s="9" t="s">
        <v>3834</v>
      </c>
      <c r="D143" s="9" t="s">
        <v>6240</v>
      </c>
      <c r="E143" s="9" t="s">
        <v>6241</v>
      </c>
      <c r="F143" s="9" t="n">
        <v>463</v>
      </c>
      <c r="G143" s="9" t="s">
        <v>8</v>
      </c>
    </row>
    <row r="144" customFormat="false" ht="72" hidden="false" customHeight="true" outlineLevel="0" collapsed="false">
      <c r="A144" s="9" t="s">
        <v>6242</v>
      </c>
      <c r="B144" s="9" t="s">
        <v>6176</v>
      </c>
      <c r="C144" s="9" t="s">
        <v>3839</v>
      </c>
      <c r="D144" s="9" t="s">
        <v>6243</v>
      </c>
      <c r="E144" s="9" t="s">
        <v>6244</v>
      </c>
      <c r="F144" s="9" t="n">
        <v>483</v>
      </c>
      <c r="G144" s="9" t="s">
        <v>8</v>
      </c>
    </row>
    <row r="145" customFormat="false" ht="72" hidden="false" customHeight="true" outlineLevel="0" collapsed="false">
      <c r="A145" s="9" t="s">
        <v>6245</v>
      </c>
      <c r="B145" s="9" t="s">
        <v>6176</v>
      </c>
      <c r="C145" s="9" t="s">
        <v>3843</v>
      </c>
      <c r="D145" s="9" t="s">
        <v>6246</v>
      </c>
      <c r="E145" s="9" t="s">
        <v>6247</v>
      </c>
      <c r="F145" s="9" t="n">
        <v>432</v>
      </c>
      <c r="G145" s="9" t="s">
        <v>8</v>
      </c>
    </row>
    <row r="146" customFormat="false" ht="72" hidden="false" customHeight="true" outlineLevel="0" collapsed="false">
      <c r="A146" s="9" t="s">
        <v>6248</v>
      </c>
      <c r="B146" s="9" t="s">
        <v>6176</v>
      </c>
      <c r="C146" s="9" t="s">
        <v>3847</v>
      </c>
      <c r="D146" s="9" t="s">
        <v>6249</v>
      </c>
      <c r="E146" s="9" t="s">
        <v>6250</v>
      </c>
      <c r="F146" s="9" t="n">
        <v>444</v>
      </c>
      <c r="G146" s="9" t="s">
        <v>8</v>
      </c>
    </row>
    <row r="147" customFormat="false" ht="72" hidden="false" customHeight="true" outlineLevel="0" collapsed="false">
      <c r="A147" s="9" t="s">
        <v>6251</v>
      </c>
      <c r="B147" s="9" t="s">
        <v>6176</v>
      </c>
      <c r="C147" s="9" t="s">
        <v>3851</v>
      </c>
      <c r="D147" s="9" t="s">
        <v>6252</v>
      </c>
      <c r="E147" s="9" t="s">
        <v>6253</v>
      </c>
      <c r="F147" s="9" t="n">
        <v>443</v>
      </c>
      <c r="G147" s="9" t="s">
        <v>8</v>
      </c>
    </row>
    <row r="148" customFormat="false" ht="72" hidden="false" customHeight="true" outlineLevel="0" collapsed="false">
      <c r="A148" s="9" t="s">
        <v>6254</v>
      </c>
      <c r="B148" s="9" t="s">
        <v>6176</v>
      </c>
      <c r="C148" s="9" t="s">
        <v>3857</v>
      </c>
      <c r="D148" s="9" t="s">
        <v>6255</v>
      </c>
      <c r="E148" s="9" t="s">
        <v>6256</v>
      </c>
      <c r="F148" s="9" t="n">
        <v>498</v>
      </c>
      <c r="G148" s="9" t="s">
        <v>8</v>
      </c>
    </row>
    <row r="149" customFormat="false" ht="72" hidden="false" customHeight="true" outlineLevel="0" collapsed="false">
      <c r="A149" s="9" t="s">
        <v>6257</v>
      </c>
      <c r="B149" s="9" t="s">
        <v>6176</v>
      </c>
      <c r="C149" s="9" t="s">
        <v>3863</v>
      </c>
      <c r="D149" s="9" t="s">
        <v>6258</v>
      </c>
      <c r="E149" s="9" t="s">
        <v>6259</v>
      </c>
      <c r="F149" s="9" t="n">
        <v>506</v>
      </c>
      <c r="G149" s="9" t="s">
        <v>8</v>
      </c>
    </row>
    <row r="150" customFormat="false" ht="72" hidden="false" customHeight="true" outlineLevel="0" collapsed="false">
      <c r="A150" s="9" t="s">
        <v>6260</v>
      </c>
      <c r="B150" s="9" t="s">
        <v>6176</v>
      </c>
      <c r="C150" s="9" t="s">
        <v>3867</v>
      </c>
      <c r="D150" s="9" t="s">
        <v>6261</v>
      </c>
      <c r="E150" s="9" t="s">
        <v>6262</v>
      </c>
      <c r="F150" s="9" t="n">
        <v>471</v>
      </c>
      <c r="G150" s="9" t="s">
        <v>8</v>
      </c>
    </row>
    <row r="151" customFormat="false" ht="72" hidden="false" customHeight="true" outlineLevel="0" collapsed="false">
      <c r="A151" s="9" t="s">
        <v>6263</v>
      </c>
      <c r="B151" s="9" t="s">
        <v>6176</v>
      </c>
      <c r="C151" s="9" t="s">
        <v>3872</v>
      </c>
      <c r="D151" s="9" t="s">
        <v>6264</v>
      </c>
      <c r="E151" s="9" t="s">
        <v>6265</v>
      </c>
      <c r="F151" s="9" t="n">
        <v>427</v>
      </c>
      <c r="G151" s="9" t="s">
        <v>8</v>
      </c>
    </row>
    <row r="152" customFormat="false" ht="72" hidden="false" customHeight="true" outlineLevel="0" collapsed="false">
      <c r="A152" s="9" t="s">
        <v>6266</v>
      </c>
      <c r="B152" s="9" t="s">
        <v>6176</v>
      </c>
      <c r="C152" s="9" t="s">
        <v>3877</v>
      </c>
      <c r="D152" s="9" t="s">
        <v>6267</v>
      </c>
      <c r="E152" s="9" t="s">
        <v>6268</v>
      </c>
      <c r="F152" s="9" t="n">
        <v>587</v>
      </c>
      <c r="G152" s="9" t="s">
        <v>8</v>
      </c>
    </row>
    <row r="153" customFormat="false" ht="72" hidden="false" customHeight="true" outlineLevel="0" collapsed="false">
      <c r="A153" s="9" t="s">
        <v>6269</v>
      </c>
      <c r="B153" s="9" t="s">
        <v>6176</v>
      </c>
      <c r="C153" s="9" t="s">
        <v>3882</v>
      </c>
      <c r="D153" s="9" t="s">
        <v>6270</v>
      </c>
      <c r="E153" s="9" t="s">
        <v>6271</v>
      </c>
      <c r="F153" s="9" t="n">
        <v>450</v>
      </c>
      <c r="G153" s="9" t="s">
        <v>8</v>
      </c>
    </row>
    <row r="154" customFormat="false" ht="72" hidden="false" customHeight="true" outlineLevel="0" collapsed="false">
      <c r="A154" s="9" t="s">
        <v>6272</v>
      </c>
      <c r="B154" s="9" t="s">
        <v>6176</v>
      </c>
      <c r="C154" s="9" t="s">
        <v>3887</v>
      </c>
      <c r="D154" s="9" t="s">
        <v>6273</v>
      </c>
      <c r="E154" s="9" t="s">
        <v>6274</v>
      </c>
      <c r="F154" s="9" t="n">
        <v>588</v>
      </c>
      <c r="G154" s="9" t="s">
        <v>8</v>
      </c>
    </row>
    <row r="155" customFormat="false" ht="72" hidden="false" customHeight="true" outlineLevel="0" collapsed="false">
      <c r="A155" s="9" t="s">
        <v>6275</v>
      </c>
      <c r="B155" s="9" t="s">
        <v>6176</v>
      </c>
      <c r="C155" s="9" t="s">
        <v>3893</v>
      </c>
      <c r="D155" s="9" t="s">
        <v>6276</v>
      </c>
      <c r="E155" s="9" t="s">
        <v>6277</v>
      </c>
      <c r="F155" s="9" t="n">
        <v>397</v>
      </c>
      <c r="G155" s="9" t="s">
        <v>8</v>
      </c>
    </row>
    <row r="156" customFormat="false" ht="72" hidden="false" customHeight="true" outlineLevel="0" collapsed="false">
      <c r="A156" s="9" t="s">
        <v>6278</v>
      </c>
      <c r="B156" s="9" t="s">
        <v>6176</v>
      </c>
      <c r="C156" s="9" t="s">
        <v>3899</v>
      </c>
      <c r="D156" s="9" t="s">
        <v>6279</v>
      </c>
      <c r="E156" s="9" t="s">
        <v>6280</v>
      </c>
      <c r="F156" s="9" t="n">
        <v>488</v>
      </c>
      <c r="G156" s="9" t="s">
        <v>8</v>
      </c>
    </row>
    <row r="157" customFormat="false" ht="72" hidden="false" customHeight="true" outlineLevel="0" collapsed="false">
      <c r="A157" s="9" t="s">
        <v>6281</v>
      </c>
      <c r="B157" s="9" t="s">
        <v>6176</v>
      </c>
      <c r="C157" s="9" t="s">
        <v>3904</v>
      </c>
      <c r="D157" s="9" t="s">
        <v>6282</v>
      </c>
      <c r="E157" s="9" t="s">
        <v>6283</v>
      </c>
      <c r="F157" s="9" t="n">
        <v>508</v>
      </c>
      <c r="G157" s="9" t="s">
        <v>8</v>
      </c>
    </row>
    <row r="158" customFormat="false" ht="72" hidden="false" customHeight="true" outlineLevel="0" collapsed="false">
      <c r="A158" s="9" t="s">
        <v>6284</v>
      </c>
      <c r="B158" s="9" t="s">
        <v>6176</v>
      </c>
      <c r="C158" s="9" t="s">
        <v>3909</v>
      </c>
      <c r="D158" s="9" t="s">
        <v>6285</v>
      </c>
      <c r="E158" s="9" t="s">
        <v>6286</v>
      </c>
      <c r="F158" s="9" t="n">
        <v>492</v>
      </c>
      <c r="G158" s="9" t="s">
        <v>8</v>
      </c>
    </row>
    <row r="159" customFormat="false" ht="72" hidden="false" customHeight="true" outlineLevel="0" collapsed="false">
      <c r="A159" s="9" t="s">
        <v>6287</v>
      </c>
      <c r="B159" s="9" t="s">
        <v>6176</v>
      </c>
      <c r="C159" s="9" t="s">
        <v>3914</v>
      </c>
      <c r="D159" s="9" t="s">
        <v>6288</v>
      </c>
      <c r="E159" s="9" t="s">
        <v>6289</v>
      </c>
      <c r="F159" s="9" t="n">
        <v>587</v>
      </c>
      <c r="G159" s="9" t="s">
        <v>8</v>
      </c>
    </row>
    <row r="160" customFormat="false" ht="72" hidden="false" customHeight="true" outlineLevel="0" collapsed="false">
      <c r="A160" s="9" t="s">
        <v>6290</v>
      </c>
      <c r="B160" s="9" t="s">
        <v>6176</v>
      </c>
      <c r="C160" s="9" t="s">
        <v>3920</v>
      </c>
      <c r="D160" s="9" t="s">
        <v>6291</v>
      </c>
      <c r="E160" s="9" t="s">
        <v>6292</v>
      </c>
      <c r="F160" s="9" t="n">
        <v>493</v>
      </c>
      <c r="G160" s="9" t="s">
        <v>8</v>
      </c>
    </row>
    <row r="161" customFormat="false" ht="72" hidden="false" customHeight="true" outlineLevel="0" collapsed="false">
      <c r="A161" s="9" t="s">
        <v>6293</v>
      </c>
      <c r="B161" s="9" t="s">
        <v>6176</v>
      </c>
      <c r="C161" s="9" t="s">
        <v>3925</v>
      </c>
      <c r="D161" s="9" t="s">
        <v>6294</v>
      </c>
      <c r="E161" s="9" t="s">
        <v>6295</v>
      </c>
      <c r="F161" s="9" t="n">
        <v>449</v>
      </c>
      <c r="G161" s="9" t="s">
        <v>8</v>
      </c>
    </row>
    <row r="162" customFormat="false" ht="72" hidden="false" customHeight="true" outlineLevel="0" collapsed="false">
      <c r="A162" s="9" t="s">
        <v>6296</v>
      </c>
      <c r="B162" s="9" t="s">
        <v>6176</v>
      </c>
      <c r="C162" s="9" t="s">
        <v>3930</v>
      </c>
      <c r="D162" s="9" t="s">
        <v>6297</v>
      </c>
      <c r="E162" s="9" t="s">
        <v>6298</v>
      </c>
      <c r="F162" s="9" t="n">
        <v>526</v>
      </c>
      <c r="G162" s="9" t="s">
        <v>8</v>
      </c>
    </row>
    <row r="163" customFormat="false" ht="72" hidden="false" customHeight="true" outlineLevel="0" collapsed="false">
      <c r="A163" s="9" t="s">
        <v>6299</v>
      </c>
      <c r="B163" s="9" t="s">
        <v>6176</v>
      </c>
      <c r="C163" s="9" t="s">
        <v>3935</v>
      </c>
      <c r="D163" s="9" t="s">
        <v>6300</v>
      </c>
      <c r="E163" s="9" t="s">
        <v>6301</v>
      </c>
      <c r="F163" s="9" t="n">
        <v>521</v>
      </c>
      <c r="G163" s="9" t="s">
        <v>8</v>
      </c>
    </row>
    <row r="164" customFormat="false" ht="72" hidden="false" customHeight="true" outlineLevel="0" collapsed="false">
      <c r="A164" s="9" t="s">
        <v>6302</v>
      </c>
      <c r="B164" s="9" t="s">
        <v>6176</v>
      </c>
      <c r="C164" s="9" t="s">
        <v>3941</v>
      </c>
      <c r="D164" s="9" t="s">
        <v>6303</v>
      </c>
      <c r="E164" s="9" t="s">
        <v>6304</v>
      </c>
      <c r="F164" s="9" t="n">
        <v>509</v>
      </c>
      <c r="G164" s="9" t="s">
        <v>8</v>
      </c>
    </row>
    <row r="165" customFormat="false" ht="72" hidden="false" customHeight="true" outlineLevel="0" collapsed="false">
      <c r="A165" s="9" t="s">
        <v>6305</v>
      </c>
      <c r="B165" s="9" t="s">
        <v>6176</v>
      </c>
      <c r="C165" s="9" t="s">
        <v>3946</v>
      </c>
      <c r="D165" s="9" t="s">
        <v>6306</v>
      </c>
      <c r="E165" s="9" t="s">
        <v>6307</v>
      </c>
      <c r="F165" s="9" t="n">
        <v>540</v>
      </c>
      <c r="G165" s="9" t="s">
        <v>8</v>
      </c>
    </row>
    <row r="166" customFormat="false" ht="72" hidden="false" customHeight="true" outlineLevel="0" collapsed="false">
      <c r="A166" s="9" t="s">
        <v>6308</v>
      </c>
      <c r="B166" s="9" t="s">
        <v>6176</v>
      </c>
      <c r="C166" s="9" t="s">
        <v>3951</v>
      </c>
      <c r="D166" s="9" t="s">
        <v>6309</v>
      </c>
      <c r="E166" s="9" t="s">
        <v>6310</v>
      </c>
      <c r="F166" s="9" t="n">
        <v>498</v>
      </c>
      <c r="G166" s="9" t="s">
        <v>8</v>
      </c>
    </row>
    <row r="167" customFormat="false" ht="72" hidden="false" customHeight="true" outlineLevel="0" collapsed="false">
      <c r="A167" s="9" t="s">
        <v>6311</v>
      </c>
      <c r="B167" s="9" t="s">
        <v>6176</v>
      </c>
      <c r="C167" s="9" t="s">
        <v>3956</v>
      </c>
      <c r="D167" s="9" t="s">
        <v>6312</v>
      </c>
      <c r="E167" s="9" t="s">
        <v>6313</v>
      </c>
      <c r="F167" s="9" t="n">
        <v>549</v>
      </c>
      <c r="G167" s="9" t="s">
        <v>8</v>
      </c>
    </row>
    <row r="168" customFormat="false" ht="72" hidden="false" customHeight="true" outlineLevel="0" collapsed="false">
      <c r="A168" s="9" t="s">
        <v>6314</v>
      </c>
      <c r="B168" s="9" t="s">
        <v>6176</v>
      </c>
      <c r="C168" s="9" t="s">
        <v>3962</v>
      </c>
      <c r="D168" s="9" t="s">
        <v>6315</v>
      </c>
      <c r="E168" s="9" t="s">
        <v>6316</v>
      </c>
      <c r="F168" s="9" t="n">
        <v>496</v>
      </c>
      <c r="G168" s="9" t="s">
        <v>8</v>
      </c>
    </row>
    <row r="169" customFormat="false" ht="72" hidden="false" customHeight="true" outlineLevel="0" collapsed="false">
      <c r="A169" s="9" t="s">
        <v>6317</v>
      </c>
      <c r="B169" s="9" t="s">
        <v>6176</v>
      </c>
      <c r="C169" s="9" t="s">
        <v>3967</v>
      </c>
      <c r="D169" s="9" t="s">
        <v>6318</v>
      </c>
      <c r="E169" s="9" t="s">
        <v>6319</v>
      </c>
      <c r="F169" s="9" t="n">
        <v>474</v>
      </c>
      <c r="G169" s="9" t="s">
        <v>8</v>
      </c>
    </row>
    <row r="170" customFormat="false" ht="72" hidden="false" customHeight="true" outlineLevel="0" collapsed="false">
      <c r="A170" s="9" t="s">
        <v>6320</v>
      </c>
      <c r="B170" s="9" t="s">
        <v>6176</v>
      </c>
      <c r="C170" s="9" t="s">
        <v>3973</v>
      </c>
      <c r="D170" s="9" t="s">
        <v>6321</v>
      </c>
      <c r="E170" s="9" t="s">
        <v>6322</v>
      </c>
      <c r="F170" s="9" t="n">
        <v>485</v>
      </c>
      <c r="G170" s="9" t="s">
        <v>8</v>
      </c>
    </row>
    <row r="171" customFormat="false" ht="72" hidden="false" customHeight="true" outlineLevel="0" collapsed="false">
      <c r="A171" s="9" t="s">
        <v>6323</v>
      </c>
      <c r="B171" s="9" t="s">
        <v>6176</v>
      </c>
      <c r="C171" s="9" t="s">
        <v>3978</v>
      </c>
      <c r="D171" s="9" t="s">
        <v>6324</v>
      </c>
      <c r="E171" s="9" t="s">
        <v>6325</v>
      </c>
      <c r="F171" s="9" t="n">
        <v>446</v>
      </c>
      <c r="G171" s="9" t="s">
        <v>8</v>
      </c>
    </row>
    <row r="172" customFormat="false" ht="72" hidden="false" customHeight="true" outlineLevel="0" collapsed="false">
      <c r="A172" s="9" t="s">
        <v>6326</v>
      </c>
      <c r="B172" s="9" t="s">
        <v>6176</v>
      </c>
      <c r="C172" s="9" t="s">
        <v>3983</v>
      </c>
      <c r="D172" s="9" t="s">
        <v>6327</v>
      </c>
      <c r="E172" s="9" t="s">
        <v>6328</v>
      </c>
      <c r="F172" s="9" t="n">
        <v>487</v>
      </c>
      <c r="G172" s="9" t="s">
        <v>8</v>
      </c>
    </row>
    <row r="173" customFormat="false" ht="72" hidden="false" customHeight="true" outlineLevel="0" collapsed="false">
      <c r="A173" s="9" t="s">
        <v>6329</v>
      </c>
      <c r="B173" s="9" t="s">
        <v>6176</v>
      </c>
      <c r="C173" s="9" t="s">
        <v>3988</v>
      </c>
      <c r="D173" s="9" t="s">
        <v>6330</v>
      </c>
      <c r="E173" s="9" t="s">
        <v>6331</v>
      </c>
      <c r="F173" s="9" t="n">
        <v>430</v>
      </c>
      <c r="G173" s="9" t="s">
        <v>8</v>
      </c>
    </row>
    <row r="174" customFormat="false" ht="72" hidden="false" customHeight="true" outlineLevel="0" collapsed="false">
      <c r="A174" s="9" t="s">
        <v>6332</v>
      </c>
      <c r="B174" s="9" t="s">
        <v>6176</v>
      </c>
      <c r="C174" s="9" t="s">
        <v>3993</v>
      </c>
      <c r="D174" s="9" t="s">
        <v>6333</v>
      </c>
      <c r="E174" s="9" t="s">
        <v>6334</v>
      </c>
      <c r="F174" s="9" t="n">
        <v>478</v>
      </c>
      <c r="G174" s="9" t="s">
        <v>8</v>
      </c>
    </row>
    <row r="175" customFormat="false" ht="72" hidden="false" customHeight="true" outlineLevel="0" collapsed="false">
      <c r="A175" s="9" t="s">
        <v>6335</v>
      </c>
      <c r="B175" s="9" t="s">
        <v>6176</v>
      </c>
      <c r="C175" s="9" t="s">
        <v>3997</v>
      </c>
      <c r="D175" s="9" t="s">
        <v>6336</v>
      </c>
      <c r="E175" s="9" t="s">
        <v>6337</v>
      </c>
      <c r="F175" s="9" t="n">
        <v>580</v>
      </c>
      <c r="G175" s="9" t="s">
        <v>8</v>
      </c>
    </row>
    <row r="176" customFormat="false" ht="72" hidden="false" customHeight="true" outlineLevel="0" collapsed="false">
      <c r="A176" s="9" t="s">
        <v>6338</v>
      </c>
      <c r="B176" s="9" t="s">
        <v>6176</v>
      </c>
      <c r="C176" s="9" t="s">
        <v>4003</v>
      </c>
      <c r="D176" s="9" t="s">
        <v>6339</v>
      </c>
      <c r="E176" s="9" t="s">
        <v>6340</v>
      </c>
      <c r="F176" s="9" t="n">
        <v>637</v>
      </c>
      <c r="G176" s="9" t="s">
        <v>8</v>
      </c>
    </row>
    <row r="177" customFormat="false" ht="72" hidden="false" customHeight="true" outlineLevel="0" collapsed="false">
      <c r="A177" s="9" t="s">
        <v>6341</v>
      </c>
      <c r="B177" s="9" t="s">
        <v>6176</v>
      </c>
      <c r="C177" s="9" t="s">
        <v>4009</v>
      </c>
      <c r="D177" s="9" t="s">
        <v>6342</v>
      </c>
      <c r="E177" s="9" t="s">
        <v>6343</v>
      </c>
      <c r="F177" s="9" t="n">
        <v>536</v>
      </c>
      <c r="G177" s="9" t="s">
        <v>8</v>
      </c>
    </row>
    <row r="178" customFormat="false" ht="72" hidden="false" customHeight="true" outlineLevel="0" collapsed="false">
      <c r="A178" s="9" t="s">
        <v>6344</v>
      </c>
      <c r="B178" s="9" t="s">
        <v>6176</v>
      </c>
      <c r="C178" s="9" t="s">
        <v>4014</v>
      </c>
      <c r="D178" s="9" t="s">
        <v>6345</v>
      </c>
      <c r="E178" s="9" t="s">
        <v>6346</v>
      </c>
      <c r="F178" s="9" t="n">
        <v>438</v>
      </c>
      <c r="G178" s="9" t="s">
        <v>8</v>
      </c>
    </row>
    <row r="179" customFormat="false" ht="72" hidden="false" customHeight="true" outlineLevel="0" collapsed="false">
      <c r="A179" s="9" t="s">
        <v>6347</v>
      </c>
      <c r="B179" s="9" t="s">
        <v>6176</v>
      </c>
      <c r="C179" s="9" t="s">
        <v>4018</v>
      </c>
      <c r="D179" s="9" t="s">
        <v>6348</v>
      </c>
      <c r="E179" s="9" t="s">
        <v>6349</v>
      </c>
      <c r="F179" s="9" t="n">
        <v>566</v>
      </c>
      <c r="G179" s="9" t="s">
        <v>8</v>
      </c>
    </row>
    <row r="180" customFormat="false" ht="72" hidden="false" customHeight="true" outlineLevel="0" collapsed="false">
      <c r="A180" s="9" t="s">
        <v>6350</v>
      </c>
      <c r="B180" s="9" t="s">
        <v>6176</v>
      </c>
      <c r="C180" s="9" t="s">
        <v>4024</v>
      </c>
      <c r="D180" s="9" t="s">
        <v>6351</v>
      </c>
      <c r="E180" s="9" t="s">
        <v>6352</v>
      </c>
      <c r="F180" s="9" t="n">
        <v>507</v>
      </c>
      <c r="G180" s="9" t="s">
        <v>8</v>
      </c>
    </row>
    <row r="181" customFormat="false" ht="72" hidden="false" customHeight="true" outlineLevel="0" collapsed="false">
      <c r="A181" s="9" t="s">
        <v>6353</v>
      </c>
      <c r="B181" s="9" t="s">
        <v>6176</v>
      </c>
      <c r="C181" s="9" t="s">
        <v>4030</v>
      </c>
      <c r="D181" s="9" t="s">
        <v>6354</v>
      </c>
      <c r="E181" s="9" t="s">
        <v>6355</v>
      </c>
      <c r="F181" s="9" t="n">
        <v>431</v>
      </c>
      <c r="G181" s="9" t="s">
        <v>8</v>
      </c>
    </row>
    <row r="182" customFormat="false" ht="72" hidden="false" customHeight="true" outlineLevel="0" collapsed="false">
      <c r="A182" s="9" t="s">
        <v>6356</v>
      </c>
      <c r="B182" s="9" t="s">
        <v>6176</v>
      </c>
      <c r="C182" s="9" t="s">
        <v>4035</v>
      </c>
      <c r="D182" s="9" t="s">
        <v>6357</v>
      </c>
      <c r="E182" s="9" t="s">
        <v>6358</v>
      </c>
      <c r="F182" s="9" t="n">
        <v>564</v>
      </c>
      <c r="G182" s="9" t="s">
        <v>8</v>
      </c>
    </row>
    <row r="183" customFormat="false" ht="72" hidden="false" customHeight="true" outlineLevel="0" collapsed="false">
      <c r="A183" s="9" t="s">
        <v>6359</v>
      </c>
      <c r="B183" s="9" t="s">
        <v>6176</v>
      </c>
      <c r="C183" s="9" t="s">
        <v>4041</v>
      </c>
      <c r="D183" s="9" t="s">
        <v>6360</v>
      </c>
      <c r="E183" s="9" t="s">
        <v>6361</v>
      </c>
      <c r="F183" s="9" t="n">
        <v>398</v>
      </c>
      <c r="G183" s="9" t="s">
        <v>8</v>
      </c>
    </row>
    <row r="184" customFormat="false" ht="72" hidden="false" customHeight="true" outlineLevel="0" collapsed="false">
      <c r="A184" s="9" t="s">
        <v>6362</v>
      </c>
      <c r="B184" s="9" t="s">
        <v>6176</v>
      </c>
      <c r="C184" s="9" t="s">
        <v>4046</v>
      </c>
      <c r="D184" s="9" t="s">
        <v>6363</v>
      </c>
      <c r="E184" s="9" t="s">
        <v>6364</v>
      </c>
      <c r="F184" s="9" t="n">
        <v>480</v>
      </c>
      <c r="G184" s="9" t="s">
        <v>8</v>
      </c>
    </row>
    <row r="185" customFormat="false" ht="72" hidden="false" customHeight="true" outlineLevel="0" collapsed="false">
      <c r="A185" s="9" t="s">
        <v>6365</v>
      </c>
      <c r="B185" s="9" t="s">
        <v>6176</v>
      </c>
      <c r="C185" s="9" t="s">
        <v>4052</v>
      </c>
      <c r="D185" s="9" t="s">
        <v>6366</v>
      </c>
      <c r="E185" s="9" t="s">
        <v>6367</v>
      </c>
      <c r="F185" s="9" t="n">
        <v>665</v>
      </c>
      <c r="G185" s="9" t="s">
        <v>8</v>
      </c>
    </row>
    <row r="186" customFormat="false" ht="72" hidden="false" customHeight="true" outlineLevel="0" collapsed="false">
      <c r="A186" s="9" t="s">
        <v>6368</v>
      </c>
      <c r="B186" s="9" t="s">
        <v>6176</v>
      </c>
      <c r="C186" s="9" t="s">
        <v>4058</v>
      </c>
      <c r="D186" s="9" t="s">
        <v>6369</v>
      </c>
      <c r="E186" s="9" t="s">
        <v>6370</v>
      </c>
      <c r="F186" s="9" t="n">
        <v>724</v>
      </c>
      <c r="G186" s="9" t="s">
        <v>8</v>
      </c>
    </row>
    <row r="187" customFormat="false" ht="72" hidden="false" customHeight="true" outlineLevel="0" collapsed="false">
      <c r="A187" s="9" t="s">
        <v>6371</v>
      </c>
      <c r="B187" s="9" t="s">
        <v>6176</v>
      </c>
      <c r="C187" s="9" t="s">
        <v>4064</v>
      </c>
      <c r="D187" s="9" t="s">
        <v>6372</v>
      </c>
      <c r="E187" s="9" t="s">
        <v>6373</v>
      </c>
      <c r="F187" s="9" t="n">
        <v>525</v>
      </c>
      <c r="G187" s="9" t="s">
        <v>8</v>
      </c>
    </row>
    <row r="188" customFormat="false" ht="72" hidden="false" customHeight="true" outlineLevel="0" collapsed="false">
      <c r="A188" s="0" t="s">
        <v>6374</v>
      </c>
      <c r="B188" s="0" t="s">
        <v>6176</v>
      </c>
      <c r="C188" s="0" t="s">
        <v>4069</v>
      </c>
      <c r="D188" s="0" t="s">
        <v>6375</v>
      </c>
      <c r="E188" s="0" t="s">
        <v>6376</v>
      </c>
      <c r="F188" s="0" t="n">
        <v>552</v>
      </c>
      <c r="G188" s="0" t="s">
        <v>8</v>
      </c>
    </row>
    <row r="189" customFormat="false" ht="72" hidden="false" customHeight="true" outlineLevel="0" collapsed="false">
      <c r="A189" s="0" t="s">
        <v>6377</v>
      </c>
      <c r="B189" s="0" t="s">
        <v>6378</v>
      </c>
      <c r="C189" s="0" t="s">
        <v>6379</v>
      </c>
      <c r="D189" s="0" t="s">
        <v>6380</v>
      </c>
      <c r="E189" s="0" t="s">
        <v>6381</v>
      </c>
      <c r="F189" s="0" t="n">
        <v>9237</v>
      </c>
      <c r="G189" s="0" t="s">
        <v>8</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6"/>
    <col collapsed="false" customWidth="true" hidden="false" outlineLevel="0" max="2" min="2" style="0" width="20"/>
    <col collapsed="false" customWidth="true" hidden="false" outlineLevel="0" max="3" min="3" style="0" width="32"/>
    <col collapsed="false" customWidth="true" hidden="false" outlineLevel="0" max="4" min="4" style="0" width="18"/>
    <col collapsed="false" customWidth="true" hidden="false" outlineLevel="0" max="5" min="5" style="0" width="68"/>
    <col collapsed="false" customWidth="true" hidden="false" outlineLevel="0" max="6" min="6" style="0" width="34"/>
    <col collapsed="false" customWidth="true" hidden="false" outlineLevel="0" max="7" min="7" style="0" width="110"/>
    <col collapsed="false" customWidth="true" hidden="false" outlineLevel="0" max="8" min="8" style="0" width="14"/>
  </cols>
  <sheetData>
    <row r="1" customFormat="false" ht="30" hidden="false" customHeight="true" outlineLevel="0" collapsed="false">
      <c r="A1" s="1" t="s">
        <v>6382</v>
      </c>
      <c r="B1" s="1"/>
      <c r="C1" s="1"/>
      <c r="D1" s="1"/>
      <c r="E1" s="1"/>
      <c r="F1" s="1"/>
      <c r="G1" s="1"/>
      <c r="H1" s="1"/>
    </row>
    <row r="2" customFormat="false" ht="34" hidden="false" customHeight="true" outlineLevel="0" collapsed="false">
      <c r="A2" s="2" t="s">
        <v>6383</v>
      </c>
      <c r="B2" s="2"/>
      <c r="C2" s="2"/>
      <c r="D2" s="2"/>
      <c r="E2" s="2"/>
      <c r="F2" s="2"/>
      <c r="G2" s="2"/>
      <c r="H2" s="2"/>
    </row>
    <row r="4" customFormat="false" ht="34" hidden="false" customHeight="true" outlineLevel="0" collapsed="false">
      <c r="A4" s="8" t="s">
        <v>6384</v>
      </c>
      <c r="B4" s="8" t="s">
        <v>6</v>
      </c>
      <c r="C4" s="8" t="s">
        <v>25</v>
      </c>
      <c r="D4" s="8" t="s">
        <v>6385</v>
      </c>
      <c r="E4" s="8" t="s">
        <v>5818</v>
      </c>
      <c r="F4" s="8" t="s">
        <v>6386</v>
      </c>
      <c r="G4" s="8" t="s">
        <v>6387</v>
      </c>
      <c r="H4" s="8" t="s">
        <v>647</v>
      </c>
    </row>
    <row r="5" customFormat="false" ht="54" hidden="false" customHeight="true" outlineLevel="0" collapsed="false">
      <c r="A5" s="9" t="s">
        <v>6388</v>
      </c>
      <c r="B5" s="9" t="s">
        <v>6389</v>
      </c>
      <c r="C5" s="9" t="s">
        <v>6390</v>
      </c>
      <c r="D5" s="9" t="n">
        <v>920352</v>
      </c>
      <c r="E5" s="9" t="s">
        <v>6391</v>
      </c>
      <c r="F5" s="9" t="s">
        <v>6392</v>
      </c>
      <c r="G5" s="9" t="s">
        <v>30</v>
      </c>
      <c r="H5" s="9" t="s">
        <v>8</v>
      </c>
    </row>
    <row r="6" customFormat="false" ht="54" hidden="false" customHeight="true" outlineLevel="0" collapsed="false">
      <c r="A6" s="9" t="s">
        <v>6393</v>
      </c>
      <c r="B6" s="9" t="s">
        <v>6394</v>
      </c>
      <c r="C6" s="9" t="s">
        <v>6395</v>
      </c>
      <c r="D6" s="9" t="n">
        <v>697755</v>
      </c>
      <c r="E6" s="9" t="s">
        <v>6396</v>
      </c>
      <c r="F6" s="9" t="s">
        <v>6392</v>
      </c>
      <c r="G6" s="9" t="s">
        <v>30</v>
      </c>
      <c r="H6" s="9" t="s">
        <v>8</v>
      </c>
    </row>
    <row r="7" customFormat="false" ht="54" hidden="false" customHeight="true" outlineLevel="0" collapsed="false">
      <c r="A7" s="9" t="s">
        <v>6397</v>
      </c>
      <c r="B7" s="9" t="s">
        <v>6398</v>
      </c>
      <c r="C7" s="9" t="s">
        <v>6399</v>
      </c>
      <c r="D7" s="9" t="n">
        <v>1102446</v>
      </c>
      <c r="E7" s="9" t="s">
        <v>6400</v>
      </c>
      <c r="F7" s="9" t="s">
        <v>6392</v>
      </c>
      <c r="G7" s="9" t="s">
        <v>30</v>
      </c>
      <c r="H7" s="9" t="s">
        <v>8</v>
      </c>
    </row>
    <row r="8" customFormat="false" ht="54" hidden="false" customHeight="true" outlineLevel="0" collapsed="false">
      <c r="A8" s="9" t="s">
        <v>6401</v>
      </c>
      <c r="B8" s="9" t="s">
        <v>6402</v>
      </c>
      <c r="C8" s="9" t="s">
        <v>6403</v>
      </c>
      <c r="D8" s="9" t="n">
        <v>5888594</v>
      </c>
      <c r="E8" s="9" t="s">
        <v>6404</v>
      </c>
      <c r="F8" s="9" t="s">
        <v>6392</v>
      </c>
      <c r="G8" s="9" t="s">
        <v>30</v>
      </c>
      <c r="H8" s="9" t="s">
        <v>8</v>
      </c>
    </row>
    <row r="9" customFormat="false" ht="54" hidden="false" customHeight="true" outlineLevel="0" collapsed="false">
      <c r="A9" s="9" t="s">
        <v>6405</v>
      </c>
      <c r="B9" s="9" t="s">
        <v>7</v>
      </c>
      <c r="C9" s="9" t="s">
        <v>6406</v>
      </c>
      <c r="D9" s="9" t="n">
        <v>17138567</v>
      </c>
      <c r="E9" s="9" t="s">
        <v>6407</v>
      </c>
      <c r="F9" s="9" t="s">
        <v>6392</v>
      </c>
      <c r="G9" s="9" t="s">
        <v>30</v>
      </c>
      <c r="H9" s="9" t="s">
        <v>8</v>
      </c>
    </row>
    <row r="10" customFormat="false" ht="54" hidden="false" customHeight="true" outlineLevel="0" collapsed="false">
      <c r="A10" s="9" t="s">
        <v>6408</v>
      </c>
      <c r="B10" s="9" t="s">
        <v>7</v>
      </c>
      <c r="C10" s="9" t="s">
        <v>6409</v>
      </c>
      <c r="D10" s="9" t="n">
        <v>17051280</v>
      </c>
      <c r="E10" s="9" t="s">
        <v>6410</v>
      </c>
      <c r="F10" s="9" t="s">
        <v>6392</v>
      </c>
      <c r="G10" s="9" t="s">
        <v>30</v>
      </c>
      <c r="H10" s="9" t="s">
        <v>8</v>
      </c>
    </row>
    <row r="11" customFormat="false" ht="54" hidden="false" customHeight="true" outlineLevel="0" collapsed="false">
      <c r="A11" s="9" t="s">
        <v>6411</v>
      </c>
      <c r="B11" s="9" t="s">
        <v>6394</v>
      </c>
      <c r="C11" s="9" t="s">
        <v>6412</v>
      </c>
      <c r="D11" s="9" t="n">
        <v>185292</v>
      </c>
      <c r="E11" s="9" t="s">
        <v>6413</v>
      </c>
      <c r="F11" s="9" t="s">
        <v>6392</v>
      </c>
      <c r="G11" s="9" t="s">
        <v>30</v>
      </c>
      <c r="H11" s="9" t="s">
        <v>8</v>
      </c>
    </row>
    <row r="12" customFormat="false" ht="54" hidden="false" customHeight="true" outlineLevel="0" collapsed="false">
      <c r="A12" s="9" t="s">
        <v>6414</v>
      </c>
      <c r="B12" s="9" t="s">
        <v>6394</v>
      </c>
      <c r="C12" s="9" t="s">
        <v>4844</v>
      </c>
      <c r="D12" s="9" t="n">
        <v>33567</v>
      </c>
      <c r="E12" s="9" t="s">
        <v>6415</v>
      </c>
      <c r="F12" s="9" t="s">
        <v>6392</v>
      </c>
      <c r="G12" s="9" t="s">
        <v>30</v>
      </c>
      <c r="H12" s="9" t="s">
        <v>8</v>
      </c>
    </row>
    <row r="13" customFormat="false" ht="54" hidden="false" customHeight="true" outlineLevel="0" collapsed="false">
      <c r="A13" s="9" t="s">
        <v>6416</v>
      </c>
      <c r="B13" s="9" t="s">
        <v>6394</v>
      </c>
      <c r="C13" s="9" t="s">
        <v>6417</v>
      </c>
      <c r="D13" s="9" t="n">
        <v>26329</v>
      </c>
      <c r="E13" s="9" t="s">
        <v>6418</v>
      </c>
      <c r="F13" s="9" t="s">
        <v>6392</v>
      </c>
      <c r="G13" s="9" t="s">
        <v>30</v>
      </c>
      <c r="H13" s="9" t="s">
        <v>8</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4" min="3" style="0" width="18"/>
    <col collapsed="false" customWidth="true" hidden="false" outlineLevel="0" max="5" min="5" style="0" width="11.25"/>
    <col collapsed="false" customWidth="true" hidden="false" outlineLevel="0" max="6" min="6" style="0" width="38"/>
  </cols>
  <sheetData>
    <row r="1" customFormat="false" ht="30" hidden="false" customHeight="true" outlineLevel="0" collapsed="false">
      <c r="A1" s="1" t="s">
        <v>6419</v>
      </c>
      <c r="B1" s="1"/>
      <c r="C1" s="1"/>
      <c r="D1" s="1"/>
      <c r="E1" s="1"/>
      <c r="F1" s="1"/>
    </row>
    <row r="2" customFormat="false" ht="34" hidden="false" customHeight="true" outlineLevel="0" collapsed="false">
      <c r="A2" s="2" t="s">
        <v>6420</v>
      </c>
      <c r="B2" s="2"/>
      <c r="C2" s="2"/>
      <c r="D2" s="2"/>
      <c r="E2" s="2"/>
      <c r="F2" s="2"/>
    </row>
    <row r="4" customFormat="false" ht="34" hidden="false" customHeight="true" outlineLevel="0" collapsed="false">
      <c r="A4" s="8" t="s">
        <v>6421</v>
      </c>
      <c r="B4" s="8" t="s">
        <v>6422</v>
      </c>
      <c r="C4" s="8" t="s">
        <v>5359</v>
      </c>
      <c r="D4" s="8" t="s">
        <v>5360</v>
      </c>
      <c r="E4" s="8" t="s">
        <v>5361</v>
      </c>
      <c r="F4" s="8" t="s">
        <v>6423</v>
      </c>
    </row>
    <row r="5" customFormat="false" ht="38" hidden="false" customHeight="true" outlineLevel="0" collapsed="false">
      <c r="A5" s="9" t="s">
        <v>6424</v>
      </c>
      <c r="B5" s="9" t="s">
        <v>6425</v>
      </c>
      <c r="C5" s="9" t="n">
        <v>24</v>
      </c>
      <c r="D5" s="9" t="n">
        <f aca="false">COUNTA('01_Семейства'!$A$5:$A$28)</f>
        <v>24</v>
      </c>
      <c r="E5" s="12" t="str">
        <f aca="false">IF(C5=D5,"PASS","FAIL")</f>
        <v>PASS</v>
      </c>
      <c r="F5" s="9" t="s">
        <v>6426</v>
      </c>
    </row>
    <row r="6" customFormat="false" ht="38" hidden="false" customHeight="true" outlineLevel="0" collapsed="false">
      <c r="A6" s="9" t="s">
        <v>6427</v>
      </c>
      <c r="B6" s="9" t="s">
        <v>6428</v>
      </c>
      <c r="C6" s="9" t="n">
        <v>67</v>
      </c>
      <c r="D6" s="9" t="n">
        <f aca="false">COUNTA('02_Типы_эффектов'!$A$5:$A$71)</f>
        <v>67</v>
      </c>
      <c r="E6" s="12" t="str">
        <f aca="false">IF(C6=D6,"PASS","FAIL")</f>
        <v>PASS</v>
      </c>
      <c r="F6" s="9" t="s">
        <v>6429</v>
      </c>
    </row>
    <row r="7" customFormat="false" ht="38" hidden="false" customHeight="true" outlineLevel="0" collapsed="false">
      <c r="A7" s="9" t="s">
        <v>6430</v>
      </c>
      <c r="B7" s="9" t="s">
        <v>6431</v>
      </c>
      <c r="C7" s="9" t="n">
        <v>10</v>
      </c>
      <c r="D7" s="9" t="n">
        <f aca="false">COUNTA('03_Болезни'!$A$5:$A$14)</f>
        <v>10</v>
      </c>
      <c r="E7" s="12" t="str">
        <f aca="false">IF(C7=D7,"PASS","FAIL")</f>
        <v>PASS</v>
      </c>
      <c r="F7" s="9" t="s">
        <v>6432</v>
      </c>
    </row>
    <row r="8" customFormat="false" ht="38" hidden="false" customHeight="true" outlineLevel="0" collapsed="false">
      <c r="A8" s="9" t="s">
        <v>6433</v>
      </c>
      <c r="B8" s="9" t="s">
        <v>6434</v>
      </c>
      <c r="C8" s="9" t="n">
        <v>8</v>
      </c>
      <c r="D8" s="9" t="n">
        <f aca="false">COUNTA('04_Яды'!$A$5:$A$12)</f>
        <v>8</v>
      </c>
      <c r="E8" s="12" t="str">
        <f aca="false">IF(C8=D8,"PASS","FAIL")</f>
        <v>PASS</v>
      </c>
      <c r="F8" s="9" t="s">
        <v>6435</v>
      </c>
    </row>
    <row r="9" customFormat="false" ht="38" hidden="false" customHeight="true" outlineLevel="0" collapsed="false">
      <c r="A9" s="9" t="s">
        <v>6436</v>
      </c>
      <c r="B9" s="9" t="s">
        <v>6437</v>
      </c>
      <c r="C9" s="9" t="n">
        <v>8</v>
      </c>
      <c r="D9" s="9" t="n">
        <f aca="false">COUNTA('05_Травмы_и_раны'!$A$5:$A$12)</f>
        <v>8</v>
      </c>
      <c r="E9" s="12" t="str">
        <f aca="false">IF(C9=D9,"PASS","FAIL")</f>
        <v>PASS</v>
      </c>
      <c r="F9" s="9" t="s">
        <v>6438</v>
      </c>
    </row>
    <row r="10" customFormat="false" ht="38" hidden="false" customHeight="true" outlineLevel="0" collapsed="false">
      <c r="A10" s="9" t="s">
        <v>6439</v>
      </c>
      <c r="B10" s="9" t="s">
        <v>21</v>
      </c>
      <c r="C10" s="9" t="n">
        <v>306</v>
      </c>
      <c r="D10" s="9" t="n">
        <f aca="false">COUNTA('06_Карта_источников'!$A$5:$A$310)</f>
        <v>306</v>
      </c>
      <c r="E10" s="12" t="str">
        <f aca="false">IF(C10=D10,"PASS","FAIL")</f>
        <v>PASS</v>
      </c>
      <c r="F10" s="9" t="s">
        <v>6440</v>
      </c>
    </row>
    <row r="11" customFormat="false" ht="38" hidden="false" customHeight="true" outlineLevel="0" collapsed="false">
      <c r="A11" s="9" t="s">
        <v>6441</v>
      </c>
      <c r="B11" s="9" t="s">
        <v>6442</v>
      </c>
      <c r="C11" s="9" t="n">
        <v>67</v>
      </c>
      <c r="D11" s="9" t="n">
        <f aca="false">COUNTA('07_Правила_сочетаний'!$A$5:$A$71)</f>
        <v>67</v>
      </c>
      <c r="E11" s="12" t="str">
        <f aca="false">IF(C11=D11,"PASS","FAIL")</f>
        <v>PASS</v>
      </c>
      <c r="F11" s="9" t="s">
        <v>6443</v>
      </c>
    </row>
    <row r="12" customFormat="false" ht="38" hidden="false" customHeight="true" outlineLevel="0" collapsed="false">
      <c r="A12" s="9" t="s">
        <v>6444</v>
      </c>
      <c r="B12" s="9" t="s">
        <v>6445</v>
      </c>
      <c r="C12" s="9" t="n">
        <v>300</v>
      </c>
      <c r="D12" s="9" t="n">
        <f aca="false">COUNTA('08_Матрица_семейств'!$A$5:$A$304)</f>
        <v>300</v>
      </c>
      <c r="E12" s="12" t="str">
        <f aca="false">IF(C12=D12,"PASS","FAIL")</f>
        <v>PASS</v>
      </c>
      <c r="F12" s="9" t="s">
        <v>6446</v>
      </c>
    </row>
    <row r="13" customFormat="false" ht="38" hidden="false" customHeight="true" outlineLevel="0" collapsed="false">
      <c r="A13" s="9" t="s">
        <v>6447</v>
      </c>
      <c r="B13" s="9" t="s">
        <v>6448</v>
      </c>
      <c r="C13" s="9" t="n">
        <v>21</v>
      </c>
      <c r="D13" s="9" t="n">
        <f aca="false">COUNTA('09_Профили_дееспособности'!$A$5:$A$25)</f>
        <v>21</v>
      </c>
      <c r="E13" s="12" t="str">
        <f aca="false">IF(C13=D13,"PASS","FAIL")</f>
        <v>PASS</v>
      </c>
      <c r="F13" s="9" t="s">
        <v>6449</v>
      </c>
    </row>
    <row r="14" customFormat="false" ht="38" hidden="false" customHeight="true" outlineLevel="0" collapsed="false">
      <c r="A14" s="9" t="s">
        <v>6450</v>
      </c>
      <c r="B14" s="9" t="s">
        <v>6451</v>
      </c>
      <c r="C14" s="9" t="n">
        <v>20</v>
      </c>
      <c r="D14" s="9" t="n">
        <f aca="false">COUNTA('10_Иммунитеты'!$A$5:$A$24)</f>
        <v>20</v>
      </c>
      <c r="E14" s="12" t="str">
        <f aca="false">IF(C14=D14,"PASS","FAIL")</f>
        <v>PASS</v>
      </c>
      <c r="F14" s="9" t="s">
        <v>6452</v>
      </c>
    </row>
    <row r="15" customFormat="false" ht="38" hidden="false" customHeight="true" outlineLevel="0" collapsed="false">
      <c r="A15" s="9" t="s">
        <v>6453</v>
      </c>
      <c r="B15" s="9" t="s">
        <v>6454</v>
      </c>
      <c r="C15" s="9" t="n">
        <v>21</v>
      </c>
      <c r="D15" s="9" t="n">
        <f aca="false">COUNTA('11_Таймеры_порядок'!$A$5:$A$25)</f>
        <v>21</v>
      </c>
      <c r="E15" s="12" t="str">
        <f aca="false">IF(C15=D15,"PASS","FAIL")</f>
        <v>PASS</v>
      </c>
      <c r="F15" s="9" t="s">
        <v>6455</v>
      </c>
    </row>
    <row r="16" customFormat="false" ht="38" hidden="false" customHeight="true" outlineLevel="0" collapsed="false">
      <c r="A16" s="9" t="s">
        <v>6456</v>
      </c>
      <c r="B16" s="9" t="s">
        <v>6457</v>
      </c>
      <c r="C16" s="9" t="n">
        <v>69</v>
      </c>
      <c r="D16" s="9" t="n">
        <f aca="false">COUNTA('12_Runtime_контракты'!$A$5:$A$73)</f>
        <v>69</v>
      </c>
      <c r="E16" s="12" t="str">
        <f aca="false">IF(C16=D16,"PASS","FAIL")</f>
        <v>PASS</v>
      </c>
      <c r="F16" s="9" t="s">
        <v>6458</v>
      </c>
    </row>
    <row r="17" customFormat="false" ht="38" hidden="false" customHeight="true" outlineLevel="0" collapsed="false">
      <c r="A17" s="9" t="s">
        <v>6459</v>
      </c>
      <c r="B17" s="9" t="s">
        <v>6460</v>
      </c>
      <c r="C17" s="9" t="n">
        <v>25</v>
      </c>
      <c r="D17" s="9" t="n">
        <f aca="false">COUNTA('13_Операции'!$A$5:$A$29)</f>
        <v>25</v>
      </c>
      <c r="E17" s="12" t="str">
        <f aca="false">IF(C17=D17,"PASS","FAIL")</f>
        <v>PASS</v>
      </c>
      <c r="F17" s="9" t="s">
        <v>6461</v>
      </c>
    </row>
    <row r="18" customFormat="false" ht="38" hidden="false" customHeight="true" outlineLevel="0" collapsed="false">
      <c r="A18" s="9" t="s">
        <v>6462</v>
      </c>
      <c r="B18" s="9" t="s">
        <v>6463</v>
      </c>
      <c r="C18" s="9" t="n">
        <v>34</v>
      </c>
      <c r="D18" s="9" t="n">
        <f aca="false">COUNTA('14_Пробелы_и_решения'!$A$5:$A$38)</f>
        <v>34</v>
      </c>
      <c r="E18" s="12" t="str">
        <f aca="false">IF(C18=D18,"PASS","FAIL")</f>
        <v>PASS</v>
      </c>
      <c r="F18" s="9" t="s">
        <v>6464</v>
      </c>
    </row>
    <row r="19" customFormat="false" ht="38" hidden="false" customHeight="true" outlineLevel="0" collapsed="false">
      <c r="A19" s="9" t="s">
        <v>6465</v>
      </c>
      <c r="B19" s="9" t="s">
        <v>6466</v>
      </c>
      <c r="C19" s="9" t="n">
        <v>28</v>
      </c>
      <c r="D19" s="9" t="n">
        <f aca="false">COUNTA('15_Трассировка'!$A$5:$A$32)</f>
        <v>28</v>
      </c>
      <c r="E19" s="12" t="str">
        <f aca="false">IF(C19=D19,"PASS","FAIL")</f>
        <v>PASS</v>
      </c>
      <c r="F19" s="9" t="s">
        <v>6467</v>
      </c>
    </row>
    <row r="20" customFormat="false" ht="38" hidden="false" customHeight="true" outlineLevel="0" collapsed="false">
      <c r="A20" s="9" t="s">
        <v>6468</v>
      </c>
      <c r="B20" s="9" t="s">
        <v>6469</v>
      </c>
      <c r="C20" s="9" t="n">
        <v>98</v>
      </c>
      <c r="D20" s="9" t="n">
        <f aca="false">COUNTA('16_QA'!$A$5:$A$102)</f>
        <v>98</v>
      </c>
      <c r="E20" s="12" t="str">
        <f aca="false">IF(C20=D20,"PASS","FAIL")</f>
        <v>PASS</v>
      </c>
      <c r="F20" s="9" t="s">
        <v>6470</v>
      </c>
    </row>
    <row r="21" customFormat="false" ht="38" hidden="false" customHeight="true" outlineLevel="0" collapsed="false">
      <c r="A21" s="9" t="s">
        <v>6471</v>
      </c>
      <c r="B21" s="9" t="s">
        <v>6472</v>
      </c>
      <c r="C21" s="9" t="n">
        <v>98</v>
      </c>
      <c r="D21" s="9" t="n">
        <f aca="false">COUNTIF('16_QA'!$H$5:$H$102,"PASS")</f>
        <v>98</v>
      </c>
      <c r="E21" s="12" t="str">
        <f aca="false">IF(C21=D21,"PASS","FAIL")</f>
        <v>PASS</v>
      </c>
      <c r="F21" s="9" t="s">
        <v>6470</v>
      </c>
    </row>
    <row r="22" customFormat="false" ht="38" hidden="false" customHeight="true" outlineLevel="0" collapsed="false">
      <c r="A22" s="9" t="s">
        <v>6473</v>
      </c>
      <c r="B22" s="9" t="s">
        <v>6474</v>
      </c>
      <c r="C22" s="9" t="n">
        <v>89</v>
      </c>
      <c r="D22" s="9" t="n">
        <f aca="false">COUNTA('17_Справочники'!$A$5:$A$93)</f>
        <v>89</v>
      </c>
      <c r="E22" s="12" t="str">
        <f aca="false">IF(C22=D22,"PASS","FAIL")</f>
        <v>PASS</v>
      </c>
      <c r="F22" s="9" t="s">
        <v>6475</v>
      </c>
    </row>
    <row r="23" customFormat="false" ht="38" hidden="false" customHeight="true" outlineLevel="0" collapsed="false">
      <c r="A23" s="9" t="s">
        <v>6476</v>
      </c>
      <c r="B23" s="9" t="s">
        <v>6477</v>
      </c>
      <c r="C23" s="9" t="n">
        <v>185</v>
      </c>
      <c r="D23" s="9" t="n">
        <f aca="false">COUNTA('18_Payload_JSON'!$A$5:$A$189)</f>
        <v>185</v>
      </c>
      <c r="E23" s="12" t="str">
        <f aca="false">IF(C23=D23,"PASS","FAIL")</f>
        <v>PASS</v>
      </c>
      <c r="F23" s="9" t="s">
        <v>6478</v>
      </c>
    </row>
    <row r="24" customFormat="false" ht="38" hidden="false" customHeight="true" outlineLevel="0" collapsed="false">
      <c r="A24" s="9" t="s">
        <v>6479</v>
      </c>
      <c r="B24" s="9" t="s">
        <v>6480</v>
      </c>
      <c r="C24" s="9" t="n">
        <v>9</v>
      </c>
      <c r="D24" s="9" t="n">
        <f aca="false">COUNTA('19_Зависимости'!$A$5:$A$13)</f>
        <v>9</v>
      </c>
      <c r="E24" s="12" t="str">
        <f aca="false">IF(C24=D24,"PASS","FAIL")</f>
        <v>PASS</v>
      </c>
      <c r="F24" s="9" t="s">
        <v>6481</v>
      </c>
    </row>
    <row r="25" customFormat="false" ht="38" hidden="false" customHeight="true" outlineLevel="0" collapsed="false">
      <c r="A25" s="0" t="s">
        <v>6482</v>
      </c>
      <c r="B25" s="0" t="s">
        <v>6483</v>
      </c>
      <c r="C25" s="0" t="n">
        <v>0</v>
      </c>
      <c r="D25" s="0" t="n">
        <f aca="false">COUNTIF('14_Пробелы_и_решения'!$G$5:$G$38,"AUTHOR_DECISION_REQUIRED")</f>
        <v>0</v>
      </c>
      <c r="E25" s="13" t="str">
        <f aca="false">IF(C25=D25,"PASS","FAIL")</f>
        <v>PASS</v>
      </c>
      <c r="F25" s="0" t="s">
        <v>6464</v>
      </c>
    </row>
    <row r="26" customFormat="false" ht="38" hidden="false" customHeight="true" outlineLevel="0" collapsed="false">
      <c r="A26" s="0" t="s">
        <v>6484</v>
      </c>
      <c r="B26" s="0" t="s">
        <v>6485</v>
      </c>
      <c r="C26" s="0" t="n">
        <v>0</v>
      </c>
      <c r="D26" s="0" t="n">
        <f aca="false">COUNTIF('07_Правила_сочетаний'!$L$5:$L$71,"AUTHOR_DECISION_REQUIRED")</f>
        <v>0</v>
      </c>
      <c r="E26" s="13" t="str">
        <f aca="false">IF(C26=D26,"PASS","FAIL")</f>
        <v>PASS</v>
      </c>
      <c r="F26" s="0" t="s">
        <v>6443</v>
      </c>
    </row>
    <row r="27" customFormat="false" ht="38" hidden="false" customHeight="true" outlineLevel="0" collapsed="false">
      <c r="A27" s="0" t="s">
        <v>6486</v>
      </c>
      <c r="B27" s="0" t="s">
        <v>6487</v>
      </c>
      <c r="C27" s="0" t="n">
        <v>1</v>
      </c>
      <c r="D27" s="0" t="n">
        <f aca="false">COUNTIFS('02_Типы_эффектов'!$K$5:$K$71,"NOT_MODELED",'02_Типы_эффектов'!$L$5:$L$71,"EXCLUDED_FROM_RUNTIME")</f>
        <v>1</v>
      </c>
      <c r="E27" s="13" t="str">
        <f aca="false">IF(C27=D27,"PASS","FAIL")</f>
        <v>PASS</v>
      </c>
      <c r="F27" s="0" t="s">
        <v>6429</v>
      </c>
    </row>
    <row r="28" customFormat="false" ht="38" hidden="false" customHeight="true" outlineLevel="0" collapsed="false">
      <c r="A28" s="0" t="s">
        <v>6488</v>
      </c>
      <c r="B28" s="0" t="s">
        <v>6489</v>
      </c>
      <c r="C28" s="0" t="n">
        <v>185</v>
      </c>
      <c r="D28" s="0" t="n">
        <f aca="false">COUNTIF('18_Payload_JSON'!$G$5:$G$189,"PASS")</f>
        <v>185</v>
      </c>
      <c r="E28" s="13" t="str">
        <f aca="false">IF(C28=D28,"PASS","FAIL")</f>
        <v>PASS</v>
      </c>
      <c r="F28" s="0" t="s">
        <v>6478</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72"/>
    <col collapsed="false" customWidth="true" hidden="false" outlineLevel="0" max="4" min="4" style="0" width="52"/>
    <col collapsed="false" customWidth="true" hidden="false" outlineLevel="0" max="5" min="5" style="0" width="40"/>
    <col collapsed="false" customWidth="true" hidden="false" outlineLevel="0" max="6" min="6" style="0" width="16"/>
  </cols>
  <sheetData>
    <row r="1" customFormat="false" ht="30" hidden="false" customHeight="true" outlineLevel="0" collapsed="false">
      <c r="A1" s="1" t="s">
        <v>6490</v>
      </c>
      <c r="B1" s="1"/>
      <c r="C1" s="1"/>
      <c r="D1" s="1"/>
      <c r="E1" s="1"/>
      <c r="F1" s="1"/>
    </row>
    <row r="2" customFormat="false" ht="34" hidden="false" customHeight="true" outlineLevel="0" collapsed="false">
      <c r="A2" s="2" t="s">
        <v>6491</v>
      </c>
      <c r="B2" s="2"/>
      <c r="C2" s="2"/>
      <c r="D2" s="2"/>
      <c r="E2" s="2"/>
      <c r="F2" s="2"/>
    </row>
    <row r="4" customFormat="false" ht="34" hidden="false" customHeight="true" outlineLevel="0" collapsed="false">
      <c r="A4" s="8" t="s">
        <v>6492</v>
      </c>
      <c r="B4" s="8" t="s">
        <v>57</v>
      </c>
      <c r="C4" s="8" t="s">
        <v>6493</v>
      </c>
      <c r="D4" s="8" t="s">
        <v>6494</v>
      </c>
      <c r="E4" s="8" t="s">
        <v>3720</v>
      </c>
      <c r="F4" s="8" t="s">
        <v>5543</v>
      </c>
    </row>
    <row r="5" customFormat="false" ht="54" hidden="false" customHeight="true" outlineLevel="0" collapsed="false">
      <c r="A5" s="9" t="n">
        <v>1</v>
      </c>
      <c r="B5" s="9" t="s">
        <v>6495</v>
      </c>
      <c r="C5" s="9" t="s">
        <v>6496</v>
      </c>
      <c r="D5" s="9" t="s">
        <v>6497</v>
      </c>
      <c r="E5" s="9" t="s">
        <v>6498</v>
      </c>
      <c r="F5" s="9" t="s">
        <v>8</v>
      </c>
    </row>
    <row r="6" customFormat="false" ht="54" hidden="false" customHeight="true" outlineLevel="0" collapsed="false">
      <c r="A6" s="9" t="n">
        <v>2</v>
      </c>
      <c r="B6" s="9" t="s">
        <v>115</v>
      </c>
      <c r="C6" s="9" t="s">
        <v>6499</v>
      </c>
      <c r="D6" s="9" t="s">
        <v>6500</v>
      </c>
      <c r="E6" s="9" t="s">
        <v>6501</v>
      </c>
      <c r="F6" s="9" t="s">
        <v>8</v>
      </c>
    </row>
    <row r="7" customFormat="false" ht="54" hidden="false" customHeight="true" outlineLevel="0" collapsed="false">
      <c r="A7" s="9" t="n">
        <v>3</v>
      </c>
      <c r="B7" s="9" t="s">
        <v>121</v>
      </c>
      <c r="C7" s="9" t="s">
        <v>6502</v>
      </c>
      <c r="D7" s="9" t="s">
        <v>629</v>
      </c>
      <c r="E7" s="9" t="s">
        <v>6503</v>
      </c>
      <c r="F7" s="9" t="s">
        <v>8</v>
      </c>
    </row>
    <row r="8" customFormat="false" ht="54" hidden="false" customHeight="true" outlineLevel="0" collapsed="false">
      <c r="A8" s="9" t="n">
        <v>4</v>
      </c>
      <c r="B8" s="9" t="s">
        <v>5441</v>
      </c>
      <c r="C8" s="9" t="s">
        <v>6504</v>
      </c>
      <c r="D8" s="9" t="s">
        <v>6505</v>
      </c>
      <c r="E8" s="9" t="s">
        <v>6506</v>
      </c>
      <c r="F8" s="9" t="s">
        <v>8</v>
      </c>
    </row>
    <row r="9" customFormat="false" ht="54" hidden="false" customHeight="true" outlineLevel="0" collapsed="false">
      <c r="A9" s="9" t="n">
        <v>5</v>
      </c>
      <c r="B9" s="9" t="s">
        <v>6507</v>
      </c>
      <c r="C9" s="9" t="s">
        <v>6508</v>
      </c>
      <c r="D9" s="9" t="s">
        <v>6509</v>
      </c>
      <c r="E9" s="9" t="s">
        <v>6510</v>
      </c>
      <c r="F9" s="9" t="s">
        <v>8</v>
      </c>
    </row>
    <row r="10" customFormat="false" ht="54" hidden="false" customHeight="true" outlineLevel="0" collapsed="false">
      <c r="A10" s="9" t="n">
        <v>6</v>
      </c>
      <c r="B10" s="9" t="s">
        <v>5427</v>
      </c>
      <c r="C10" s="9" t="s">
        <v>6511</v>
      </c>
      <c r="D10" s="9" t="s">
        <v>6512</v>
      </c>
      <c r="E10" s="9" t="s">
        <v>6513</v>
      </c>
      <c r="F10" s="9" t="s">
        <v>8</v>
      </c>
    </row>
    <row r="11" customFormat="false" ht="54" hidden="false" customHeight="true" outlineLevel="0" collapsed="false">
      <c r="A11" s="9" t="n">
        <v>7</v>
      </c>
      <c r="B11" s="9" t="s">
        <v>6514</v>
      </c>
      <c r="C11" s="9" t="s">
        <v>6515</v>
      </c>
      <c r="D11" s="9" t="s">
        <v>6516</v>
      </c>
      <c r="E11" s="9" t="s">
        <v>6517</v>
      </c>
      <c r="F11" s="9" t="s">
        <v>8</v>
      </c>
    </row>
    <row r="12" customFormat="false" ht="54" hidden="false" customHeight="true" outlineLevel="0" collapsed="false">
      <c r="A12" s="9" t="n">
        <v>8</v>
      </c>
      <c r="B12" s="9" t="s">
        <v>6518</v>
      </c>
      <c r="C12" s="9" t="s">
        <v>6519</v>
      </c>
      <c r="D12" s="9" t="s">
        <v>6520</v>
      </c>
      <c r="E12" s="9" t="s">
        <v>6521</v>
      </c>
      <c r="F12" s="9" t="s">
        <v>8</v>
      </c>
    </row>
    <row r="13" customFormat="false" ht="54" hidden="false" customHeight="true" outlineLevel="0" collapsed="false">
      <c r="A13" s="9" t="n">
        <v>9</v>
      </c>
      <c r="B13" s="9" t="s">
        <v>729</v>
      </c>
      <c r="C13" s="9" t="s">
        <v>6522</v>
      </c>
      <c r="D13" s="9" t="s">
        <v>6523</v>
      </c>
      <c r="E13" s="9" t="s">
        <v>6524</v>
      </c>
      <c r="F13" s="9" t="s">
        <v>8</v>
      </c>
    </row>
    <row r="14" customFormat="false" ht="54" hidden="false" customHeight="true" outlineLevel="0" collapsed="false">
      <c r="A14" s="9" t="n">
        <v>10</v>
      </c>
      <c r="B14" s="9" t="s">
        <v>18</v>
      </c>
      <c r="C14" s="9" t="s">
        <v>6525</v>
      </c>
      <c r="D14" s="9" t="s">
        <v>6526</v>
      </c>
      <c r="E14" s="9" t="s">
        <v>6527</v>
      </c>
      <c r="F14" s="9" t="s">
        <v>8</v>
      </c>
    </row>
    <row r="15" customFormat="false" ht="54" hidden="false" customHeight="true" outlineLevel="0" collapsed="false">
      <c r="A15" s="9" t="n">
        <v>11</v>
      </c>
      <c r="B15" s="9" t="s">
        <v>5543</v>
      </c>
      <c r="C15" s="9" t="s">
        <v>6528</v>
      </c>
      <c r="D15" s="9" t="s">
        <v>6529</v>
      </c>
      <c r="E15" s="9" t="s">
        <v>6530</v>
      </c>
      <c r="F15" s="9" t="s">
        <v>8</v>
      </c>
    </row>
    <row r="16" customFormat="false" ht="54" hidden="false" customHeight="true" outlineLevel="0" collapsed="false">
      <c r="A16" s="9" t="n">
        <v>12</v>
      </c>
      <c r="B16" s="9" t="s">
        <v>6531</v>
      </c>
      <c r="C16" s="9" t="s">
        <v>6532</v>
      </c>
      <c r="D16" s="9" t="s">
        <v>6533</v>
      </c>
      <c r="E16" s="9" t="s">
        <v>6534</v>
      </c>
      <c r="F16" s="9" t="s">
        <v>8</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75"/>
    <col collapsed="false" customWidth="true" hidden="false" outlineLevel="0" max="3" min="3" style="0" width="76.25"/>
    <col collapsed="false" customWidth="true" hidden="false" outlineLevel="0" max="4" min="4" style="0" width="32.5"/>
    <col collapsed="false" customWidth="true" hidden="false" outlineLevel="0" max="5" min="5" style="0" width="21.25"/>
    <col collapsed="false" customWidth="true" hidden="false" outlineLevel="0" max="6" min="6" style="0" width="18.13"/>
  </cols>
  <sheetData>
    <row r="1" customFormat="false" ht="28" hidden="false" customHeight="true" outlineLevel="0" collapsed="false">
      <c r="A1" s="14" t="s">
        <v>6535</v>
      </c>
      <c r="B1" s="14"/>
      <c r="C1" s="14"/>
      <c r="D1" s="14"/>
      <c r="E1" s="14"/>
      <c r="F1" s="14"/>
    </row>
    <row r="2" customFormat="false" ht="26" hidden="false" customHeight="true" outlineLevel="0" collapsed="false">
      <c r="A2" s="14" t="s">
        <v>6536</v>
      </c>
      <c r="B2" s="14"/>
      <c r="C2" s="14"/>
      <c r="D2" s="14"/>
      <c r="E2" s="14"/>
      <c r="F2" s="14"/>
    </row>
    <row r="4" customFormat="false" ht="15" hidden="false" customHeight="false" outlineLevel="0" collapsed="false">
      <c r="A4" s="14" t="s">
        <v>6492</v>
      </c>
      <c r="B4" s="14" t="s">
        <v>57</v>
      </c>
      <c r="C4" s="14" t="s">
        <v>6493</v>
      </c>
      <c r="D4" s="14" t="s">
        <v>6494</v>
      </c>
      <c r="E4" s="14" t="s">
        <v>3720</v>
      </c>
      <c r="F4" s="14" t="s">
        <v>5543</v>
      </c>
    </row>
    <row r="5" customFormat="false" ht="15" hidden="false" customHeight="true" outlineLevel="0" collapsed="false">
      <c r="A5" s="14" t="n">
        <v>1</v>
      </c>
      <c r="B5" s="14" t="s">
        <v>5098</v>
      </c>
      <c r="C5" s="14" t="s">
        <v>6537</v>
      </c>
      <c r="D5" s="14" t="s">
        <v>4910</v>
      </c>
      <c r="E5" s="14" t="s">
        <v>235</v>
      </c>
      <c r="F5" s="14" t="s">
        <v>8</v>
      </c>
    </row>
    <row r="6" customFormat="false" ht="15" hidden="false" customHeight="true" outlineLevel="0" collapsed="false">
      <c r="A6" s="14" t="n">
        <v>2</v>
      </c>
      <c r="B6" s="14" t="s">
        <v>391</v>
      </c>
      <c r="C6" s="14" t="s">
        <v>6538</v>
      </c>
      <c r="D6" s="14" t="s">
        <v>4916</v>
      </c>
      <c r="E6" s="14" t="s">
        <v>235</v>
      </c>
      <c r="F6" s="14" t="s">
        <v>8</v>
      </c>
    </row>
    <row r="7" customFormat="false" ht="15" hidden="false" customHeight="true" outlineLevel="0" collapsed="false">
      <c r="A7" s="14" t="n">
        <v>3</v>
      </c>
      <c r="B7" s="14" t="s">
        <v>101</v>
      </c>
      <c r="C7" s="14" t="s">
        <v>6539</v>
      </c>
      <c r="D7" s="14" t="s">
        <v>5478</v>
      </c>
      <c r="E7" s="14" t="s">
        <v>235</v>
      </c>
      <c r="F7" s="14" t="s">
        <v>8</v>
      </c>
    </row>
    <row r="8" customFormat="false" ht="15" hidden="false" customHeight="true" outlineLevel="0" collapsed="false">
      <c r="A8" s="14" t="n">
        <v>4</v>
      </c>
      <c r="B8" s="14" t="s">
        <v>5384</v>
      </c>
      <c r="C8" s="14" t="s">
        <v>6540</v>
      </c>
      <c r="D8" s="14" t="s">
        <v>6541</v>
      </c>
      <c r="E8" s="14" t="s">
        <v>235</v>
      </c>
      <c r="F8" s="14" t="s">
        <v>8</v>
      </c>
    </row>
    <row r="9" customFormat="false" ht="15" hidden="false" customHeight="true" outlineLevel="0" collapsed="false">
      <c r="A9" s="14" t="n">
        <v>5</v>
      </c>
      <c r="B9" s="14" t="s">
        <v>5584</v>
      </c>
      <c r="C9" s="14" t="s">
        <v>6542</v>
      </c>
      <c r="D9" s="14" t="s">
        <v>4905</v>
      </c>
      <c r="E9" s="14" t="s">
        <v>235</v>
      </c>
      <c r="F9" s="14" t="s">
        <v>8</v>
      </c>
    </row>
    <row r="10" customFormat="false" ht="15" hidden="false" customHeight="true" outlineLevel="0" collapsed="false">
      <c r="A10" s="14" t="n">
        <v>6</v>
      </c>
      <c r="B10" s="14" t="s">
        <v>496</v>
      </c>
      <c r="C10" s="14" t="s">
        <v>6543</v>
      </c>
      <c r="D10" s="14" t="s">
        <v>5118</v>
      </c>
      <c r="E10" s="14" t="s">
        <v>235</v>
      </c>
      <c r="F10" s="14" t="s">
        <v>8</v>
      </c>
    </row>
    <row r="11" customFormat="false" ht="15" hidden="false" customHeight="true" outlineLevel="0" collapsed="false">
      <c r="A11" s="14" t="n">
        <v>7</v>
      </c>
      <c r="B11" s="14" t="s">
        <v>4624</v>
      </c>
      <c r="C11" s="14" t="s">
        <v>6544</v>
      </c>
      <c r="D11" s="14" t="s">
        <v>5122</v>
      </c>
      <c r="E11" s="14" t="s">
        <v>235</v>
      </c>
      <c r="F11" s="14" t="s">
        <v>8</v>
      </c>
    </row>
    <row r="12" customFormat="false" ht="15" hidden="false" customHeight="true" outlineLevel="0" collapsed="false">
      <c r="A12" s="14" t="n">
        <v>8</v>
      </c>
      <c r="B12" s="14" t="s">
        <v>5133</v>
      </c>
      <c r="C12" s="14" t="s">
        <v>6545</v>
      </c>
      <c r="D12" s="14" t="s">
        <v>4924</v>
      </c>
      <c r="E12" s="14" t="s">
        <v>235</v>
      </c>
      <c r="F12" s="14" t="s">
        <v>8</v>
      </c>
    </row>
    <row r="13" customFormat="false" ht="15" hidden="false" customHeight="true" outlineLevel="0" collapsed="false">
      <c r="A13" s="14" t="n">
        <v>9</v>
      </c>
      <c r="B13" s="14" t="s">
        <v>6546</v>
      </c>
      <c r="C13" s="14" t="s">
        <v>6547</v>
      </c>
      <c r="D13" s="14" t="s">
        <v>6548</v>
      </c>
      <c r="E13" s="14" t="s">
        <v>235</v>
      </c>
      <c r="F13" s="14" t="s">
        <v>8</v>
      </c>
    </row>
    <row r="14" customFormat="false" ht="15" hidden="false" customHeight="true" outlineLevel="0" collapsed="false">
      <c r="A14" s="14" t="n">
        <v>10</v>
      </c>
      <c r="B14" s="14" t="s">
        <v>6549</v>
      </c>
      <c r="C14" s="14" t="s">
        <v>6550</v>
      </c>
      <c r="D14" s="14" t="s">
        <v>4908</v>
      </c>
      <c r="E14" s="14" t="s">
        <v>235</v>
      </c>
      <c r="F14" s="14" t="s">
        <v>8</v>
      </c>
    </row>
    <row r="15" customFormat="false" ht="15" hidden="false" customHeight="true" outlineLevel="0" collapsed="false">
      <c r="A15" s="14" t="n">
        <v>11</v>
      </c>
      <c r="B15" s="14" t="s">
        <v>5638</v>
      </c>
      <c r="C15" s="14" t="s">
        <v>6551</v>
      </c>
      <c r="D15" s="14" t="s">
        <v>5158</v>
      </c>
      <c r="E15" s="14" t="s">
        <v>235</v>
      </c>
      <c r="F15" s="14" t="s">
        <v>8</v>
      </c>
    </row>
    <row r="16" customFormat="false" ht="15" hidden="false" customHeight="true" outlineLevel="0" collapsed="false">
      <c r="A16" s="14" t="n">
        <v>12</v>
      </c>
      <c r="B16" s="14" t="s">
        <v>2370</v>
      </c>
      <c r="C16" s="14" t="s">
        <v>6552</v>
      </c>
      <c r="D16" s="14" t="s">
        <v>5162</v>
      </c>
      <c r="E16" s="14" t="s">
        <v>235</v>
      </c>
      <c r="F16" s="14" t="s">
        <v>8</v>
      </c>
    </row>
    <row r="17" customFormat="false" ht="15" hidden="false" customHeight="true" outlineLevel="0" collapsed="false">
      <c r="A17" s="14" t="n">
        <v>13</v>
      </c>
      <c r="B17" s="14" t="s">
        <v>115</v>
      </c>
      <c r="C17" s="14" t="s">
        <v>6553</v>
      </c>
      <c r="D17" s="14" t="s">
        <v>5225</v>
      </c>
      <c r="E17" s="14" t="s">
        <v>235</v>
      </c>
      <c r="F17" s="14" t="s">
        <v>8</v>
      </c>
    </row>
    <row r="18" customFormat="false" ht="15" hidden="false" customHeight="true" outlineLevel="0" collapsed="false">
      <c r="A18" s="14" t="n">
        <v>14</v>
      </c>
      <c r="B18" s="14" t="s">
        <v>6554</v>
      </c>
      <c r="C18" s="14" t="s">
        <v>6555</v>
      </c>
      <c r="D18" s="14" t="s">
        <v>6556</v>
      </c>
      <c r="E18" s="14" t="s">
        <v>235</v>
      </c>
      <c r="F18" s="14" t="s">
        <v>8</v>
      </c>
    </row>
    <row r="19" customFormat="false" ht="15" hidden="false" customHeight="true" outlineLevel="0" collapsed="false">
      <c r="A19" s="14" t="n">
        <v>15</v>
      </c>
      <c r="B19" s="14" t="s">
        <v>5427</v>
      </c>
      <c r="C19" s="14" t="s">
        <v>6557</v>
      </c>
      <c r="D19" s="14" t="s">
        <v>6558</v>
      </c>
      <c r="E19" s="14" t="s">
        <v>6559</v>
      </c>
      <c r="F19" s="14" t="s">
        <v>8</v>
      </c>
    </row>
    <row r="20" customFormat="false" ht="15" hidden="false" customHeight="true" outlineLevel="0" collapsed="false">
      <c r="A20" s="14" t="n">
        <v>16</v>
      </c>
      <c r="B20" s="14" t="s">
        <v>18</v>
      </c>
      <c r="C20" s="14" t="s">
        <v>6560</v>
      </c>
      <c r="D20" s="14" t="s">
        <v>6526</v>
      </c>
      <c r="E20" s="14" t="s">
        <v>6561</v>
      </c>
      <c r="F20" s="14" t="s">
        <v>8</v>
      </c>
    </row>
    <row r="21" customFormat="false" ht="15" hidden="false" customHeight="true" outlineLevel="0" collapsed="false">
      <c r="A21" s="14" t="n">
        <v>17</v>
      </c>
      <c r="B21" s="14" t="s">
        <v>729</v>
      </c>
      <c r="C21" s="14" t="s">
        <v>6562</v>
      </c>
      <c r="D21" s="14" t="s">
        <v>6523</v>
      </c>
      <c r="E21" s="14" t="s">
        <v>6563</v>
      </c>
      <c r="F21" s="14" t="s">
        <v>8</v>
      </c>
    </row>
    <row r="22" customFormat="false" ht="15" hidden="false" customHeight="true" outlineLevel="0" collapsed="false">
      <c r="A22" s="14" t="n">
        <v>18</v>
      </c>
      <c r="B22" s="14" t="s">
        <v>5543</v>
      </c>
      <c r="C22" s="14" t="s">
        <v>6564</v>
      </c>
      <c r="D22" s="14" t="s">
        <v>5545</v>
      </c>
      <c r="E22" s="14" t="s">
        <v>6534</v>
      </c>
      <c r="F22" s="14" t="s">
        <v>8</v>
      </c>
    </row>
    <row r="23" customFormat="false" ht="15" hidden="false" customHeight="true" outlineLevel="0" collapsed="false">
      <c r="A23" s="14" t="n">
        <v>19</v>
      </c>
      <c r="B23" s="14" t="s">
        <v>6565</v>
      </c>
      <c r="C23" s="14" t="s">
        <v>6566</v>
      </c>
      <c r="D23" s="14" t="s">
        <v>6567</v>
      </c>
      <c r="E23" s="14" t="s">
        <v>6568</v>
      </c>
      <c r="F23" s="14" t="s">
        <v>8</v>
      </c>
    </row>
    <row r="24" customFormat="false" ht="15" hidden="false" customHeight="true" outlineLevel="0" collapsed="false">
      <c r="A24" s="14" t="n">
        <v>20</v>
      </c>
      <c r="B24" s="14" t="s">
        <v>6</v>
      </c>
      <c r="C24" s="14" t="s">
        <v>6569</v>
      </c>
      <c r="D24" s="14" t="s">
        <v>6570</v>
      </c>
      <c r="E24" s="14" t="s">
        <v>6571</v>
      </c>
      <c r="F24" s="14" t="s">
        <v>8</v>
      </c>
    </row>
    <row r="25" customFormat="false" ht="24" hidden="false" customHeight="true" outlineLevel="0" collapsed="false">
      <c r="A25" s="14" t="n">
        <v>21</v>
      </c>
      <c r="B25" s="14" t="s">
        <v>6531</v>
      </c>
      <c r="C25" s="14" t="s">
        <v>6532</v>
      </c>
      <c r="D25" s="14" t="s">
        <v>6533</v>
      </c>
      <c r="E25" s="14" t="s">
        <v>28</v>
      </c>
      <c r="F25" s="14" t="s">
        <v>8</v>
      </c>
    </row>
    <row r="26" customFormat="false" ht="15" hidden="false" customHeight="true" outlineLevel="0" collapsed="false">
      <c r="A26" s="14" t="n">
        <v>22</v>
      </c>
      <c r="B26" s="14" t="s">
        <v>41</v>
      </c>
      <c r="C26" s="14" t="s">
        <v>6572</v>
      </c>
      <c r="D26" s="14" t="s">
        <v>6573</v>
      </c>
      <c r="E26" s="14" t="s">
        <v>6573</v>
      </c>
      <c r="F26" s="14" t="s">
        <v>8</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68"/>
    <col collapsed="false" customWidth="true" hidden="false" outlineLevel="0" max="4" min="4" style="0" width="32"/>
    <col collapsed="false" customWidth="true" hidden="false" outlineLevel="0" max="5" min="5" style="0" width="20"/>
    <col collapsed="false" customWidth="true" hidden="false" outlineLevel="0" max="6" min="6" style="0" width="18"/>
  </cols>
  <sheetData>
    <row r="1" customFormat="false" ht="30" hidden="false" customHeight="true" outlineLevel="0" collapsed="false">
      <c r="A1" s="15" t="s">
        <v>6574</v>
      </c>
      <c r="B1" s="15"/>
      <c r="C1" s="15"/>
      <c r="D1" s="15"/>
      <c r="E1" s="15"/>
      <c r="F1" s="15"/>
    </row>
    <row r="2" customFormat="false" ht="28" hidden="false" customHeight="true" outlineLevel="0" collapsed="false">
      <c r="A2" s="16" t="s">
        <v>6575</v>
      </c>
      <c r="B2" s="16"/>
      <c r="C2" s="16"/>
      <c r="D2" s="16"/>
      <c r="E2" s="16"/>
      <c r="F2" s="16"/>
    </row>
    <row r="4" customFormat="false" ht="26" hidden="false" customHeight="true" outlineLevel="0" collapsed="false">
      <c r="A4" s="17" t="s">
        <v>6492</v>
      </c>
      <c r="B4" s="17" t="s">
        <v>57</v>
      </c>
      <c r="C4" s="17" t="s">
        <v>6493</v>
      </c>
      <c r="D4" s="17" t="s">
        <v>6494</v>
      </c>
      <c r="E4" s="17" t="s">
        <v>3720</v>
      </c>
      <c r="F4" s="17" t="s">
        <v>5543</v>
      </c>
    </row>
    <row r="5" customFormat="false" ht="38" hidden="false" customHeight="true" outlineLevel="0" collapsed="false">
      <c r="A5" s="18" t="n">
        <v>1</v>
      </c>
      <c r="B5" s="10" t="s">
        <v>5663</v>
      </c>
      <c r="C5" s="10" t="s">
        <v>6576</v>
      </c>
      <c r="D5" s="10" t="s">
        <v>6577</v>
      </c>
      <c r="E5" s="18" t="s">
        <v>235</v>
      </c>
      <c r="F5" s="18" t="s">
        <v>8</v>
      </c>
    </row>
    <row r="6" customFormat="false" ht="38" hidden="false" customHeight="true" outlineLevel="0" collapsed="false">
      <c r="A6" s="19" t="n">
        <v>2</v>
      </c>
      <c r="B6" s="11" t="s">
        <v>6565</v>
      </c>
      <c r="C6" s="11" t="s">
        <v>6578</v>
      </c>
      <c r="D6" s="11" t="s">
        <v>3877</v>
      </c>
      <c r="E6" s="19" t="s">
        <v>235</v>
      </c>
      <c r="F6" s="19" t="s">
        <v>8</v>
      </c>
    </row>
    <row r="7" customFormat="false" ht="38" hidden="false" customHeight="true" outlineLevel="0" collapsed="false">
      <c r="A7" s="18" t="n">
        <v>3</v>
      </c>
      <c r="B7" s="10" t="s">
        <v>6579</v>
      </c>
      <c r="C7" s="10" t="s">
        <v>6580</v>
      </c>
      <c r="D7" s="10" t="s">
        <v>3877</v>
      </c>
      <c r="E7" s="18" t="s">
        <v>235</v>
      </c>
      <c r="F7" s="18" t="s">
        <v>8</v>
      </c>
    </row>
    <row r="8" customFormat="false" ht="38" hidden="false" customHeight="true" outlineLevel="0" collapsed="false">
      <c r="A8" s="19" t="n">
        <v>4</v>
      </c>
      <c r="B8" s="11" t="s">
        <v>5215</v>
      </c>
      <c r="C8" s="11" t="s">
        <v>6581</v>
      </c>
      <c r="D8" s="11" t="s">
        <v>6582</v>
      </c>
      <c r="E8" s="19" t="s">
        <v>454</v>
      </c>
      <c r="F8" s="19" t="s">
        <v>8</v>
      </c>
    </row>
    <row r="9" customFormat="false" ht="38" hidden="false" customHeight="true" outlineLevel="0" collapsed="false">
      <c r="A9" s="18" t="n">
        <v>5</v>
      </c>
      <c r="B9" s="10" t="s">
        <v>293</v>
      </c>
      <c r="C9" s="10" t="s">
        <v>6583</v>
      </c>
      <c r="D9" s="10" t="s">
        <v>5214</v>
      </c>
      <c r="E9" s="18" t="s">
        <v>235</v>
      </c>
      <c r="F9" s="18" t="s">
        <v>8</v>
      </c>
    </row>
    <row r="10" customFormat="false" ht="38" hidden="false" customHeight="true" outlineLevel="0" collapsed="false">
      <c r="A10" s="19" t="n">
        <v>6</v>
      </c>
      <c r="B10" s="11" t="s">
        <v>5427</v>
      </c>
      <c r="C10" s="11" t="s">
        <v>6584</v>
      </c>
      <c r="D10" s="11" t="s">
        <v>6585</v>
      </c>
      <c r="E10" s="19" t="s">
        <v>6586</v>
      </c>
      <c r="F10" s="19" t="s">
        <v>8</v>
      </c>
    </row>
    <row r="11" customFormat="false" ht="38" hidden="false" customHeight="true" outlineLevel="0" collapsed="false">
      <c r="A11" s="18" t="n">
        <v>7</v>
      </c>
      <c r="B11" s="10" t="s">
        <v>6587</v>
      </c>
      <c r="C11" s="10" t="s">
        <v>6588</v>
      </c>
      <c r="D11" s="10" t="s">
        <v>6589</v>
      </c>
      <c r="E11" s="18" t="s">
        <v>235</v>
      </c>
      <c r="F11" s="18" t="s">
        <v>8</v>
      </c>
    </row>
    <row r="12" customFormat="false" ht="38" hidden="false" customHeight="true" outlineLevel="0" collapsed="false">
      <c r="A12" s="19" t="n">
        <v>8</v>
      </c>
      <c r="B12" s="11" t="s">
        <v>18</v>
      </c>
      <c r="C12" s="11" t="s">
        <v>6590</v>
      </c>
      <c r="D12" s="11" t="s">
        <v>6526</v>
      </c>
      <c r="E12" s="19" t="s">
        <v>19</v>
      </c>
      <c r="F12" s="19" t="s">
        <v>8</v>
      </c>
    </row>
    <row r="13" customFormat="false" ht="38" hidden="false" customHeight="true" outlineLevel="0" collapsed="false">
      <c r="A13" s="18" t="n">
        <v>9</v>
      </c>
      <c r="B13" s="10" t="s">
        <v>729</v>
      </c>
      <c r="C13" s="10" t="s">
        <v>6591</v>
      </c>
      <c r="D13" s="10" t="s">
        <v>6523</v>
      </c>
      <c r="E13" s="18" t="s">
        <v>6592</v>
      </c>
      <c r="F13" s="18" t="s">
        <v>8</v>
      </c>
    </row>
    <row r="14" customFormat="false" ht="38" hidden="false" customHeight="true" outlineLevel="0" collapsed="false">
      <c r="A14" s="19" t="n">
        <v>10</v>
      </c>
      <c r="B14" s="11" t="s">
        <v>5124</v>
      </c>
      <c r="C14" s="11" t="s">
        <v>6593</v>
      </c>
      <c r="D14" s="11" t="s">
        <v>6526</v>
      </c>
      <c r="E14" s="19" t="s">
        <v>6594</v>
      </c>
      <c r="F14" s="19" t="s">
        <v>8</v>
      </c>
    </row>
    <row r="15" customFormat="false" ht="38" hidden="false" customHeight="true" outlineLevel="0" collapsed="false">
      <c r="A15" s="18" t="n">
        <v>11</v>
      </c>
      <c r="B15" s="10" t="s">
        <v>5543</v>
      </c>
      <c r="C15" s="10" t="s">
        <v>6595</v>
      </c>
      <c r="D15" s="10" t="s">
        <v>5545</v>
      </c>
      <c r="E15" s="18" t="s">
        <v>6534</v>
      </c>
      <c r="F15" s="18" t="s">
        <v>8</v>
      </c>
    </row>
    <row r="16" customFormat="false" ht="38" hidden="false" customHeight="true" outlineLevel="0" collapsed="false">
      <c r="A16" s="19" t="n">
        <v>12</v>
      </c>
      <c r="B16" s="11" t="s">
        <v>6</v>
      </c>
      <c r="C16" s="11" t="s">
        <v>6596</v>
      </c>
      <c r="D16" s="11" t="s">
        <v>6597</v>
      </c>
      <c r="E16" s="19" t="s">
        <v>6571</v>
      </c>
      <c r="F16" s="19" t="s">
        <v>8</v>
      </c>
    </row>
    <row r="17" customFormat="false" ht="38" hidden="false" customHeight="true" outlineLevel="0" collapsed="false">
      <c r="A17" s="18" t="n">
        <v>13</v>
      </c>
      <c r="B17" s="10" t="s">
        <v>41</v>
      </c>
      <c r="C17" s="10" t="s">
        <v>6572</v>
      </c>
      <c r="D17" s="10" t="s">
        <v>42</v>
      </c>
      <c r="E17" s="18" t="s">
        <v>42</v>
      </c>
      <c r="F17" s="18" t="s">
        <v>8</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